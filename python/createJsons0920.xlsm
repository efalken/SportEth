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python\"/>
    </mc:Choice>
  </mc:AlternateContent>
  <xr:revisionPtr revIDLastSave="0" documentId="13_ncr:1_{6EF64E4C-E67A-4676-A948-514244867C75}" xr6:coauthVersionLast="47" xr6:coauthVersionMax="47" xr10:uidLastSave="{00000000-0000-0000-0000-000000000000}"/>
  <bookViews>
    <workbookView xWindow="29820" yWindow="4560" windowWidth="25620" windowHeight="13545" xr2:uid="{1230EDBB-7CF7-4CB6-8A8B-436EE42A5ED4}"/>
  </bookViews>
  <sheets>
    <sheet name="initData" sheetId="3" r:id="rId1"/>
    <sheet name="initcsv" sheetId="5" r:id="rId2"/>
    <sheet name="oddscsv" sheetId="6" r:id="rId3"/>
    <sheet name="resultscsv" sheetId="7" r:id="rId4"/>
  </sheets>
  <externalReferences>
    <externalReference r:id="rId5"/>
  </externalReferences>
  <definedNames>
    <definedName name="solver_adj" localSheetId="0" hidden="1">initData!#REF!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3" l="1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7" i="3"/>
  <c r="G23" i="3" a="1"/>
  <c r="G32" i="3" a="1"/>
  <c r="G20" i="3" a="1"/>
  <c r="G15" i="3" a="1"/>
  <c r="G24" i="3" a="1"/>
  <c r="G10" i="3" a="1"/>
  <c r="G28" i="3" a="1"/>
  <c r="G26" i="3" a="1"/>
  <c r="G35" i="3" a="1"/>
  <c r="G29" i="3" a="1"/>
  <c r="G16" i="3" a="1"/>
  <c r="G8" i="3" a="1"/>
  <c r="G22" i="3" a="1"/>
  <c r="G21" i="3" a="1"/>
  <c r="G18" i="3" a="1"/>
  <c r="G37" i="3" a="1"/>
  <c r="G36" i="3" a="1"/>
  <c r="G30" i="3" a="1"/>
  <c r="G27" i="3" a="1"/>
  <c r="G19" i="3" a="1"/>
  <c r="G38" i="3" a="1"/>
  <c r="G17" i="3" a="1"/>
  <c r="G12" i="3" a="1"/>
  <c r="G13" i="3" a="1"/>
  <c r="G33" i="3" a="1"/>
  <c r="G14" i="3" a="1"/>
  <c r="G9" i="3" a="1"/>
  <c r="G25" i="3" a="1"/>
  <c r="G34" i="3" a="1"/>
  <c r="G31" i="3" a="1"/>
  <c r="G11" i="3" a="1"/>
  <c r="G7" i="3" a="1"/>
  <c r="G12" i="3" l="1"/>
  <c r="G24" i="3"/>
  <c r="G18" i="3"/>
  <c r="G31" i="3"/>
  <c r="G36" i="3"/>
  <c r="G11" i="3"/>
  <c r="G29" i="3"/>
  <c r="G23" i="3"/>
  <c r="G17" i="3"/>
  <c r="G37" i="3"/>
  <c r="G30" i="3"/>
  <c r="G34" i="3"/>
  <c r="G16" i="3"/>
  <c r="G13" i="3"/>
  <c r="G28" i="3"/>
  <c r="G22" i="3"/>
  <c r="G10" i="3"/>
  <c r="G25" i="3"/>
  <c r="G35" i="3"/>
  <c r="G33" i="3"/>
  <c r="G27" i="3"/>
  <c r="G21" i="3"/>
  <c r="G15" i="3"/>
  <c r="G9" i="3"/>
  <c r="G19" i="3"/>
  <c r="G38" i="3"/>
  <c r="G32" i="3"/>
  <c r="G26" i="3"/>
  <c r="G20" i="3"/>
  <c r="G14" i="3"/>
  <c r="G8" i="3"/>
  <c r="G7" i="3"/>
  <c r="A67" i="5" l="1"/>
  <c r="E10" i="3"/>
  <c r="E8" i="3"/>
  <c r="E11" i="3" l="1"/>
  <c r="A4" i="7"/>
  <c r="A5" i="7"/>
  <c r="A6" i="7"/>
  <c r="A7" i="7"/>
  <c r="A30" i="7"/>
  <c r="A3" i="7"/>
  <c r="E12" i="3" l="1"/>
  <c r="E13" i="3" s="1"/>
  <c r="A38" i="5"/>
  <c r="A8" i="7" l="1"/>
  <c r="A36" i="5"/>
  <c r="E14" i="3" l="1"/>
  <c r="A9" i="7"/>
  <c r="A4" i="6"/>
  <c r="A12" i="5"/>
  <c r="A13" i="5"/>
  <c r="A24" i="5"/>
  <c r="E15" i="3" l="1"/>
  <c r="A10" i="7"/>
  <c r="A33" i="5"/>
  <c r="A23" i="5"/>
  <c r="A11" i="5"/>
  <c r="A4" i="5"/>
  <c r="A34" i="5"/>
  <c r="A27" i="5"/>
  <c r="A21" i="5"/>
  <c r="A9" i="5"/>
  <c r="A17" i="5"/>
  <c r="A5" i="5"/>
  <c r="A29" i="5"/>
  <c r="A8" i="5"/>
  <c r="A20" i="5"/>
  <c r="A32" i="5"/>
  <c r="A19" i="5"/>
  <c r="A7" i="5"/>
  <c r="A15" i="5"/>
  <c r="A10" i="5"/>
  <c r="A14" i="5"/>
  <c r="A22" i="5"/>
  <c r="A31" i="5"/>
  <c r="A26" i="5"/>
  <c r="A25" i="5"/>
  <c r="A18" i="5"/>
  <c r="A6" i="5"/>
  <c r="A28" i="5"/>
  <c r="A16" i="5"/>
  <c r="E16" i="3" l="1"/>
  <c r="A11" i="7"/>
  <c r="A3" i="5"/>
  <c r="A30" i="5"/>
  <c r="E17" i="3" l="1"/>
  <c r="A12" i="7"/>
  <c r="A34" i="6"/>
  <c r="A53" i="5"/>
  <c r="A37" i="5"/>
  <c r="A60" i="5"/>
  <c r="A56" i="5"/>
  <c r="A44" i="5"/>
  <c r="A52" i="5"/>
  <c r="A40" i="5"/>
  <c r="A48" i="5"/>
  <c r="E18" i="3" l="1"/>
  <c r="A13" i="7"/>
  <c r="A32" i="6"/>
  <c r="A33" i="6"/>
  <c r="A64" i="5"/>
  <c r="A45" i="5"/>
  <c r="A49" i="5"/>
  <c r="A41" i="5"/>
  <c r="E19" i="3" l="1"/>
  <c r="A14" i="7"/>
  <c r="A6" i="6"/>
  <c r="A11" i="6"/>
  <c r="A57" i="5"/>
  <c r="A61" i="5"/>
  <c r="A65" i="5"/>
  <c r="A39" i="5"/>
  <c r="A42" i="5"/>
  <c r="E20" i="3" l="1"/>
  <c r="A15" i="7"/>
  <c r="A9" i="6"/>
  <c r="A19" i="6"/>
  <c r="A10" i="6"/>
  <c r="A26" i="6"/>
  <c r="A17" i="6"/>
  <c r="A18" i="6"/>
  <c r="A22" i="6"/>
  <c r="A5" i="6"/>
  <c r="A27" i="6"/>
  <c r="A31" i="6"/>
  <c r="A21" i="6"/>
  <c r="A24" i="6"/>
  <c r="A15" i="6"/>
  <c r="A16" i="6"/>
  <c r="A28" i="6"/>
  <c r="A7" i="6"/>
  <c r="A25" i="6"/>
  <c r="A12" i="6"/>
  <c r="A20" i="6"/>
  <c r="A23" i="6"/>
  <c r="A29" i="6"/>
  <c r="A3" i="6"/>
  <c r="A43" i="5"/>
  <c r="A46" i="5"/>
  <c r="E21" i="3" l="1"/>
  <c r="A16" i="7"/>
  <c r="A30" i="6"/>
  <c r="A13" i="6"/>
  <c r="A14" i="6"/>
  <c r="A8" i="6"/>
  <c r="A50" i="5"/>
  <c r="A47" i="5"/>
  <c r="E22" i="3" l="1"/>
  <c r="A17" i="7"/>
  <c r="A51" i="5"/>
  <c r="A54" i="5"/>
  <c r="E23" i="3" l="1"/>
  <c r="A18" i="7"/>
  <c r="A58" i="5"/>
  <c r="A55" i="5"/>
  <c r="E24" i="3" l="1"/>
  <c r="A19" i="7"/>
  <c r="A59" i="5"/>
  <c r="A62" i="5"/>
  <c r="A66" i="5"/>
  <c r="E25" i="3" l="1"/>
  <c r="A20" i="7"/>
  <c r="A63" i="5"/>
  <c r="E26" i="3" l="1"/>
  <c r="A21" i="7"/>
  <c r="E27" i="3" l="1"/>
  <c r="A22" i="7"/>
  <c r="E28" i="3" l="1"/>
  <c r="A23" i="7"/>
  <c r="E29" i="3" l="1"/>
  <c r="A24" i="7"/>
  <c r="E30" i="3" l="1"/>
  <c r="A25" i="7"/>
  <c r="E31" i="3" l="1"/>
  <c r="A26" i="7"/>
  <c r="E32" i="3" l="1"/>
  <c r="A27" i="7"/>
  <c r="E33" i="3" l="1"/>
  <c r="A28" i="7"/>
  <c r="E35" i="3" l="1"/>
  <c r="A29" i="7"/>
  <c r="E36" i="3" l="1"/>
  <c r="A31" i="7"/>
  <c r="E37" i="3" l="1"/>
  <c r="A32" i="7"/>
  <c r="E38" i="3" l="1"/>
  <c r="A33" i="7"/>
  <c r="A3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<sst xmlns="http://schemas.openxmlformats.org/spreadsheetml/2006/main" count="53" uniqueCount="48">
  <si>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</si>
  <si>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</si>
  <si>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</si>
  <si>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</si>
  <si>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</si>
  <si>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</si>
  <si>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</si>
  <si>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</si>
  <si>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</si>
  <si>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"_decimalOdds": [</t>
  </si>
  <si>
    <t>"_teamsched": [</t>
  </si>
  <si>
    <t>"_results": [</t>
  </si>
  <si>
    <t>"NCAAF:Minnesota:Northwestern"</t>
  </si>
  <si>
    <t>"NCAAF:Arizona:Stanford"</t>
  </si>
  <si>
    <t>"NFL:Ravens:Colts"</t>
  </si>
  <si>
    <t>"NCAAF:NCState:Virginia"</t>
  </si>
  <si>
    <t>"NCAAF:Maryland:MichiganState"</t>
  </si>
  <si>
    <t>"NFL:Bills:Commanders"</t>
  </si>
  <si>
    <t>"NCAAF:Alabama:OleMiss"</t>
  </si>
  <si>
    <t>"NCAAF:Texas:WestVirginia"</t>
  </si>
  <si>
    <t>"NFL:Eagles:Buccaneers"</t>
  </si>
  <si>
    <t>"MMA:Mitchell:Ige"</t>
  </si>
  <si>
    <t>"NCAAF:IowaState:OklahomaState"</t>
  </si>
  <si>
    <t>"NFL:Browns:Titans"</t>
  </si>
  <si>
    <t>"NFL:Patriots:Jets"</t>
  </si>
  <si>
    <t>"NCAAF:OregonState:WashingtonState"</t>
  </si>
  <si>
    <t>"NFL:Bengals:Rams"</t>
  </si>
  <si>
    <t>"NFL:Raiders:Steelers"</t>
  </si>
  <si>
    <t>"NFL:Packers:Saints"</t>
  </si>
  <si>
    <t>"NFL:Vikings:Chargers"</t>
  </si>
  <si>
    <t>"NCAAF:FloridaState:Clemson"</t>
  </si>
  <si>
    <t>"MMA:Fiziev:Gamrot"</t>
  </si>
  <si>
    <t>"NCAAF:OhioState:NotreDame"</t>
  </si>
  <si>
    <t>"NFL:Lions:Falcons"</t>
  </si>
  <si>
    <t>"NCAAF:Utah:UCLA"</t>
  </si>
  <si>
    <t>"NCAAF:Wisconsin:Purdue"</t>
  </si>
  <si>
    <t>"NCAAF:SouthCarolina:MississippiState"</t>
  </si>
  <si>
    <t>"NFL:Seahawks:Panthers"</t>
  </si>
  <si>
    <t>"NFL:Dolphins:Broncos"</t>
  </si>
  <si>
    <t>"NCAAF:TexasA&amp;M:Auburn"</t>
  </si>
  <si>
    <t>"NCAAF:Kansas:BYU"</t>
  </si>
  <si>
    <t>"NFL:Jaguars:Texans"</t>
  </si>
  <si>
    <t>"AAA::"</t>
  </si>
  <si>
    <t>Oracle</t>
  </si>
  <si>
    <t>approve/deposit tokens</t>
  </si>
  <si>
    <t>wd tokens</t>
  </si>
  <si>
    <t>vote</t>
  </si>
  <si>
    <t>process vote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</si>
</sst>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;[Red]#,##0"/>
    <numFmt numFmtId="166" formatCode="#,##0.00;[Red]#,##0.00"/>
    <numFmt numFmtId="167" formatCode="###0;[Red]###0"/>
    <numFmt numFmtId="168" formatCode="m/d/yy"/>
    <numFmt numFmtId="169" formatCode="[$-409]m/d/yy\ h:mm\ AM/PM;@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19">
    <xf numFmtId="0" fontId="0" fillId="0" borderId="0" xfId="0"/>
    <xf numFmtId="0" fontId="2" fillId="0" borderId="0" xfId="0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7" fontId="2" fillId="0" borderId="0" xfId="0" applyNumberFormat="1" applyFont="1"/>
    <xf numFmtId="0" fontId="4" fillId="0" borderId="0" xfId="3" applyFill="1"/>
    <xf numFmtId="167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168" fontId="0" fillId="0" borderId="0" xfId="0" applyNumberFormat="1"/>
    <xf numFmtId="167" fontId="4" fillId="6" borderId="0" xfId="3" applyNumberFormat="1" applyFill="1" applyBorder="1"/>
    <xf numFmtId="0" fontId="6" fillId="0" borderId="0" xfId="3" applyFont="1" applyFill="1"/>
    <xf numFmtId="0" fontId="7" fillId="0" borderId="0" xfId="0" applyFont="1" applyAlignment="1">
      <alignment vertical="center"/>
    </xf>
    <xf numFmtId="164" fontId="2" fillId="0" borderId="0" xfId="0" applyNumberFormat="1" applyFont="1"/>
    <xf numFmtId="169" fontId="1" fillId="4" borderId="0" xfId="1" applyNumberFormat="1" applyFill="1" applyBorder="1" applyAlignment="1">
      <alignment horizontal="right"/>
    </xf>
    <xf numFmtId="0" fontId="4" fillId="6" borderId="0" xfId="3" applyFill="1" applyBorder="1"/>
    <xf numFmtId="165" fontId="4" fillId="4" borderId="0" xfId="3" applyNumberFormat="1" applyFill="1" applyBorder="1"/>
    <xf numFmtId="0" fontId="0" fillId="5" borderId="0" xfId="0" applyFill="1" applyBorder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546100</xdr:colOff>
      <xdr:row>0</xdr:row>
      <xdr:rowOff>76200</xdr:rowOff>
    </xdr:from>
    <xdr:to>
      <xdr:col>2</xdr:col>
      <xdr:colOff>38100</xdr:colOff>
      <xdr:row>4</xdr:row>
      <xdr:rowOff>127000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155700" y="76200"/>
          <a:ext cx="16510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2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1130300</xdr:colOff>
      <xdr:row>1</xdr:row>
      <xdr:rowOff>0</xdr:rowOff>
    </xdr:from>
    <xdr:to>
      <xdr:col>4</xdr:col>
      <xdr:colOff>25400</xdr:colOff>
      <xdr:row>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3898900" y="190500"/>
          <a:ext cx="13970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4</xdr:col>
      <xdr:colOff>419100</xdr:colOff>
      <xdr:row>0</xdr:row>
      <xdr:rowOff>139700</xdr:rowOff>
    </xdr:from>
    <xdr:to>
      <xdr:col>4</xdr:col>
      <xdr:colOff>1270000</xdr:colOff>
      <xdr:row>4</xdr:row>
      <xdr:rowOff>50800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5689600" y="139700"/>
          <a:ext cx="8509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Q40"/>
  <sheetViews>
    <sheetView tabSelected="1" zoomScale="60" zoomScaleNormal="60" workbookViewId="0">
      <selection activeCell="C9" sqref="C9"/>
    </sheetView>
  </sheetViews>
  <sheetFormatPr defaultRowHeight="15" x14ac:dyDescent="0.25"/>
  <cols>
    <col min="2" max="2" width="32.42578125" customWidth="1"/>
    <col min="3" max="3" width="20" customWidth="1"/>
    <col min="4" max="4" width="17.42578125" customWidth="1"/>
    <col min="5" max="5" width="19.140625" customWidth="1"/>
    <col min="7" max="7" width="19" customWidth="1"/>
  </cols>
  <sheetData>
    <row r="2" spans="1:17" x14ac:dyDescent="0.25">
      <c r="B2" s="10"/>
    </row>
    <row r="4" spans="1:17" x14ac:dyDescent="0.25">
      <c r="B4" s="2"/>
      <c r="C4" s="8"/>
      <c r="D4" s="5"/>
    </row>
    <row r="5" spans="1:17" x14ac:dyDescent="0.25">
      <c r="C5" s="7" t="s">
        <v>6</v>
      </c>
    </row>
    <row r="6" spans="1:17" x14ac:dyDescent="0.25">
      <c r="A6" t="s">
        <v>3</v>
      </c>
      <c r="B6" t="s">
        <v>0</v>
      </c>
      <c r="C6" t="s">
        <v>1</v>
      </c>
      <c r="D6" t="s">
        <v>2</v>
      </c>
      <c r="E6" s="3" t="s">
        <v>7</v>
      </c>
    </row>
    <row r="7" spans="1:17" x14ac:dyDescent="0.25">
      <c r="A7" s="1">
        <v>0</v>
      </c>
      <c r="B7" s="16" t="s">
        <v>35</v>
      </c>
      <c r="C7" s="11">
        <v>1696094107</v>
      </c>
      <c r="D7" s="17">
        <v>460</v>
      </c>
      <c r="E7" s="18">
        <v>0</v>
      </c>
      <c r="G7" s="15" cm="1">
        <f t="array" ref="G7">[1]!datefromutc(C7)</f>
        <v>45199.718831018516</v>
      </c>
      <c r="J7">
        <f ca="1">INT(D7)+INT(RAND()-0.5)*10</f>
        <v>450</v>
      </c>
    </row>
    <row r="8" spans="1:17" x14ac:dyDescent="0.25">
      <c r="A8" s="1">
        <v>1</v>
      </c>
      <c r="B8" s="16" t="s">
        <v>15</v>
      </c>
      <c r="C8" s="11">
        <v>1696094107</v>
      </c>
      <c r="D8" s="17">
        <v>290</v>
      </c>
      <c r="E8" s="18">
        <f>IF(E7=0,1,0)</f>
        <v>1</v>
      </c>
      <c r="G8" s="15" cm="1">
        <f t="array" ref="G8">[1]!datefromutc(C8)</f>
        <v>45199.718831018516</v>
      </c>
      <c r="J8">
        <f t="shared" ref="J8:J38" ca="1" si="0">INT(D8)+INT(RAND()-0.5)*10</f>
        <v>280</v>
      </c>
      <c r="O8" t="s">
        <v>43</v>
      </c>
    </row>
    <row r="9" spans="1:17" ht="15.75" x14ac:dyDescent="0.25">
      <c r="A9" s="1">
        <v>2</v>
      </c>
      <c r="B9" s="16" t="s">
        <v>30</v>
      </c>
      <c r="C9" s="11">
        <v>1696094107</v>
      </c>
      <c r="D9" s="17">
        <v>778</v>
      </c>
      <c r="E9" s="18">
        <v>2</v>
      </c>
      <c r="G9" s="15" cm="1">
        <f t="array" ref="G9">[1]!datefromutc(C9)</f>
        <v>45199.718831018516</v>
      </c>
      <c r="J9">
        <f t="shared" ca="1" si="0"/>
        <v>778</v>
      </c>
      <c r="N9" s="13"/>
      <c r="O9" t="s">
        <v>44</v>
      </c>
      <c r="Q9" s="14"/>
    </row>
    <row r="10" spans="1:17" ht="15.75" x14ac:dyDescent="0.25">
      <c r="A10" s="1">
        <v>3</v>
      </c>
      <c r="B10" s="16" t="s">
        <v>39</v>
      </c>
      <c r="C10" s="11">
        <v>1696094107</v>
      </c>
      <c r="D10" s="17">
        <v>336</v>
      </c>
      <c r="E10" s="18">
        <f t="shared" ref="E10:E38" si="1">IF(E9=0,1,0)</f>
        <v>0</v>
      </c>
      <c r="G10" s="15" cm="1">
        <f t="array" ref="G10">[1]!datefromutc(C10)</f>
        <v>45199.718831018516</v>
      </c>
      <c r="J10">
        <f t="shared" ca="1" si="0"/>
        <v>326</v>
      </c>
      <c r="N10" s="13"/>
      <c r="O10" t="s">
        <v>45</v>
      </c>
      <c r="Q10" s="14"/>
    </row>
    <row r="11" spans="1:17" ht="15.75" x14ac:dyDescent="0.25">
      <c r="A11" s="1">
        <v>4</v>
      </c>
      <c r="B11" s="16" t="s">
        <v>18</v>
      </c>
      <c r="C11" s="11">
        <v>1696094107</v>
      </c>
      <c r="D11" s="17">
        <v>405</v>
      </c>
      <c r="E11" s="18">
        <f t="shared" si="1"/>
        <v>1</v>
      </c>
      <c r="G11" s="15" cm="1">
        <f t="array" ref="G11">[1]!datefromutc(C11)</f>
        <v>45199.718831018516</v>
      </c>
      <c r="J11">
        <f t="shared" ca="1" si="0"/>
        <v>405</v>
      </c>
      <c r="N11" s="13"/>
      <c r="O11" t="s">
        <v>46</v>
      </c>
      <c r="Q11" s="14"/>
    </row>
    <row r="12" spans="1:17" ht="15.75" x14ac:dyDescent="0.25">
      <c r="A12" s="1">
        <v>5</v>
      </c>
      <c r="B12" s="16" t="s">
        <v>40</v>
      </c>
      <c r="C12" s="11">
        <v>1696094107</v>
      </c>
      <c r="D12" s="17">
        <v>313</v>
      </c>
      <c r="E12" s="18">
        <f t="shared" si="1"/>
        <v>0</v>
      </c>
      <c r="G12" s="15" cm="1">
        <f t="array" ref="G12">[1]!datefromutc(C12)</f>
        <v>45199.718831018516</v>
      </c>
      <c r="J12">
        <f t="shared" ca="1" si="0"/>
        <v>313</v>
      </c>
      <c r="N12" s="13"/>
      <c r="O12" t="s">
        <v>47</v>
      </c>
      <c r="Q12" s="14"/>
    </row>
    <row r="13" spans="1:17" ht="15.75" x14ac:dyDescent="0.25">
      <c r="A13" s="1">
        <v>6</v>
      </c>
      <c r="B13" s="16" t="s">
        <v>16</v>
      </c>
      <c r="C13" s="11">
        <v>1696094107</v>
      </c>
      <c r="D13" s="17">
        <v>339</v>
      </c>
      <c r="E13" s="18">
        <f>IF(E12=0,1,0)</f>
        <v>1</v>
      </c>
      <c r="G13" s="15" cm="1">
        <f t="array" ref="G13">[1]!datefromutc(C13)</f>
        <v>45199.718831018516</v>
      </c>
      <c r="J13">
        <f t="shared" ca="1" si="0"/>
        <v>339</v>
      </c>
      <c r="N13" s="13"/>
      <c r="Q13" s="14"/>
    </row>
    <row r="14" spans="1:17" s="4" customFormat="1" ht="15.75" x14ac:dyDescent="0.25">
      <c r="A14" s="1">
        <v>7</v>
      </c>
      <c r="B14" s="16" t="s">
        <v>19</v>
      </c>
      <c r="C14" s="11">
        <v>1696094107</v>
      </c>
      <c r="D14" s="17">
        <v>448</v>
      </c>
      <c r="E14" s="18">
        <f t="shared" si="1"/>
        <v>0</v>
      </c>
      <c r="G14" s="15" cm="1">
        <f t="array" ref="G14">[1]!datefromutc(C14)</f>
        <v>45199.718831018516</v>
      </c>
      <c r="J14">
        <f t="shared" ca="1" si="0"/>
        <v>438</v>
      </c>
      <c r="N14" s="13"/>
      <c r="O14"/>
      <c r="Q14" s="14"/>
    </row>
    <row r="15" spans="1:17" ht="15.75" x14ac:dyDescent="0.25">
      <c r="A15" s="1">
        <v>8</v>
      </c>
      <c r="B15" s="16" t="s">
        <v>34</v>
      </c>
      <c r="C15" s="11">
        <v>1696094107</v>
      </c>
      <c r="D15" s="17">
        <v>526</v>
      </c>
      <c r="E15" s="18">
        <f t="shared" si="1"/>
        <v>1</v>
      </c>
      <c r="G15" s="15" cm="1">
        <f t="array" ref="G15">[1]!datefromutc(C15)</f>
        <v>45199.718831018516</v>
      </c>
      <c r="J15">
        <f t="shared" ca="1" si="0"/>
        <v>516</v>
      </c>
      <c r="N15" s="13"/>
      <c r="Q15" s="14"/>
    </row>
    <row r="16" spans="1:17" ht="15.75" x14ac:dyDescent="0.25">
      <c r="A16" s="1">
        <v>9</v>
      </c>
      <c r="B16" s="16" t="s">
        <v>22</v>
      </c>
      <c r="C16" s="11">
        <v>1696094107</v>
      </c>
      <c r="D16" s="17">
        <v>588</v>
      </c>
      <c r="E16" s="18">
        <f t="shared" si="1"/>
        <v>0</v>
      </c>
      <c r="G16" s="15" cm="1">
        <f t="array" ref="G16">[1]!datefromutc(C16)</f>
        <v>45199.718831018516</v>
      </c>
      <c r="J16">
        <f t="shared" ca="1" si="0"/>
        <v>588</v>
      </c>
      <c r="N16" s="13"/>
      <c r="Q16" s="14"/>
    </row>
    <row r="17" spans="1:17" ht="15.75" x14ac:dyDescent="0.25">
      <c r="A17" s="1">
        <v>10</v>
      </c>
      <c r="B17" s="16" t="s">
        <v>13</v>
      </c>
      <c r="C17" s="11">
        <v>1696094107</v>
      </c>
      <c r="D17" s="17">
        <v>241</v>
      </c>
      <c r="E17" s="18">
        <f t="shared" si="1"/>
        <v>1</v>
      </c>
      <c r="G17" s="15" cm="1">
        <f t="array" ref="G17">[1]!datefromutc(C17)</f>
        <v>45199.718831018516</v>
      </c>
      <c r="J17">
        <f t="shared" ca="1" si="0"/>
        <v>231</v>
      </c>
      <c r="N17" s="13"/>
      <c r="Q17" s="14"/>
    </row>
    <row r="18" spans="1:17" ht="15.75" x14ac:dyDescent="0.25">
      <c r="A18" s="1">
        <v>11</v>
      </c>
      <c r="B18" s="16" t="s">
        <v>25</v>
      </c>
      <c r="C18" s="11">
        <v>1696094107</v>
      </c>
      <c r="D18" s="17">
        <v>707</v>
      </c>
      <c r="E18" s="18">
        <f t="shared" si="1"/>
        <v>0</v>
      </c>
      <c r="G18" s="15" cm="1">
        <f t="array" ref="G18">[1]!datefromutc(C18)</f>
        <v>45199.718831018516</v>
      </c>
      <c r="J18">
        <f t="shared" ca="1" si="0"/>
        <v>707</v>
      </c>
      <c r="N18" s="13"/>
      <c r="Q18" s="14"/>
    </row>
    <row r="19" spans="1:17" ht="15.75" x14ac:dyDescent="0.25">
      <c r="A19" s="1">
        <v>12</v>
      </c>
      <c r="B19" s="16" t="s">
        <v>12</v>
      </c>
      <c r="C19" s="11">
        <v>1696094107</v>
      </c>
      <c r="D19" s="17">
        <v>231</v>
      </c>
      <c r="E19" s="18">
        <f t="shared" si="1"/>
        <v>1</v>
      </c>
      <c r="G19" s="15" cm="1">
        <f t="array" ref="G19">[1]!datefromutc(C19)</f>
        <v>45199.718831018516</v>
      </c>
      <c r="J19">
        <f t="shared" ca="1" si="0"/>
        <v>221</v>
      </c>
      <c r="N19" s="13"/>
      <c r="Q19" s="14"/>
    </row>
    <row r="20" spans="1:17" ht="15.75" x14ac:dyDescent="0.25">
      <c r="A20" s="1">
        <v>13</v>
      </c>
      <c r="B20" s="16" t="s">
        <v>32</v>
      </c>
      <c r="C20" s="11">
        <v>1696094107</v>
      </c>
      <c r="D20" s="17">
        <v>642</v>
      </c>
      <c r="E20" s="18">
        <f t="shared" si="1"/>
        <v>0</v>
      </c>
      <c r="G20" s="15" cm="1">
        <f t="array" ref="G20">[1]!datefromutc(C20)</f>
        <v>45199.718831018516</v>
      </c>
      <c r="J20">
        <f t="shared" ca="1" si="0"/>
        <v>642</v>
      </c>
      <c r="N20" s="13"/>
      <c r="Q20" s="14"/>
    </row>
    <row r="21" spans="1:17" ht="15.75" x14ac:dyDescent="0.25">
      <c r="A21" s="1">
        <v>14</v>
      </c>
      <c r="B21" s="16" t="s">
        <v>36</v>
      </c>
      <c r="C21" s="11">
        <v>1696094107</v>
      </c>
      <c r="D21" s="17">
        <v>412</v>
      </c>
      <c r="E21" s="18">
        <f t="shared" si="1"/>
        <v>1</v>
      </c>
      <c r="G21" s="15" cm="1">
        <f t="array" ref="G21">[1]!datefromutc(C21)</f>
        <v>45199.718831018516</v>
      </c>
      <c r="J21">
        <f t="shared" ca="1" si="0"/>
        <v>412</v>
      </c>
      <c r="N21" s="13"/>
      <c r="Q21" s="14"/>
    </row>
    <row r="22" spans="1:17" ht="15.75" x14ac:dyDescent="0.25">
      <c r="A22" s="1">
        <v>15</v>
      </c>
      <c r="B22" s="16" t="s">
        <v>31</v>
      </c>
      <c r="C22" s="11">
        <v>1696094107</v>
      </c>
      <c r="D22" s="17">
        <v>660</v>
      </c>
      <c r="E22" s="18">
        <f t="shared" si="1"/>
        <v>0</v>
      </c>
      <c r="G22" s="15" cm="1">
        <f t="array" ref="G22">[1]!datefromutc(C22)</f>
        <v>45199.718831018516</v>
      </c>
      <c r="J22">
        <f t="shared" ca="1" si="0"/>
        <v>660</v>
      </c>
      <c r="N22" s="13"/>
      <c r="Q22" s="14"/>
    </row>
    <row r="23" spans="1:17" ht="15.75" x14ac:dyDescent="0.25">
      <c r="A23" s="1">
        <v>16</v>
      </c>
      <c r="B23" s="16" t="s">
        <v>21</v>
      </c>
      <c r="C23" s="11">
        <v>1696094107</v>
      </c>
      <c r="D23" s="17">
        <v>502</v>
      </c>
      <c r="E23" s="18">
        <f t="shared" si="1"/>
        <v>1</v>
      </c>
      <c r="G23" s="15" cm="1">
        <f t="array" ref="G23">[1]!datefromutc(C23)</f>
        <v>45199.718831018516</v>
      </c>
      <c r="J23">
        <f t="shared" ca="1" si="0"/>
        <v>492</v>
      </c>
      <c r="N23" s="13"/>
      <c r="Q23" s="14"/>
    </row>
    <row r="24" spans="1:17" ht="15.75" x14ac:dyDescent="0.25">
      <c r="A24" s="1">
        <v>17</v>
      </c>
      <c r="B24" s="16" t="s">
        <v>17</v>
      </c>
      <c r="C24" s="11">
        <v>1696094107</v>
      </c>
      <c r="D24" s="17">
        <v>354</v>
      </c>
      <c r="E24" s="18">
        <f t="shared" si="1"/>
        <v>0</v>
      </c>
      <c r="G24" s="15" cm="1">
        <f t="array" ref="G24">[1]!datefromutc(C24)</f>
        <v>45199.718831018516</v>
      </c>
      <c r="J24">
        <f t="shared" ca="1" si="0"/>
        <v>354</v>
      </c>
      <c r="N24" s="13"/>
      <c r="Q24" s="14"/>
    </row>
    <row r="25" spans="1:17" ht="15.75" x14ac:dyDescent="0.25">
      <c r="A25" s="1">
        <v>18</v>
      </c>
      <c r="B25" s="16" t="s">
        <v>38</v>
      </c>
      <c r="C25" s="11">
        <v>1696094107</v>
      </c>
      <c r="D25" s="17">
        <v>363</v>
      </c>
      <c r="E25" s="18">
        <f t="shared" si="1"/>
        <v>1</v>
      </c>
      <c r="G25" s="15" cm="1">
        <f t="array" ref="G25">[1]!datefromutc(C25)</f>
        <v>45199.718831018516</v>
      </c>
      <c r="J25">
        <f t="shared" ca="1" si="0"/>
        <v>363</v>
      </c>
      <c r="N25" s="13"/>
      <c r="Q25" s="14"/>
    </row>
    <row r="26" spans="1:17" ht="15.75" x14ac:dyDescent="0.25">
      <c r="A26" s="1">
        <v>19</v>
      </c>
      <c r="B26" s="16" t="s">
        <v>41</v>
      </c>
      <c r="C26" s="11">
        <v>1696094107</v>
      </c>
      <c r="D26" s="17">
        <v>239</v>
      </c>
      <c r="E26" s="18">
        <f t="shared" si="1"/>
        <v>0</v>
      </c>
      <c r="G26" s="15" cm="1">
        <f t="array" ref="G26">[1]!datefromutc(C26)</f>
        <v>45199.718831018516</v>
      </c>
      <c r="J26">
        <f t="shared" ca="1" si="0"/>
        <v>229</v>
      </c>
      <c r="N26" s="13"/>
      <c r="Q26" s="14"/>
    </row>
    <row r="27" spans="1:17" ht="15.75" x14ac:dyDescent="0.25">
      <c r="A27" s="1">
        <v>20</v>
      </c>
      <c r="B27" s="16" t="s">
        <v>33</v>
      </c>
      <c r="C27" s="11">
        <v>1696094107</v>
      </c>
      <c r="D27" s="17">
        <v>591</v>
      </c>
      <c r="E27" s="18">
        <f t="shared" si="1"/>
        <v>1</v>
      </c>
      <c r="G27" s="15" cm="1">
        <f t="array" ref="G27">[1]!datefromutc(C27)</f>
        <v>45199.718831018516</v>
      </c>
      <c r="J27">
        <f t="shared" ca="1" si="0"/>
        <v>591</v>
      </c>
      <c r="N27" s="13"/>
      <c r="Q27" s="14"/>
    </row>
    <row r="28" spans="1:17" ht="15.75" x14ac:dyDescent="0.25">
      <c r="A28" s="1">
        <v>21</v>
      </c>
      <c r="B28" s="16" t="s">
        <v>28</v>
      </c>
      <c r="C28" s="11">
        <v>1696094107</v>
      </c>
      <c r="D28" s="17">
        <v>796</v>
      </c>
      <c r="E28" s="18">
        <f t="shared" si="1"/>
        <v>0</v>
      </c>
      <c r="G28" s="15" cm="1">
        <f t="array" ref="G28">[1]!datefromutc(C28)</f>
        <v>45199.718831018516</v>
      </c>
      <c r="J28">
        <f t="shared" ca="1" si="0"/>
        <v>786</v>
      </c>
      <c r="N28" s="13"/>
      <c r="Q28" s="14"/>
    </row>
    <row r="29" spans="1:17" ht="15.75" x14ac:dyDescent="0.25">
      <c r="A29" s="1">
        <v>22</v>
      </c>
      <c r="B29" s="16" t="s">
        <v>24</v>
      </c>
      <c r="C29" s="11">
        <v>1696094107</v>
      </c>
      <c r="D29" s="17">
        <v>683</v>
      </c>
      <c r="E29" s="18">
        <f t="shared" si="1"/>
        <v>1</v>
      </c>
      <c r="G29" s="15" cm="1">
        <f t="array" ref="G29">[1]!datefromutc(C29)</f>
        <v>45199.718831018516</v>
      </c>
      <c r="J29">
        <f t="shared" ca="1" si="0"/>
        <v>673</v>
      </c>
      <c r="N29" s="13"/>
      <c r="Q29" s="14"/>
    </row>
    <row r="30" spans="1:17" ht="15.75" x14ac:dyDescent="0.25">
      <c r="A30" s="1">
        <v>23</v>
      </c>
      <c r="B30" s="16" t="s">
        <v>14</v>
      </c>
      <c r="C30" s="11">
        <v>1696094107</v>
      </c>
      <c r="D30" s="17">
        <v>271</v>
      </c>
      <c r="E30" s="18">
        <f t="shared" si="1"/>
        <v>0</v>
      </c>
      <c r="G30" s="15" cm="1">
        <f t="array" ref="G30">[1]!datefromutc(C30)</f>
        <v>45199.718831018516</v>
      </c>
      <c r="J30">
        <f t="shared" ca="1" si="0"/>
        <v>261</v>
      </c>
      <c r="N30" s="13"/>
      <c r="Q30" s="14"/>
    </row>
    <row r="31" spans="1:17" ht="15.75" x14ac:dyDescent="0.25">
      <c r="A31" s="1">
        <v>24</v>
      </c>
      <c r="B31" s="16" t="s">
        <v>29</v>
      </c>
      <c r="C31" s="11">
        <v>1696094107</v>
      </c>
      <c r="D31" s="17">
        <v>923</v>
      </c>
      <c r="E31" s="18">
        <f t="shared" si="1"/>
        <v>1</v>
      </c>
      <c r="G31" s="15" cm="1">
        <f t="array" ref="G31">[1]!datefromutc(C31)</f>
        <v>45199.718831018516</v>
      </c>
      <c r="J31">
        <f t="shared" ca="1" si="0"/>
        <v>923</v>
      </c>
      <c r="N31" s="13"/>
      <c r="Q31" s="14"/>
    </row>
    <row r="32" spans="1:17" s="6" customFormat="1" ht="15.75" x14ac:dyDescent="0.25">
      <c r="A32" s="12">
        <v>25</v>
      </c>
      <c r="B32" s="16" t="s">
        <v>23</v>
      </c>
      <c r="C32" s="11">
        <v>1696094107</v>
      </c>
      <c r="D32" s="17">
        <v>631</v>
      </c>
      <c r="E32" s="18">
        <f t="shared" si="1"/>
        <v>0</v>
      </c>
      <c r="G32" s="15" cm="1">
        <f t="array" ref="G32">[1]!datefromutc(C32)</f>
        <v>45199.718831018516</v>
      </c>
      <c r="J32">
        <f t="shared" ca="1" si="0"/>
        <v>631</v>
      </c>
      <c r="N32" s="13"/>
      <c r="O32"/>
      <c r="Q32" s="14"/>
    </row>
    <row r="33" spans="1:17" ht="15.75" x14ac:dyDescent="0.25">
      <c r="A33" s="1">
        <v>26</v>
      </c>
      <c r="B33" s="16" t="s">
        <v>37</v>
      </c>
      <c r="C33" s="11">
        <v>1696094107</v>
      </c>
      <c r="D33" s="17">
        <v>402</v>
      </c>
      <c r="E33" s="18">
        <f t="shared" si="1"/>
        <v>1</v>
      </c>
      <c r="G33" s="15" cm="1">
        <f t="array" ref="G33">[1]!datefromutc(C33)</f>
        <v>45199.718831018516</v>
      </c>
      <c r="J33">
        <f t="shared" ca="1" si="0"/>
        <v>402</v>
      </c>
      <c r="N33" s="13"/>
      <c r="Q33" s="14"/>
    </row>
    <row r="34" spans="1:17" ht="15.75" x14ac:dyDescent="0.25">
      <c r="A34" s="1">
        <v>27</v>
      </c>
      <c r="B34" s="16" t="s">
        <v>27</v>
      </c>
      <c r="C34" s="11">
        <v>1696094107</v>
      </c>
      <c r="D34" s="17">
        <v>746</v>
      </c>
      <c r="E34" s="18">
        <v>2</v>
      </c>
      <c r="G34" s="15" cm="1">
        <f t="array" ref="G34">[1]!datefromutc(C34)</f>
        <v>45199.718831018516</v>
      </c>
      <c r="J34">
        <f t="shared" ca="1" si="0"/>
        <v>736</v>
      </c>
      <c r="N34" s="13"/>
      <c r="Q34" s="14"/>
    </row>
    <row r="35" spans="1:17" ht="15.75" x14ac:dyDescent="0.25">
      <c r="A35" s="1">
        <v>28</v>
      </c>
      <c r="B35" s="16" t="s">
        <v>20</v>
      </c>
      <c r="C35" s="11">
        <v>1696094107</v>
      </c>
      <c r="D35" s="17">
        <v>458</v>
      </c>
      <c r="E35" s="18">
        <f t="shared" si="1"/>
        <v>0</v>
      </c>
      <c r="G35" s="15" cm="1">
        <f t="array" ref="G35">[1]!datefromutc(C35)</f>
        <v>45199.718831018516</v>
      </c>
      <c r="J35">
        <f t="shared" ca="1" si="0"/>
        <v>458</v>
      </c>
      <c r="N35" s="13"/>
      <c r="Q35" s="14"/>
    </row>
    <row r="36" spans="1:17" ht="15.75" x14ac:dyDescent="0.25">
      <c r="A36" s="1">
        <v>29</v>
      </c>
      <c r="B36" s="16" t="s">
        <v>26</v>
      </c>
      <c r="C36" s="11">
        <v>1696094107</v>
      </c>
      <c r="D36" s="17">
        <v>713</v>
      </c>
      <c r="E36" s="18">
        <f t="shared" si="1"/>
        <v>1</v>
      </c>
      <c r="G36" s="15" cm="1">
        <f t="array" ref="G36">[1]!datefromutc(C36)</f>
        <v>45199.718831018516</v>
      </c>
      <c r="J36">
        <f t="shared" ca="1" si="0"/>
        <v>703</v>
      </c>
      <c r="N36" s="13"/>
      <c r="Q36" s="14"/>
    </row>
    <row r="37" spans="1:17" ht="15.75" x14ac:dyDescent="0.25">
      <c r="A37" s="1">
        <v>30</v>
      </c>
      <c r="B37" s="16" t="s">
        <v>42</v>
      </c>
      <c r="C37" s="11">
        <v>1696094107</v>
      </c>
      <c r="D37" s="17">
        <v>950</v>
      </c>
      <c r="E37" s="18">
        <f t="shared" si="1"/>
        <v>0</v>
      </c>
      <c r="G37" s="15" cm="1">
        <f t="array" ref="G37">[1]!datefromutc(C37)</f>
        <v>45199.718831018516</v>
      </c>
      <c r="J37">
        <f t="shared" ca="1" si="0"/>
        <v>950</v>
      </c>
      <c r="N37" s="13"/>
      <c r="Q37" s="14"/>
    </row>
    <row r="38" spans="1:17" ht="15.75" x14ac:dyDescent="0.25">
      <c r="A38" s="1">
        <v>31</v>
      </c>
      <c r="B38" s="16" t="s">
        <v>42</v>
      </c>
      <c r="C38" s="11">
        <v>1696094107</v>
      </c>
      <c r="D38" s="17">
        <v>950</v>
      </c>
      <c r="E38" s="18">
        <f t="shared" si="1"/>
        <v>1</v>
      </c>
      <c r="G38" s="15" cm="1">
        <f t="array" ref="G38">[1]!datefromutc(C38)</f>
        <v>45199.718831018516</v>
      </c>
      <c r="J38">
        <f t="shared" ca="1" si="0"/>
        <v>940</v>
      </c>
      <c r="N38" s="13"/>
      <c r="Q38" s="14"/>
    </row>
    <row r="39" spans="1:17" ht="15.75" x14ac:dyDescent="0.25">
      <c r="N39" s="13"/>
    </row>
    <row r="40" spans="1:17" ht="15.75" x14ac:dyDescent="0.25">
      <c r="N40" s="13"/>
      <c r="O40" s="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68"/>
  <sheetViews>
    <sheetView workbookViewId="0">
      <pane ySplit="3300" topLeftCell="A60" activePane="bottomLeft"/>
      <selection activeCell="D4" sqref="D4"/>
      <selection pane="bottomLeft" activeCell="B71" sqref="B71"/>
    </sheetView>
  </sheetViews>
  <sheetFormatPr defaultRowHeight="15" x14ac:dyDescent="0.25"/>
  <cols>
    <col min="1" max="1" width="32.7109375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initData!$B7&amp;","</f>
        <v>"NCAAF:Wisconsin:Purdue",</v>
      </c>
    </row>
    <row r="4" spans="1:1" x14ac:dyDescent="0.25">
      <c r="A4" t="str">
        <f>initData!$B8&amp;","</f>
        <v>"NCAAF:NCState:Virginia",</v>
      </c>
    </row>
    <row r="5" spans="1:1" x14ac:dyDescent="0.25">
      <c r="A5" t="str">
        <f>initData!$B9&amp;","</f>
        <v>"NCAAF:FloridaState:Clemson",</v>
      </c>
    </row>
    <row r="6" spans="1:1" x14ac:dyDescent="0.25">
      <c r="A6" t="str">
        <f>initData!$B10&amp;","</f>
        <v>"NCAAF:TexasA&amp;M:Auburn",</v>
      </c>
    </row>
    <row r="7" spans="1:1" x14ac:dyDescent="0.25">
      <c r="A7" t="str">
        <f>initData!$B11&amp;","</f>
        <v>"NCAAF:Alabama:OleMiss",</v>
      </c>
    </row>
    <row r="8" spans="1:1" x14ac:dyDescent="0.25">
      <c r="A8" t="str">
        <f>initData!$B12&amp;","</f>
        <v>"NCAAF:Kansas:BYU",</v>
      </c>
    </row>
    <row r="9" spans="1:1" x14ac:dyDescent="0.25">
      <c r="A9" t="str">
        <f>initData!$B13&amp;","</f>
        <v>"NCAAF:Maryland:MichiganState",</v>
      </c>
    </row>
    <row r="10" spans="1:1" x14ac:dyDescent="0.25">
      <c r="A10" t="str">
        <f>initData!$B14&amp;","</f>
        <v>"NCAAF:Texas:WestVirginia",</v>
      </c>
    </row>
    <row r="11" spans="1:1" x14ac:dyDescent="0.25">
      <c r="A11" t="str">
        <f>initData!$B15&amp;","</f>
        <v>"NCAAF:Utah:UCLA",</v>
      </c>
    </row>
    <row r="12" spans="1:1" x14ac:dyDescent="0.25">
      <c r="A12" t="str">
        <f>initData!$B16&amp;","</f>
        <v>"NCAAF:IowaState:OklahomaState",</v>
      </c>
    </row>
    <row r="13" spans="1:1" x14ac:dyDescent="0.25">
      <c r="A13" t="str">
        <f>initData!$B17&amp;","</f>
        <v>"NCAAF:Arizona:Stanford",</v>
      </c>
    </row>
    <row r="14" spans="1:1" x14ac:dyDescent="0.25">
      <c r="A14" t="str">
        <f>initData!$B18&amp;","</f>
        <v>"NCAAF:OregonState:WashingtonState",</v>
      </c>
    </row>
    <row r="15" spans="1:1" x14ac:dyDescent="0.25">
      <c r="A15" t="str">
        <f>initData!$B19&amp;","</f>
        <v>"NCAAF:Minnesota:Northwestern",</v>
      </c>
    </row>
    <row r="16" spans="1:1" x14ac:dyDescent="0.25">
      <c r="A16" t="str">
        <f>initData!$B20&amp;","</f>
        <v>"NCAAF:OhioState:NotreDame",</v>
      </c>
    </row>
    <row r="17" spans="1:1" x14ac:dyDescent="0.25">
      <c r="A17" t="str">
        <f>initData!$B21&amp;","</f>
        <v>"NCAAF:SouthCarolina:MississippiState",</v>
      </c>
    </row>
    <row r="18" spans="1:1" x14ac:dyDescent="0.25">
      <c r="A18" t="str">
        <f>initData!$B22&amp;","</f>
        <v>"MMA:Fiziev:Gamrot",</v>
      </c>
    </row>
    <row r="19" spans="1:1" x14ac:dyDescent="0.25">
      <c r="A19" t="str">
        <f>initData!$B23&amp;","</f>
        <v>"MMA:Mitchell:Ige",</v>
      </c>
    </row>
    <row r="20" spans="1:1" x14ac:dyDescent="0.25">
      <c r="A20" t="str">
        <f>initData!$B24&amp;","</f>
        <v>"NFL:Bills:Commanders",</v>
      </c>
    </row>
    <row r="21" spans="1:1" x14ac:dyDescent="0.25">
      <c r="A21" t="str">
        <f>initData!$B25&amp;","</f>
        <v>"NFL:Dolphins:Broncos",</v>
      </c>
    </row>
    <row r="22" spans="1:1" x14ac:dyDescent="0.25">
      <c r="A22" t="str">
        <f>initData!$B26&amp;","</f>
        <v>"NFL:Jaguars:Texans",</v>
      </c>
    </row>
    <row r="23" spans="1:1" x14ac:dyDescent="0.25">
      <c r="A23" t="str">
        <f>initData!$B27&amp;","</f>
        <v>"NFL:Lions:Falcons",</v>
      </c>
    </row>
    <row r="24" spans="1:1" x14ac:dyDescent="0.25">
      <c r="A24" t="str">
        <f>initData!$B28&amp;","</f>
        <v>"NFL:Packers:Saints",</v>
      </c>
    </row>
    <row r="25" spans="1:1" x14ac:dyDescent="0.25">
      <c r="A25" t="str">
        <f>initData!$B29&amp;","</f>
        <v>"NFL:Patriots:Jets",</v>
      </c>
    </row>
    <row r="26" spans="1:1" x14ac:dyDescent="0.25">
      <c r="A26" t="str">
        <f>initData!$B30&amp;","</f>
        <v>"NFL:Ravens:Colts",</v>
      </c>
    </row>
    <row r="27" spans="1:1" x14ac:dyDescent="0.25">
      <c r="A27" t="str">
        <f>initData!$B31&amp;","</f>
        <v>"NFL:Vikings:Chargers",</v>
      </c>
    </row>
    <row r="28" spans="1:1" x14ac:dyDescent="0.25">
      <c r="A28" t="str">
        <f>initData!$B32&amp;","</f>
        <v>"NFL:Browns:Titans",</v>
      </c>
    </row>
    <row r="29" spans="1:1" x14ac:dyDescent="0.25">
      <c r="A29" t="str">
        <f>initData!$B33&amp;","</f>
        <v>"NFL:Seahawks:Panthers",</v>
      </c>
    </row>
    <row r="30" spans="1:1" x14ac:dyDescent="0.25">
      <c r="A30" t="str">
        <f>initData!$B34&amp;","</f>
        <v>"NFL:Raiders:Steelers",</v>
      </c>
    </row>
    <row r="31" spans="1:1" x14ac:dyDescent="0.25">
      <c r="A31" t="str">
        <f>initData!$B35&amp;","</f>
        <v>"NFL:Eagles:Buccaneers",</v>
      </c>
    </row>
    <row r="32" spans="1:1" x14ac:dyDescent="0.25">
      <c r="A32" t="str">
        <f>initData!$B36&amp;","</f>
        <v>"NFL:Bengals:Rams",</v>
      </c>
    </row>
    <row r="33" spans="1:1" x14ac:dyDescent="0.25">
      <c r="A33" t="str">
        <f>initData!$B37&amp;","</f>
        <v>"AAA::",</v>
      </c>
    </row>
    <row r="34" spans="1:1" x14ac:dyDescent="0.25">
      <c r="A34" t="str">
        <f>initData!$B38&amp;"],"</f>
        <v>"AAA::"],</v>
      </c>
    </row>
    <row r="35" spans="1:1" x14ac:dyDescent="0.25">
      <c r="A35" t="s">
        <v>8</v>
      </c>
    </row>
    <row r="36" spans="1:1" x14ac:dyDescent="0.25">
      <c r="A36" t="str">
        <f>initData!C7&amp;","</f>
        <v>1696094107,</v>
      </c>
    </row>
    <row r="37" spans="1:1" x14ac:dyDescent="0.25">
      <c r="A37" t="str">
        <f>initData!C8&amp;","</f>
        <v>1696094107,</v>
      </c>
    </row>
    <row r="38" spans="1:1" x14ac:dyDescent="0.25">
      <c r="A38" t="str">
        <f>initData!C9&amp;","</f>
        <v>1696094107,</v>
      </c>
    </row>
    <row r="39" spans="1:1" x14ac:dyDescent="0.25">
      <c r="A39" t="str">
        <f>initData!C10&amp;","</f>
        <v>1696094107,</v>
      </c>
    </row>
    <row r="40" spans="1:1" x14ac:dyDescent="0.25">
      <c r="A40" t="str">
        <f>initData!C11&amp;","</f>
        <v>1696094107,</v>
      </c>
    </row>
    <row r="41" spans="1:1" x14ac:dyDescent="0.25">
      <c r="A41" t="str">
        <f>initData!C12&amp;","</f>
        <v>1696094107,</v>
      </c>
    </row>
    <row r="42" spans="1:1" x14ac:dyDescent="0.25">
      <c r="A42" t="str">
        <f>initData!C13&amp;","</f>
        <v>1696094107,</v>
      </c>
    </row>
    <row r="43" spans="1:1" x14ac:dyDescent="0.25">
      <c r="A43" t="str">
        <f>initData!C14&amp;","</f>
        <v>1696094107,</v>
      </c>
    </row>
    <row r="44" spans="1:1" x14ac:dyDescent="0.25">
      <c r="A44" t="str">
        <f>initData!C15&amp;","</f>
        <v>1696094107,</v>
      </c>
    </row>
    <row r="45" spans="1:1" x14ac:dyDescent="0.25">
      <c r="A45" t="str">
        <f>initData!C16&amp;","</f>
        <v>1696094107,</v>
      </c>
    </row>
    <row r="46" spans="1:1" x14ac:dyDescent="0.25">
      <c r="A46" t="str">
        <f>initData!C17&amp;","</f>
        <v>1696094107,</v>
      </c>
    </row>
    <row r="47" spans="1:1" x14ac:dyDescent="0.25">
      <c r="A47" t="str">
        <f>initData!C18&amp;","</f>
        <v>1696094107,</v>
      </c>
    </row>
    <row r="48" spans="1:1" x14ac:dyDescent="0.25">
      <c r="A48" t="str">
        <f>initData!C19&amp;","</f>
        <v>1696094107,</v>
      </c>
    </row>
    <row r="49" spans="1:1" x14ac:dyDescent="0.25">
      <c r="A49" t="str">
        <f>initData!C20&amp;","</f>
        <v>1696094107,</v>
      </c>
    </row>
    <row r="50" spans="1:1" x14ac:dyDescent="0.25">
      <c r="A50" t="str">
        <f>initData!C21&amp;","</f>
        <v>1696094107,</v>
      </c>
    </row>
    <row r="51" spans="1:1" x14ac:dyDescent="0.25">
      <c r="A51" t="str">
        <f>initData!C22&amp;","</f>
        <v>1696094107,</v>
      </c>
    </row>
    <row r="52" spans="1:1" x14ac:dyDescent="0.25">
      <c r="A52" t="str">
        <f>initData!C23&amp;","</f>
        <v>1696094107,</v>
      </c>
    </row>
    <row r="53" spans="1:1" x14ac:dyDescent="0.25">
      <c r="A53" t="str">
        <f>initData!C24&amp;","</f>
        <v>1696094107,</v>
      </c>
    </row>
    <row r="54" spans="1:1" x14ac:dyDescent="0.25">
      <c r="A54" t="str">
        <f>initData!C25&amp;","</f>
        <v>1696094107,</v>
      </c>
    </row>
    <row r="55" spans="1:1" x14ac:dyDescent="0.25">
      <c r="A55" t="str">
        <f>initData!C26&amp;","</f>
        <v>1696094107,</v>
      </c>
    </row>
    <row r="56" spans="1:1" x14ac:dyDescent="0.25">
      <c r="A56" t="str">
        <f>initData!C27&amp;","</f>
        <v>1696094107,</v>
      </c>
    </row>
    <row r="57" spans="1:1" x14ac:dyDescent="0.25">
      <c r="A57" t="str">
        <f>initData!C28&amp;","</f>
        <v>1696094107,</v>
      </c>
    </row>
    <row r="58" spans="1:1" x14ac:dyDescent="0.25">
      <c r="A58" t="str">
        <f>initData!C29&amp;","</f>
        <v>1696094107,</v>
      </c>
    </row>
    <row r="59" spans="1:1" x14ac:dyDescent="0.25">
      <c r="A59" t="str">
        <f>initData!C30&amp;","</f>
        <v>1696094107,</v>
      </c>
    </row>
    <row r="60" spans="1:1" x14ac:dyDescent="0.25">
      <c r="A60" t="str">
        <f>initData!C31&amp;","</f>
        <v>1696094107,</v>
      </c>
    </row>
    <row r="61" spans="1:1" x14ac:dyDescent="0.25">
      <c r="A61" t="str">
        <f>initData!C32&amp;","</f>
        <v>1696094107,</v>
      </c>
    </row>
    <row r="62" spans="1:1" x14ac:dyDescent="0.25">
      <c r="A62" t="str">
        <f>initData!C33&amp;","</f>
        <v>1696094107,</v>
      </c>
    </row>
    <row r="63" spans="1:1" x14ac:dyDescent="0.25">
      <c r="A63" t="str">
        <f>initData!C34&amp;","</f>
        <v>1696094107,</v>
      </c>
    </row>
    <row r="64" spans="1:1" x14ac:dyDescent="0.25">
      <c r="A64" t="str">
        <f>initData!C35&amp;","</f>
        <v>1696094107,</v>
      </c>
    </row>
    <row r="65" spans="1:1" x14ac:dyDescent="0.25">
      <c r="A65" t="str">
        <f>initData!C36&amp;","</f>
        <v>1696094107,</v>
      </c>
    </row>
    <row r="66" spans="1:1" x14ac:dyDescent="0.25">
      <c r="A66" t="str">
        <f>initData!C37&amp;","</f>
        <v>1696094107,</v>
      </c>
    </row>
    <row r="67" spans="1:1" x14ac:dyDescent="0.25">
      <c r="A67" s="9" t="str">
        <f>initData!C38&amp;"]"</f>
        <v>1696094107]</v>
      </c>
    </row>
    <row r="68" spans="1:1" x14ac:dyDescent="0.25">
      <c r="A68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 activePane="bottomLeft"/>
      <selection activeCell="A3" sqref="A3"/>
      <selection pane="bottomLeft" activeCell="B30" sqref="B30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9</v>
      </c>
    </row>
    <row r="3" spans="1:1" x14ac:dyDescent="0.25">
      <c r="A3" t="str">
        <f>initData!D7&amp;","</f>
        <v>460,</v>
      </c>
    </row>
    <row r="4" spans="1:1" x14ac:dyDescent="0.25">
      <c r="A4" t="str">
        <f>initData!D8&amp;","</f>
        <v>290,</v>
      </c>
    </row>
    <row r="5" spans="1:1" x14ac:dyDescent="0.25">
      <c r="A5" t="str">
        <f>initData!D9&amp;","</f>
        <v>778,</v>
      </c>
    </row>
    <row r="6" spans="1:1" x14ac:dyDescent="0.25">
      <c r="A6" t="str">
        <f>initData!D10&amp;","</f>
        <v>336,</v>
      </c>
    </row>
    <row r="7" spans="1:1" x14ac:dyDescent="0.25">
      <c r="A7" t="str">
        <f>initData!D11&amp;","</f>
        <v>405,</v>
      </c>
    </row>
    <row r="8" spans="1:1" x14ac:dyDescent="0.25">
      <c r="A8" t="str">
        <f>initData!D12&amp;","</f>
        <v>313,</v>
      </c>
    </row>
    <row r="9" spans="1:1" x14ac:dyDescent="0.25">
      <c r="A9" t="str">
        <f>initData!D13&amp;","</f>
        <v>339,</v>
      </c>
    </row>
    <row r="10" spans="1:1" x14ac:dyDescent="0.25">
      <c r="A10" t="str">
        <f>initData!D14&amp;","</f>
        <v>448,</v>
      </c>
    </row>
    <row r="11" spans="1:1" x14ac:dyDescent="0.25">
      <c r="A11" t="str">
        <f>initData!D15&amp;","</f>
        <v>526,</v>
      </c>
    </row>
    <row r="12" spans="1:1" x14ac:dyDescent="0.25">
      <c r="A12" t="str">
        <f>initData!D16&amp;","</f>
        <v>588,</v>
      </c>
    </row>
    <row r="13" spans="1:1" x14ac:dyDescent="0.25">
      <c r="A13" t="str">
        <f>initData!D17&amp;","</f>
        <v>241,</v>
      </c>
    </row>
    <row r="14" spans="1:1" x14ac:dyDescent="0.25">
      <c r="A14" t="str">
        <f>initData!D18&amp;","</f>
        <v>707,</v>
      </c>
    </row>
    <row r="15" spans="1:1" x14ac:dyDescent="0.25">
      <c r="A15" t="str">
        <f>initData!D19&amp;","</f>
        <v>231,</v>
      </c>
    </row>
    <row r="16" spans="1:1" x14ac:dyDescent="0.25">
      <c r="A16" t="str">
        <f>initData!D20&amp;","</f>
        <v>642,</v>
      </c>
    </row>
    <row r="17" spans="1:1" x14ac:dyDescent="0.25">
      <c r="A17" t="str">
        <f>initData!D21&amp;","</f>
        <v>412,</v>
      </c>
    </row>
    <row r="18" spans="1:1" x14ac:dyDescent="0.25">
      <c r="A18" t="str">
        <f>initData!D22&amp;","</f>
        <v>660,</v>
      </c>
    </row>
    <row r="19" spans="1:1" x14ac:dyDescent="0.25">
      <c r="A19" t="str">
        <f>initData!D23&amp;","</f>
        <v>502,</v>
      </c>
    </row>
    <row r="20" spans="1:1" x14ac:dyDescent="0.25">
      <c r="A20" t="str">
        <f>initData!D24&amp;","</f>
        <v>354,</v>
      </c>
    </row>
    <row r="21" spans="1:1" x14ac:dyDescent="0.25">
      <c r="A21" t="str">
        <f>initData!D25&amp;","</f>
        <v>363,</v>
      </c>
    </row>
    <row r="22" spans="1:1" x14ac:dyDescent="0.25">
      <c r="A22" t="str">
        <f>initData!D26&amp;","</f>
        <v>239,</v>
      </c>
    </row>
    <row r="23" spans="1:1" x14ac:dyDescent="0.25">
      <c r="A23" t="str">
        <f>initData!D27&amp;","</f>
        <v>591,</v>
      </c>
    </row>
    <row r="24" spans="1:1" x14ac:dyDescent="0.25">
      <c r="A24" t="str">
        <f>initData!D28&amp;","</f>
        <v>796,</v>
      </c>
    </row>
    <row r="25" spans="1:1" x14ac:dyDescent="0.25">
      <c r="A25" t="str">
        <f>initData!D29&amp;","</f>
        <v>683,</v>
      </c>
    </row>
    <row r="26" spans="1:1" x14ac:dyDescent="0.25">
      <c r="A26" t="str">
        <f>initData!D30&amp;","</f>
        <v>271,</v>
      </c>
    </row>
    <row r="27" spans="1:1" x14ac:dyDescent="0.25">
      <c r="A27" t="str">
        <f>initData!D31&amp;","</f>
        <v>923,</v>
      </c>
    </row>
    <row r="28" spans="1:1" x14ac:dyDescent="0.25">
      <c r="A28" t="str">
        <f>initData!D32&amp;","</f>
        <v>631,</v>
      </c>
    </row>
    <row r="29" spans="1:1" x14ac:dyDescent="0.25">
      <c r="A29" t="str">
        <f>initData!D33&amp;","</f>
        <v>402,</v>
      </c>
    </row>
    <row r="30" spans="1:1" x14ac:dyDescent="0.25">
      <c r="A30" t="str">
        <f>initData!D34&amp;","</f>
        <v>746,</v>
      </c>
    </row>
    <row r="31" spans="1:1" x14ac:dyDescent="0.25">
      <c r="A31" t="str">
        <f>initData!D35&amp;","</f>
        <v>458,</v>
      </c>
    </row>
    <row r="32" spans="1:1" x14ac:dyDescent="0.25">
      <c r="A32" t="str">
        <f>initData!D36&amp;","</f>
        <v>713,</v>
      </c>
    </row>
    <row r="33" spans="1:1" x14ac:dyDescent="0.25">
      <c r="A33" t="str">
        <f>initData!D37&amp;","</f>
        <v>950,</v>
      </c>
    </row>
    <row r="34" spans="1:1" x14ac:dyDescent="0.25">
      <c r="A34" t="str">
        <f>initData!D38&amp;"]"</f>
        <v>950]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C46" sqref="C46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</v>
      </c>
    </row>
    <row r="3" spans="1:1" x14ac:dyDescent="0.25">
      <c r="A3" t="str">
        <f>initData!E7&amp;","</f>
        <v>0,</v>
      </c>
    </row>
    <row r="4" spans="1:1" x14ac:dyDescent="0.25">
      <c r="A4" t="str">
        <f>initData!E8&amp;","</f>
        <v>1,</v>
      </c>
    </row>
    <row r="5" spans="1:1" x14ac:dyDescent="0.25">
      <c r="A5" t="str">
        <f>initData!E9&amp;","</f>
        <v>2,</v>
      </c>
    </row>
    <row r="6" spans="1:1" x14ac:dyDescent="0.25">
      <c r="A6" t="str">
        <f>initData!E10&amp;","</f>
        <v>0,</v>
      </c>
    </row>
    <row r="7" spans="1:1" x14ac:dyDescent="0.25">
      <c r="A7" t="str">
        <f>initData!E11&amp;","</f>
        <v>1,</v>
      </c>
    </row>
    <row r="8" spans="1:1" x14ac:dyDescent="0.25">
      <c r="A8" t="str">
        <f>initData!E12&amp;","</f>
        <v>0,</v>
      </c>
    </row>
    <row r="9" spans="1:1" x14ac:dyDescent="0.25">
      <c r="A9" t="str">
        <f>initData!E13&amp;","</f>
        <v>1,</v>
      </c>
    </row>
    <row r="10" spans="1:1" x14ac:dyDescent="0.25">
      <c r="A10" t="str">
        <f>initData!E14&amp;","</f>
        <v>0,</v>
      </c>
    </row>
    <row r="11" spans="1:1" x14ac:dyDescent="0.25">
      <c r="A11" t="str">
        <f>initData!E15&amp;","</f>
        <v>1,</v>
      </c>
    </row>
    <row r="12" spans="1:1" x14ac:dyDescent="0.25">
      <c r="A12" t="str">
        <f>initData!E16&amp;","</f>
        <v>0,</v>
      </c>
    </row>
    <row r="13" spans="1:1" x14ac:dyDescent="0.25">
      <c r="A13" t="str">
        <f>initData!E17&amp;","</f>
        <v>1,</v>
      </c>
    </row>
    <row r="14" spans="1:1" x14ac:dyDescent="0.25">
      <c r="A14" t="str">
        <f>initData!E18&amp;","</f>
        <v>0,</v>
      </c>
    </row>
    <row r="15" spans="1:1" x14ac:dyDescent="0.25">
      <c r="A15" t="str">
        <f>initData!E19&amp;","</f>
        <v>1,</v>
      </c>
    </row>
    <row r="16" spans="1:1" x14ac:dyDescent="0.25">
      <c r="A16" t="str">
        <f>initData!E20&amp;","</f>
        <v>0,</v>
      </c>
    </row>
    <row r="17" spans="1:1" x14ac:dyDescent="0.25">
      <c r="A17" t="str">
        <f>initData!E21&amp;","</f>
        <v>1,</v>
      </c>
    </row>
    <row r="18" spans="1:1" x14ac:dyDescent="0.25">
      <c r="A18" t="str">
        <f>initData!E22&amp;","</f>
        <v>0,</v>
      </c>
    </row>
    <row r="19" spans="1:1" x14ac:dyDescent="0.25">
      <c r="A19" t="str">
        <f>initData!E23&amp;","</f>
        <v>1,</v>
      </c>
    </row>
    <row r="20" spans="1:1" x14ac:dyDescent="0.25">
      <c r="A20" t="str">
        <f>initData!E24&amp;","</f>
        <v>0,</v>
      </c>
    </row>
    <row r="21" spans="1:1" x14ac:dyDescent="0.25">
      <c r="A21" t="str">
        <f>initData!E25&amp;","</f>
        <v>1,</v>
      </c>
    </row>
    <row r="22" spans="1:1" x14ac:dyDescent="0.25">
      <c r="A22" t="str">
        <f>initData!E26&amp;","</f>
        <v>0,</v>
      </c>
    </row>
    <row r="23" spans="1:1" x14ac:dyDescent="0.25">
      <c r="A23" t="str">
        <f>initData!E27&amp;","</f>
        <v>1,</v>
      </c>
    </row>
    <row r="24" spans="1:1" x14ac:dyDescent="0.25">
      <c r="A24" t="str">
        <f>initData!E28&amp;","</f>
        <v>0,</v>
      </c>
    </row>
    <row r="25" spans="1:1" x14ac:dyDescent="0.25">
      <c r="A25" t="str">
        <f>initData!E29&amp;","</f>
        <v>1,</v>
      </c>
    </row>
    <row r="26" spans="1:1" x14ac:dyDescent="0.25">
      <c r="A26" t="str">
        <f>initData!E30&amp;","</f>
        <v>0,</v>
      </c>
    </row>
    <row r="27" spans="1:1" x14ac:dyDescent="0.25">
      <c r="A27" t="str">
        <f>initData!E31&amp;","</f>
        <v>1,</v>
      </c>
    </row>
    <row r="28" spans="1:1" x14ac:dyDescent="0.25">
      <c r="A28" t="str">
        <f>initData!E32&amp;","</f>
        <v>0,</v>
      </c>
    </row>
    <row r="29" spans="1:1" x14ac:dyDescent="0.25">
      <c r="A29" t="str">
        <f>initData!E33&amp;","</f>
        <v>1,</v>
      </c>
    </row>
    <row r="30" spans="1:1" x14ac:dyDescent="0.25">
      <c r="A30" t="str">
        <f>initData!E34&amp;","</f>
        <v>2,</v>
      </c>
    </row>
    <row r="31" spans="1:1" x14ac:dyDescent="0.25">
      <c r="A31" t="str">
        <f>initData!E35&amp;","</f>
        <v>0,</v>
      </c>
    </row>
    <row r="32" spans="1:1" x14ac:dyDescent="0.25">
      <c r="A32" t="str">
        <f>initData!E36&amp;","</f>
        <v>1,</v>
      </c>
    </row>
    <row r="33" spans="1:1" x14ac:dyDescent="0.25">
      <c r="A33" t="str">
        <f>initData!E37&amp;","</f>
        <v>0,</v>
      </c>
    </row>
    <row r="34" spans="1:1" x14ac:dyDescent="0.25">
      <c r="A34" t="str">
        <f>initData!E38&amp;"]"</f>
        <v>1]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initData</vt:lpstr>
      <vt:lpstr>initcsv</vt:lpstr>
      <vt:lpstr>oddscsv</vt:lpstr>
      <vt:lpstr>resultscsv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2023-09-23T17:35:26Z</dcterms:modified>
</cp:coreProperties>
</file>