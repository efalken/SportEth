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ric\Documents\Github\sporteth\docs\"/>
    </mc:Choice>
  </mc:AlternateContent>
  <xr:revisionPtr revIDLastSave="0" documentId="13_ncr:1_{C2031D01-9F8A-4FB1-9267-A264880A68A1}" xr6:coauthVersionLast="47" xr6:coauthVersionMax="47" xr10:uidLastSave="{00000000-0000-0000-0000-000000000000}"/>
  <bookViews>
    <workbookView xWindow="30270" yWindow="1950" windowWidth="21600" windowHeight="11295" xr2:uid="{1230EDBB-7CF7-4CB6-8A8B-436EE42A5ED4}"/>
  </bookViews>
  <sheets>
    <sheet name="oldData" sheetId="14" r:id="rId1"/>
    <sheet name="currentData" sheetId="3" r:id="rId2"/>
    <sheet name="outcomesWorksheet" sheetId="15" r:id="rId3"/>
    <sheet name="rawInputs" sheetId="9" r:id="rId4"/>
    <sheet name="FromMSAccess" sheetId="13" r:id="rId5"/>
    <sheet name="adjNames" sheetId="12" r:id="rId6"/>
    <sheet name="oddscsv" sheetId="6" r:id="rId7"/>
    <sheet name="settleRefreshcsv" sheetId="7" r:id="rId8"/>
  </sheets>
  <externalReferences>
    <externalReference r:id="rId9"/>
  </externalReferences>
  <definedNames>
    <definedName name="solver_adj" localSheetId="1" hidden="1">currentData!#REF!</definedName>
    <definedName name="solver_adj" localSheetId="0" hidden="1">oldData!#REF!</definedName>
    <definedName name="solver_cvg" localSheetId="1" hidden="1">0.0001</definedName>
    <definedName name="solver_cvg" localSheetId="0" hidden="1">0.0001</definedName>
    <definedName name="solver_drv" localSheetId="1" hidden="1">2</definedName>
    <definedName name="solver_drv" localSheetId="0" hidden="1">2</definedName>
    <definedName name="solver_eng" localSheetId="1" hidden="1">1</definedName>
    <definedName name="solver_eng" localSheetId="0" hidden="1">1</definedName>
    <definedName name="solver_est" localSheetId="1" hidden="1">1</definedName>
    <definedName name="solver_est" localSheetId="0" hidden="1">1</definedName>
    <definedName name="solver_itr" localSheetId="1" hidden="1">2147483647</definedName>
    <definedName name="solver_itr" localSheetId="0" hidden="1">2147483647</definedName>
    <definedName name="solver_lhs1" localSheetId="1" hidden="1">currentData!#REF!</definedName>
    <definedName name="solver_lhs1" localSheetId="0" hidden="1">oldData!#REF!</definedName>
    <definedName name="solver_lhs2" localSheetId="1" hidden="1">currentData!#REF!</definedName>
    <definedName name="solver_lhs2" localSheetId="0" hidden="1">oldData!#REF!</definedName>
    <definedName name="solver_lhs3" localSheetId="1" hidden="1">currentData!#REF!</definedName>
    <definedName name="solver_lhs3" localSheetId="0" hidden="1">oldData!#REF!</definedName>
    <definedName name="solver_mip" localSheetId="1" hidden="1">2147483647</definedName>
    <definedName name="solver_mip" localSheetId="0" hidden="1">2147483647</definedName>
    <definedName name="solver_mni" localSheetId="1" hidden="1">30</definedName>
    <definedName name="solver_mni" localSheetId="0" hidden="1">30</definedName>
    <definedName name="solver_mrt" localSheetId="1" hidden="1">0.075</definedName>
    <definedName name="solver_mrt" localSheetId="0" hidden="1">0.075</definedName>
    <definedName name="solver_msl" localSheetId="1" hidden="1">2</definedName>
    <definedName name="solver_msl" localSheetId="0" hidden="1">2</definedName>
    <definedName name="solver_neg" localSheetId="1" hidden="1">1</definedName>
    <definedName name="solver_neg" localSheetId="0" hidden="1">1</definedName>
    <definedName name="solver_nod" localSheetId="1" hidden="1">2147483647</definedName>
    <definedName name="solver_nod" localSheetId="0" hidden="1">2147483647</definedName>
    <definedName name="solver_num" localSheetId="1" hidden="1">3</definedName>
    <definedName name="solver_num" localSheetId="0" hidden="1">3</definedName>
    <definedName name="solver_nwt" localSheetId="1" hidden="1">1</definedName>
    <definedName name="solver_nwt" localSheetId="0" hidden="1">1</definedName>
    <definedName name="solver_opt" localSheetId="1" hidden="1">currentData!#REF!</definedName>
    <definedName name="solver_opt" localSheetId="0" hidden="1">oldData!#REF!</definedName>
    <definedName name="solver_pre" localSheetId="1" hidden="1">0.000001</definedName>
    <definedName name="solver_pre" localSheetId="0" hidden="1">0.000001</definedName>
    <definedName name="solver_rbv" localSheetId="1" hidden="1">2</definedName>
    <definedName name="solver_rbv" localSheetId="0" hidden="1">2</definedName>
    <definedName name="solver_rel1" localSheetId="1" hidden="1">1</definedName>
    <definedName name="solver_rel1" localSheetId="0" hidden="1">1</definedName>
    <definedName name="solver_rel2" localSheetId="1" hidden="1">3</definedName>
    <definedName name="solver_rel2" localSheetId="0" hidden="1">3</definedName>
    <definedName name="solver_rel3" localSheetId="1" hidden="1">3</definedName>
    <definedName name="solver_rel3" localSheetId="0" hidden="1">3</definedName>
    <definedName name="solver_rhs1" localSheetId="1" hidden="1">1</definedName>
    <definedName name="solver_rhs1" localSheetId="0" hidden="1">1</definedName>
    <definedName name="solver_rhs2" localSheetId="1" hidden="1">0.5</definedName>
    <definedName name="solver_rhs2" localSheetId="0" hidden="1">0.5</definedName>
    <definedName name="solver_rhs3" localSheetId="1" hidden="1">0</definedName>
    <definedName name="solver_rhs3" localSheetId="0" hidden="1">0</definedName>
    <definedName name="solver_rlx" localSheetId="1" hidden="1">2</definedName>
    <definedName name="solver_rlx" localSheetId="0" hidden="1">2</definedName>
    <definedName name="solver_rsd" localSheetId="1" hidden="1">0</definedName>
    <definedName name="solver_rsd" localSheetId="0" hidden="1">0</definedName>
    <definedName name="solver_scl" localSheetId="1" hidden="1">2</definedName>
    <definedName name="solver_scl" localSheetId="0" hidden="1">2</definedName>
    <definedName name="solver_sho" localSheetId="1" hidden="1">2</definedName>
    <definedName name="solver_sho" localSheetId="0" hidden="1">2</definedName>
    <definedName name="solver_ssz" localSheetId="1" hidden="1">100</definedName>
    <definedName name="solver_ssz" localSheetId="0" hidden="1">100</definedName>
    <definedName name="solver_tim" localSheetId="1" hidden="1">2147483647</definedName>
    <definedName name="solver_tim" localSheetId="0" hidden="1">2147483647</definedName>
    <definedName name="solver_tol" localSheetId="1" hidden="1">0.01</definedName>
    <definedName name="solver_tol" localSheetId="0" hidden="1">0.01</definedName>
    <definedName name="solver_typ" localSheetId="1" hidden="1">2</definedName>
    <definedName name="solver_typ" localSheetId="0" hidden="1">2</definedName>
    <definedName name="solver_val" localSheetId="1" hidden="1">909</definedName>
    <definedName name="solver_val" localSheetId="0" hidden="1">909</definedName>
    <definedName name="solver_ver" localSheetId="1" hidden="1">3</definedName>
    <definedName name="solver_ver" localSheetId="0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8" i="3" l="1"/>
  <c r="C82" i="13"/>
  <c r="K5" i="14"/>
  <c r="O5" i="14" s="1"/>
  <c r="E45" i="3"/>
  <c r="E46" i="3" s="1"/>
  <c r="E47" i="3" s="1"/>
  <c r="E48" i="3" s="1"/>
  <c r="F47" i="3" a="1"/>
  <c r="F42" i="3" a="1"/>
  <c r="F48" i="3" a="1"/>
  <c r="F44" i="3" a="1"/>
  <c r="E49" i="3" l="1"/>
  <c r="I28" i="3" s="1"/>
  <c r="I26" i="3"/>
  <c r="I16" i="3"/>
  <c r="F48" i="3"/>
  <c r="F47" i="3"/>
  <c r="F44" i="3"/>
  <c r="F42" i="3"/>
  <c r="H8" i="3"/>
  <c r="C89" i="13"/>
  <c r="F49" i="3" a="1"/>
  <c r="I36" i="3" l="1"/>
  <c r="I27" i="3"/>
  <c r="I33" i="3"/>
  <c r="I21" i="3"/>
  <c r="F49" i="3"/>
  <c r="I14" i="3"/>
  <c r="I9" i="3"/>
  <c r="I22" i="3"/>
  <c r="I32" i="3"/>
  <c r="I12" i="3"/>
  <c r="I10" i="3"/>
  <c r="I20" i="3"/>
  <c r="I24" i="3"/>
  <c r="I19" i="3"/>
  <c r="I35" i="3"/>
  <c r="I39" i="3"/>
  <c r="I17" i="3"/>
  <c r="I23" i="3"/>
  <c r="I15" i="3"/>
  <c r="I8" i="3"/>
  <c r="I34" i="3"/>
  <c r="I13" i="3"/>
  <c r="I25" i="3"/>
  <c r="I31" i="3"/>
  <c r="I11" i="3"/>
  <c r="I38" i="3"/>
  <c r="I30" i="3"/>
  <c r="I29" i="3"/>
  <c r="I37" i="3"/>
  <c r="I18" i="3"/>
  <c r="L6" i="15"/>
  <c r="L11" i="15"/>
  <c r="L15" i="15"/>
  <c r="L18" i="15"/>
  <c r="L23" i="15"/>
  <c r="L27" i="15"/>
  <c r="K4" i="15"/>
  <c r="L4" i="15" s="1"/>
  <c r="K5" i="15"/>
  <c r="L5" i="15" s="1"/>
  <c r="K6" i="15"/>
  <c r="K7" i="15"/>
  <c r="L7" i="15" s="1"/>
  <c r="K8" i="15"/>
  <c r="L8" i="15" s="1"/>
  <c r="K9" i="15"/>
  <c r="L9" i="15" s="1"/>
  <c r="K10" i="15"/>
  <c r="L10" i="15" s="1"/>
  <c r="K11" i="15"/>
  <c r="K12" i="15"/>
  <c r="L12" i="15" s="1"/>
  <c r="K13" i="15"/>
  <c r="L13" i="15" s="1"/>
  <c r="K14" i="15"/>
  <c r="L14" i="15" s="1"/>
  <c r="K15" i="15"/>
  <c r="K16" i="15"/>
  <c r="L16" i="15" s="1"/>
  <c r="K17" i="15"/>
  <c r="L17" i="15" s="1"/>
  <c r="K18" i="15"/>
  <c r="K19" i="15"/>
  <c r="L19" i="15" s="1"/>
  <c r="K20" i="15"/>
  <c r="L20" i="15" s="1"/>
  <c r="K21" i="15"/>
  <c r="L21" i="15" s="1"/>
  <c r="K22" i="15"/>
  <c r="L22" i="15" s="1"/>
  <c r="K23" i="15"/>
  <c r="K24" i="15"/>
  <c r="L24" i="15" s="1"/>
  <c r="K25" i="15"/>
  <c r="L25" i="15" s="1"/>
  <c r="K26" i="15"/>
  <c r="L26" i="15" s="1"/>
  <c r="K27" i="15"/>
  <c r="K28" i="15"/>
  <c r="L28" i="15" s="1"/>
  <c r="K3" i="15"/>
  <c r="L3" i="15" s="1"/>
  <c r="E4" i="15"/>
  <c r="E5" i="15"/>
  <c r="E6" i="15"/>
  <c r="E7" i="15"/>
  <c r="E8" i="15"/>
  <c r="E9" i="15"/>
  <c r="E10" i="15"/>
  <c r="E11" i="15"/>
  <c r="E12" i="15"/>
  <c r="E13" i="15"/>
  <c r="E14" i="15"/>
  <c r="E15" i="15"/>
  <c r="E16" i="15"/>
  <c r="E17" i="15"/>
  <c r="E18" i="15"/>
  <c r="E19" i="15"/>
  <c r="E20" i="15"/>
  <c r="E21" i="15"/>
  <c r="E22" i="15"/>
  <c r="E23" i="15"/>
  <c r="E24" i="15"/>
  <c r="E25" i="15"/>
  <c r="E26" i="15"/>
  <c r="E27" i="15"/>
  <c r="E28" i="15"/>
  <c r="E29" i="15"/>
  <c r="E30" i="15"/>
  <c r="E31" i="15"/>
  <c r="E32" i="15"/>
  <c r="E33" i="15"/>
  <c r="E34" i="15"/>
  <c r="E35" i="15"/>
  <c r="E36" i="15"/>
  <c r="E37" i="15"/>
  <c r="E38" i="15"/>
  <c r="E39" i="15"/>
  <c r="E40" i="15"/>
  <c r="E41" i="15"/>
  <c r="E42" i="15"/>
  <c r="E43" i="15"/>
  <c r="E44" i="15"/>
  <c r="E45" i="15"/>
  <c r="E46" i="15"/>
  <c r="E47" i="15"/>
  <c r="E48" i="15"/>
  <c r="E49" i="15"/>
  <c r="E50" i="15"/>
  <c r="E51" i="15"/>
  <c r="E52" i="15"/>
  <c r="E53" i="15"/>
  <c r="E54" i="15"/>
  <c r="E55" i="15"/>
  <c r="E56" i="15"/>
  <c r="E57" i="15"/>
  <c r="E58" i="15"/>
  <c r="E59" i="15"/>
  <c r="E60" i="15"/>
  <c r="E61" i="15"/>
  <c r="E62" i="15"/>
  <c r="E63" i="15"/>
  <c r="E64" i="15"/>
  <c r="E65" i="15"/>
  <c r="E66" i="15"/>
  <c r="E67" i="15"/>
  <c r="E68" i="15"/>
  <c r="E69" i="15"/>
  <c r="E70" i="15"/>
  <c r="E71" i="15"/>
  <c r="E72" i="15"/>
  <c r="E73" i="15"/>
  <c r="E74" i="15"/>
  <c r="E75" i="15"/>
  <c r="E76" i="15"/>
  <c r="E77" i="15"/>
  <c r="E78" i="15"/>
  <c r="E79" i="15"/>
  <c r="E80" i="15"/>
  <c r="E81" i="15"/>
  <c r="E82" i="15"/>
  <c r="E83" i="15"/>
  <c r="E84" i="15"/>
  <c r="E85" i="15"/>
  <c r="E86" i="15"/>
  <c r="E87" i="15"/>
  <c r="E88" i="15"/>
  <c r="E89" i="15"/>
  <c r="E90" i="15"/>
  <c r="E91" i="15"/>
  <c r="E92" i="15"/>
  <c r="E93" i="15"/>
  <c r="E94" i="15"/>
  <c r="E95" i="15"/>
  <c r="E96" i="15"/>
  <c r="E97" i="15"/>
  <c r="E98" i="15"/>
  <c r="E99" i="15"/>
  <c r="E100" i="15"/>
  <c r="E101" i="15"/>
  <c r="E102" i="15"/>
  <c r="E103" i="15"/>
  <c r="E104" i="15"/>
  <c r="E105" i="15"/>
  <c r="E106" i="15"/>
  <c r="E107" i="15"/>
  <c r="E108" i="15"/>
  <c r="E109" i="15"/>
  <c r="E110" i="15"/>
  <c r="E111" i="15"/>
  <c r="E112" i="15"/>
  <c r="E113" i="15"/>
  <c r="E114" i="15"/>
  <c r="E115" i="15"/>
  <c r="E116" i="15"/>
  <c r="E117" i="15"/>
  <c r="E118" i="15"/>
  <c r="E119" i="15"/>
  <c r="E120" i="15"/>
  <c r="E121" i="15"/>
  <c r="E122" i="15"/>
  <c r="E123" i="15"/>
  <c r="E124" i="15"/>
  <c r="E125" i="15"/>
  <c r="E126" i="15"/>
  <c r="E127" i="15"/>
  <c r="E128" i="15"/>
  <c r="E129" i="15"/>
  <c r="E130" i="15"/>
  <c r="E131" i="15"/>
  <c r="E3" i="15"/>
  <c r="F3" i="15" s="1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K3" i="13"/>
  <c r="K4" i="13"/>
  <c r="K5" i="13"/>
  <c r="K6" i="13"/>
  <c r="K7" i="13"/>
  <c r="K8" i="13"/>
  <c r="K9" i="13"/>
  <c r="K10" i="13"/>
  <c r="K11" i="13"/>
  <c r="K12" i="13"/>
  <c r="K13" i="13"/>
  <c r="K14" i="13"/>
  <c r="K27" i="13"/>
  <c r="K56" i="13"/>
  <c r="K57" i="13"/>
  <c r="K58" i="13"/>
  <c r="K59" i="13"/>
  <c r="K60" i="13"/>
  <c r="K28" i="13"/>
  <c r="K29" i="13"/>
  <c r="K61" i="13"/>
  <c r="K30" i="13"/>
  <c r="K62" i="13"/>
  <c r="K63" i="13"/>
  <c r="K64" i="13"/>
  <c r="K65" i="13"/>
  <c r="K66" i="13"/>
  <c r="K67" i="13"/>
  <c r="K15" i="13"/>
  <c r="K16" i="13"/>
  <c r="K17" i="13"/>
  <c r="K18" i="13"/>
  <c r="K19" i="13"/>
  <c r="K20" i="13"/>
  <c r="K21" i="13"/>
  <c r="K31" i="13"/>
  <c r="K32" i="13"/>
  <c r="K68" i="13"/>
  <c r="K69" i="13"/>
  <c r="K33" i="13"/>
  <c r="K70" i="13"/>
  <c r="K71" i="13"/>
  <c r="K34" i="13"/>
  <c r="K35" i="13"/>
  <c r="K36" i="13"/>
  <c r="K72" i="13"/>
  <c r="K73" i="13"/>
  <c r="K37" i="13"/>
  <c r="K38" i="13"/>
  <c r="K74" i="13"/>
  <c r="K75" i="13"/>
  <c r="K76" i="13"/>
  <c r="K77" i="13"/>
  <c r="K22" i="13"/>
  <c r="K23" i="13"/>
  <c r="K78" i="13"/>
  <c r="K39" i="13"/>
  <c r="K24" i="13"/>
  <c r="K40" i="13"/>
  <c r="K25" i="13"/>
  <c r="K41" i="13"/>
  <c r="K79" i="13"/>
  <c r="K42" i="13"/>
  <c r="K43" i="13"/>
  <c r="K26" i="13"/>
  <c r="K80" i="13"/>
  <c r="K44" i="13"/>
  <c r="K45" i="13"/>
  <c r="K46" i="13"/>
  <c r="K47" i="13"/>
  <c r="K48" i="13"/>
  <c r="K49" i="13"/>
  <c r="K50" i="13"/>
  <c r="K51" i="13"/>
  <c r="K52" i="13"/>
  <c r="K53" i="13"/>
  <c r="K54" i="13"/>
  <c r="K55" i="13"/>
  <c r="P6" i="14" l="1"/>
  <c r="P7" i="14"/>
  <c r="P8" i="14"/>
  <c r="P10" i="14"/>
  <c r="P11" i="14"/>
  <c r="P12" i="14"/>
  <c r="P13" i="14"/>
  <c r="P14" i="14"/>
  <c r="P15" i="14"/>
  <c r="P16" i="14"/>
  <c r="P17" i="14"/>
  <c r="P18" i="14"/>
  <c r="P19" i="14"/>
  <c r="P20" i="14"/>
  <c r="P21" i="14"/>
  <c r="P22" i="14"/>
  <c r="P23" i="14"/>
  <c r="P24" i="14"/>
  <c r="P25" i="14"/>
  <c r="P26" i="14"/>
  <c r="P27" i="14"/>
  <c r="P28" i="14"/>
  <c r="P29" i="14"/>
  <c r="P30" i="14"/>
  <c r="P31" i="14"/>
  <c r="P32" i="14"/>
  <c r="P33" i="14"/>
  <c r="P34" i="14"/>
  <c r="P5" i="14"/>
  <c r="K6" i="14"/>
  <c r="O6" i="14" s="1"/>
  <c r="K7" i="14"/>
  <c r="O7" i="14" s="1"/>
  <c r="K8" i="14"/>
  <c r="O8" i="14" s="1"/>
  <c r="K10" i="14"/>
  <c r="O10" i="14" s="1"/>
  <c r="K11" i="14"/>
  <c r="O11" i="14" s="1"/>
  <c r="K12" i="14"/>
  <c r="O12" i="14" s="1"/>
  <c r="K13" i="14"/>
  <c r="O13" i="14" s="1"/>
  <c r="K14" i="14"/>
  <c r="O14" i="14" s="1"/>
  <c r="K15" i="14"/>
  <c r="O15" i="14" s="1"/>
  <c r="K16" i="14"/>
  <c r="O16" i="14" s="1"/>
  <c r="K17" i="14"/>
  <c r="O17" i="14" s="1"/>
  <c r="K18" i="14"/>
  <c r="O18" i="14" s="1"/>
  <c r="K19" i="14"/>
  <c r="O19" i="14" s="1"/>
  <c r="K20" i="14"/>
  <c r="O20" i="14" s="1"/>
  <c r="K21" i="14"/>
  <c r="O21" i="14" s="1"/>
  <c r="K22" i="14"/>
  <c r="O22" i="14" s="1"/>
  <c r="K23" i="14"/>
  <c r="O23" i="14" s="1"/>
  <c r="K24" i="14"/>
  <c r="O24" i="14" s="1"/>
  <c r="K25" i="14"/>
  <c r="O25" i="14" s="1"/>
  <c r="K26" i="14"/>
  <c r="O26" i="14" s="1"/>
  <c r="K27" i="14"/>
  <c r="O27" i="14" s="1"/>
  <c r="K28" i="14"/>
  <c r="O28" i="14" s="1"/>
  <c r="K29" i="14"/>
  <c r="O29" i="14" s="1"/>
  <c r="K30" i="14"/>
  <c r="O30" i="14" s="1"/>
  <c r="K31" i="14"/>
  <c r="O31" i="14" s="1"/>
  <c r="K32" i="14"/>
  <c r="O32" i="14" s="1"/>
  <c r="K33" i="14"/>
  <c r="O33" i="14" s="1"/>
  <c r="K34" i="14"/>
  <c r="O34" i="14" s="1"/>
  <c r="F4" i="15" l="1"/>
  <c r="F5" i="15"/>
  <c r="F6" i="15"/>
  <c r="F7" i="15"/>
  <c r="F8" i="15"/>
  <c r="F9" i="15"/>
  <c r="F10" i="15"/>
  <c r="F11" i="15"/>
  <c r="F12" i="15"/>
  <c r="F13" i="15"/>
  <c r="F14" i="15"/>
  <c r="F15" i="15"/>
  <c r="F16" i="15"/>
  <c r="F17" i="15"/>
  <c r="F18" i="15"/>
  <c r="F19" i="15"/>
  <c r="F20" i="15"/>
  <c r="F21" i="15"/>
  <c r="F22" i="15"/>
  <c r="F23" i="15"/>
  <c r="F24" i="15"/>
  <c r="F25" i="15"/>
  <c r="F26" i="15"/>
  <c r="F27" i="15"/>
  <c r="F28" i="15"/>
  <c r="F29" i="15"/>
  <c r="F30" i="15"/>
  <c r="F31" i="15"/>
  <c r="F32" i="15"/>
  <c r="F33" i="15"/>
  <c r="F34" i="15"/>
  <c r="F35" i="15"/>
  <c r="F36" i="15"/>
  <c r="F37" i="15"/>
  <c r="F38" i="15"/>
  <c r="F39" i="15"/>
  <c r="F40" i="15"/>
  <c r="F41" i="15"/>
  <c r="F42" i="15"/>
  <c r="F43" i="15"/>
  <c r="F44" i="15"/>
  <c r="F45" i="15"/>
  <c r="F46" i="15"/>
  <c r="F47" i="15"/>
  <c r="F48" i="15"/>
  <c r="F49" i="15"/>
  <c r="F50" i="15"/>
  <c r="F51" i="15"/>
  <c r="F52" i="15"/>
  <c r="F53" i="15"/>
  <c r="F54" i="15"/>
  <c r="F55" i="15"/>
  <c r="F56" i="15"/>
  <c r="F57" i="15"/>
  <c r="F58" i="15"/>
  <c r="F59" i="15"/>
  <c r="F60" i="15"/>
  <c r="F61" i="15"/>
  <c r="F62" i="15"/>
  <c r="F63" i="15"/>
  <c r="F64" i="15"/>
  <c r="F65" i="15"/>
  <c r="F66" i="15"/>
  <c r="F67" i="15"/>
  <c r="F68" i="15"/>
  <c r="F69" i="15"/>
  <c r="F70" i="15"/>
  <c r="F71" i="15"/>
  <c r="F72" i="15"/>
  <c r="F73" i="15"/>
  <c r="F74" i="15"/>
  <c r="F75" i="15"/>
  <c r="F76" i="15"/>
  <c r="F77" i="15"/>
  <c r="F78" i="15"/>
  <c r="F79" i="15"/>
  <c r="F80" i="15"/>
  <c r="F81" i="15"/>
  <c r="F82" i="15"/>
  <c r="F83" i="15"/>
  <c r="F84" i="15"/>
  <c r="F85" i="15"/>
  <c r="F86" i="15"/>
  <c r="F87" i="15"/>
  <c r="F88" i="15"/>
  <c r="F89" i="15"/>
  <c r="F90" i="15"/>
  <c r="F91" i="15"/>
  <c r="F92" i="15"/>
  <c r="F93" i="15"/>
  <c r="F94" i="15"/>
  <c r="F95" i="15"/>
  <c r="F96" i="15"/>
  <c r="F97" i="15"/>
  <c r="F98" i="15"/>
  <c r="F99" i="15"/>
  <c r="F100" i="15"/>
  <c r="F101" i="15"/>
  <c r="F102" i="15"/>
  <c r="F103" i="15"/>
  <c r="F104" i="15"/>
  <c r="F105" i="15"/>
  <c r="F106" i="15"/>
  <c r="F107" i="15"/>
  <c r="F108" i="15"/>
  <c r="F109" i="15"/>
  <c r="F110" i="15"/>
  <c r="F111" i="15"/>
  <c r="F112" i="15"/>
  <c r="F113" i="15"/>
  <c r="F114" i="15"/>
  <c r="F115" i="15"/>
  <c r="F116" i="15"/>
  <c r="F117" i="15"/>
  <c r="F118" i="15"/>
  <c r="F119" i="15"/>
  <c r="F120" i="15"/>
  <c r="F121" i="15"/>
  <c r="F122" i="15"/>
  <c r="F123" i="15"/>
  <c r="F124" i="15"/>
  <c r="F125" i="15"/>
  <c r="F126" i="15"/>
  <c r="F127" i="15"/>
  <c r="F128" i="15"/>
  <c r="F129" i="15"/>
  <c r="F130" i="15"/>
  <c r="F131" i="15"/>
  <c r="J683" i="12"/>
  <c r="J684" i="12" s="1"/>
  <c r="J685" i="12" s="1"/>
  <c r="I683" i="12"/>
  <c r="I684" i="12" s="1"/>
  <c r="I685" i="12" s="1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A70" i="7"/>
  <c r="A71" i="7"/>
  <c r="A72" i="7"/>
  <c r="A73" i="7"/>
  <c r="A74" i="7"/>
  <c r="A75" i="7"/>
  <c r="A76" i="7"/>
  <c r="A77" i="7"/>
  <c r="A78" i="7"/>
  <c r="A79" i="7"/>
  <c r="A80" i="7"/>
  <c r="A81" i="7"/>
  <c r="A82" i="7"/>
  <c r="A83" i="7"/>
  <c r="A84" i="7"/>
  <c r="A85" i="7"/>
  <c r="A86" i="7"/>
  <c r="A87" i="7"/>
  <c r="A88" i="7"/>
  <c r="A89" i="7"/>
  <c r="A90" i="7"/>
  <c r="A91" i="7"/>
  <c r="A92" i="7"/>
  <c r="A93" i="7"/>
  <c r="A94" i="7"/>
  <c r="A95" i="7"/>
  <c r="A96" i="7"/>
  <c r="A97" i="7"/>
  <c r="A98" i="7"/>
  <c r="A99" i="7"/>
  <c r="A31" i="7"/>
  <c r="A32" i="7"/>
  <c r="A34" i="7"/>
  <c r="A4" i="7"/>
  <c r="A33" i="7"/>
  <c r="I36" i="14"/>
  <c r="I35" i="14"/>
  <c r="I34" i="14"/>
  <c r="I33" i="14"/>
  <c r="I32" i="14"/>
  <c r="I31" i="14"/>
  <c r="I30" i="14"/>
  <c r="I29" i="14"/>
  <c r="I28" i="14"/>
  <c r="I27" i="14"/>
  <c r="I26" i="14"/>
  <c r="A24" i="7"/>
  <c r="I25" i="14"/>
  <c r="I24" i="14"/>
  <c r="I23" i="14"/>
  <c r="I22" i="14"/>
  <c r="A20" i="7"/>
  <c r="I21" i="14"/>
  <c r="I20" i="14"/>
  <c r="I19" i="14"/>
  <c r="I18" i="14"/>
  <c r="A16" i="7"/>
  <c r="I17" i="14"/>
  <c r="I16" i="14"/>
  <c r="I15" i="14"/>
  <c r="I14" i="14"/>
  <c r="A12" i="7"/>
  <c r="I13" i="14"/>
  <c r="I12" i="14"/>
  <c r="I11" i="14"/>
  <c r="I10" i="14"/>
  <c r="A8" i="7"/>
  <c r="I9" i="14"/>
  <c r="I8" i="14"/>
  <c r="I7" i="14"/>
  <c r="I6" i="14"/>
  <c r="I5" i="14"/>
  <c r="P9" i="14" l="1"/>
  <c r="K9" i="14"/>
  <c r="O9" i="14" s="1"/>
  <c r="A29" i="7"/>
  <c r="A25" i="7"/>
  <c r="A23" i="7"/>
  <c r="A18" i="7"/>
  <c r="A22" i="7"/>
  <c r="A21" i="7"/>
  <c r="A9" i="7"/>
  <c r="A19" i="7"/>
  <c r="A7" i="7"/>
  <c r="A6" i="7"/>
  <c r="A5" i="7"/>
  <c r="A30" i="7"/>
  <c r="A15" i="7"/>
  <c r="A17" i="7"/>
  <c r="A28" i="7"/>
  <c r="A27" i="7"/>
  <c r="A26" i="7"/>
  <c r="A14" i="7"/>
  <c r="A13" i="7"/>
  <c r="A11" i="7"/>
  <c r="A10" i="7"/>
  <c r="A3" i="7"/>
  <c r="A34" i="6"/>
  <c r="A4" i="6"/>
  <c r="A5" i="6"/>
  <c r="A6" i="6"/>
  <c r="A7" i="6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" i="6"/>
  <c r="A67" i="7" l="1"/>
  <c r="A36" i="7"/>
  <c r="A100" i="7" l="1"/>
  <c r="A69" i="7"/>
  <c r="K35" i="14" l="1"/>
  <c r="K36" i="1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<sst xmlns="http://schemas.openxmlformats.org/spreadsheetml/2006/main" count="12775" uniqueCount="690">
  <si>
    <t>Schedule</t>
  </si>
  <si>
    <t>StartTime</t>
  </si>
  <si>
    <t>Odds</t>
  </si>
  <si>
    <t>Match</t>
  </si>
  <si>
    <t>{</t>
  </si>
  <si>
    <t>}</t>
  </si>
  <si>
    <t>GMT UTC</t>
  </si>
  <si>
    <t>Winner</t>
  </si>
  <si>
    <t>NCAAF</t>
  </si>
  <si>
    <t>NFL</t>
  </si>
  <si>
    <t>MMA</t>
  </si>
  <si>
    <t>event_name</t>
  </si>
  <si>
    <t>sport</t>
  </si>
  <si>
    <t>sched</t>
  </si>
  <si>
    <t>utc</t>
  </si>
  <si>
    <t>odd_draw</t>
  </si>
  <si>
    <t>odd_2</t>
  </si>
  <si>
    <t>odd_1</t>
  </si>
  <si>
    <t>commence</t>
  </si>
  <si>
    <t>Alex Pereira_Jiri Prochazka</t>
  </si>
  <si>
    <t>WakeForest</t>
  </si>
  <si>
    <t>TexasTech</t>
  </si>
  <si>
    <t>North_</t>
  </si>
  <si>
    <t>South_</t>
  </si>
  <si>
    <t>_State</t>
  </si>
  <si>
    <t>San_</t>
  </si>
  <si>
    <t>BoiseState</t>
  </si>
  <si>
    <t>NotreDame</t>
  </si>
  <si>
    <t>OleMiss</t>
  </si>
  <si>
    <t>bigSched</t>
  </si>
  <si>
    <t>Sport</t>
  </si>
  <si>
    <t>TexasA&amp;M</t>
  </si>
  <si>
    <t>probSpread2</t>
  </si>
  <si>
    <t>faveDec</t>
  </si>
  <si>
    <t>"_resultVector": [</t>
  </si>
  <si>
    <t>"_starts": [</t>
  </si>
  <si>
    <t>"_teamsched": [</t>
  </si>
  <si>
    <t>Sergey Pavlovich_Tom Aspinall</t>
  </si>
  <si>
    <t>West Virgina</t>
  </si>
  <si>
    <t>Jake Matthews_Michael Morales</t>
  </si>
  <si>
    <t>Chase Hooper_Jordan Leavitt</t>
  </si>
  <si>
    <t>Brendan Allen_Paul Craig</t>
  </si>
  <si>
    <t>Georgia Bulldogs_Tennessee Volunteers</t>
  </si>
  <si>
    <t>Michigan Wolverines_Ohio State Buckeyes</t>
  </si>
  <si>
    <t>2023-11-25T17:00:00.000Z</t>
  </si>
  <si>
    <t>Michigan Wolverines_PennState Nittany Lions</t>
  </si>
  <si>
    <t>Alabama Crimson Tide_Kentucky Wildcats</t>
  </si>
  <si>
    <t>Florida Gators_LSU Tigers</t>
  </si>
  <si>
    <t>Amanda Ribas_Luana Pinheiro</t>
  </si>
  <si>
    <t>Jonny Parsons_Uros Medic</t>
  </si>
  <si>
    <t>Indianapolis Colts_New England Patriots</t>
  </si>
  <si>
    <t>Minnesota Vikings_New Orleans Saints</t>
  </si>
  <si>
    <t>Tampa Bay Buccaneers_Tennessee Titans</t>
  </si>
  <si>
    <t>Baltimore Ravens_Cleveland Browns</t>
  </si>
  <si>
    <t>Cincinnati Bengals_Houston Texans</t>
  </si>
  <si>
    <t>Green Bay Packers_Pittsburgh Steelers</t>
  </si>
  <si>
    <t>Arizona Cardinals_Atlanta Falcons</t>
  </si>
  <si>
    <t>Detroit Lions_Los Angeles Chargers</t>
  </si>
  <si>
    <t>Seattle Seahawks_Washington Commanders</t>
  </si>
  <si>
    <t>Las Vegas Raiders_New York Jets</t>
  </si>
  <si>
    <t>Buffalo Bills_Denver Broncos</t>
  </si>
  <si>
    <t>Jacksonville Jaguars_SanFrancisco 49ers</t>
  </si>
  <si>
    <t>Texas</t>
  </si>
  <si>
    <t>Arkansas</t>
  </si>
  <si>
    <t>Florida</t>
  </si>
  <si>
    <t>Utah</t>
  </si>
  <si>
    <t>Minnesota</t>
  </si>
  <si>
    <t>Iowa</t>
  </si>
  <si>
    <t>OklahomaState</t>
  </si>
  <si>
    <t>PennState</t>
  </si>
  <si>
    <t>Kansas</t>
  </si>
  <si>
    <t>Washington</t>
  </si>
  <si>
    <t>Kentucky</t>
  </si>
  <si>
    <t>Alabama</t>
  </si>
  <si>
    <t>Arizona</t>
  </si>
  <si>
    <t>Texans</t>
  </si>
  <si>
    <t>Buccaneers</t>
  </si>
  <si>
    <t>Commanders</t>
  </si>
  <si>
    <t>Patriots</t>
  </si>
  <si>
    <t>Vikings</t>
  </si>
  <si>
    <t>Falcons</t>
  </si>
  <si>
    <t>Saints</t>
  </si>
  <si>
    <t>Packers</t>
  </si>
  <si>
    <t>Ravens</t>
  </si>
  <si>
    <t>Browns</t>
  </si>
  <si>
    <t>Colts</t>
  </si>
  <si>
    <t>Raiders</t>
  </si>
  <si>
    <t>Bengals</t>
  </si>
  <si>
    <t>Bills</t>
  </si>
  <si>
    <t>Northwestern</t>
  </si>
  <si>
    <t>LSU</t>
  </si>
  <si>
    <t>Colorado</t>
  </si>
  <si>
    <t>Seahawks</t>
  </si>
  <si>
    <t>Cardinals</t>
  </si>
  <si>
    <t>Chargers</t>
  </si>
  <si>
    <t>Jets</t>
  </si>
  <si>
    <t>UTC in Chicago time</t>
  </si>
  <si>
    <t>Enter Here</t>
  </si>
  <si>
    <t>Winner2</t>
  </si>
  <si>
    <t>favorite</t>
  </si>
  <si>
    <t>underdog</t>
  </si>
  <si>
    <t>Arizona Wildcats_Colorado Buffaloes</t>
  </si>
  <si>
    <t>Utah Utes_Washington Huskies</t>
  </si>
  <si>
    <t>Missouri Tigers_Tennessee Volunteers</t>
  </si>
  <si>
    <t>Northwestern Wildcats_Wisconsin Badgers</t>
  </si>
  <si>
    <t>Minnesota Golden Gophers_Purdue Boilermakers</t>
  </si>
  <si>
    <t>Iowa Hawkeyes_Rutgers Scarlet Knights</t>
  </si>
  <si>
    <t>Arkansas Razorbacks_Auburn Tigers</t>
  </si>
  <si>
    <t>Cincinnati Bearcats_Houston Cougars</t>
  </si>
  <si>
    <t>TCU Horned Frogs_Texas Longhorns</t>
  </si>
  <si>
    <t>2023-11-18T20:30:00.000Z</t>
  </si>
  <si>
    <t>Nikolas Motta_Trey Ogden</t>
  </si>
  <si>
    <t>2023-11-18T19:10:00.000Z</t>
  </si>
  <si>
    <t>Charles Johnson_Rafael Estevam</t>
  </si>
  <si>
    <t>Jeka Saragih_Lucas Alexander</t>
  </si>
  <si>
    <t>Joanderson Brito_Jonathan Pearce</t>
  </si>
  <si>
    <t>Ailin Perez_Lucie Pudilova</t>
  </si>
  <si>
    <t>Chad Anheliger_Jose Johnson</t>
  </si>
  <si>
    <t>Caio Machado_Michael Parkin</t>
  </si>
  <si>
    <t>Nick Aguirre_Payton Talbott</t>
  </si>
  <si>
    <t>2023-11-18T23:15:00.000Z</t>
  </si>
  <si>
    <t>Georgia Bulldogs_OleMiss Rebels</t>
  </si>
  <si>
    <t>OklahomaState Cowboys_UCF Knights</t>
  </si>
  <si>
    <t>Kansas Jayhawks_TexasTech Red Raiders</t>
  </si>
  <si>
    <t>Boston College</t>
  </si>
  <si>
    <t>VirginiaTech</t>
  </si>
  <si>
    <t>Baltimore Ravens_Cincinnati Bengals</t>
  </si>
  <si>
    <t>2023-11-17T01:16:00.000Z</t>
  </si>
  <si>
    <t>Green Bay Packers_Los Angeles Chargers</t>
  </si>
  <si>
    <t>2023-11-19T18:01:00.000Z</t>
  </si>
  <si>
    <t>Jacksonville Jaguars_Tennessee Titans</t>
  </si>
  <si>
    <t>Las Vegas Raiders_Miami Dolphins</t>
  </si>
  <si>
    <t>Carolina Panthers_Dallas Cowboys</t>
  </si>
  <si>
    <t>Arizona Cardinals_Houston Texans</t>
  </si>
  <si>
    <t>Cleveland Browns_Pittsburgh Steelers</t>
  </si>
  <si>
    <t>New York Giants_Washington Commanders</t>
  </si>
  <si>
    <t>Chicago Bears_Detroit Lions</t>
  </si>
  <si>
    <t>San Francisco 49ers_Tampa Bay Buccaneers</t>
  </si>
  <si>
    <t>2023-11-19T21:06:00.000Z</t>
  </si>
  <si>
    <t>Buffalo Bills_New York Jets</t>
  </si>
  <si>
    <t>2023-11-19T21:26:00.000Z</t>
  </si>
  <si>
    <t>Los Angeles Rams_Seattle Seahawks</t>
  </si>
  <si>
    <t>Denver Broncos_Minnesota Vikings</t>
  </si>
  <si>
    <t>2023-11-20T01:21:00.000Z</t>
  </si>
  <si>
    <t>Kansas City Chiefs_Philadelphia Eagles</t>
  </si>
  <si>
    <t>2023-11-21T01:16:00.000Z</t>
  </si>
  <si>
    <t>"_probSpread2": [</t>
  </si>
  <si>
    <t>startTime</t>
  </si>
  <si>
    <t>SanFrancisco 49ers_Tampa Bay Buccaneers</t>
  </si>
  <si>
    <t>Ole Miss</t>
  </si>
  <si>
    <t>Notre Dame</t>
  </si>
  <si>
    <t>Boise State</t>
  </si>
  <si>
    <t>Texas Tech</t>
  </si>
  <si>
    <t>Texas A&amp;M</t>
  </si>
  <si>
    <t>Wake Forest</t>
  </si>
  <si>
    <t>Central Michigan ChippewasCentral Michigan · 28</t>
  </si>
  <si>
    <t>Panthers · 13</t>
  </si>
  <si>
    <t>Western Michigan BroncosWestern Michigan · 38 </t>
  </si>
  <si>
    <t>Bears · 16 </t>
  </si>
  <si>
    <t>Buffalo BullsBuffalo · 10</t>
  </si>
  <si>
    <t>Patriots · 6</t>
  </si>
  <si>
    <t>Ohio BobcatsOhio · 20 </t>
  </si>
  <si>
    <t>Colts · 10 </t>
  </si>
  <si>
    <t>Akron ZipsAkron · 0</t>
  </si>
  <si>
    <t>Packers · 19</t>
  </si>
  <si>
    <t>Miami (OH) RedHawksMiami (OH) · 19 </t>
  </si>
  <si>
    <t>Steelers · 23 </t>
  </si>
  <si>
    <t>Kent State Golden FlashesKent State · 19</t>
  </si>
  <si>
    <t>Bengals · 27</t>
  </si>
  <si>
    <t>Bowling Green FalconsBowling Green · 49 </t>
  </si>
  <si>
    <t>Texans · 30 </t>
  </si>
  <si>
    <t>Eastern Michigan EaglesEastern Michigan · 23</t>
  </si>
  <si>
    <t>Titans · 6</t>
  </si>
  <si>
    <t>Toledo RocketsToledo · 49 </t>
  </si>
  <si>
    <t>Buccaneers · 20 </t>
  </si>
  <si>
    <t>Virginia CavaliersVirginia · 24</t>
  </si>
  <si>
    <t>Saints · 19</t>
  </si>
  <si>
    <t>Louisville CardinalsLouisville · 31 </t>
  </si>
  <si>
    <t>Vikings · 27 </t>
  </si>
  <si>
    <t>Louisiana Ragin CajunsLouisiana · 31</t>
  </si>
  <si>
    <t>Ravens · 31</t>
  </si>
  <si>
    <t>Southern Miss Golden EaglesSouthern Miss · 34 </t>
  </si>
  <si>
    <t>Browns · 33 </t>
  </si>
  <si>
    <t>North Texas Mean GreenNorth Texas · 21</t>
  </si>
  <si>
    <t>Jaguars · 3</t>
  </si>
  <si>
    <t>SMU MustangsSMU · 45 </t>
  </si>
  <si>
    <t>49ers · 34 </t>
  </si>
  <si>
    <t>Wyoming CowboysWyoming · 14</t>
  </si>
  <si>
    <t>Chargers · 38</t>
  </si>
  <si>
    <t>UNLV RebelsUNLV · 34 </t>
  </si>
  <si>
    <t>Lions · 41 </t>
  </si>
  <si>
    <t>Vanderbilt CommodoresVanderbilt · 6</t>
  </si>
  <si>
    <t>Falcons · 23</t>
  </si>
  <si>
    <t>South Carolina GamecocksSouth Carolina · 47 </t>
  </si>
  <si>
    <t>Cardinals · 25 </t>
  </si>
  <si>
    <t>Kansas JayhawksKansas · 13</t>
  </si>
  <si>
    <t>Giants · 17</t>
  </si>
  <si>
    <t>Texas Tech Red RaidersTexas Tech · 16 </t>
  </si>
  <si>
    <t>Cowboys · 49 </t>
  </si>
  <si>
    <t>Georgia Tech Yellow JacketsGeorgia Tech · 21</t>
  </si>
  <si>
    <t>Commanders · 26</t>
  </si>
  <si>
    <t>Clemson TigersClemson · 42 </t>
  </si>
  <si>
    <t>Seahawks · 29 </t>
  </si>
  <si>
    <t>Holy Cross</t>
  </si>
  <si>
    <t>Jets · 12</t>
  </si>
  <si>
    <t>Army Black KnightsArmy · 17 </t>
  </si>
  <si>
    <t>Raiders · 16 </t>
  </si>
  <si>
    <t>Kentucky WildcatsKentucky · 21</t>
  </si>
  <si>
    <t>Indiana HoosiersIndiana · 45</t>
  </si>
  <si>
    <t>Illinois Fighting IlliniIllinois · 48 </t>
  </si>
  <si>
    <t>Alabama Crimson TideAlabama · 49 </t>
  </si>
  <si>
    <t>Temple OwlsTemple · 23</t>
  </si>
  <si>
    <t>South Florida BullsSouth Florida · 27 </t>
  </si>
  <si>
    <t>Nebraska CornhuskersNebraska · 10</t>
  </si>
  <si>
    <t>Maryland TerrapinsMaryland · 13 </t>
  </si>
  <si>
    <t>Boston College EaglesBoston College · 22</t>
  </si>
  <si>
    <t>Virginia Tech HokiesVirginia Tech · 48 </t>
  </si>
  <si>
    <t>Penn State Nittany LionsPenn State · 15</t>
  </si>
  <si>
    <t>Michigan WolverinesMichigan · 24 </t>
  </si>
  <si>
    <t>Tulsa Golden HurricaneTulsa · 22</t>
  </si>
  <si>
    <t>Tulane Green WaveTulane · 24 </t>
  </si>
  <si>
    <t>F/OT</t>
  </si>
  <si>
    <t>Old Dominion MonarchsOld Dominion · 10</t>
  </si>
  <si>
    <t>Liberty FlamesLiberty · 38 </t>
  </si>
  <si>
    <t>Charlotte 49ersCharlotte · 38</t>
  </si>
  <si>
    <t>Memphis TigersMemphis · 44 </t>
  </si>
  <si>
    <t>Georgia State PanthersGeorgia State · 14</t>
  </si>
  <si>
    <t>Appalachian State MountaineersAppalachian State · 42 </t>
  </si>
  <si>
    <t>UConn HuskiesUConn · 6</t>
  </si>
  <si>
    <t>James Madison DukesJames Madison · 44 </t>
  </si>
  <si>
    <t>Colorado BuffaloesColorado · 31</t>
  </si>
  <si>
    <t>Arizona WildcatsArizona · 34 </t>
  </si>
  <si>
    <t>Wake Forest Demon DeaconsWake Forest · 6</t>
  </si>
  <si>
    <t>NC State WolfpackNC State · 26 </t>
  </si>
  <si>
    <t>UL Monroe WarhawksUL Monroe · 14</t>
  </si>
  <si>
    <t>Troy TrojansTroy · 45 </t>
  </si>
  <si>
    <t>Baylor BearsBaylor · 25</t>
  </si>
  <si>
    <t>Kansas State WildcatsKansas State · 59 </t>
  </si>
  <si>
    <t>Nevada Wolf PackNevada · 24</t>
  </si>
  <si>
    <t>Utah State AggiesUtah State · 41 </t>
  </si>
  <si>
    <t>Louisiana Tech BulldogsLouisiana Tech · 27</t>
  </si>
  <si>
    <t>Sam Houston BearkatsSam Houston · 42 </t>
  </si>
  <si>
    <t>Oklahoma State CowboysOklahoma State · 3</t>
  </si>
  <si>
    <t>UCF KnightsUCF · 45 </t>
  </si>
  <si>
    <t>Tennessee VolunteersTennessee · 7</t>
  </si>
  <si>
    <t>Missouri TigersMissouri · 36 </t>
  </si>
  <si>
    <t>Miami HurricanesMiami · 20</t>
  </si>
  <si>
    <t>Florida State SeminolesFlorida State · 27 </t>
  </si>
  <si>
    <t>UAB BlazersUAB · 6</t>
  </si>
  <si>
    <t>Navy MidshipmenNavy · 31 </t>
  </si>
  <si>
    <t>Pittsburgh PanthersPittsburgh · 13</t>
  </si>
  <si>
    <t>Syracuse OrangeSyracuse · 28 </t>
  </si>
  <si>
    <t>Florida International PanthersFlorida International · 6</t>
  </si>
  <si>
    <t>Middle Tennessee Blue RaidersMiddle Tennessee · 40 </t>
  </si>
  <si>
    <t>Western Kentucky HilltoppersWestern Kentucky · 29</t>
  </si>
  <si>
    <t>New Mexico State AggiesNew Mexico State · 38 </t>
  </si>
  <si>
    <t>Wisconsin BadgersWisconsin · 10</t>
  </si>
  <si>
    <t>Northwestern WildcatsNorthwestern · 24 </t>
  </si>
  <si>
    <t>Texas State BobcatsTexas State · 23</t>
  </si>
  <si>
    <t>Coastal Carolina ChanticleersCoastal Carolina · 31 </t>
  </si>
  <si>
    <t>Rutgers Scarlet KnightsRutgers · 0</t>
  </si>
  <si>
    <t>Iowa HawkeyesIowa · 22 </t>
  </si>
  <si>
    <t>Utah UtesUtah · 28</t>
  </si>
  <si>
    <t>Washington HuskiesWashington · 35 </t>
  </si>
  <si>
    <t>Minnesota Golden GophersMinnesota · 30</t>
  </si>
  <si>
    <t>Purdue BoilermakersPurdue · 49 </t>
  </si>
  <si>
    <t>Florida Atlantic OwlsFlorida Atlantic · 7</t>
  </si>
  <si>
    <t>East Carolina PiratesEast Carolina · 22 </t>
  </si>
  <si>
    <t>Washington State CougarsWashington State · 39</t>
  </si>
  <si>
    <t>California Golden BearsCalifornia · 42 </t>
  </si>
  <si>
    <t>Arkansas RazorbacksArkansas · 10</t>
  </si>
  <si>
    <t>Auburn TigersAuburn · 48 </t>
  </si>
  <si>
    <t>Arkansas State Red WolvesArkansas State · 14</t>
  </si>
  <si>
    <t>South Alabama JaguarsSouth Alabama · 21 </t>
  </si>
  <si>
    <t>Stanford CardinalStanford · 17</t>
  </si>
  <si>
    <t>Oregon State BeaversOregon State · 62 </t>
  </si>
  <si>
    <t>Ole Miss RebelsOle Miss · 17</t>
  </si>
  <si>
    <t>Georgia BulldogsGeorgia · 52 </t>
  </si>
  <si>
    <t>West Virginia MountaineersWest Virginia · 20</t>
  </si>
  <si>
    <t>Oklahoma SoonersOklahoma · 59 </t>
  </si>
  <si>
    <t>Georgia Southern EaglesGeorgia Southern · 33</t>
  </si>
  <si>
    <t>Marshall Thundering HerdMarshall · 38 </t>
  </si>
  <si>
    <t>San Diego State AztecsSan Diego State · 19</t>
  </si>
  <si>
    <t>Colorado State RamsColorado State · 22 </t>
  </si>
  <si>
    <t>Houston CougarsHouston · 14</t>
  </si>
  <si>
    <t>Cincinnati BearcatsCincinnati · 24 </t>
  </si>
  <si>
    <t>TCU Horned FrogsTCU · 26</t>
  </si>
  <si>
    <t>Texas LonghornsTexas · 29 </t>
  </si>
  <si>
    <t>Florida GatorsFlorida · 35</t>
  </si>
  <si>
    <t>LSU TigersLSU · 52 </t>
  </si>
  <si>
    <t>Rice OwlsRice · 14</t>
  </si>
  <si>
    <t>UTSA RoadrunnersUTSA · 34 </t>
  </si>
  <si>
    <t>Michigan State SpartansMichigan State · 3</t>
  </si>
  <si>
    <t>Ohio State BuckeyesOhio State · 38 </t>
  </si>
  <si>
    <t>Mississippi State BulldogsMississippi State · 10</t>
  </si>
  <si>
    <t>Texas A&amp;M AggiesTexas A&amp;M · 51 </t>
  </si>
  <si>
    <t>Duke Blue DevilsDuke · 45</t>
  </si>
  <si>
    <t>North Carolina Tar HeelsNorth Carolina · 47 </t>
  </si>
  <si>
    <t>UCLA BruinsUCLA · 7</t>
  </si>
  <si>
    <t>Arizona State Sun DevilsArizona State · 17 </t>
  </si>
  <si>
    <t>New Mexico LobosNew Mexico · 14</t>
  </si>
  <si>
    <t>Boise State BroncosBoise State · 42 </t>
  </si>
  <si>
    <t>BYU CougarsBYU · 13</t>
  </si>
  <si>
    <t>Iowa State CyclonesIowa State · 45 </t>
  </si>
  <si>
    <t>USC TrojansUSC · 27</t>
  </si>
  <si>
    <t>Oregon DucksOregon · 36 </t>
  </si>
  <si>
    <t>Fresno State BulldogsFresno State · 18</t>
  </si>
  <si>
    <t>San Jose State SpartansSan Jose State · 42 </t>
  </si>
  <si>
    <t>Air Force FalconsAir Force · 13</t>
  </si>
  <si>
    <t>Hawaii Rainbow WarriorsHawaii · 27 </t>
  </si>
  <si>
    <t>Aspinall</t>
  </si>
  <si>
    <t>Pereira</t>
  </si>
  <si>
    <t>Pavlovich</t>
  </si>
  <si>
    <t>Prochazka</t>
  </si>
  <si>
    <t>Michigan</t>
  </si>
  <si>
    <t>Michigan-4.5</t>
  </si>
  <si>
    <t>Wisconsin</t>
  </si>
  <si>
    <t>UCF</t>
  </si>
  <si>
    <t>Rutgers</t>
  </si>
  <si>
    <t>Tennessee</t>
  </si>
  <si>
    <t>Missouri</t>
  </si>
  <si>
    <t>Purdue</t>
  </si>
  <si>
    <t>Auburn</t>
  </si>
  <si>
    <t>Houston</t>
  </si>
  <si>
    <t>Cincinnati</t>
  </si>
  <si>
    <t>Georgia</t>
  </si>
  <si>
    <t>TCU</t>
  </si>
  <si>
    <t>Steelers</t>
  </si>
  <si>
    <t>49ers</t>
  </si>
  <si>
    <t>Jaguars</t>
  </si>
  <si>
    <t>Titans</t>
  </si>
  <si>
    <t>Lions</t>
  </si>
  <si>
    <t>Broncos</t>
  </si>
  <si>
    <t>aaa</t>
  </si>
  <si>
    <t>bbb</t>
  </si>
  <si>
    <t>match</t>
  </si>
  <si>
    <t>score</t>
  </si>
  <si>
    <t>name</t>
  </si>
  <si>
    <t>NCAA</t>
  </si>
  <si>
    <t>average</t>
  </si>
  <si>
    <t>Boston College Eagles_Pittsburgh Panthers</t>
  </si>
  <si>
    <t>2023-11-17T00:00:00.000Z</t>
  </si>
  <si>
    <t>South Florida Bulls_UTSA Roadrunners</t>
  </si>
  <si>
    <t>2023-11-18T02:00:00.000Z</t>
  </si>
  <si>
    <t>Colorado Buffaloes_Washington State Cougars</t>
  </si>
  <si>
    <t>2023-11-18T03:30:00.000Z</t>
  </si>
  <si>
    <t>Louisville Cardinals_Miami Hurricanes</t>
  </si>
  <si>
    <t>2023-11-18T17:00:00.000Z</t>
  </si>
  <si>
    <t>Maryland Terrapins_Michigan Wolverines</t>
  </si>
  <si>
    <t>Memphis Tigers_SMU Mustangs</t>
  </si>
  <si>
    <t>Indiana Hoosiers_Michigan State Spartans</t>
  </si>
  <si>
    <t>Northwestern Wildcats_Purdue Boilermakers</t>
  </si>
  <si>
    <t>BYU Cougars_Oklahoma Sooners</t>
  </si>
  <si>
    <t>Army Black Knights_Coastal Carolina Chanticleers</t>
  </si>
  <si>
    <t>Florida Atlantic Owls_Tulane Green Wave</t>
  </si>
  <si>
    <t>East Carolina Pirates_Navy Midshipmen</t>
  </si>
  <si>
    <t>Ole Miss Rebels_UL Monroe Warhawks</t>
  </si>
  <si>
    <t>Mississippi State Bulldogs_Southern Mississippi Golden Eagles</t>
  </si>
  <si>
    <t>Penn State Nittany Lions_Rutgers Scarlet Knights</t>
  </si>
  <si>
    <t>Kansas Jayhawks_Kansas State Wildcats</t>
  </si>
  <si>
    <t>2023-11-18T18:00:00.000Z</t>
  </si>
  <si>
    <t>Liberty Flames_UMass Minutemen</t>
  </si>
  <si>
    <t>Appalachian State Mountaineers_James Madison Dukes</t>
  </si>
  <si>
    <t>2023-11-18T19:00:00.000Z</t>
  </si>
  <si>
    <t>Ball State Cardinals_Kent State Golden Flashes</t>
  </si>
  <si>
    <t>Charlotte 49ers_Rice Owls</t>
  </si>
  <si>
    <t>Middle Tennessee Blue Raiders_UTEP Miners</t>
  </si>
  <si>
    <t>Jacksonville State Gamecocks_Louisiana Tech Bulldogs</t>
  </si>
  <si>
    <t>Hawaii Rainbow Warriors_Wyoming Cowboys</t>
  </si>
  <si>
    <t>Arizona Wildcats_Utah Utes</t>
  </si>
  <si>
    <t>2023-11-18T19:30:00.000Z</t>
  </si>
  <si>
    <t>Cincinnati Bearcats_West Virginia Mountaineers</t>
  </si>
  <si>
    <t>Duke Blue Devils_Virginia Cavaliers</t>
  </si>
  <si>
    <t>2023-11-18T20:00:00.000Z</t>
  </si>
  <si>
    <t>Arkansas State Red Wolves_Texas State Bobcats</t>
  </si>
  <si>
    <t>North Texas Mean Green_Tulsa Golden Hurricane</t>
  </si>
  <si>
    <t>Temple Owls_UAB Blazers</t>
  </si>
  <si>
    <t>Colorado State Rams_Nevada Wolf Pack</t>
  </si>
  <si>
    <t>Clemson Tigers_North Carolina Tar Heels</t>
  </si>
  <si>
    <t>Air Force Falcons_UNLV Rebels</t>
  </si>
  <si>
    <t>UCLA Bruins_USC Trojans</t>
  </si>
  <si>
    <t>Illinois Fighting Illini_Iowa Hawkeyes</t>
  </si>
  <si>
    <t>Notre Dame Fighting Irish_Wake Forest Demon Deacons</t>
  </si>
  <si>
    <t>NC State Wolfpack_Virginia Tech Hokies</t>
  </si>
  <si>
    <t>Sam Houston State Bearkats_Western Kentucky Hilltoppers</t>
  </si>
  <si>
    <t>Baylor Bears_TCU Horned Frogs</t>
  </si>
  <si>
    <t>Louisiana Ragin Cajuns_Troy Trojans</t>
  </si>
  <si>
    <t>Minnesota Golden Gophers_Ohio State Buckeyes</t>
  </si>
  <si>
    <t>2023-11-18T21:00:00.000Z</t>
  </si>
  <si>
    <t>Arizona State Sun Devils_Oregon Ducks</t>
  </si>
  <si>
    <t>Auburn Tigers_New Mexico State Aggies</t>
  </si>
  <si>
    <t>Houston Cougars_Oklahoma State Cowboys</t>
  </si>
  <si>
    <t>Texas Tech Red Raiders_UCF Knights</t>
  </si>
  <si>
    <t>2023-11-18T22:00:00.000Z</t>
  </si>
  <si>
    <t>Marshall Thundering Herd_South Alabama Jaguars</t>
  </si>
  <si>
    <t>Georgia Southern Eagles_Old Dominion Monarchs</t>
  </si>
  <si>
    <t>2023-11-18T23:00:00.000Z</t>
  </si>
  <si>
    <t>California Golden Bears_Stanford Cardinal</t>
  </si>
  <si>
    <t>2023-11-18T23:30:00.000Z</t>
  </si>
  <si>
    <t>Boise State Broncos_Utah State Aggies</t>
  </si>
  <si>
    <t>2023-11-19T00:00:00.000Z</t>
  </si>
  <si>
    <t>Oregon State Beavers_Washington Huskies</t>
  </si>
  <si>
    <t>2023-11-19T00:30:00.000Z</t>
  </si>
  <si>
    <t>Kentucky Wildcats_South Carolina Gamecocks</t>
  </si>
  <si>
    <t>Florida Gators_Missouri Tigers</t>
  </si>
  <si>
    <t>Nebraska Cornhuskers_Wisconsin Badgers</t>
  </si>
  <si>
    <t>Arkansas Razorbacks_Florida International Panthers</t>
  </si>
  <si>
    <t>Iowa State Cyclones_Texas Longhorns</t>
  </si>
  <si>
    <t>2023-11-19T01:00:00.000Z</t>
  </si>
  <si>
    <t>Georgia Tech Yellow Jackets_Syracuse Orange</t>
  </si>
  <si>
    <t>Georgia State Panthers_LSU Tigers</t>
  </si>
  <si>
    <t>San Diego State Aztecs_San Jose State Spartans</t>
  </si>
  <si>
    <t>2023-11-19T03:30:00.000Z</t>
  </si>
  <si>
    <t>Fresno State Bulldogs_New Mexico Lobos</t>
  </si>
  <si>
    <t>Mississippi State Bulldogs_Ole Miss Rebels</t>
  </si>
  <si>
    <t>2023-11-24T00:30:00.000Z</t>
  </si>
  <si>
    <t>Oregon Ducks_Oregon State Beavers</t>
  </si>
  <si>
    <t>2023-11-25T01:30:00.000Z</t>
  </si>
  <si>
    <t>LSU Tigers_Texas A&amp;M Aggies</t>
  </si>
  <si>
    <t>Kentucky Wildcats_Louisville Cardinals</t>
  </si>
  <si>
    <t>2023-11-25T18:00:00.000Z</t>
  </si>
  <si>
    <t>Virginia Cavaliers_Virginia Tech Hokies</t>
  </si>
  <si>
    <t>NC State Wolfpack_North Carolina Tar Heels</t>
  </si>
  <si>
    <t>Arizona State Sun Devils_Arizona Wildcats</t>
  </si>
  <si>
    <t>Alabama Crimson Tide_Auburn Tigers</t>
  </si>
  <si>
    <t>2023-11-25T20:30:00.000Z</t>
  </si>
  <si>
    <t>Washington Huskies_Washington State Cougars</t>
  </si>
  <si>
    <t>2023-11-25T21:00:00.000Z</t>
  </si>
  <si>
    <t>Florida Gators_Florida State Seminoles</t>
  </si>
  <si>
    <t>2023-11-26T00:00:00.000Z</t>
  </si>
  <si>
    <t>Clemson Tigers_South Carolina Gamecocks</t>
  </si>
  <si>
    <t>2023-11-26T00:30:00.000Z</t>
  </si>
  <si>
    <t>Liberty Flames_New Mexico State Aggies</t>
  </si>
  <si>
    <t>2023-12-02T00:00:00.000Z</t>
  </si>
  <si>
    <t>Alabama Crimson Tide_Georgia Bulldogs</t>
  </si>
  <si>
    <t>2023-12-02T21:00:00.000Z</t>
  </si>
  <si>
    <t>Danny Sabatello_Raufeon Stots</t>
  </si>
  <si>
    <t>2023-11-17T22:00:00.000Z</t>
  </si>
  <si>
    <t>Alexander Shabliy_Patricky Freire</t>
  </si>
  <si>
    <t>Marcelo Golm_Tyrell Fortune</t>
  </si>
  <si>
    <t>Ali Isaev_Daniel James</t>
  </si>
  <si>
    <t>Denise Kielholtz_Sumiko Inaba</t>
  </si>
  <si>
    <t>Justin Gonzales_Timur Khizriev</t>
  </si>
  <si>
    <t>Archie Colgan_Pieter Buist</t>
  </si>
  <si>
    <t>Mike Hamel_Tim Wilde</t>
  </si>
  <si>
    <t>Islam Mamedov_Killys Mota</t>
  </si>
  <si>
    <t>Patchy Mix_Sergio Pettis</t>
  </si>
  <si>
    <t>2023-11-17T22:30:00.000Z</t>
  </si>
  <si>
    <t>Damon Jackson_Yaroslav Amosov</t>
  </si>
  <si>
    <t>AJ McKee_Sidney Outlaw</t>
  </si>
  <si>
    <t>Alexander Shabliy_Patricky Pitbull</t>
  </si>
  <si>
    <t>2023-11-18T23:45:00.000Z</t>
  </si>
  <si>
    <t>2023-11-19T00:15:00.000Z</t>
  </si>
  <si>
    <t>2023-11-19T00:45:00.000Z</t>
  </si>
  <si>
    <t>"MMA:Parkin:Machado"</t>
  </si>
  <si>
    <t>"MMA:Perez:Pudilova"</t>
  </si>
  <si>
    <t>"MMA:Alexander:Saragih"</t>
  </si>
  <si>
    <t>"MMA:Johnson:Anheliger"</t>
  </si>
  <si>
    <t>"MMA:Pearce:Brito"</t>
  </si>
  <si>
    <t>"MMA:Motta:Ogden"</t>
  </si>
  <si>
    <t>"MMA:Morales:Matthews"</t>
  </si>
  <si>
    <t>"MMA:Ribas:Pinheiro"</t>
  </si>
  <si>
    <t>"MMA:Medic:Parsons"</t>
  </si>
  <si>
    <t>"MMA:Allen:Craig"</t>
  </si>
  <si>
    <t>"MMA:Hooper:Leavitt"</t>
  </si>
  <si>
    <t>"NCAAF:Georgia:Tennessee"</t>
  </si>
  <si>
    <t>"NFL:Commanders:Giants"</t>
  </si>
  <si>
    <t>"NFL:Texans:Cardinals"</t>
  </si>
  <si>
    <t>"NFL:Chargers:Packers"</t>
  </si>
  <si>
    <t>"NFL:Lions:Bears"</t>
  </si>
  <si>
    <t>"NFL:Jaguars:Titans"</t>
  </si>
  <si>
    <t>"NFL:Browns:Steelers"</t>
  </si>
  <si>
    <t>"NFL:Cowboys:Panthers"</t>
  </si>
  <si>
    <t>"NFL:Seahawks:Rams"</t>
  </si>
  <si>
    <t>"NFL:Bills:Jets"</t>
  </si>
  <si>
    <t>"NFL:Broncos:Vikings"</t>
  </si>
  <si>
    <t>"NFL:Chiefs:Eagles"</t>
  </si>
  <si>
    <t>OleMiss Rebels_UL Monroe Warhawks</t>
  </si>
  <si>
    <t>Colorado Buffaloes_WashingtonState Cougars</t>
  </si>
  <si>
    <t>Indiana Hoosiers_MichiganState Spartans</t>
  </si>
  <si>
    <t>MississippiState Bulldogs_Southern Mississippi Golden Eagles</t>
  </si>
  <si>
    <t>PennState Nittany Lions_Rutgers Scarlet Knights</t>
  </si>
  <si>
    <t>Kansas Jayhawks_KansasState Wildcats</t>
  </si>
  <si>
    <t>AppalachianState Mountaineers_James Madison Dukes</t>
  </si>
  <si>
    <t>BallState Cardinals_KentState Golden Flashes</t>
  </si>
  <si>
    <t>JacksonvilleState Gamecocks_Louisiana Tech Bulldogs</t>
  </si>
  <si>
    <t>ArkansasState Red Wolves_TexasState Bobcats</t>
  </si>
  <si>
    <t>ColoradoState Rams_Nevada Wolf Pack</t>
  </si>
  <si>
    <t>NCState Wolfpack_Virginia Tech Hokies</t>
  </si>
  <si>
    <t>Sam HoustonState Bearkats_Western Kentucky Hilltoppers</t>
  </si>
  <si>
    <t>Minnesota Golden Gophers_OhioState Buckeyes</t>
  </si>
  <si>
    <t>ArizonaState Sun Devils_Oregon Ducks</t>
  </si>
  <si>
    <t>Auburn Tigers_New MexicoState Aggies</t>
  </si>
  <si>
    <t>Houston Cougars_OklahomaState Cowboys</t>
  </si>
  <si>
    <t>BoiseState Broncos_UtahState Aggies</t>
  </si>
  <si>
    <t>OregonState Beavers_Washington Huskies</t>
  </si>
  <si>
    <t>IowaState Cyclones_Texas Longhorns</t>
  </si>
  <si>
    <t>GeorgiaState Panthers_LSU Tigers</t>
  </si>
  <si>
    <t>SanDiegoState Aztecs_SanJoseState Spartans</t>
  </si>
  <si>
    <t>FresnoState Bulldogs_New Mexico Lobos</t>
  </si>
  <si>
    <t>SouthFlorida Bulls_UTSA Roadrunners</t>
  </si>
  <si>
    <t>Marshall Thundering Herd_SouthAlabama Jaguars</t>
  </si>
  <si>
    <t>Kentucky Wildcats_SouthCarolina Gamecocks</t>
  </si>
  <si>
    <t>NorthTexas Mean Green_Tulsa Golden Hurricane</t>
  </si>
  <si>
    <t>Clemson Tigers_NorthCarolina Tar Heels</t>
  </si>
  <si>
    <t>TexasTech Red Raiders_UCF Knights</t>
  </si>
  <si>
    <t>NotreDame Fighting Irish_WakeForest Demon Deacons</t>
  </si>
  <si>
    <t>Cincinnati Bearcats_WestVirginia Mountaineers</t>
  </si>
  <si>
    <t>"MMA:Mamedov:Mota"</t>
  </si>
  <si>
    <t>"MMA:Hamel:Wilde"</t>
  </si>
  <si>
    <t>"MMA:Khizriev:Gonzales"</t>
  </si>
  <si>
    <t>"MMA:Inaba:Kielholtz"</t>
  </si>
  <si>
    <t>"MMA:Fortune:Golm"</t>
  </si>
  <si>
    <t>"MMA:Isaev:James"</t>
  </si>
  <si>
    <t>"MMA:Shabliy:Freire"</t>
  </si>
  <si>
    <t>"MMA:Sabatello:Stots"</t>
  </si>
  <si>
    <t>"MMA:Mix:Pettis"</t>
  </si>
  <si>
    <t>"MMA:Shabliy:Pitbull"</t>
  </si>
  <si>
    <t>"MMA:Amosov:Jackson"</t>
  </si>
  <si>
    <t>"MMA:McKee:Outlaw"</t>
  </si>
  <si>
    <t>"MMA:Estevam:Johnson"</t>
  </si>
  <si>
    <t>"NCAAF:WashingtonState:Colorado"</t>
  </si>
  <si>
    <t>"NCAAF:Coastal:Army"</t>
  </si>
  <si>
    <t>"NCAAF:Tulane:Florida"</t>
  </si>
  <si>
    <t>"NCAAF:Navy:East"</t>
  </si>
  <si>
    <t>"NCAAF:MississippiState:Southern"</t>
  </si>
  <si>
    <t>"NCAAF:SMU:Memphis"</t>
  </si>
  <si>
    <t>"NCAAF:Indiana:MichiganState"</t>
  </si>
  <si>
    <t>"NCAAF:Louisville:Miami"</t>
  </si>
  <si>
    <t>"NCAAF:Purdue:Northwestern"</t>
  </si>
  <si>
    <t>"NCAAF:KansasState:Kansas"</t>
  </si>
  <si>
    <t>"NCAAF:JacksonvilleState:Louisiana"</t>
  </si>
  <si>
    <t>"NCAAF:Middle:UTEP"</t>
  </si>
  <si>
    <t>"NCAAF:Rice:Charlotte"</t>
  </si>
  <si>
    <t>"NCAAF:BallState:KentState"</t>
  </si>
  <si>
    <t>"NCAAF:James:AppalachianState"</t>
  </si>
  <si>
    <t>"NCAAF:Wyoming:Hawaii"</t>
  </si>
  <si>
    <t>"NCAAF:WestVirginia:Cincinnati"</t>
  </si>
  <si>
    <t>"NCAAF:Utah:Arizona"</t>
  </si>
  <si>
    <t>"NCAAF:ColoradoState:Nevada"</t>
  </si>
  <si>
    <t>"NCAAF:TexasState:ArkansasState"</t>
  </si>
  <si>
    <t>"NCAAF:Duke:Virginia"</t>
  </si>
  <si>
    <t>"NCAAF:UAB:Temple"</t>
  </si>
  <si>
    <t>"NCAAF:NorthTexas:Tulsa"</t>
  </si>
  <si>
    <t>"NCAAF:Clemson:NorthCarolina"</t>
  </si>
  <si>
    <t>"NCAAF:USC:UCLA"</t>
  </si>
  <si>
    <t>"NCAAF:Western:Sam"</t>
  </si>
  <si>
    <t>"NCAAF:Air:UNLV"</t>
  </si>
  <si>
    <t>"NCAAF:TCU:Baylor"</t>
  </si>
  <si>
    <t>"NCAAF:Iowa:Illinois"</t>
  </si>
  <si>
    <t>"NCAAF:Virginia:NCState"</t>
  </si>
  <si>
    <t>"NCAAF:OklahomaState:Houston"</t>
  </si>
  <si>
    <t>"NCAAF:TexasTech:UCF"</t>
  </si>
  <si>
    <t>"NCAAF:SouthAlabama:Marshall"</t>
  </si>
  <si>
    <t>"NCAAF:Georgia:Old"</t>
  </si>
  <si>
    <t>"NCAAF:California:Stanford"</t>
  </si>
  <si>
    <t>"NCAAF:BoiseState:UtahState"</t>
  </si>
  <si>
    <t>"NCAAF:Missouri:Florida"</t>
  </si>
  <si>
    <t>"NCAAF:Wisconsin:Nebraska"</t>
  </si>
  <si>
    <t>"NCAAF:Kentucky:SouthCarolina"</t>
  </si>
  <si>
    <t>"NCAAF:OregonState:Washington"</t>
  </si>
  <si>
    <t>"NCAAF:Georgia:Syracuse"</t>
  </si>
  <si>
    <t>"NCAAF:Texas:IowaState"</t>
  </si>
  <si>
    <t>Win?</t>
  </si>
  <si>
    <t>AAA</t>
  </si>
  <si>
    <t>ATS-against the spread</t>
  </si>
  <si>
    <t>4days</t>
  </si>
  <si>
    <t>now</t>
  </si>
  <si>
    <t>diff1</t>
  </si>
  <si>
    <t>stub</t>
  </si>
  <si>
    <t>LastFriday</t>
  </si>
  <si>
    <t>DateCheck</t>
  </si>
  <si>
    <t>NextFriday9pm</t>
  </si>
  <si>
    <t>NextTuesday9pm</t>
  </si>
  <si>
    <t>must be between next Friday9pmGMT and next Tues9pmGMT</t>
  </si>
  <si>
    <t>June friday 9pm GMT</t>
  </si>
  <si>
    <t>status</t>
  </si>
  <si>
    <t>bookmaker</t>
  </si>
  <si>
    <t>last_update</t>
  </si>
  <si>
    <t>Pending</t>
  </si>
  <si>
    <t>DraftKings</t>
  </si>
  <si>
    <t>FanDuel</t>
  </si>
  <si>
    <t>LowVig.ag</t>
  </si>
  <si>
    <t>Unibet</t>
  </si>
  <si>
    <t>Bovada</t>
  </si>
  <si>
    <t>Caesars</t>
  </si>
  <si>
    <t>BetOnline.ag</t>
  </si>
  <si>
    <t>BetRivers</t>
  </si>
  <si>
    <t>BetUS</t>
  </si>
  <si>
    <t>BetMGM</t>
  </si>
  <si>
    <t>SuperBook</t>
  </si>
  <si>
    <t>WynnBET</t>
  </si>
  <si>
    <t>Miami (OH) RedHawks_Toledo Rockets</t>
  </si>
  <si>
    <t>2023-12-02T17:00:00.000Z</t>
  </si>
  <si>
    <t>2023-11-16T23:12:09.000Z</t>
  </si>
  <si>
    <t>Detroit Lions_Green Bay Packers</t>
  </si>
  <si>
    <t>2023-11-23T17:31:00.000Z</t>
  </si>
  <si>
    <t>Dallas Cowboys_Washington Commanders</t>
  </si>
  <si>
    <t>2023-11-23T21:31:00.000Z</t>
  </si>
  <si>
    <t>San Francisco 49ers_Seattle Seahawks</t>
  </si>
  <si>
    <t>2023-11-24T01:21:00.000Z</t>
  </si>
  <si>
    <t>Miami Dolphins_New York Jets</t>
  </si>
  <si>
    <t>2023-11-24T20:01:00.000Z</t>
  </si>
  <si>
    <t>New England Patriots_New York Giants</t>
  </si>
  <si>
    <t>2023-11-26T18:01:00.000Z</t>
  </si>
  <si>
    <t>Cincinnati Bengals_Pittsburgh Steelers</t>
  </si>
  <si>
    <t>Carolina Panthers_Tennessee Titans</t>
  </si>
  <si>
    <t>Houston Texans_Jacksonville Jaguars</t>
  </si>
  <si>
    <t>Indianapolis Colts_Tampa Bay Buccaneers</t>
  </si>
  <si>
    <t>Atlanta Falcons_New Orleans Saints</t>
  </si>
  <si>
    <t>Arizona Cardinals_Los Angeles Rams</t>
  </si>
  <si>
    <t>2023-11-26T21:06:00.000Z</t>
  </si>
  <si>
    <t>Cleveland Browns_Denver Broncos</t>
  </si>
  <si>
    <t>Kansas City Chiefs_Las Vegas Raiders</t>
  </si>
  <si>
    <t>2023-11-26T21:26:00.000Z</t>
  </si>
  <si>
    <t>Buffalo Bills_Philadelphia Eagles</t>
  </si>
  <si>
    <t>Baltimore Ravens_Los Angeles Chargers</t>
  </si>
  <si>
    <t>2023-11-27T01:21:00.000Z</t>
  </si>
  <si>
    <t>Chicago Bears_Minnesota Vikings</t>
  </si>
  <si>
    <t>2023-11-28T01:16:00.000Z</t>
  </si>
  <si>
    <t>2023-11-16T23:12:31.000Z</t>
  </si>
  <si>
    <t>2023-11-16T23:12:11.000Z</t>
  </si>
  <si>
    <t>2023-11-16T23:12:14.000Z</t>
  </si>
  <si>
    <t>2023-11-16T23:10:05.000Z</t>
  </si>
  <si>
    <t>Isao Kobayashi_Yves Landu</t>
  </si>
  <si>
    <t>Ramazan Emeev_Randall Wallace</t>
  </si>
  <si>
    <t>2023-11-17T22:15:00.000Z</t>
  </si>
  <si>
    <t>Cody Law_Jefferson Pontes</t>
  </si>
  <si>
    <t>2023-11-17T22:45:00.000Z</t>
  </si>
  <si>
    <t>Jason Jackson_Yaroslav Amosov</t>
  </si>
  <si>
    <t>2023-11-17T23:00:00.000Z</t>
  </si>
  <si>
    <t>Matheus Mattos_Richard Palencia</t>
  </si>
  <si>
    <t>2023-11-17T23:15:00.000Z</t>
  </si>
  <si>
    <t>Keri Taylor Melendez_Sabriye Sengul</t>
  </si>
  <si>
    <t>2023-11-17T23:30:00.000Z</t>
  </si>
  <si>
    <t>2023-11-17T23:45:00.000Z</t>
  </si>
  <si>
    <t>2023-11-18T00:00:00.000Z</t>
  </si>
  <si>
    <t>2023-11-18T00:15:00.000Z</t>
  </si>
  <si>
    <t>2023-11-18T00:30:00.000Z</t>
  </si>
  <si>
    <t>2023-11-18T02:30:00.000Z</t>
  </si>
  <si>
    <t>Christian Leroy Duncan_Denis Tiuliulin</t>
  </si>
  <si>
    <t>2023-11-16T23:12:05.000Z</t>
  </si>
  <si>
    <t>2023-11-16T23:11:39.000Z</t>
  </si>
  <si>
    <t>2023-11-16T23:11:46.000Z</t>
  </si>
  <si>
    <t>2023-11-16T23:11:45.000Z</t>
  </si>
  <si>
    <t>2023-11-16T23:11:38.000Z</t>
  </si>
  <si>
    <t>2023-11-16T23:11:52.000Z</t>
  </si>
  <si>
    <t>2023-11-18T21:20:00.000Z</t>
  </si>
  <si>
    <t>2023-11-18T21:45:00.000Z</t>
  </si>
  <si>
    <t>2023-11-18T22:45:00.000Z</t>
  </si>
  <si>
    <t>Clay Guida_Joaquim Silva</t>
  </si>
  <si>
    <t>2023-12-02T21:10:00.000Z</t>
  </si>
  <si>
    <t>Julia Avila_Miesha Tate</t>
  </si>
  <si>
    <t>Drakkar Klose_Joseph Solecki</t>
  </si>
  <si>
    <t>Jared Gooden_Wellington Turman</t>
  </si>
  <si>
    <t>Cody Brundage_Zachary Reese</t>
  </si>
  <si>
    <t>Melquizael Costa_Steve Garcia Jr.</t>
  </si>
  <si>
    <t>Jamey-Lyn Horth_Veronica Hardy</t>
  </si>
  <si>
    <t>Ihor Potieria_Rodolfo Bellato</t>
  </si>
  <si>
    <t>2023-12-02T21:50:00.000Z</t>
  </si>
  <si>
    <t>Azamat Murzakanov_Khalil Rountree</t>
  </si>
  <si>
    <t>2023-12-03T00:15:00.000Z</t>
  </si>
  <si>
    <t>Dustin Stoltzfus_Punahele Soriano</t>
  </si>
  <si>
    <t>Kelvin Gastelum_Sean Brady</t>
  </si>
  <si>
    <t>2023-12-03T01:15:00.000Z</t>
  </si>
  <si>
    <t>Deiveson Figueiredo_Rob Font</t>
  </si>
  <si>
    <t>2023-12-03T01:45:00.000Z</t>
  </si>
  <si>
    <t>Bobby Green_Daniel Hooker</t>
  </si>
  <si>
    <t>2023-12-03T02:15:00.000Z</t>
  </si>
  <si>
    <t>Arman Tsarukyan_Beneil Dariush</t>
  </si>
  <si>
    <t>2023-12-03T03:00:00.000Z</t>
  </si>
  <si>
    <t>Irene Aldana_Karol Rosa</t>
  </si>
  <si>
    <t>2023-12-17T00:10:00.000Z</t>
  </si>
  <si>
    <t>Brian Kelleher_Cody Garbrandt</t>
  </si>
  <si>
    <t>2023-12-17T00:40:00.000Z</t>
  </si>
  <si>
    <t>Ariane Lipski_Casey O'Neill</t>
  </si>
  <si>
    <t>2023-12-17T01:10:00.000Z</t>
  </si>
  <si>
    <t>Giga Chikadze_Josh Emmett</t>
  </si>
  <si>
    <t>2023-12-17T01:35:00.000Z</t>
  </si>
  <si>
    <t>Ian Garry_Vicente Luque</t>
  </si>
  <si>
    <t>2023-12-17T03:10:00.000Z</t>
  </si>
  <si>
    <t>Paddy Pimblett_Tony Ferguson</t>
  </si>
  <si>
    <t>2023-12-17T03:40:00.000Z</t>
  </si>
  <si>
    <t>Shavkat Rakhmonov_Stephen Thompson</t>
  </si>
  <si>
    <t>2023-12-17T04:10:00.000Z</t>
  </si>
  <si>
    <t>Colby Covington_Leon Edwards</t>
  </si>
  <si>
    <t>2023-12-17T04:45:00.000Z</t>
  </si>
  <si>
    <t>Alexandre Pantoja_Brandon Royval</t>
  </si>
  <si>
    <t>Dricus Du Plessis_Sean Strickland</t>
  </si>
  <si>
    <t>2024-01-21T03:00:00.000Z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</si>
</sst>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#,##0.00;[Red]#,##0.00"/>
    <numFmt numFmtId="165" formatCode="###0;[Red]###0"/>
    <numFmt numFmtId="166" formatCode="[$-409]m/d/yy\ h:mm\ AM/PM;@"/>
    <numFmt numFmtId="167" formatCode="0.0%;[Red]\-0.0%"/>
    <numFmt numFmtId="168" formatCode="#,##0;[Red]#,##0"/>
    <numFmt numFmtId="169" formatCode="0.0000000"/>
  </numFmts>
  <fonts count="13" x14ac:knownFonts="1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rgb="FF006100"/>
      <name val="Calibri"/>
      <family val="2"/>
      <scheme val="minor"/>
    </font>
    <font>
      <b/>
      <sz val="11"/>
      <color theme="1"/>
      <name val="Lato"/>
      <family val="2"/>
    </font>
    <font>
      <b/>
      <sz val="11"/>
      <color rgb="FF006100"/>
      <name val="Calibri"/>
      <family val="2"/>
      <scheme val="minor"/>
    </font>
    <font>
      <sz val="14"/>
      <color rgb="FF000000"/>
      <name val="Calibri"/>
      <family val="2"/>
    </font>
    <font>
      <sz val="12"/>
      <color rgb="FF222222"/>
      <name val="Arial"/>
      <family val="2"/>
    </font>
    <font>
      <sz val="11"/>
      <color rgb="FF22222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color indexed="8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C6EFCE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indexed="22"/>
        <bgColor indexed="0"/>
      </patternFill>
    </fill>
  </fills>
  <borders count="1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</borders>
  <cellStyleXfs count="6">
    <xf numFmtId="0" fontId="0" fillId="0" borderId="0"/>
    <xf numFmtId="0" fontId="1" fillId="2" borderId="0" applyNumberFormat="0" applyBorder="0" applyAlignment="0" applyProtection="0"/>
    <xf numFmtId="0" fontId="3" fillId="0" borderId="0"/>
    <xf numFmtId="0" fontId="4" fillId="3" borderId="0" applyNumberFormat="0" applyBorder="0" applyAlignment="0" applyProtection="0"/>
    <xf numFmtId="9" fontId="10" fillId="0" borderId="0" applyFont="0" applyFill="0" applyBorder="0" applyAlignment="0" applyProtection="0"/>
    <xf numFmtId="0" fontId="12" fillId="0" borderId="0"/>
  </cellStyleXfs>
  <cellXfs count="59">
    <xf numFmtId="0" fontId="0" fillId="0" borderId="0" xfId="0"/>
    <xf numFmtId="0" fontId="2" fillId="0" borderId="0" xfId="0" applyFont="1"/>
    <xf numFmtId="164" fontId="2" fillId="0" borderId="0" xfId="0" applyNumberFormat="1" applyFont="1"/>
    <xf numFmtId="0" fontId="2" fillId="0" borderId="0" xfId="0" applyFont="1" applyAlignment="1">
      <alignment horizontal="right"/>
    </xf>
    <xf numFmtId="0" fontId="1" fillId="0" borderId="0" xfId="1" applyFill="1"/>
    <xf numFmtId="165" fontId="2" fillId="0" borderId="0" xfId="0" applyNumberFormat="1" applyFont="1"/>
    <xf numFmtId="0" fontId="4" fillId="0" borderId="0" xfId="3" applyFill="1"/>
    <xf numFmtId="165" fontId="0" fillId="0" borderId="0" xfId="0" applyNumberFormat="1"/>
    <xf numFmtId="0" fontId="0" fillId="0" borderId="0" xfId="0" applyAlignment="1">
      <alignment horizontal="left"/>
    </xf>
    <xf numFmtId="0" fontId="6" fillId="0" borderId="0" xfId="3" applyFont="1" applyFill="1"/>
    <xf numFmtId="0" fontId="0" fillId="4" borderId="0" xfId="0" applyFill="1"/>
    <xf numFmtId="166" fontId="0" fillId="0" borderId="0" xfId="0" applyNumberFormat="1"/>
    <xf numFmtId="0" fontId="4" fillId="0" borderId="0" xfId="3" applyFill="1" applyBorder="1"/>
    <xf numFmtId="167" fontId="2" fillId="0" borderId="0" xfId="0" applyNumberFormat="1" applyFont="1"/>
    <xf numFmtId="0" fontId="5" fillId="0" borderId="0" xfId="0" applyFont="1"/>
    <xf numFmtId="0" fontId="8" fillId="0" borderId="0" xfId="0" applyFont="1"/>
    <xf numFmtId="2" fontId="0" fillId="0" borderId="0" xfId="0" applyNumberFormat="1"/>
    <xf numFmtId="0" fontId="0" fillId="0" borderId="0" xfId="0" applyAlignment="1">
      <alignment horizontal="right"/>
    </xf>
    <xf numFmtId="0" fontId="0" fillId="5" borderId="1" xfId="0" applyFill="1" applyBorder="1"/>
    <xf numFmtId="0" fontId="9" fillId="5" borderId="2" xfId="0" applyFont="1" applyFill="1" applyBorder="1"/>
    <xf numFmtId="0" fontId="0" fillId="5" borderId="4" xfId="0" applyFill="1" applyBorder="1"/>
    <xf numFmtId="0" fontId="0" fillId="5" borderId="6" xfId="0" applyFill="1" applyBorder="1"/>
    <xf numFmtId="0" fontId="0" fillId="5" borderId="7" xfId="0" applyFill="1" applyBorder="1"/>
    <xf numFmtId="0" fontId="0" fillId="6" borderId="3" xfId="0" applyFill="1" applyBorder="1"/>
    <xf numFmtId="0" fontId="0" fillId="6" borderId="5" xfId="0" applyFill="1" applyBorder="1"/>
    <xf numFmtId="0" fontId="0" fillId="6" borderId="8" xfId="0" applyFill="1" applyBorder="1"/>
    <xf numFmtId="168" fontId="2" fillId="0" borderId="0" xfId="0" applyNumberFormat="1" applyFont="1"/>
    <xf numFmtId="10" fontId="0" fillId="0" borderId="0" xfId="4" applyNumberFormat="1" applyFont="1"/>
    <xf numFmtId="0" fontId="0" fillId="4" borderId="9" xfId="0" applyFill="1" applyBorder="1"/>
    <xf numFmtId="0" fontId="0" fillId="4" borderId="10" xfId="0" applyFill="1" applyBorder="1"/>
    <xf numFmtId="0" fontId="0" fillId="4" borderId="11" xfId="0" applyFill="1" applyBorder="1"/>
    <xf numFmtId="0" fontId="0" fillId="0" borderId="1" xfId="0" applyBorder="1"/>
    <xf numFmtId="0" fontId="2" fillId="0" borderId="2" xfId="0" applyFont="1" applyBorder="1"/>
    <xf numFmtId="0" fontId="0" fillId="0" borderId="2" xfId="0" applyBorder="1"/>
    <xf numFmtId="0" fontId="0" fillId="0" borderId="3" xfId="0" applyBorder="1"/>
    <xf numFmtId="0" fontId="2" fillId="0" borderId="4" xfId="0" applyFont="1" applyBorder="1" applyAlignment="1">
      <alignment horizontal="right"/>
    </xf>
    <xf numFmtId="0" fontId="2" fillId="0" borderId="5" xfId="0" applyFont="1" applyBorder="1" applyAlignment="1">
      <alignment horizontal="right"/>
    </xf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11" fillId="0" borderId="0" xfId="0" applyFont="1"/>
    <xf numFmtId="0" fontId="11" fillId="3" borderId="0" xfId="3" applyFont="1"/>
    <xf numFmtId="0" fontId="11" fillId="0" borderId="0" xfId="1" applyFont="1" applyFill="1"/>
    <xf numFmtId="0" fontId="11" fillId="0" borderId="0" xfId="3" applyFont="1" applyFill="1"/>
    <xf numFmtId="0" fontId="11" fillId="5" borderId="0" xfId="0" applyFont="1" applyFill="1"/>
    <xf numFmtId="0" fontId="9" fillId="5" borderId="0" xfId="0" applyFont="1" applyFill="1"/>
    <xf numFmtId="0" fontId="0" fillId="5" borderId="0" xfId="0" applyFill="1"/>
    <xf numFmtId="166" fontId="2" fillId="0" borderId="0" xfId="0" applyNumberFormat="1" applyFont="1"/>
    <xf numFmtId="168" fontId="0" fillId="0" borderId="0" xfId="0" applyNumberFormat="1"/>
    <xf numFmtId="169" fontId="0" fillId="0" borderId="0" xfId="0" applyNumberFormat="1"/>
    <xf numFmtId="0" fontId="3" fillId="7" borderId="12" xfId="5" applyFont="1" applyFill="1" applyBorder="1" applyAlignment="1">
      <alignment horizontal="center"/>
    </xf>
    <xf numFmtId="0" fontId="3" fillId="0" borderId="13" xfId="5" applyFont="1" applyBorder="1" applyAlignment="1">
      <alignment wrapText="1"/>
    </xf>
    <xf numFmtId="0" fontId="3" fillId="0" borderId="13" xfId="5" applyFont="1" applyBorder="1" applyAlignment="1">
      <alignment horizontal="right" wrapText="1"/>
    </xf>
    <xf numFmtId="2" fontId="3" fillId="0" borderId="13" xfId="5" applyNumberFormat="1" applyFont="1" applyBorder="1" applyAlignment="1">
      <alignment horizontal="right" wrapText="1"/>
    </xf>
    <xf numFmtId="49" fontId="0" fillId="5" borderId="1" xfId="0" applyNumberFormat="1" applyFill="1" applyBorder="1"/>
    <xf numFmtId="49" fontId="0" fillId="5" borderId="4" xfId="0" applyNumberFormat="1" applyFill="1" applyBorder="1"/>
    <xf numFmtId="49" fontId="0" fillId="5" borderId="6" xfId="0" applyNumberFormat="1" applyFill="1" applyBorder="1"/>
  </cellXfs>
  <cellStyles count="6">
    <cellStyle name="Bad" xfId="1" builtinId="27"/>
    <cellStyle name="Excel Built-in Normal" xfId="2" xr:uid="{5CF1FBC3-5FF4-4C75-9E28-0C3DCCB9D487}"/>
    <cellStyle name="Good" xfId="3" builtinId="26"/>
    <cellStyle name="Normal" xfId="0" builtinId="0"/>
    <cellStyle name="Normal_FromMSAccess" xfId="5" xr:uid="{E9B33717-1BAB-4AA3-8A30-805E55A5B4AE}"/>
    <cellStyle name="Percent" xfId="4" builtinId="5"/>
  </cellStyles>
  <dxfs count="0"/>
  <tableStyles count="0" defaultTableStyle="TableStyleMedium2" defaultPivotStyle="PivotStyleLight16"/>
  <colors>
    <mruColors>
      <color rgb="FFF8AAA4"/>
      <color rgb="FFFD5A4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752475</xdr:colOff>
      <xdr:row>0</xdr:row>
      <xdr:rowOff>76201</xdr:rowOff>
    </xdr:from>
    <xdr:to>
      <xdr:col>2</xdr:col>
      <xdr:colOff>977900</xdr:colOff>
      <xdr:row>3</xdr:row>
      <xdr:rowOff>127001</xdr:rowOff>
    </xdr:to>
    <xdr:sp macro="[0]!ExportSettleRefresh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362075" y="76201"/>
          <a:ext cx="2447925" cy="596900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 w="28575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600">
              <a:solidFill>
                <a:sysClr val="windowText" lastClr="000000"/>
              </a:solidFill>
            </a:rPr>
            <a:t>create</a:t>
          </a:r>
          <a:r>
            <a:rPr lang="en-US" sz="1600" baseline="0">
              <a:solidFill>
                <a:sysClr val="windowText" lastClr="000000"/>
              </a:solidFill>
            </a:rPr>
            <a:t> settleRefresh.json</a:t>
          </a:r>
          <a:endParaRPr lang="en-US" sz="16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130175</xdr:colOff>
      <xdr:row>0</xdr:row>
      <xdr:rowOff>95250</xdr:rowOff>
    </xdr:from>
    <xdr:to>
      <xdr:col>7</xdr:col>
      <xdr:colOff>365125</xdr:colOff>
      <xdr:row>3</xdr:row>
      <xdr:rowOff>95250</xdr:rowOff>
    </xdr:to>
    <xdr:sp macro="[0]!ExportOdds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6908800" y="95250"/>
          <a:ext cx="2663825" cy="57150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ln w="254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>
              <a:solidFill>
                <a:sysClr val="windowText" lastClr="000000"/>
              </a:solidFill>
            </a:rPr>
            <a:t>create odds.json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3</xdr:row>
          <xdr:rowOff>95250</xdr:rowOff>
        </xdr:from>
        <xdr:to>
          <xdr:col>10</xdr:col>
          <xdr:colOff>914400</xdr:colOff>
          <xdr:row>7</xdr:row>
          <xdr:rowOff>66675</xdr:rowOff>
        </xdr:to>
        <xdr:sp macro="" textlink="">
          <xdr:nvSpPr>
            <xdr:cNvPr id="5121" name="Button 1" descr="ReplaceSpaces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Replace Space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Eric\AppData\Roaming\Microsoft\Excel\XLSTART\Personal.xlsb" TargetMode="External"/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datefromutc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FA14A35-5646-4206-B7B6-D621BAB42D3F}">
  <we:reference id="wa104380819" version="2.0.0.0" store="en-US" storeType="OMEX"/>
  <we:alternateReferences>
    <we:reference id="WA104380819" version="2.0.0.0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6878E4-921F-4DBB-80B0-BC444177521F}">
  <sheetPr codeName="Sheet10"/>
  <dimension ref="A2:P36"/>
  <sheetViews>
    <sheetView tabSelected="1" zoomScaleNormal="100" workbookViewId="0">
      <selection activeCell="B1" sqref="B1"/>
    </sheetView>
  </sheetViews>
  <sheetFormatPr defaultRowHeight="15" x14ac:dyDescent="0.25"/>
  <cols>
    <col min="2" max="2" width="19.140625" customWidth="1"/>
    <col min="3" max="4" width="17" customWidth="1"/>
    <col min="5" max="5" width="36.7109375" customWidth="1"/>
    <col min="6" max="6" width="20" customWidth="1"/>
    <col min="7" max="7" width="17.42578125" customWidth="1"/>
    <col min="8" max="9" width="19.140625" customWidth="1"/>
    <col min="10" max="10" width="28" customWidth="1"/>
    <col min="11" max="11" width="24.140625" customWidth="1"/>
    <col min="12" max="12" width="23.7109375" customWidth="1"/>
    <col min="13" max="13" width="22.42578125" customWidth="1"/>
  </cols>
  <sheetData>
    <row r="2" spans="1:16" x14ac:dyDescent="0.25">
      <c r="C2" s="2"/>
      <c r="D2" s="2"/>
      <c r="E2" s="2"/>
      <c r="F2" s="14"/>
      <c r="G2" s="5"/>
      <c r="H2" t="s">
        <v>97</v>
      </c>
    </row>
    <row r="3" spans="1:16" x14ac:dyDescent="0.25">
      <c r="F3" s="7" t="s">
        <v>6</v>
      </c>
    </row>
    <row r="4" spans="1:16" ht="15.75" thickBot="1" x14ac:dyDescent="0.3">
      <c r="A4" t="s">
        <v>3</v>
      </c>
      <c r="B4" t="s">
        <v>29</v>
      </c>
      <c r="C4" t="s">
        <v>30</v>
      </c>
      <c r="E4" t="s">
        <v>0</v>
      </c>
      <c r="F4" t="s">
        <v>1</v>
      </c>
      <c r="G4" t="s">
        <v>2</v>
      </c>
      <c r="H4" s="3" t="s">
        <v>7</v>
      </c>
      <c r="J4" s="3" t="s">
        <v>7</v>
      </c>
      <c r="K4" s="3" t="s">
        <v>98</v>
      </c>
      <c r="L4" s="3" t="s">
        <v>99</v>
      </c>
      <c r="M4" s="3" t="s">
        <v>100</v>
      </c>
    </row>
    <row r="5" spans="1:16" x14ac:dyDescent="0.25">
      <c r="A5" s="1">
        <v>0</v>
      </c>
      <c r="B5" t="s">
        <v>37</v>
      </c>
      <c r="C5" t="s">
        <v>10</v>
      </c>
      <c r="D5">
        <v>207</v>
      </c>
      <c r="E5" s="18" t="s">
        <v>460</v>
      </c>
      <c r="F5" s="19">
        <v>1700352899</v>
      </c>
      <c r="G5" s="23">
        <v>17</v>
      </c>
      <c r="H5" s="28">
        <v>0</v>
      </c>
      <c r="I5" s="11">
        <f>F5/86400+25569-5/24</f>
        <v>45248.802071759252</v>
      </c>
      <c r="J5" s="17" t="s">
        <v>310</v>
      </c>
      <c r="K5" s="17" t="str">
        <f ca="1">OFFSET(L5,0,H5)</f>
        <v>Aspinall</v>
      </c>
      <c r="L5" t="s">
        <v>310</v>
      </c>
      <c r="M5" t="s">
        <v>312</v>
      </c>
      <c r="N5">
        <v>0</v>
      </c>
      <c r="O5">
        <f ca="1">IF(J5=K5,0,1)</f>
        <v>0</v>
      </c>
      <c r="P5">
        <f>H5-N5</f>
        <v>0</v>
      </c>
    </row>
    <row r="6" spans="1:16" x14ac:dyDescent="0.25">
      <c r="A6" s="1">
        <v>1</v>
      </c>
      <c r="B6" t="s">
        <v>19</v>
      </c>
      <c r="C6" t="s">
        <v>10</v>
      </c>
      <c r="D6">
        <v>262</v>
      </c>
      <c r="E6" s="20" t="s">
        <v>463</v>
      </c>
      <c r="F6" s="47">
        <v>1700354700</v>
      </c>
      <c r="G6" s="24">
        <v>36</v>
      </c>
      <c r="H6" s="29">
        <v>0</v>
      </c>
      <c r="I6" s="11">
        <f t="shared" ref="I6:I36" si="0">F6/86400+25569-5/24</f>
        <v>45248.822916666664</v>
      </c>
      <c r="J6" s="17" t="s">
        <v>311</v>
      </c>
      <c r="K6" s="17" t="str">
        <f t="shared" ref="K6:K36" ca="1" si="1">OFFSET(L6,0,H6)</f>
        <v>Pereira</v>
      </c>
      <c r="L6" t="s">
        <v>311</v>
      </c>
      <c r="M6" t="s">
        <v>313</v>
      </c>
      <c r="N6">
        <v>0</v>
      </c>
      <c r="O6">
        <f t="shared" ref="O6:O34" ca="1" si="2">IF(J6=K6,0,1)</f>
        <v>0</v>
      </c>
      <c r="P6">
        <f t="shared" ref="P6:P34" si="3">H6-N6</f>
        <v>0</v>
      </c>
    </row>
    <row r="7" spans="1:16" x14ac:dyDescent="0.25">
      <c r="A7" s="1">
        <v>2</v>
      </c>
      <c r="B7" t="s">
        <v>46</v>
      </c>
      <c r="C7" t="s">
        <v>8</v>
      </c>
      <c r="D7">
        <v>330</v>
      </c>
      <c r="E7" s="20" t="s">
        <v>542</v>
      </c>
      <c r="F7" s="48">
        <v>1700337600</v>
      </c>
      <c r="G7" s="24">
        <v>289</v>
      </c>
      <c r="H7" s="29">
        <v>0</v>
      </c>
      <c r="I7" s="11">
        <f t="shared" si="0"/>
        <v>45248.624999999993</v>
      </c>
      <c r="J7" s="17" t="s">
        <v>73</v>
      </c>
      <c r="K7" s="17" t="str">
        <f t="shared" ca="1" si="1"/>
        <v>Alabama</v>
      </c>
      <c r="L7" t="s">
        <v>73</v>
      </c>
      <c r="M7" t="s">
        <v>72</v>
      </c>
      <c r="N7">
        <v>0</v>
      </c>
      <c r="O7">
        <f t="shared" ca="1" si="2"/>
        <v>0</v>
      </c>
      <c r="P7">
        <f t="shared" si="3"/>
        <v>0</v>
      </c>
    </row>
    <row r="8" spans="1:16" x14ac:dyDescent="0.25">
      <c r="A8" s="1">
        <v>3</v>
      </c>
      <c r="B8" t="s">
        <v>45</v>
      </c>
      <c r="C8" t="s">
        <v>8</v>
      </c>
      <c r="D8">
        <v>335</v>
      </c>
      <c r="E8" s="20" t="s">
        <v>541</v>
      </c>
      <c r="F8" s="48">
        <v>1700337600</v>
      </c>
      <c r="G8" s="24">
        <v>149</v>
      </c>
      <c r="H8" s="29">
        <v>0</v>
      </c>
      <c r="I8" s="11">
        <f t="shared" si="0"/>
        <v>45248.624999999993</v>
      </c>
      <c r="J8" s="17" t="s">
        <v>314</v>
      </c>
      <c r="K8" s="17" t="str">
        <f t="shared" ca="1" si="1"/>
        <v>Michigan</v>
      </c>
      <c r="L8" t="s">
        <v>314</v>
      </c>
      <c r="M8" t="s">
        <v>69</v>
      </c>
      <c r="N8">
        <v>0</v>
      </c>
      <c r="O8">
        <f t="shared" ca="1" si="2"/>
        <v>0</v>
      </c>
      <c r="P8">
        <f t="shared" si="3"/>
        <v>0</v>
      </c>
    </row>
    <row r="9" spans="1:16" x14ac:dyDescent="0.25">
      <c r="A9" s="1">
        <v>4</v>
      </c>
      <c r="B9" t="s">
        <v>45</v>
      </c>
      <c r="C9" t="s">
        <v>8</v>
      </c>
      <c r="D9">
        <v>334</v>
      </c>
      <c r="E9" s="20" t="s">
        <v>465</v>
      </c>
      <c r="F9" s="48">
        <v>1700337600</v>
      </c>
      <c r="G9" s="24">
        <v>0</v>
      </c>
      <c r="H9" s="29">
        <v>0</v>
      </c>
      <c r="I9" s="11">
        <f t="shared" si="0"/>
        <v>45248.624999999993</v>
      </c>
      <c r="J9" s="17" t="s">
        <v>315</v>
      </c>
      <c r="K9" s="17" t="str">
        <f t="shared" ca="1" si="1"/>
        <v>Michigan-4.5</v>
      </c>
      <c r="L9" t="s">
        <v>315</v>
      </c>
      <c r="M9" t="s">
        <v>69</v>
      </c>
      <c r="N9">
        <v>0</v>
      </c>
      <c r="O9">
        <f t="shared" ca="1" si="2"/>
        <v>0</v>
      </c>
      <c r="P9">
        <f t="shared" si="3"/>
        <v>0</v>
      </c>
    </row>
    <row r="10" spans="1:16" x14ac:dyDescent="0.25">
      <c r="A10" s="1">
        <v>5</v>
      </c>
      <c r="B10" t="s">
        <v>123</v>
      </c>
      <c r="C10" t="s">
        <v>8</v>
      </c>
      <c r="D10">
        <v>263</v>
      </c>
      <c r="E10" s="20" t="s">
        <v>548</v>
      </c>
      <c r="F10" s="48">
        <v>1700339399</v>
      </c>
      <c r="G10" s="24">
        <v>119</v>
      </c>
      <c r="H10" s="29">
        <v>1</v>
      </c>
      <c r="I10" s="11">
        <f t="shared" si="0"/>
        <v>45248.645821759252</v>
      </c>
      <c r="J10" s="17" t="s">
        <v>21</v>
      </c>
      <c r="K10" s="17" t="str">
        <f t="shared" ca="1" si="1"/>
        <v>TexasTech</v>
      </c>
      <c r="L10" t="s">
        <v>70</v>
      </c>
      <c r="M10" t="s">
        <v>21</v>
      </c>
      <c r="N10">
        <v>1</v>
      </c>
      <c r="O10">
        <f t="shared" ca="1" si="2"/>
        <v>0</v>
      </c>
      <c r="P10">
        <f t="shared" si="3"/>
        <v>0</v>
      </c>
    </row>
    <row r="11" spans="1:16" x14ac:dyDescent="0.25">
      <c r="A11" s="1">
        <v>6</v>
      </c>
      <c r="B11" t="s">
        <v>101</v>
      </c>
      <c r="C11" t="s">
        <v>8</v>
      </c>
      <c r="D11">
        <v>227</v>
      </c>
      <c r="E11" s="20" t="s">
        <v>550</v>
      </c>
      <c r="F11" s="48">
        <v>1700339399</v>
      </c>
      <c r="G11" s="24">
        <v>285</v>
      </c>
      <c r="H11" s="29">
        <v>0</v>
      </c>
      <c r="I11" s="11">
        <f t="shared" si="0"/>
        <v>45248.645821759252</v>
      </c>
      <c r="J11" s="17" t="s">
        <v>74</v>
      </c>
      <c r="K11" s="17" t="str">
        <f t="shared" ca="1" si="1"/>
        <v>Arizona</v>
      </c>
      <c r="L11" t="s">
        <v>74</v>
      </c>
      <c r="M11" t="s">
        <v>91</v>
      </c>
      <c r="N11">
        <v>0</v>
      </c>
      <c r="O11">
        <f t="shared" ca="1" si="2"/>
        <v>0</v>
      </c>
      <c r="P11">
        <f t="shared" si="3"/>
        <v>0</v>
      </c>
    </row>
    <row r="12" spans="1:16" s="4" customFormat="1" x14ac:dyDescent="0.25">
      <c r="A12" s="1">
        <v>7</v>
      </c>
      <c r="B12" t="s">
        <v>104</v>
      </c>
      <c r="C12" t="s">
        <v>8</v>
      </c>
      <c r="D12">
        <v>52</v>
      </c>
      <c r="E12" s="20" t="s">
        <v>549</v>
      </c>
      <c r="F12" s="48">
        <v>1700339399</v>
      </c>
      <c r="G12" s="24">
        <v>283</v>
      </c>
      <c r="H12" s="29">
        <v>1</v>
      </c>
      <c r="I12" s="11">
        <f t="shared" si="0"/>
        <v>45248.645821759252</v>
      </c>
      <c r="J12" s="17" t="s">
        <v>89</v>
      </c>
      <c r="K12" s="17" t="str">
        <f t="shared" ca="1" si="1"/>
        <v>Northwestern</v>
      </c>
      <c r="L12" s="4" t="s">
        <v>316</v>
      </c>
      <c r="M12" s="4" t="s">
        <v>89</v>
      </c>
      <c r="N12">
        <v>1</v>
      </c>
      <c r="O12">
        <f t="shared" ca="1" si="2"/>
        <v>0</v>
      </c>
      <c r="P12">
        <f t="shared" si="3"/>
        <v>0</v>
      </c>
    </row>
    <row r="13" spans="1:16" x14ac:dyDescent="0.25">
      <c r="A13" s="1">
        <v>8</v>
      </c>
      <c r="B13" t="s">
        <v>122</v>
      </c>
      <c r="C13" t="s">
        <v>8</v>
      </c>
      <c r="D13">
        <v>137</v>
      </c>
      <c r="E13" s="20" t="s">
        <v>544</v>
      </c>
      <c r="F13" s="48">
        <v>1700339399</v>
      </c>
      <c r="G13" s="24">
        <v>63</v>
      </c>
      <c r="H13" s="29">
        <v>1</v>
      </c>
      <c r="I13" s="11">
        <f t="shared" si="0"/>
        <v>45248.645821759252</v>
      </c>
      <c r="J13" s="17" t="s">
        <v>317</v>
      </c>
      <c r="K13" s="17" t="str">
        <f t="shared" ca="1" si="1"/>
        <v>UCF</v>
      </c>
      <c r="L13" t="s">
        <v>68</v>
      </c>
      <c r="M13" t="s">
        <v>317</v>
      </c>
      <c r="N13">
        <v>1</v>
      </c>
      <c r="O13">
        <f t="shared" ca="1" si="2"/>
        <v>0</v>
      </c>
      <c r="P13">
        <f t="shared" si="3"/>
        <v>0</v>
      </c>
    </row>
    <row r="14" spans="1:16" x14ac:dyDescent="0.25">
      <c r="A14" s="1">
        <v>9</v>
      </c>
      <c r="B14" t="s">
        <v>102</v>
      </c>
      <c r="C14" t="s">
        <v>8</v>
      </c>
      <c r="D14">
        <v>189</v>
      </c>
      <c r="E14" s="20" t="s">
        <v>547</v>
      </c>
      <c r="F14" s="48">
        <v>1700339399</v>
      </c>
      <c r="G14" s="24">
        <v>257</v>
      </c>
      <c r="H14" s="29">
        <v>0</v>
      </c>
      <c r="I14" s="11">
        <f t="shared" si="0"/>
        <v>45248.645821759252</v>
      </c>
      <c r="J14" s="17" t="s">
        <v>71</v>
      </c>
      <c r="K14" s="17" t="str">
        <f t="shared" ca="1" si="1"/>
        <v>Washington</v>
      </c>
      <c r="L14" t="s">
        <v>71</v>
      </c>
      <c r="M14" t="s">
        <v>65</v>
      </c>
      <c r="N14">
        <v>0</v>
      </c>
      <c r="O14">
        <f t="shared" ca="1" si="2"/>
        <v>0</v>
      </c>
      <c r="P14">
        <f t="shared" si="3"/>
        <v>0</v>
      </c>
    </row>
    <row r="15" spans="1:16" x14ac:dyDescent="0.25">
      <c r="A15" s="1">
        <v>10</v>
      </c>
      <c r="B15" t="s">
        <v>106</v>
      </c>
      <c r="C15" t="s">
        <v>8</v>
      </c>
      <c r="D15">
        <v>190</v>
      </c>
      <c r="E15" s="20" t="s">
        <v>546</v>
      </c>
      <c r="F15" s="48">
        <v>1700339399</v>
      </c>
      <c r="G15" s="24">
        <v>21</v>
      </c>
      <c r="H15" s="29">
        <v>0</v>
      </c>
      <c r="I15" s="11">
        <f t="shared" si="0"/>
        <v>45248.645821759252</v>
      </c>
      <c r="J15" s="17" t="s">
        <v>67</v>
      </c>
      <c r="K15" s="17" t="str">
        <f t="shared" ca="1" si="1"/>
        <v>Iowa</v>
      </c>
      <c r="L15" t="s">
        <v>67</v>
      </c>
      <c r="M15" t="s">
        <v>318</v>
      </c>
      <c r="N15">
        <v>0</v>
      </c>
      <c r="O15">
        <f t="shared" ca="1" si="2"/>
        <v>0</v>
      </c>
      <c r="P15">
        <f t="shared" si="3"/>
        <v>0</v>
      </c>
    </row>
    <row r="16" spans="1:16" x14ac:dyDescent="0.25">
      <c r="A16" s="1">
        <v>11</v>
      </c>
      <c r="B16" t="s">
        <v>103</v>
      </c>
      <c r="C16" t="s">
        <v>8</v>
      </c>
      <c r="D16">
        <v>221</v>
      </c>
      <c r="E16" s="20" t="s">
        <v>545</v>
      </c>
      <c r="F16" s="48">
        <v>1700339399</v>
      </c>
      <c r="G16" s="24">
        <v>15</v>
      </c>
      <c r="H16" s="29">
        <v>1</v>
      </c>
      <c r="I16" s="11">
        <f t="shared" si="0"/>
        <v>45248.645821759252</v>
      </c>
      <c r="J16" s="17" t="s">
        <v>320</v>
      </c>
      <c r="K16" s="17" t="str">
        <f t="shared" ca="1" si="1"/>
        <v>Missouri</v>
      </c>
      <c r="L16" t="s">
        <v>319</v>
      </c>
      <c r="M16" t="s">
        <v>320</v>
      </c>
      <c r="N16">
        <v>1</v>
      </c>
      <c r="O16">
        <f t="shared" ca="1" si="2"/>
        <v>0</v>
      </c>
      <c r="P16">
        <f t="shared" si="3"/>
        <v>0</v>
      </c>
    </row>
    <row r="17" spans="1:16" x14ac:dyDescent="0.25">
      <c r="A17" s="1">
        <v>12</v>
      </c>
      <c r="B17" t="s">
        <v>105</v>
      </c>
      <c r="C17" t="s">
        <v>8</v>
      </c>
      <c r="D17">
        <v>282</v>
      </c>
      <c r="E17" s="20" t="s">
        <v>551</v>
      </c>
      <c r="F17" s="48">
        <v>1700341200</v>
      </c>
      <c r="G17" s="24">
        <v>5</v>
      </c>
      <c r="H17" s="29">
        <v>0</v>
      </c>
      <c r="I17" s="11">
        <f t="shared" si="0"/>
        <v>45248.666666666664</v>
      </c>
      <c r="J17" s="17" t="s">
        <v>321</v>
      </c>
      <c r="K17" s="17" t="str">
        <f t="shared" ca="1" si="1"/>
        <v>Purdue</v>
      </c>
      <c r="L17" t="s">
        <v>321</v>
      </c>
      <c r="M17" t="s">
        <v>66</v>
      </c>
      <c r="N17">
        <v>0</v>
      </c>
      <c r="O17">
        <f t="shared" ca="1" si="2"/>
        <v>0</v>
      </c>
      <c r="P17">
        <f t="shared" si="3"/>
        <v>0</v>
      </c>
    </row>
    <row r="18" spans="1:16" x14ac:dyDescent="0.25">
      <c r="A18" s="1">
        <v>13</v>
      </c>
      <c r="B18" t="s">
        <v>107</v>
      </c>
      <c r="C18" t="s">
        <v>8</v>
      </c>
      <c r="D18">
        <v>154</v>
      </c>
      <c r="E18" s="20" t="s">
        <v>552</v>
      </c>
      <c r="F18" s="48">
        <v>1700344799</v>
      </c>
      <c r="G18" s="24">
        <v>78</v>
      </c>
      <c r="H18" s="29">
        <v>1</v>
      </c>
      <c r="I18" s="11">
        <f t="shared" si="0"/>
        <v>45248.708321759252</v>
      </c>
      <c r="J18" s="17" t="s">
        <v>322</v>
      </c>
      <c r="K18" s="17" t="str">
        <f t="shared" ca="1" si="1"/>
        <v>Auburn</v>
      </c>
      <c r="L18" t="s">
        <v>63</v>
      </c>
      <c r="M18" t="s">
        <v>322</v>
      </c>
      <c r="N18">
        <v>1</v>
      </c>
      <c r="O18">
        <f t="shared" ca="1" si="2"/>
        <v>0</v>
      </c>
      <c r="P18">
        <f t="shared" si="3"/>
        <v>0</v>
      </c>
    </row>
    <row r="19" spans="1:16" x14ac:dyDescent="0.25">
      <c r="A19" s="1">
        <v>14</v>
      </c>
      <c r="B19" t="s">
        <v>108</v>
      </c>
      <c r="C19" t="s">
        <v>8</v>
      </c>
      <c r="D19">
        <v>118</v>
      </c>
      <c r="E19" s="20" t="s">
        <v>553</v>
      </c>
      <c r="F19" s="48">
        <v>1700344799</v>
      </c>
      <c r="G19" s="24">
        <v>51</v>
      </c>
      <c r="H19" s="29">
        <v>1</v>
      </c>
      <c r="I19" s="11">
        <f t="shared" si="0"/>
        <v>45248.708321759252</v>
      </c>
      <c r="J19" s="17" t="s">
        <v>324</v>
      </c>
      <c r="K19" s="17" t="str">
        <f t="shared" ca="1" si="1"/>
        <v>Cincinnati</v>
      </c>
      <c r="L19" t="s">
        <v>323</v>
      </c>
      <c r="M19" t="s">
        <v>324</v>
      </c>
      <c r="N19">
        <v>1</v>
      </c>
      <c r="O19">
        <f t="shared" ca="1" si="2"/>
        <v>0</v>
      </c>
      <c r="P19">
        <f t="shared" si="3"/>
        <v>0</v>
      </c>
    </row>
    <row r="20" spans="1:16" x14ac:dyDescent="0.25">
      <c r="A20" s="1">
        <v>15</v>
      </c>
      <c r="B20" t="s">
        <v>47</v>
      </c>
      <c r="C20" t="s">
        <v>8</v>
      </c>
      <c r="D20">
        <v>168</v>
      </c>
      <c r="E20" s="20" t="s">
        <v>554</v>
      </c>
      <c r="F20" s="48">
        <v>1700348400</v>
      </c>
      <c r="G20" s="24">
        <v>335</v>
      </c>
      <c r="H20" s="29">
        <v>0</v>
      </c>
      <c r="I20" s="11">
        <f t="shared" si="0"/>
        <v>45248.749999999993</v>
      </c>
      <c r="J20" s="17" t="s">
        <v>90</v>
      </c>
      <c r="K20" s="17" t="str">
        <f t="shared" ca="1" si="1"/>
        <v>LSU</v>
      </c>
      <c r="L20" t="s">
        <v>90</v>
      </c>
      <c r="M20" t="s">
        <v>64</v>
      </c>
      <c r="N20">
        <v>0</v>
      </c>
      <c r="O20">
        <f t="shared" ca="1" si="2"/>
        <v>0</v>
      </c>
      <c r="P20">
        <f t="shared" si="3"/>
        <v>0</v>
      </c>
    </row>
    <row r="21" spans="1:16" x14ac:dyDescent="0.25">
      <c r="A21" s="1">
        <v>16</v>
      </c>
      <c r="B21" t="s">
        <v>121</v>
      </c>
      <c r="C21" t="s">
        <v>8</v>
      </c>
      <c r="D21">
        <v>94</v>
      </c>
      <c r="E21" s="20" t="s">
        <v>555</v>
      </c>
      <c r="F21" s="48">
        <v>1700350199</v>
      </c>
      <c r="G21" s="24">
        <v>290</v>
      </c>
      <c r="H21" s="29">
        <v>0</v>
      </c>
      <c r="I21" s="11">
        <f t="shared" si="0"/>
        <v>45248.770821759252</v>
      </c>
      <c r="J21" s="17" t="s">
        <v>325</v>
      </c>
      <c r="K21" s="17" t="str">
        <f t="shared" ca="1" si="1"/>
        <v>Georgia</v>
      </c>
      <c r="L21" t="s">
        <v>325</v>
      </c>
      <c r="M21" t="s">
        <v>28</v>
      </c>
      <c r="N21">
        <v>0</v>
      </c>
      <c r="O21">
        <f t="shared" ca="1" si="2"/>
        <v>0</v>
      </c>
      <c r="P21">
        <f t="shared" si="3"/>
        <v>0</v>
      </c>
    </row>
    <row r="22" spans="1:16" x14ac:dyDescent="0.25">
      <c r="A22" s="1">
        <v>17</v>
      </c>
      <c r="B22" t="s">
        <v>109</v>
      </c>
      <c r="C22" t="s">
        <v>8</v>
      </c>
      <c r="D22">
        <v>236</v>
      </c>
      <c r="E22" s="20" t="s">
        <v>556</v>
      </c>
      <c r="F22" s="48">
        <v>1700352000</v>
      </c>
      <c r="G22" s="24">
        <v>264</v>
      </c>
      <c r="H22" s="29">
        <v>0</v>
      </c>
      <c r="I22" s="11">
        <f t="shared" si="0"/>
        <v>45248.791666666664</v>
      </c>
      <c r="J22" s="17" t="s">
        <v>62</v>
      </c>
      <c r="K22" s="17" t="str">
        <f t="shared" ca="1" si="1"/>
        <v>Texas</v>
      </c>
      <c r="L22" t="s">
        <v>62</v>
      </c>
      <c r="M22" t="s">
        <v>326</v>
      </c>
      <c r="N22">
        <v>0</v>
      </c>
      <c r="O22">
        <f t="shared" ca="1" si="2"/>
        <v>0</v>
      </c>
      <c r="P22">
        <f t="shared" si="3"/>
        <v>0</v>
      </c>
    </row>
    <row r="23" spans="1:16" x14ac:dyDescent="0.25">
      <c r="A23" s="1">
        <v>18</v>
      </c>
      <c r="B23" t="s">
        <v>50</v>
      </c>
      <c r="C23" t="s">
        <v>9</v>
      </c>
      <c r="D23">
        <v>79</v>
      </c>
      <c r="E23" s="20" t="s">
        <v>560</v>
      </c>
      <c r="F23" s="48">
        <v>1700353800</v>
      </c>
      <c r="G23" s="24">
        <v>27</v>
      </c>
      <c r="H23" s="29">
        <v>0</v>
      </c>
      <c r="I23" s="11">
        <f t="shared" si="0"/>
        <v>45248.812499999993</v>
      </c>
      <c r="J23" s="17" t="s">
        <v>85</v>
      </c>
      <c r="K23" s="17" t="str">
        <f t="shared" ca="1" si="1"/>
        <v>Colts</v>
      </c>
      <c r="L23" t="s">
        <v>85</v>
      </c>
      <c r="M23" t="s">
        <v>78</v>
      </c>
      <c r="N23">
        <v>0</v>
      </c>
      <c r="O23">
        <f t="shared" ca="1" si="2"/>
        <v>0</v>
      </c>
      <c r="P23">
        <f t="shared" si="3"/>
        <v>0</v>
      </c>
    </row>
    <row r="24" spans="1:16" x14ac:dyDescent="0.25">
      <c r="A24" s="1">
        <v>19</v>
      </c>
      <c r="B24" t="s">
        <v>53</v>
      </c>
      <c r="C24" t="s">
        <v>9</v>
      </c>
      <c r="D24">
        <v>299</v>
      </c>
      <c r="E24" s="20" t="s">
        <v>558</v>
      </c>
      <c r="F24" s="48">
        <v>1700353800</v>
      </c>
      <c r="G24" s="24">
        <v>201</v>
      </c>
      <c r="H24" s="29">
        <v>1</v>
      </c>
      <c r="I24" s="11">
        <f t="shared" si="0"/>
        <v>45248.812499999993</v>
      </c>
      <c r="J24" s="17" t="s">
        <v>84</v>
      </c>
      <c r="K24" s="17" t="str">
        <f t="shared" ca="1" si="1"/>
        <v>Browns</v>
      </c>
      <c r="L24" t="s">
        <v>83</v>
      </c>
      <c r="M24" t="s">
        <v>84</v>
      </c>
      <c r="N24">
        <v>1</v>
      </c>
      <c r="O24">
        <f t="shared" ca="1" si="2"/>
        <v>0</v>
      </c>
      <c r="P24">
        <f t="shared" si="3"/>
        <v>0</v>
      </c>
    </row>
    <row r="25" spans="1:16" x14ac:dyDescent="0.25">
      <c r="A25" s="1">
        <v>20</v>
      </c>
      <c r="B25" t="s">
        <v>54</v>
      </c>
      <c r="C25" t="s">
        <v>9</v>
      </c>
      <c r="D25">
        <v>72</v>
      </c>
      <c r="E25" s="20" t="s">
        <v>559</v>
      </c>
      <c r="F25" s="48">
        <v>1700353800</v>
      </c>
      <c r="G25" s="24">
        <v>232</v>
      </c>
      <c r="H25" s="29">
        <v>1</v>
      </c>
      <c r="I25" s="11">
        <f t="shared" si="0"/>
        <v>45248.812499999993</v>
      </c>
      <c r="J25" s="17" t="s">
        <v>75</v>
      </c>
      <c r="K25" s="17" t="str">
        <f t="shared" ca="1" si="1"/>
        <v>Texans</v>
      </c>
      <c r="L25" t="s">
        <v>87</v>
      </c>
      <c r="M25" t="s">
        <v>75</v>
      </c>
      <c r="N25">
        <v>1</v>
      </c>
      <c r="O25">
        <f t="shared" ca="1" si="2"/>
        <v>0</v>
      </c>
      <c r="P25">
        <f t="shared" si="3"/>
        <v>0</v>
      </c>
    </row>
    <row r="26" spans="1:16" x14ac:dyDescent="0.25">
      <c r="A26" s="1">
        <v>21</v>
      </c>
      <c r="B26" t="s">
        <v>55</v>
      </c>
      <c r="C26" t="s">
        <v>9</v>
      </c>
      <c r="D26">
        <v>12</v>
      </c>
      <c r="E26" s="20" t="s">
        <v>466</v>
      </c>
      <c r="F26" s="48">
        <v>1700416860</v>
      </c>
      <c r="G26" s="24">
        <v>115</v>
      </c>
      <c r="H26" s="29">
        <v>0</v>
      </c>
      <c r="I26" s="11">
        <f t="shared" si="0"/>
        <v>45249.542361111111</v>
      </c>
      <c r="J26" s="17" t="s">
        <v>327</v>
      </c>
      <c r="K26" s="17" t="str">
        <f t="shared" ca="1" si="1"/>
        <v>Steelers</v>
      </c>
      <c r="L26" t="s">
        <v>327</v>
      </c>
      <c r="M26" t="s">
        <v>82</v>
      </c>
      <c r="N26">
        <v>0</v>
      </c>
      <c r="O26">
        <f t="shared" ca="1" si="2"/>
        <v>0</v>
      </c>
      <c r="P26">
        <f t="shared" si="3"/>
        <v>0</v>
      </c>
    </row>
    <row r="27" spans="1:16" x14ac:dyDescent="0.25">
      <c r="A27" s="1">
        <v>22</v>
      </c>
      <c r="B27" t="s">
        <v>61</v>
      </c>
      <c r="C27" t="s">
        <v>9</v>
      </c>
      <c r="D27">
        <v>121</v>
      </c>
      <c r="E27" s="20" t="s">
        <v>470</v>
      </c>
      <c r="F27" s="48">
        <v>1700416860</v>
      </c>
      <c r="G27" s="24">
        <v>103</v>
      </c>
      <c r="H27" s="29">
        <v>0</v>
      </c>
      <c r="I27" s="11">
        <f t="shared" si="0"/>
        <v>45249.542361111111</v>
      </c>
      <c r="J27" s="17" t="s">
        <v>328</v>
      </c>
      <c r="K27" s="17" t="str">
        <f t="shared" ca="1" si="1"/>
        <v>49ers</v>
      </c>
      <c r="L27" t="s">
        <v>328</v>
      </c>
      <c r="M27" t="s">
        <v>329</v>
      </c>
      <c r="N27">
        <v>0</v>
      </c>
      <c r="O27">
        <f t="shared" ca="1" si="2"/>
        <v>0</v>
      </c>
      <c r="P27">
        <f t="shared" si="3"/>
        <v>0</v>
      </c>
    </row>
    <row r="28" spans="1:16" x14ac:dyDescent="0.25">
      <c r="A28" s="1">
        <v>23</v>
      </c>
      <c r="B28" t="s">
        <v>51</v>
      </c>
      <c r="C28" t="s">
        <v>9</v>
      </c>
      <c r="D28">
        <v>30</v>
      </c>
      <c r="E28" s="20" t="s">
        <v>468</v>
      </c>
      <c r="F28" s="48">
        <v>1700416860</v>
      </c>
      <c r="G28" s="24">
        <v>68</v>
      </c>
      <c r="H28" s="29">
        <v>1</v>
      </c>
      <c r="I28" s="11">
        <f t="shared" si="0"/>
        <v>45249.542361111111</v>
      </c>
      <c r="J28" s="17" t="s">
        <v>79</v>
      </c>
      <c r="K28" s="17" t="str">
        <f t="shared" ca="1" si="1"/>
        <v>Vikings</v>
      </c>
      <c r="L28" t="s">
        <v>81</v>
      </c>
      <c r="M28" t="s">
        <v>79</v>
      </c>
      <c r="N28">
        <v>1</v>
      </c>
      <c r="O28">
        <f t="shared" ca="1" si="2"/>
        <v>0</v>
      </c>
      <c r="P28">
        <f t="shared" si="3"/>
        <v>0</v>
      </c>
    </row>
    <row r="29" spans="1:16" x14ac:dyDescent="0.25">
      <c r="A29" s="1">
        <v>24</v>
      </c>
      <c r="B29" t="s">
        <v>52</v>
      </c>
      <c r="C29" t="s">
        <v>9</v>
      </c>
      <c r="D29">
        <v>214</v>
      </c>
      <c r="E29" s="20" t="s">
        <v>472</v>
      </c>
      <c r="F29" s="48">
        <v>1700416860</v>
      </c>
      <c r="G29" s="24">
        <v>11</v>
      </c>
      <c r="H29" s="29">
        <v>0</v>
      </c>
      <c r="I29" s="11">
        <f t="shared" si="0"/>
        <v>45249.542361111111</v>
      </c>
      <c r="J29" s="17" t="s">
        <v>76</v>
      </c>
      <c r="K29" s="17" t="str">
        <f t="shared" ca="1" si="1"/>
        <v>Buccaneers</v>
      </c>
      <c r="L29" t="s">
        <v>76</v>
      </c>
      <c r="M29" t="s">
        <v>330</v>
      </c>
      <c r="N29">
        <v>0</v>
      </c>
      <c r="O29">
        <f t="shared" ca="1" si="2"/>
        <v>0</v>
      </c>
      <c r="P29">
        <f t="shared" si="3"/>
        <v>0</v>
      </c>
    </row>
    <row r="30" spans="1:16" s="6" customFormat="1" x14ac:dyDescent="0.25">
      <c r="A30" s="9">
        <v>25</v>
      </c>
      <c r="B30" t="s">
        <v>56</v>
      </c>
      <c r="C30" t="s">
        <v>9</v>
      </c>
      <c r="D30">
        <v>71</v>
      </c>
      <c r="E30" s="20" t="s">
        <v>471</v>
      </c>
      <c r="F30" s="48">
        <v>1700416860</v>
      </c>
      <c r="G30" s="24">
        <v>13</v>
      </c>
      <c r="H30" s="29">
        <v>1</v>
      </c>
      <c r="I30" s="11">
        <f t="shared" si="0"/>
        <v>45249.542361111111</v>
      </c>
      <c r="J30" s="17" t="s">
        <v>93</v>
      </c>
      <c r="K30" s="17" t="str">
        <f t="shared" ca="1" si="1"/>
        <v>Cardinals</v>
      </c>
      <c r="L30" s="6" t="s">
        <v>80</v>
      </c>
      <c r="M30" s="6" t="s">
        <v>93</v>
      </c>
      <c r="N30">
        <v>1</v>
      </c>
      <c r="O30">
        <f t="shared" ca="1" si="2"/>
        <v>0</v>
      </c>
      <c r="P30">
        <f t="shared" si="3"/>
        <v>0</v>
      </c>
    </row>
    <row r="31" spans="1:16" x14ac:dyDescent="0.25">
      <c r="A31" s="1">
        <v>26</v>
      </c>
      <c r="B31" t="s">
        <v>57</v>
      </c>
      <c r="C31" t="s">
        <v>9</v>
      </c>
      <c r="D31">
        <v>137</v>
      </c>
      <c r="E31" s="20" t="s">
        <v>469</v>
      </c>
      <c r="F31" s="48">
        <v>1700416860</v>
      </c>
      <c r="G31" s="24">
        <v>36</v>
      </c>
      <c r="H31" s="29">
        <v>0</v>
      </c>
      <c r="I31" s="11">
        <f t="shared" si="0"/>
        <v>45249.542361111111</v>
      </c>
      <c r="J31" s="17" t="s">
        <v>331</v>
      </c>
      <c r="K31" s="17" t="str">
        <f t="shared" ca="1" si="1"/>
        <v>Lions</v>
      </c>
      <c r="L31" t="s">
        <v>331</v>
      </c>
      <c r="M31" t="s">
        <v>94</v>
      </c>
      <c r="N31">
        <v>0</v>
      </c>
      <c r="O31">
        <f t="shared" ca="1" si="2"/>
        <v>0</v>
      </c>
      <c r="P31">
        <f t="shared" si="3"/>
        <v>0</v>
      </c>
    </row>
    <row r="32" spans="1:16" x14ac:dyDescent="0.25">
      <c r="A32" s="1">
        <v>27</v>
      </c>
      <c r="B32" t="s">
        <v>58</v>
      </c>
      <c r="C32" t="s">
        <v>9</v>
      </c>
      <c r="D32">
        <v>254</v>
      </c>
      <c r="E32" s="20" t="s">
        <v>467</v>
      </c>
      <c r="F32" s="48">
        <v>1700416860</v>
      </c>
      <c r="G32" s="24">
        <v>208</v>
      </c>
      <c r="H32" s="29">
        <v>0</v>
      </c>
      <c r="I32" s="11">
        <f t="shared" si="0"/>
        <v>45249.542361111111</v>
      </c>
      <c r="J32" s="17" t="s">
        <v>92</v>
      </c>
      <c r="K32" s="17" t="str">
        <f t="shared" ca="1" si="1"/>
        <v>Seahawks</v>
      </c>
      <c r="L32" t="s">
        <v>92</v>
      </c>
      <c r="M32" t="s">
        <v>77</v>
      </c>
      <c r="N32">
        <v>0</v>
      </c>
      <c r="O32">
        <f t="shared" ca="1" si="2"/>
        <v>0</v>
      </c>
      <c r="P32">
        <f t="shared" si="3"/>
        <v>0</v>
      </c>
    </row>
    <row r="33" spans="1:16" x14ac:dyDescent="0.25">
      <c r="A33" s="1">
        <v>28</v>
      </c>
      <c r="B33" t="s">
        <v>59</v>
      </c>
      <c r="C33" t="s">
        <v>9</v>
      </c>
      <c r="D33">
        <v>300</v>
      </c>
      <c r="E33" s="20" t="s">
        <v>473</v>
      </c>
      <c r="F33" s="48">
        <v>1700429160</v>
      </c>
      <c r="G33" s="24">
        <v>41</v>
      </c>
      <c r="H33" s="29">
        <v>1</v>
      </c>
      <c r="I33" s="11">
        <f t="shared" si="0"/>
        <v>45249.68472222222</v>
      </c>
      <c r="J33" s="17" t="s">
        <v>86</v>
      </c>
      <c r="K33" s="17" t="str">
        <f t="shared" ca="1" si="1"/>
        <v>Raiders</v>
      </c>
      <c r="L33" t="s">
        <v>95</v>
      </c>
      <c r="M33" t="s">
        <v>86</v>
      </c>
      <c r="N33">
        <v>1</v>
      </c>
      <c r="O33">
        <f t="shared" ca="1" si="2"/>
        <v>0</v>
      </c>
      <c r="P33">
        <f t="shared" si="3"/>
        <v>0</v>
      </c>
    </row>
    <row r="34" spans="1:16" x14ac:dyDescent="0.25">
      <c r="A34" s="1">
        <v>29</v>
      </c>
      <c r="B34" t="s">
        <v>60</v>
      </c>
      <c r="C34" t="s">
        <v>9</v>
      </c>
      <c r="D34">
        <v>143</v>
      </c>
      <c r="E34" s="20" t="s">
        <v>474</v>
      </c>
      <c r="F34" s="48">
        <v>1700429160</v>
      </c>
      <c r="G34" s="24">
        <v>265</v>
      </c>
      <c r="H34" s="29">
        <v>1</v>
      </c>
      <c r="I34" s="11">
        <f t="shared" si="0"/>
        <v>45249.68472222222</v>
      </c>
      <c r="J34" s="17" t="s">
        <v>332</v>
      </c>
      <c r="K34" s="17" t="str">
        <f t="shared" ca="1" si="1"/>
        <v>Broncos</v>
      </c>
      <c r="L34" t="s">
        <v>88</v>
      </c>
      <c r="M34" t="s">
        <v>332</v>
      </c>
      <c r="N34">
        <v>1</v>
      </c>
      <c r="O34">
        <f t="shared" ca="1" si="2"/>
        <v>0</v>
      </c>
      <c r="P34">
        <f t="shared" si="3"/>
        <v>0</v>
      </c>
    </row>
    <row r="35" spans="1:16" ht="15.75" x14ac:dyDescent="0.25">
      <c r="A35" s="1">
        <v>30</v>
      </c>
      <c r="C35" t="s">
        <v>564</v>
      </c>
      <c r="D35">
        <v>289</v>
      </c>
      <c r="E35" s="20" t="s">
        <v>475</v>
      </c>
      <c r="F35" s="48">
        <v>1700443260</v>
      </c>
      <c r="G35" s="24">
        <v>0</v>
      </c>
      <c r="H35" s="29">
        <v>2</v>
      </c>
      <c r="I35" s="11">
        <f t="shared" si="0"/>
        <v>45249.847916666666</v>
      </c>
      <c r="J35" s="15"/>
      <c r="K35" s="17">
        <f t="shared" ca="1" si="1"/>
        <v>0</v>
      </c>
      <c r="L35" t="s">
        <v>333</v>
      </c>
      <c r="M35" t="s">
        <v>334</v>
      </c>
    </row>
    <row r="36" spans="1:16" ht="16.5" thickBot="1" x14ac:dyDescent="0.3">
      <c r="A36" s="1">
        <v>31</v>
      </c>
      <c r="C36" t="s">
        <v>564</v>
      </c>
      <c r="D36">
        <v>279</v>
      </c>
      <c r="E36" s="21" t="s">
        <v>476</v>
      </c>
      <c r="F36" s="22">
        <v>1700529359</v>
      </c>
      <c r="G36" s="25">
        <v>0</v>
      </c>
      <c r="H36" s="30">
        <v>2</v>
      </c>
      <c r="I36" s="11">
        <f t="shared" si="0"/>
        <v>45250.84443287037</v>
      </c>
      <c r="J36" s="15"/>
      <c r="K36" s="17">
        <f t="shared" ca="1" si="1"/>
        <v>0</v>
      </c>
      <c r="L36" t="s">
        <v>333</v>
      </c>
      <c r="M36" t="s">
        <v>334</v>
      </c>
    </row>
  </sheetData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82542B-8AD5-492F-8D04-AD353CA34773}">
  <sheetPr codeName="Sheet2"/>
  <dimension ref="A1:O51"/>
  <sheetViews>
    <sheetView zoomScale="75" zoomScaleNormal="75" workbookViewId="0">
      <selection activeCell="D17" sqref="D17"/>
    </sheetView>
  </sheetViews>
  <sheetFormatPr defaultRowHeight="15" x14ac:dyDescent="0.25"/>
  <cols>
    <col min="2" max="2" width="33.28515625" customWidth="1"/>
    <col min="3" max="3" width="17" customWidth="1"/>
    <col min="4" max="4" width="36.7109375" customWidth="1"/>
    <col min="5" max="5" width="20" customWidth="1"/>
    <col min="6" max="6" width="23.140625" customWidth="1"/>
    <col min="7" max="7" width="19.140625" customWidth="1"/>
    <col min="8" max="8" width="22.140625" customWidth="1"/>
    <col min="9" max="9" width="14.7109375" customWidth="1"/>
    <col min="10" max="10" width="37.28515625" bestFit="1" customWidth="1"/>
    <col min="11" max="11" width="39" bestFit="1" customWidth="1"/>
    <col min="12" max="12" width="33.42578125" customWidth="1"/>
  </cols>
  <sheetData>
    <row r="1" spans="1:15" ht="12.75" customHeight="1" x14ac:dyDescent="0.25"/>
    <row r="2" spans="1:15" x14ac:dyDescent="0.25">
      <c r="C2" s="2"/>
      <c r="D2" s="2"/>
      <c r="E2" s="14"/>
      <c r="F2" s="5"/>
    </row>
    <row r="4" spans="1:15" x14ac:dyDescent="0.25">
      <c r="E4" s="7"/>
    </row>
    <row r="5" spans="1:15" x14ac:dyDescent="0.25">
      <c r="E5" s="7"/>
    </row>
    <row r="6" spans="1:15" x14ac:dyDescent="0.25">
      <c r="E6" s="7" t="s">
        <v>6</v>
      </c>
      <c r="I6" t="s">
        <v>574</v>
      </c>
    </row>
    <row r="7" spans="1:15" ht="15.75" thickBot="1" x14ac:dyDescent="0.3">
      <c r="A7" t="s">
        <v>3</v>
      </c>
      <c r="B7" s="3" t="s">
        <v>29</v>
      </c>
      <c r="C7" s="3" t="s">
        <v>30</v>
      </c>
      <c r="D7" s="3" t="s">
        <v>0</v>
      </c>
      <c r="E7" s="3" t="s">
        <v>1</v>
      </c>
      <c r="F7" s="3" t="s">
        <v>2</v>
      </c>
      <c r="H7" t="s">
        <v>96</v>
      </c>
      <c r="I7" s="3" t="s">
        <v>571</v>
      </c>
    </row>
    <row r="8" spans="1:15" x14ac:dyDescent="0.25">
      <c r="A8" s="1">
        <v>0</v>
      </c>
      <c r="B8" t="s">
        <v>40</v>
      </c>
      <c r="C8" t="s">
        <v>10</v>
      </c>
      <c r="D8" s="56" t="s">
        <v>464</v>
      </c>
      <c r="E8" s="19">
        <v>1700351100</v>
      </c>
      <c r="F8" s="23">
        <v>155</v>
      </c>
      <c r="G8" s="2">
        <v>1.48</v>
      </c>
      <c r="H8" s="11">
        <f>E8/86400+25569-6/24</f>
        <v>45248.739583333328</v>
      </c>
      <c r="I8">
        <f>IF(AND(E8&gt;E$48,E$49&gt;E8),0,1)</f>
        <v>0</v>
      </c>
      <c r="J8" s="26"/>
      <c r="K8">
        <v>0</v>
      </c>
      <c r="L8" t="str">
        <f>D8</f>
        <v>"MMA:Hooper:Leavitt"</v>
      </c>
    </row>
    <row r="9" spans="1:15" x14ac:dyDescent="0.25">
      <c r="A9" s="1">
        <v>1</v>
      </c>
      <c r="B9" t="s">
        <v>39</v>
      </c>
      <c r="C9" t="s">
        <v>10</v>
      </c>
      <c r="D9" s="57" t="s">
        <v>460</v>
      </c>
      <c r="E9" s="47">
        <v>1700352899</v>
      </c>
      <c r="F9" s="24">
        <v>231</v>
      </c>
      <c r="G9" s="2">
        <v>1.33</v>
      </c>
      <c r="H9" s="11">
        <f t="shared" ref="H9:H39" si="0">E9/86400+25569-6/24</f>
        <v>45248.760405092587</v>
      </c>
      <c r="I9">
        <f t="shared" ref="I9:I39" si="1">IF(AND(E9&gt;E$48,E$49&gt;E9),0,1)</f>
        <v>0</v>
      </c>
      <c r="J9" s="26"/>
    </row>
    <row r="10" spans="1:15" x14ac:dyDescent="0.25">
      <c r="A10" s="1">
        <v>2</v>
      </c>
      <c r="B10" t="s">
        <v>41</v>
      </c>
      <c r="C10" t="s">
        <v>10</v>
      </c>
      <c r="D10" s="57" t="s">
        <v>463</v>
      </c>
      <c r="E10" s="48">
        <v>1700354700</v>
      </c>
      <c r="F10" s="24">
        <v>289</v>
      </c>
      <c r="G10" s="2">
        <v>1.23</v>
      </c>
      <c r="H10" s="11">
        <f t="shared" si="0"/>
        <v>45248.78125</v>
      </c>
      <c r="I10">
        <f t="shared" si="1"/>
        <v>0</v>
      </c>
      <c r="J10" s="26"/>
    </row>
    <row r="11" spans="1:15" x14ac:dyDescent="0.25">
      <c r="A11" s="1">
        <v>3</v>
      </c>
      <c r="B11" t="s">
        <v>478</v>
      </c>
      <c r="C11" t="s">
        <v>8</v>
      </c>
      <c r="D11" s="57" t="s">
        <v>521</v>
      </c>
      <c r="E11" s="48">
        <v>1700278200</v>
      </c>
      <c r="F11" s="24">
        <v>134</v>
      </c>
      <c r="G11" s="2">
        <v>1.53</v>
      </c>
      <c r="H11" s="11">
        <f t="shared" si="0"/>
        <v>45247.895833333328</v>
      </c>
      <c r="I11">
        <f t="shared" si="1"/>
        <v>0</v>
      </c>
      <c r="J11" s="26"/>
    </row>
    <row r="12" spans="1:15" x14ac:dyDescent="0.25">
      <c r="A12" s="1">
        <v>4</v>
      </c>
      <c r="B12" t="s">
        <v>479</v>
      </c>
      <c r="C12" t="s">
        <v>8</v>
      </c>
      <c r="D12" s="57" t="s">
        <v>527</v>
      </c>
      <c r="E12" s="48">
        <v>1700326800</v>
      </c>
      <c r="F12" s="24">
        <v>115</v>
      </c>
      <c r="G12" s="2">
        <v>1.57</v>
      </c>
      <c r="H12" s="11">
        <f t="shared" si="0"/>
        <v>45248.458333333328</v>
      </c>
      <c r="I12">
        <f t="shared" si="1"/>
        <v>0</v>
      </c>
      <c r="J12" s="26"/>
    </row>
    <row r="13" spans="1:15" x14ac:dyDescent="0.25">
      <c r="A13" s="1">
        <v>5</v>
      </c>
      <c r="B13" t="s">
        <v>346</v>
      </c>
      <c r="C13" t="s">
        <v>8</v>
      </c>
      <c r="D13" s="57" t="s">
        <v>528</v>
      </c>
      <c r="E13" s="48">
        <v>1700326800</v>
      </c>
      <c r="F13" s="24">
        <v>0</v>
      </c>
      <c r="G13" s="2">
        <v>1.91</v>
      </c>
      <c r="H13" s="11">
        <f t="shared" si="0"/>
        <v>45248.458333333328</v>
      </c>
      <c r="I13">
        <f t="shared" si="1"/>
        <v>0</v>
      </c>
      <c r="J13" s="26"/>
    </row>
    <row r="14" spans="1:15" x14ac:dyDescent="0.25">
      <c r="A14" s="1">
        <v>6</v>
      </c>
      <c r="B14" t="s">
        <v>482</v>
      </c>
      <c r="C14" t="s">
        <v>8</v>
      </c>
      <c r="D14" s="57" t="s">
        <v>530</v>
      </c>
      <c r="E14" s="48">
        <v>1700330400</v>
      </c>
      <c r="F14" s="24">
        <v>259</v>
      </c>
      <c r="G14" s="2">
        <v>1.28</v>
      </c>
      <c r="H14" s="11">
        <f t="shared" si="0"/>
        <v>45248.5</v>
      </c>
      <c r="I14">
        <f t="shared" si="1"/>
        <v>0</v>
      </c>
      <c r="J14" s="26"/>
    </row>
    <row r="15" spans="1:15" s="4" customFormat="1" x14ac:dyDescent="0.25">
      <c r="A15" s="1">
        <v>7</v>
      </c>
      <c r="B15" t="s">
        <v>507</v>
      </c>
      <c r="C15" t="s">
        <v>8</v>
      </c>
      <c r="D15" s="57" t="s">
        <v>537</v>
      </c>
      <c r="E15" s="48">
        <v>1700335800</v>
      </c>
      <c r="F15" s="24">
        <v>197</v>
      </c>
      <c r="G15" s="2">
        <v>1.39</v>
      </c>
      <c r="H15" s="11">
        <f t="shared" si="0"/>
        <v>45248.5625</v>
      </c>
      <c r="I15">
        <f t="shared" si="1"/>
        <v>0</v>
      </c>
      <c r="J15" s="26"/>
      <c r="K15"/>
      <c r="L15"/>
      <c r="M15"/>
      <c r="N15"/>
      <c r="O15"/>
    </row>
    <row r="16" spans="1:15" x14ac:dyDescent="0.25">
      <c r="A16" s="1">
        <v>8</v>
      </c>
      <c r="B16" t="s">
        <v>369</v>
      </c>
      <c r="C16" t="s">
        <v>8</v>
      </c>
      <c r="D16" s="57" t="s">
        <v>538</v>
      </c>
      <c r="E16" s="48">
        <v>1700335800</v>
      </c>
      <c r="F16" s="24">
        <v>0</v>
      </c>
      <c r="G16" s="2">
        <v>1.89</v>
      </c>
      <c r="H16" s="11">
        <f t="shared" si="0"/>
        <v>45248.5625</v>
      </c>
      <c r="I16">
        <f t="shared" si="1"/>
        <v>0</v>
      </c>
      <c r="J16" s="26"/>
    </row>
    <row r="17" spans="1:10" x14ac:dyDescent="0.25">
      <c r="A17" s="1">
        <v>9</v>
      </c>
      <c r="B17" t="s">
        <v>372</v>
      </c>
      <c r="C17" t="s">
        <v>8</v>
      </c>
      <c r="D17" s="57" t="s">
        <v>541</v>
      </c>
      <c r="E17" s="48">
        <v>1700337600</v>
      </c>
      <c r="F17" s="24">
        <v>112</v>
      </c>
      <c r="G17" s="2">
        <v>1.58</v>
      </c>
      <c r="H17" s="11">
        <f t="shared" si="0"/>
        <v>45248.583333333328</v>
      </c>
      <c r="I17">
        <f t="shared" si="1"/>
        <v>0</v>
      </c>
      <c r="J17" s="26"/>
    </row>
    <row r="18" spans="1:10" x14ac:dyDescent="0.25">
      <c r="A18" s="1">
        <v>10</v>
      </c>
      <c r="B18" t="s">
        <v>504</v>
      </c>
      <c r="C18" t="s">
        <v>8</v>
      </c>
      <c r="D18" s="57" t="s">
        <v>544</v>
      </c>
      <c r="E18" s="48">
        <v>1700339399</v>
      </c>
      <c r="F18" s="24">
        <v>227</v>
      </c>
      <c r="G18" s="2">
        <v>1.34</v>
      </c>
      <c r="H18" s="11">
        <f t="shared" si="0"/>
        <v>45248.604155092587</v>
      </c>
      <c r="I18">
        <f t="shared" si="1"/>
        <v>0</v>
      </c>
      <c r="J18" s="26"/>
    </row>
    <row r="19" spans="1:10" x14ac:dyDescent="0.25">
      <c r="A19" s="1">
        <v>11</v>
      </c>
      <c r="B19" t="s">
        <v>42</v>
      </c>
      <c r="C19" t="s">
        <v>8</v>
      </c>
      <c r="D19" s="57" t="s">
        <v>465</v>
      </c>
      <c r="E19" s="48">
        <v>1700339399</v>
      </c>
      <c r="F19" s="24">
        <v>280</v>
      </c>
      <c r="G19" s="2">
        <v>1.25</v>
      </c>
      <c r="H19" s="11">
        <f t="shared" si="0"/>
        <v>45248.604155092587</v>
      </c>
      <c r="I19">
        <f t="shared" si="1"/>
        <v>0</v>
      </c>
      <c r="J19" s="26"/>
    </row>
    <row r="20" spans="1:10" x14ac:dyDescent="0.25">
      <c r="A20" s="1">
        <v>12</v>
      </c>
      <c r="B20" t="s">
        <v>380</v>
      </c>
      <c r="C20" t="s">
        <v>8</v>
      </c>
      <c r="D20" s="57" t="s">
        <v>545</v>
      </c>
      <c r="E20" s="48">
        <v>1700339399</v>
      </c>
      <c r="F20" s="24">
        <v>195</v>
      </c>
      <c r="G20" s="2">
        <v>1.39</v>
      </c>
      <c r="H20" s="11">
        <f t="shared" si="0"/>
        <v>45248.604155092587</v>
      </c>
      <c r="I20">
        <f t="shared" si="1"/>
        <v>0</v>
      </c>
      <c r="J20" s="26"/>
    </row>
    <row r="21" spans="1:10" x14ac:dyDescent="0.25">
      <c r="A21" s="1">
        <v>13</v>
      </c>
      <c r="B21" t="s">
        <v>385</v>
      </c>
      <c r="C21" t="s">
        <v>8</v>
      </c>
      <c r="D21" s="57" t="s">
        <v>548</v>
      </c>
      <c r="E21" s="48">
        <v>1700339399</v>
      </c>
      <c r="F21" s="24">
        <v>321</v>
      </c>
      <c r="G21" s="2">
        <v>1.19</v>
      </c>
      <c r="H21" s="11">
        <f t="shared" si="0"/>
        <v>45248.604155092587</v>
      </c>
      <c r="I21">
        <f t="shared" si="1"/>
        <v>0</v>
      </c>
      <c r="J21" s="26"/>
    </row>
    <row r="22" spans="1:10" x14ac:dyDescent="0.25">
      <c r="A22" s="1">
        <v>14</v>
      </c>
      <c r="B22" t="s">
        <v>381</v>
      </c>
      <c r="C22" t="s">
        <v>8</v>
      </c>
      <c r="D22" s="57" t="s">
        <v>549</v>
      </c>
      <c r="E22" s="48">
        <v>1700339399</v>
      </c>
      <c r="F22" s="24">
        <v>85</v>
      </c>
      <c r="G22" s="2">
        <v>1.65</v>
      </c>
      <c r="H22" s="11">
        <f t="shared" si="0"/>
        <v>45248.604155092587</v>
      </c>
      <c r="I22">
        <f t="shared" si="1"/>
        <v>0</v>
      </c>
      <c r="J22" s="26"/>
    </row>
    <row r="23" spans="1:10" x14ac:dyDescent="0.25">
      <c r="A23" s="1">
        <v>15</v>
      </c>
      <c r="B23" t="s">
        <v>397</v>
      </c>
      <c r="C23" t="s">
        <v>8</v>
      </c>
      <c r="D23" s="57" t="s">
        <v>555</v>
      </c>
      <c r="E23" s="48">
        <v>1700350199</v>
      </c>
      <c r="F23" s="24">
        <v>202</v>
      </c>
      <c r="G23" s="2">
        <v>1.38</v>
      </c>
      <c r="H23" s="11">
        <f t="shared" si="0"/>
        <v>45248.729155092587</v>
      </c>
      <c r="I23">
        <f t="shared" si="1"/>
        <v>0</v>
      </c>
      <c r="J23" s="26"/>
    </row>
    <row r="24" spans="1:10" x14ac:dyDescent="0.25">
      <c r="A24" s="1">
        <v>16</v>
      </c>
      <c r="B24" t="s">
        <v>494</v>
      </c>
      <c r="C24" t="s">
        <v>8</v>
      </c>
      <c r="D24" s="57" t="s">
        <v>556</v>
      </c>
      <c r="E24" s="48">
        <v>1700352000</v>
      </c>
      <c r="F24" s="24">
        <v>112</v>
      </c>
      <c r="G24" s="2">
        <v>1.58</v>
      </c>
      <c r="H24" s="11">
        <f t="shared" si="0"/>
        <v>45248.75</v>
      </c>
      <c r="I24">
        <f t="shared" si="1"/>
        <v>0</v>
      </c>
      <c r="J24" s="26"/>
    </row>
    <row r="25" spans="1:10" x14ac:dyDescent="0.25">
      <c r="A25" s="1">
        <v>17</v>
      </c>
      <c r="B25" t="s">
        <v>404</v>
      </c>
      <c r="C25" t="s">
        <v>8</v>
      </c>
      <c r="D25" s="57" t="s">
        <v>557</v>
      </c>
      <c r="E25" s="48">
        <v>1700353800</v>
      </c>
      <c r="F25" s="24">
        <v>288</v>
      </c>
      <c r="G25" s="2">
        <v>1.24</v>
      </c>
      <c r="H25" s="11">
        <f t="shared" si="0"/>
        <v>45248.770833333328</v>
      </c>
      <c r="I25">
        <f t="shared" si="1"/>
        <v>0</v>
      </c>
      <c r="J25" s="26"/>
    </row>
    <row r="26" spans="1:10" x14ac:dyDescent="0.25">
      <c r="A26" s="1">
        <v>18</v>
      </c>
      <c r="B26" t="s">
        <v>502</v>
      </c>
      <c r="C26" t="s">
        <v>8</v>
      </c>
      <c r="D26" s="57" t="s">
        <v>559</v>
      </c>
      <c r="E26" s="48">
        <v>1700353800</v>
      </c>
      <c r="F26" s="24">
        <v>15</v>
      </c>
      <c r="G26" s="2">
        <v>1.86</v>
      </c>
      <c r="H26" s="11">
        <f t="shared" si="0"/>
        <v>45248.770833333328</v>
      </c>
      <c r="I26">
        <f t="shared" si="1"/>
        <v>0</v>
      </c>
      <c r="J26" s="26"/>
    </row>
    <row r="27" spans="1:10" x14ac:dyDescent="0.25">
      <c r="A27" s="1">
        <v>19</v>
      </c>
      <c r="B27" t="s">
        <v>495</v>
      </c>
      <c r="C27" t="s">
        <v>8</v>
      </c>
      <c r="D27" s="57" t="s">
        <v>560</v>
      </c>
      <c r="E27" s="48">
        <v>1700353800</v>
      </c>
      <c r="F27" s="24">
        <v>19</v>
      </c>
      <c r="G27" s="2">
        <v>1.84</v>
      </c>
      <c r="H27" s="11">
        <f t="shared" si="0"/>
        <v>45248.770833333328</v>
      </c>
      <c r="I27">
        <f t="shared" si="1"/>
        <v>0</v>
      </c>
      <c r="J27" s="26"/>
    </row>
    <row r="28" spans="1:10" x14ac:dyDescent="0.25">
      <c r="A28" s="1">
        <v>20</v>
      </c>
      <c r="B28" t="s">
        <v>496</v>
      </c>
      <c r="C28" t="s">
        <v>8</v>
      </c>
      <c r="D28" s="57" t="s">
        <v>562</v>
      </c>
      <c r="E28" s="48">
        <v>1700355599</v>
      </c>
      <c r="F28" s="24">
        <v>232</v>
      </c>
      <c r="G28" s="26">
        <v>1.33</v>
      </c>
      <c r="H28" s="11">
        <f t="shared" si="0"/>
        <v>45248.791655092587</v>
      </c>
      <c r="I28">
        <f t="shared" si="1"/>
        <v>0</v>
      </c>
      <c r="J28" s="26"/>
    </row>
    <row r="29" spans="1:10" x14ac:dyDescent="0.25">
      <c r="A29" s="1">
        <v>21</v>
      </c>
      <c r="B29" t="s">
        <v>136</v>
      </c>
      <c r="C29" t="s">
        <v>9</v>
      </c>
      <c r="D29" s="57" t="s">
        <v>469</v>
      </c>
      <c r="E29" s="48">
        <v>1700416860</v>
      </c>
      <c r="F29" s="24">
        <v>278</v>
      </c>
      <c r="G29" s="26">
        <v>1.25</v>
      </c>
      <c r="H29" s="11">
        <f t="shared" si="0"/>
        <v>45249.500694444447</v>
      </c>
      <c r="I29">
        <f t="shared" si="1"/>
        <v>0</v>
      </c>
      <c r="J29" s="26"/>
    </row>
    <row r="30" spans="1:10" x14ac:dyDescent="0.25">
      <c r="A30" s="1">
        <v>22</v>
      </c>
      <c r="B30" t="s">
        <v>128</v>
      </c>
      <c r="C30" t="s">
        <v>9</v>
      </c>
      <c r="D30" s="57" t="s">
        <v>468</v>
      </c>
      <c r="E30" s="48">
        <v>1700416860</v>
      </c>
      <c r="F30" s="24">
        <v>108</v>
      </c>
      <c r="G30" s="26">
        <v>1.59</v>
      </c>
      <c r="H30" s="11">
        <f t="shared" si="0"/>
        <v>45249.500694444447</v>
      </c>
      <c r="I30">
        <f t="shared" si="1"/>
        <v>0</v>
      </c>
      <c r="J30" s="26"/>
    </row>
    <row r="31" spans="1:10" x14ac:dyDescent="0.25">
      <c r="A31" s="1">
        <v>23</v>
      </c>
      <c r="B31" t="s">
        <v>130</v>
      </c>
      <c r="C31" t="s">
        <v>9</v>
      </c>
      <c r="D31" s="57" t="s">
        <v>470</v>
      </c>
      <c r="E31" s="48">
        <v>1700416860</v>
      </c>
      <c r="F31" s="24">
        <v>236</v>
      </c>
      <c r="G31" s="26">
        <v>1.32</v>
      </c>
      <c r="H31" s="11">
        <f t="shared" si="0"/>
        <v>45249.500694444447</v>
      </c>
      <c r="I31">
        <f t="shared" si="1"/>
        <v>0</v>
      </c>
      <c r="J31" s="26"/>
    </row>
    <row r="32" spans="1:10" x14ac:dyDescent="0.25">
      <c r="A32" s="1">
        <v>24</v>
      </c>
      <c r="B32" t="s">
        <v>132</v>
      </c>
      <c r="C32" t="s">
        <v>9</v>
      </c>
      <c r="D32" s="57" t="s">
        <v>472</v>
      </c>
      <c r="E32" s="48">
        <v>1700416860</v>
      </c>
      <c r="F32" s="24">
        <v>331</v>
      </c>
      <c r="G32" s="26">
        <v>1.17</v>
      </c>
      <c r="H32" s="11">
        <f t="shared" si="0"/>
        <v>45249.500694444447</v>
      </c>
      <c r="I32">
        <f t="shared" si="1"/>
        <v>0</v>
      </c>
      <c r="J32" s="26"/>
    </row>
    <row r="33" spans="1:15" s="6" customFormat="1" x14ac:dyDescent="0.25">
      <c r="A33" s="1">
        <v>25</v>
      </c>
      <c r="B33" t="s">
        <v>134</v>
      </c>
      <c r="C33" t="s">
        <v>9</v>
      </c>
      <c r="D33" s="57" t="s">
        <v>471</v>
      </c>
      <c r="E33" s="48">
        <v>1700416860</v>
      </c>
      <c r="F33" s="24">
        <v>13</v>
      </c>
      <c r="G33" s="26">
        <v>1.86</v>
      </c>
      <c r="H33" s="11">
        <f t="shared" si="0"/>
        <v>45249.500694444447</v>
      </c>
      <c r="I33">
        <f t="shared" si="1"/>
        <v>0</v>
      </c>
      <c r="J33" s="26"/>
      <c r="K33"/>
      <c r="L33"/>
      <c r="M33"/>
      <c r="N33"/>
      <c r="O33"/>
    </row>
    <row r="34" spans="1:15" x14ac:dyDescent="0.25">
      <c r="A34" s="1">
        <v>26</v>
      </c>
      <c r="B34" t="s">
        <v>135</v>
      </c>
      <c r="C34" t="s">
        <v>9</v>
      </c>
      <c r="D34" s="57" t="s">
        <v>466</v>
      </c>
      <c r="E34" s="48">
        <v>1700416860</v>
      </c>
      <c r="F34" s="24">
        <v>295</v>
      </c>
      <c r="G34" s="26">
        <v>1.22</v>
      </c>
      <c r="H34" s="11">
        <f t="shared" si="0"/>
        <v>45249.500694444447</v>
      </c>
      <c r="I34">
        <f t="shared" si="1"/>
        <v>0</v>
      </c>
      <c r="J34" s="26"/>
    </row>
    <row r="35" spans="1:15" x14ac:dyDescent="0.25">
      <c r="A35" s="1">
        <v>27</v>
      </c>
      <c r="B35" t="s">
        <v>133</v>
      </c>
      <c r="C35" t="s">
        <v>9</v>
      </c>
      <c r="D35" s="57" t="s">
        <v>467</v>
      </c>
      <c r="E35" s="48">
        <v>1700416860</v>
      </c>
      <c r="F35" s="24">
        <v>173</v>
      </c>
      <c r="G35" s="26">
        <v>1.44</v>
      </c>
      <c r="H35" s="11">
        <f t="shared" si="0"/>
        <v>45249.500694444447</v>
      </c>
      <c r="I35">
        <f t="shared" si="1"/>
        <v>0</v>
      </c>
      <c r="J35" s="26"/>
    </row>
    <row r="36" spans="1:15" x14ac:dyDescent="0.25">
      <c r="A36" s="1">
        <v>28</v>
      </c>
      <c r="B36" t="s">
        <v>141</v>
      </c>
      <c r="C36" t="s">
        <v>9</v>
      </c>
      <c r="D36" s="57" t="s">
        <v>473</v>
      </c>
      <c r="E36" s="48">
        <v>1700429160</v>
      </c>
      <c r="F36" s="24">
        <v>11</v>
      </c>
      <c r="G36" s="26">
        <v>1.87</v>
      </c>
      <c r="H36" s="11">
        <f t="shared" si="0"/>
        <v>45249.643055555556</v>
      </c>
      <c r="I36">
        <f t="shared" si="1"/>
        <v>0</v>
      </c>
      <c r="J36" s="26"/>
    </row>
    <row r="37" spans="1:15" x14ac:dyDescent="0.25">
      <c r="A37" s="1">
        <v>29</v>
      </c>
      <c r="B37" t="s">
        <v>139</v>
      </c>
      <c r="C37" t="s">
        <v>9</v>
      </c>
      <c r="D37" s="57" t="s">
        <v>474</v>
      </c>
      <c r="E37" s="48">
        <v>1700429160</v>
      </c>
      <c r="F37" s="24">
        <v>242</v>
      </c>
      <c r="G37" s="26">
        <v>1.31</v>
      </c>
      <c r="H37" s="11">
        <f t="shared" si="0"/>
        <v>45249.643055555556</v>
      </c>
      <c r="I37">
        <f t="shared" si="1"/>
        <v>0</v>
      </c>
      <c r="J37" s="26"/>
    </row>
    <row r="38" spans="1:15" x14ac:dyDescent="0.25">
      <c r="A38" s="1">
        <v>30</v>
      </c>
      <c r="B38" t="s">
        <v>142</v>
      </c>
      <c r="C38" t="s">
        <v>9</v>
      </c>
      <c r="D38" s="57" t="s">
        <v>475</v>
      </c>
      <c r="E38" s="48">
        <v>1700443260</v>
      </c>
      <c r="F38" s="24">
        <v>58</v>
      </c>
      <c r="G38" s="26">
        <v>1.72</v>
      </c>
      <c r="H38" s="11">
        <f t="shared" si="0"/>
        <v>45249.806250000001</v>
      </c>
      <c r="I38">
        <f t="shared" si="1"/>
        <v>0</v>
      </c>
      <c r="J38" s="26"/>
    </row>
    <row r="39" spans="1:15" ht="15.75" thickBot="1" x14ac:dyDescent="0.3">
      <c r="A39" s="1">
        <v>31</v>
      </c>
      <c r="B39" t="s">
        <v>144</v>
      </c>
      <c r="C39" t="s">
        <v>9</v>
      </c>
      <c r="D39" s="58" t="s">
        <v>476</v>
      </c>
      <c r="E39" s="22">
        <v>1700529359</v>
      </c>
      <c r="F39" s="25">
        <v>71</v>
      </c>
      <c r="G39" s="26">
        <v>1.69</v>
      </c>
      <c r="H39" s="11">
        <f t="shared" si="0"/>
        <v>45250.802766203706</v>
      </c>
      <c r="I39">
        <f t="shared" si="1"/>
        <v>0</v>
      </c>
      <c r="J39" s="26"/>
    </row>
    <row r="40" spans="1:15" x14ac:dyDescent="0.25">
      <c r="H40" s="11"/>
    </row>
    <row r="41" spans="1:15" x14ac:dyDescent="0.25">
      <c r="H41" s="11"/>
    </row>
    <row r="42" spans="1:15" x14ac:dyDescent="0.25">
      <c r="D42" s="48" t="s">
        <v>575</v>
      </c>
      <c r="E42" s="50">
        <v>1687554000</v>
      </c>
      <c r="F42" s="11" cm="1">
        <f t="array" ref="F42">[1]!datefromutc(E42)</f>
        <v>45100.875</v>
      </c>
      <c r="H42" s="11"/>
    </row>
    <row r="43" spans="1:15" x14ac:dyDescent="0.25">
      <c r="D43" s="48" t="s">
        <v>566</v>
      </c>
      <c r="E43" s="50">
        <v>345600</v>
      </c>
      <c r="F43" s="51"/>
      <c r="H43" s="11"/>
    </row>
    <row r="44" spans="1:15" x14ac:dyDescent="0.25">
      <c r="D44" s="48" t="s">
        <v>567</v>
      </c>
      <c r="E44" s="50">
        <v>1700070834</v>
      </c>
      <c r="F44" s="11" cm="1">
        <f t="array" ref="F44">[1]!datefromutc(E44)</f>
        <v>45245.745763888888</v>
      </c>
      <c r="H44" s="11"/>
    </row>
    <row r="45" spans="1:15" x14ac:dyDescent="0.25">
      <c r="D45" s="48" t="s">
        <v>568</v>
      </c>
      <c r="E45" s="50">
        <f>E44-E42</f>
        <v>12516834</v>
      </c>
      <c r="F45" s="11"/>
      <c r="H45" s="11"/>
    </row>
    <row r="46" spans="1:15" x14ac:dyDescent="0.25">
      <c r="D46" s="48" t="s">
        <v>569</v>
      </c>
      <c r="E46" s="50">
        <f>MOD(E45,604800)</f>
        <v>420834</v>
      </c>
      <c r="F46" s="11"/>
      <c r="H46" s="11"/>
    </row>
    <row r="47" spans="1:15" x14ac:dyDescent="0.25">
      <c r="D47" s="48" t="s">
        <v>570</v>
      </c>
      <c r="E47" s="50">
        <f>E44-E46</f>
        <v>1699650000</v>
      </c>
      <c r="F47" s="11" cm="1">
        <f t="array" ref="F47">[1]!datefromutc(E47)</f>
        <v>45240.875</v>
      </c>
      <c r="H47" s="11"/>
    </row>
    <row r="48" spans="1:15" x14ac:dyDescent="0.25">
      <c r="D48" s="48" t="s">
        <v>572</v>
      </c>
      <c r="E48" s="50">
        <f>E47+604800</f>
        <v>1700254800</v>
      </c>
      <c r="F48" s="11" cm="1">
        <f t="array" ref="F48">[1]!datefromutc(E48)</f>
        <v>45247.875</v>
      </c>
      <c r="H48" s="11"/>
    </row>
    <row r="49" spans="4:8" x14ac:dyDescent="0.25">
      <c r="D49" s="48" t="s">
        <v>573</v>
      </c>
      <c r="E49" s="50">
        <f>E48+E43</f>
        <v>1700600400</v>
      </c>
      <c r="F49" s="11" cm="1">
        <f t="array" ref="F49">[1]!datefromutc(E49)</f>
        <v>45251.875</v>
      </c>
      <c r="H49" s="11"/>
    </row>
    <row r="50" spans="4:8" x14ac:dyDescent="0.25">
      <c r="E50" s="50"/>
      <c r="F50" s="11"/>
      <c r="H50" s="11"/>
    </row>
    <row r="51" spans="4:8" x14ac:dyDescent="0.25">
      <c r="E51" s="26"/>
      <c r="F51" s="49"/>
      <c r="H51" s="11"/>
    </row>
  </sheetData>
  <sheetProtection selectLockedCells="1"/>
  <sortState xmlns:xlrd2="http://schemas.microsoft.com/office/spreadsheetml/2017/richdata2" ref="J26:O38">
    <sortCondition ref="M26:M38"/>
  </sortState>
  <conditionalFormatting sqref="I8:I39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0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6E1324-A95F-4B6D-BCBA-79E3E660C947}">
  <sheetPr codeName="Sheet1"/>
  <dimension ref="B1:T131"/>
  <sheetViews>
    <sheetView zoomScale="75" zoomScaleNormal="75" workbookViewId="0">
      <selection activeCell="I18" sqref="I18"/>
    </sheetView>
  </sheetViews>
  <sheetFormatPr defaultRowHeight="15" x14ac:dyDescent="0.25"/>
  <cols>
    <col min="3" max="3" width="7.85546875" customWidth="1"/>
    <col min="4" max="4" width="26" customWidth="1"/>
    <col min="10" max="10" width="13.140625" customWidth="1"/>
    <col min="15" max="15" width="14.140625" customWidth="1"/>
    <col min="16" max="16" width="15.5703125" customWidth="1"/>
    <col min="17" max="17" width="13.28515625" customWidth="1"/>
  </cols>
  <sheetData>
    <row r="1" spans="2:20" x14ac:dyDescent="0.25">
      <c r="B1" s="31"/>
      <c r="C1" s="33"/>
      <c r="D1" s="32" t="s">
        <v>338</v>
      </c>
      <c r="E1" s="33"/>
      <c r="F1" s="34"/>
      <c r="H1" s="31"/>
      <c r="I1" s="32" t="s">
        <v>9</v>
      </c>
      <c r="J1" s="33"/>
      <c r="K1" s="33"/>
      <c r="L1" s="34"/>
    </row>
    <row r="2" spans="2:20" x14ac:dyDescent="0.25">
      <c r="B2" s="35" t="s">
        <v>335</v>
      </c>
      <c r="C2" s="3" t="s">
        <v>336</v>
      </c>
      <c r="D2" s="3" t="s">
        <v>337</v>
      </c>
      <c r="E2" s="3" t="s">
        <v>339</v>
      </c>
      <c r="F2" s="36" t="s">
        <v>563</v>
      </c>
      <c r="G2" s="3"/>
      <c r="H2" s="35" t="s">
        <v>335</v>
      </c>
      <c r="I2" s="3" t="s">
        <v>336</v>
      </c>
      <c r="J2" s="3" t="s">
        <v>337</v>
      </c>
      <c r="K2" s="3"/>
      <c r="L2" s="36" t="s">
        <v>563</v>
      </c>
      <c r="M2" s="3"/>
      <c r="O2" s="1" t="s">
        <v>7</v>
      </c>
      <c r="P2" s="1" t="s">
        <v>99</v>
      </c>
      <c r="Q2" s="1" t="s">
        <v>100</v>
      </c>
    </row>
    <row r="3" spans="2:20" x14ac:dyDescent="0.25">
      <c r="B3" s="37">
        <v>1</v>
      </c>
      <c r="C3">
        <v>28</v>
      </c>
      <c r="D3" t="s">
        <v>155</v>
      </c>
      <c r="E3">
        <f>AVERAGEIF($B$3:$B$131,B3,$C$3:$C$131)</f>
        <v>33</v>
      </c>
      <c r="F3" s="38">
        <f t="shared" ref="F3:F67" si="0">IF(C3&gt;E3,1,0)</f>
        <v>0</v>
      </c>
      <c r="H3" s="37">
        <v>1</v>
      </c>
      <c r="I3">
        <v>13</v>
      </c>
      <c r="J3" t="s">
        <v>156</v>
      </c>
      <c r="K3">
        <f>AVERAGEIF($H$3:$H$131,H3,$I$3:$I$131)</f>
        <v>14.5</v>
      </c>
      <c r="L3" s="38">
        <f t="shared" ref="L3:L28" si="1">IF(I3&gt;K3,1,0)</f>
        <v>0</v>
      </c>
      <c r="N3">
        <v>0</v>
      </c>
      <c r="O3" s="42" t="s">
        <v>310</v>
      </c>
      <c r="P3" s="43" t="s">
        <v>310</v>
      </c>
      <c r="Q3" s="42" t="s">
        <v>312</v>
      </c>
    </row>
    <row r="4" spans="2:20" x14ac:dyDescent="0.25">
      <c r="B4" s="37">
        <v>1</v>
      </c>
      <c r="C4">
        <v>38</v>
      </c>
      <c r="D4" t="s">
        <v>157</v>
      </c>
      <c r="E4">
        <f t="shared" ref="E4:E67" si="2">AVERAGEIF($B$3:$B$131,B4,$C$3:$C$131)</f>
        <v>33</v>
      </c>
      <c r="F4" s="38">
        <f t="shared" si="0"/>
        <v>1</v>
      </c>
      <c r="H4" s="37">
        <v>1</v>
      </c>
      <c r="I4">
        <v>16</v>
      </c>
      <c r="J4" t="s">
        <v>158</v>
      </c>
      <c r="K4">
        <f t="shared" ref="K4:K28" si="3">AVERAGEIF($H$3:$H$131,H4,$I$3:$I$131)</f>
        <v>14.5</v>
      </c>
      <c r="L4" s="38">
        <f t="shared" si="1"/>
        <v>1</v>
      </c>
      <c r="N4">
        <v>1</v>
      </c>
      <c r="O4" s="42" t="s">
        <v>311</v>
      </c>
      <c r="P4" s="43" t="s">
        <v>311</v>
      </c>
      <c r="Q4" s="42" t="s">
        <v>313</v>
      </c>
    </row>
    <row r="5" spans="2:20" x14ac:dyDescent="0.25">
      <c r="B5" s="37">
        <v>2</v>
      </c>
      <c r="C5">
        <v>10</v>
      </c>
      <c r="D5" t="s">
        <v>159</v>
      </c>
      <c r="E5">
        <f t="shared" si="2"/>
        <v>15</v>
      </c>
      <c r="F5" s="38">
        <f t="shared" si="0"/>
        <v>0</v>
      </c>
      <c r="H5" s="37">
        <v>2</v>
      </c>
      <c r="I5">
        <v>6</v>
      </c>
      <c r="J5" t="s">
        <v>160</v>
      </c>
      <c r="K5">
        <f t="shared" si="3"/>
        <v>8</v>
      </c>
      <c r="L5" s="38">
        <f t="shared" si="1"/>
        <v>0</v>
      </c>
      <c r="N5">
        <v>2</v>
      </c>
      <c r="O5" s="42" t="s">
        <v>73</v>
      </c>
      <c r="P5" s="43" t="s">
        <v>73</v>
      </c>
      <c r="Q5" s="42" t="s">
        <v>72</v>
      </c>
    </row>
    <row r="6" spans="2:20" x14ac:dyDescent="0.25">
      <c r="B6" s="37">
        <v>2</v>
      </c>
      <c r="C6">
        <v>20</v>
      </c>
      <c r="D6" t="s">
        <v>161</v>
      </c>
      <c r="E6">
        <f t="shared" si="2"/>
        <v>15</v>
      </c>
      <c r="F6" s="38">
        <f t="shared" si="0"/>
        <v>1</v>
      </c>
      <c r="H6" s="37">
        <v>2</v>
      </c>
      <c r="I6">
        <v>10</v>
      </c>
      <c r="J6" t="s">
        <v>162</v>
      </c>
      <c r="K6">
        <f t="shared" si="3"/>
        <v>8</v>
      </c>
      <c r="L6" s="38">
        <f t="shared" si="1"/>
        <v>1</v>
      </c>
      <c r="N6">
        <v>3</v>
      </c>
      <c r="O6" s="42" t="s">
        <v>314</v>
      </c>
      <c r="P6" s="43" t="s">
        <v>314</v>
      </c>
      <c r="Q6" s="42" t="s">
        <v>69</v>
      </c>
    </row>
    <row r="7" spans="2:20" x14ac:dyDescent="0.25">
      <c r="B7" s="37">
        <v>3</v>
      </c>
      <c r="C7">
        <v>0</v>
      </c>
      <c r="D7" t="s">
        <v>163</v>
      </c>
      <c r="E7">
        <f t="shared" si="2"/>
        <v>9.5</v>
      </c>
      <c r="F7" s="38">
        <f t="shared" si="0"/>
        <v>0</v>
      </c>
      <c r="H7" s="37">
        <v>3</v>
      </c>
      <c r="I7">
        <v>19</v>
      </c>
      <c r="J7" t="s">
        <v>164</v>
      </c>
      <c r="K7">
        <f t="shared" si="3"/>
        <v>21</v>
      </c>
      <c r="L7" s="38">
        <f t="shared" si="1"/>
        <v>0</v>
      </c>
      <c r="N7">
        <v>4</v>
      </c>
      <c r="O7" s="42" t="s">
        <v>314</v>
      </c>
      <c r="P7" s="43" t="s">
        <v>315</v>
      </c>
      <c r="Q7" s="42" t="s">
        <v>69</v>
      </c>
      <c r="R7" s="10" t="s">
        <v>565</v>
      </c>
      <c r="S7" s="10"/>
      <c r="T7" s="10"/>
    </row>
    <row r="8" spans="2:20" x14ac:dyDescent="0.25">
      <c r="B8" s="37">
        <v>3</v>
      </c>
      <c r="C8">
        <v>19</v>
      </c>
      <c r="D8" t="s">
        <v>165</v>
      </c>
      <c r="E8">
        <f t="shared" si="2"/>
        <v>9.5</v>
      </c>
      <c r="F8" s="38">
        <f t="shared" si="0"/>
        <v>1</v>
      </c>
      <c r="H8" s="37">
        <v>3</v>
      </c>
      <c r="I8">
        <v>23</v>
      </c>
      <c r="J8" t="s">
        <v>166</v>
      </c>
      <c r="K8">
        <f t="shared" si="3"/>
        <v>21</v>
      </c>
      <c r="L8" s="38">
        <f t="shared" si="1"/>
        <v>1</v>
      </c>
      <c r="N8">
        <v>5</v>
      </c>
      <c r="O8" s="42" t="s">
        <v>21</v>
      </c>
      <c r="P8" s="42" t="s">
        <v>70</v>
      </c>
      <c r="Q8" s="43" t="s">
        <v>21</v>
      </c>
    </row>
    <row r="9" spans="2:20" x14ac:dyDescent="0.25">
      <c r="B9" s="37">
        <v>4</v>
      </c>
      <c r="C9">
        <v>19</v>
      </c>
      <c r="D9" t="s">
        <v>167</v>
      </c>
      <c r="E9">
        <f t="shared" si="2"/>
        <v>34</v>
      </c>
      <c r="F9" s="38">
        <f t="shared" si="0"/>
        <v>0</v>
      </c>
      <c r="H9" s="37">
        <v>4</v>
      </c>
      <c r="I9">
        <v>27</v>
      </c>
      <c r="J9" t="s">
        <v>168</v>
      </c>
      <c r="K9">
        <f t="shared" si="3"/>
        <v>28.5</v>
      </c>
      <c r="L9" s="38">
        <f t="shared" si="1"/>
        <v>0</v>
      </c>
      <c r="N9">
        <v>6</v>
      </c>
      <c r="O9" s="42" t="s">
        <v>74</v>
      </c>
      <c r="P9" s="43" t="s">
        <v>74</v>
      </c>
      <c r="Q9" s="42" t="s">
        <v>91</v>
      </c>
    </row>
    <row r="10" spans="2:20" x14ac:dyDescent="0.25">
      <c r="B10" s="37">
        <v>4</v>
      </c>
      <c r="C10">
        <v>49</v>
      </c>
      <c r="D10" t="s">
        <v>169</v>
      </c>
      <c r="E10">
        <f t="shared" si="2"/>
        <v>34</v>
      </c>
      <c r="F10" s="38">
        <f t="shared" si="0"/>
        <v>1</v>
      </c>
      <c r="H10" s="37">
        <v>4</v>
      </c>
      <c r="I10">
        <v>30</v>
      </c>
      <c r="J10" t="s">
        <v>170</v>
      </c>
      <c r="K10">
        <f t="shared" si="3"/>
        <v>28.5</v>
      </c>
      <c r="L10" s="38">
        <f t="shared" si="1"/>
        <v>1</v>
      </c>
      <c r="N10">
        <v>7</v>
      </c>
      <c r="O10" s="42" t="s">
        <v>89</v>
      </c>
      <c r="P10" s="44" t="s">
        <v>316</v>
      </c>
      <c r="Q10" s="43" t="s">
        <v>89</v>
      </c>
    </row>
    <row r="11" spans="2:20" x14ac:dyDescent="0.25">
      <c r="B11" s="37">
        <v>5</v>
      </c>
      <c r="C11">
        <v>23</v>
      </c>
      <c r="D11" t="s">
        <v>171</v>
      </c>
      <c r="E11">
        <f t="shared" si="2"/>
        <v>36</v>
      </c>
      <c r="F11" s="38">
        <f t="shared" si="0"/>
        <v>0</v>
      </c>
      <c r="H11" s="37">
        <v>5</v>
      </c>
      <c r="I11">
        <v>6</v>
      </c>
      <c r="J11" t="s">
        <v>172</v>
      </c>
      <c r="K11">
        <f t="shared" si="3"/>
        <v>13</v>
      </c>
      <c r="L11" s="38">
        <f t="shared" si="1"/>
        <v>0</v>
      </c>
      <c r="N11">
        <v>8</v>
      </c>
      <c r="O11" s="42" t="s">
        <v>317</v>
      </c>
      <c r="P11" s="42" t="s">
        <v>68</v>
      </c>
      <c r="Q11" s="43" t="s">
        <v>317</v>
      </c>
    </row>
    <row r="12" spans="2:20" x14ac:dyDescent="0.25">
      <c r="B12" s="37">
        <v>5</v>
      </c>
      <c r="C12">
        <v>49</v>
      </c>
      <c r="D12" t="s">
        <v>173</v>
      </c>
      <c r="E12">
        <f t="shared" si="2"/>
        <v>36</v>
      </c>
      <c r="F12" s="38">
        <f t="shared" si="0"/>
        <v>1</v>
      </c>
      <c r="H12" s="37">
        <v>5</v>
      </c>
      <c r="I12">
        <v>20</v>
      </c>
      <c r="J12" t="s">
        <v>174</v>
      </c>
      <c r="K12">
        <f t="shared" si="3"/>
        <v>13</v>
      </c>
      <c r="L12" s="38">
        <f t="shared" si="1"/>
        <v>1</v>
      </c>
      <c r="N12">
        <v>9</v>
      </c>
      <c r="O12" s="42" t="s">
        <v>71</v>
      </c>
      <c r="P12" s="43" t="s">
        <v>71</v>
      </c>
      <c r="Q12" s="42" t="s">
        <v>65</v>
      </c>
    </row>
    <row r="13" spans="2:20" x14ac:dyDescent="0.25">
      <c r="B13" s="37">
        <v>6</v>
      </c>
      <c r="C13">
        <v>24</v>
      </c>
      <c r="D13" t="s">
        <v>175</v>
      </c>
      <c r="E13">
        <f t="shared" si="2"/>
        <v>27.5</v>
      </c>
      <c r="F13" s="38">
        <f t="shared" si="0"/>
        <v>0</v>
      </c>
      <c r="H13" s="37">
        <v>6</v>
      </c>
      <c r="I13">
        <v>19</v>
      </c>
      <c r="J13" t="s">
        <v>176</v>
      </c>
      <c r="K13">
        <f t="shared" si="3"/>
        <v>23</v>
      </c>
      <c r="L13" s="38">
        <f t="shared" si="1"/>
        <v>0</v>
      </c>
      <c r="N13">
        <v>10</v>
      </c>
      <c r="O13" s="42" t="s">
        <v>67</v>
      </c>
      <c r="P13" s="43" t="s">
        <v>67</v>
      </c>
      <c r="Q13" s="42" t="s">
        <v>318</v>
      </c>
    </row>
    <row r="14" spans="2:20" x14ac:dyDescent="0.25">
      <c r="B14" s="37">
        <v>6</v>
      </c>
      <c r="C14">
        <v>31</v>
      </c>
      <c r="D14" t="s">
        <v>177</v>
      </c>
      <c r="E14">
        <f t="shared" si="2"/>
        <v>27.5</v>
      </c>
      <c r="F14" s="38">
        <f t="shared" si="0"/>
        <v>1</v>
      </c>
      <c r="H14" s="37">
        <v>6</v>
      </c>
      <c r="I14">
        <v>27</v>
      </c>
      <c r="J14" t="s">
        <v>178</v>
      </c>
      <c r="K14">
        <f t="shared" si="3"/>
        <v>23</v>
      </c>
      <c r="L14" s="38">
        <f t="shared" si="1"/>
        <v>1</v>
      </c>
      <c r="N14">
        <v>11</v>
      </c>
      <c r="O14" s="42" t="s">
        <v>320</v>
      </c>
      <c r="P14" s="42" t="s">
        <v>319</v>
      </c>
      <c r="Q14" s="43" t="s">
        <v>320</v>
      </c>
    </row>
    <row r="15" spans="2:20" x14ac:dyDescent="0.25">
      <c r="B15" s="37">
        <v>7</v>
      </c>
      <c r="C15">
        <v>31</v>
      </c>
      <c r="D15" t="s">
        <v>179</v>
      </c>
      <c r="E15">
        <f t="shared" si="2"/>
        <v>32.5</v>
      </c>
      <c r="F15" s="38">
        <f t="shared" si="0"/>
        <v>0</v>
      </c>
      <c r="H15" s="37">
        <v>7</v>
      </c>
      <c r="I15">
        <v>31</v>
      </c>
      <c r="J15" t="s">
        <v>180</v>
      </c>
      <c r="K15">
        <f t="shared" si="3"/>
        <v>32</v>
      </c>
      <c r="L15" s="38">
        <f t="shared" si="1"/>
        <v>0</v>
      </c>
      <c r="N15">
        <v>12</v>
      </c>
      <c r="O15" s="42" t="s">
        <v>321</v>
      </c>
      <c r="P15" s="43" t="s">
        <v>321</v>
      </c>
      <c r="Q15" s="42" t="s">
        <v>66</v>
      </c>
    </row>
    <row r="16" spans="2:20" x14ac:dyDescent="0.25">
      <c r="B16" s="37">
        <v>7</v>
      </c>
      <c r="C16">
        <v>34</v>
      </c>
      <c r="D16" t="s">
        <v>181</v>
      </c>
      <c r="E16">
        <f t="shared" si="2"/>
        <v>32.5</v>
      </c>
      <c r="F16" s="38">
        <f t="shared" si="0"/>
        <v>1</v>
      </c>
      <c r="H16" s="37">
        <v>7</v>
      </c>
      <c r="I16">
        <v>33</v>
      </c>
      <c r="J16" t="s">
        <v>182</v>
      </c>
      <c r="K16">
        <f t="shared" si="3"/>
        <v>32</v>
      </c>
      <c r="L16" s="38">
        <f t="shared" si="1"/>
        <v>1</v>
      </c>
      <c r="N16">
        <v>13</v>
      </c>
      <c r="O16" s="42" t="s">
        <v>322</v>
      </c>
      <c r="P16" s="42" t="s">
        <v>63</v>
      </c>
      <c r="Q16" s="43" t="s">
        <v>322</v>
      </c>
    </row>
    <row r="17" spans="2:17" x14ac:dyDescent="0.25">
      <c r="B17" s="37">
        <v>8</v>
      </c>
      <c r="C17">
        <v>21</v>
      </c>
      <c r="D17" t="s">
        <v>183</v>
      </c>
      <c r="E17">
        <f t="shared" si="2"/>
        <v>33</v>
      </c>
      <c r="F17" s="38">
        <f t="shared" si="0"/>
        <v>0</v>
      </c>
      <c r="H17" s="37">
        <v>8</v>
      </c>
      <c r="I17">
        <v>3</v>
      </c>
      <c r="J17" t="s">
        <v>184</v>
      </c>
      <c r="K17">
        <f t="shared" si="3"/>
        <v>18.5</v>
      </c>
      <c r="L17" s="38">
        <f t="shared" si="1"/>
        <v>0</v>
      </c>
      <c r="N17">
        <v>14</v>
      </c>
      <c r="O17" s="42" t="s">
        <v>324</v>
      </c>
      <c r="P17" s="42" t="s">
        <v>323</v>
      </c>
      <c r="Q17" s="43" t="s">
        <v>324</v>
      </c>
    </row>
    <row r="18" spans="2:17" x14ac:dyDescent="0.25">
      <c r="B18" s="37">
        <v>8</v>
      </c>
      <c r="C18">
        <v>45</v>
      </c>
      <c r="D18" t="s">
        <v>185</v>
      </c>
      <c r="E18">
        <f t="shared" si="2"/>
        <v>33</v>
      </c>
      <c r="F18" s="38">
        <f t="shared" si="0"/>
        <v>1</v>
      </c>
      <c r="H18" s="37">
        <v>8</v>
      </c>
      <c r="I18">
        <v>34</v>
      </c>
      <c r="J18" t="s">
        <v>186</v>
      </c>
      <c r="K18">
        <f t="shared" si="3"/>
        <v>18.5</v>
      </c>
      <c r="L18" s="38">
        <f t="shared" si="1"/>
        <v>1</v>
      </c>
      <c r="N18">
        <v>15</v>
      </c>
      <c r="O18" s="42" t="s">
        <v>90</v>
      </c>
      <c r="P18" s="43" t="s">
        <v>90</v>
      </c>
      <c r="Q18" s="42" t="s">
        <v>64</v>
      </c>
    </row>
    <row r="19" spans="2:17" x14ac:dyDescent="0.25">
      <c r="B19" s="37">
        <v>9</v>
      </c>
      <c r="C19">
        <v>14</v>
      </c>
      <c r="D19" t="s">
        <v>187</v>
      </c>
      <c r="E19">
        <f t="shared" si="2"/>
        <v>24</v>
      </c>
      <c r="F19" s="38">
        <f t="shared" si="0"/>
        <v>0</v>
      </c>
      <c r="H19" s="37">
        <v>9</v>
      </c>
      <c r="I19">
        <v>38</v>
      </c>
      <c r="J19" t="s">
        <v>188</v>
      </c>
      <c r="K19">
        <f t="shared" si="3"/>
        <v>39.5</v>
      </c>
      <c r="L19" s="38">
        <f t="shared" si="1"/>
        <v>0</v>
      </c>
      <c r="N19">
        <v>16</v>
      </c>
      <c r="O19" s="42" t="s">
        <v>325</v>
      </c>
      <c r="P19" s="43" t="s">
        <v>325</v>
      </c>
      <c r="Q19" s="42" t="s">
        <v>28</v>
      </c>
    </row>
    <row r="20" spans="2:17" x14ac:dyDescent="0.25">
      <c r="B20" s="37">
        <v>9</v>
      </c>
      <c r="C20">
        <v>34</v>
      </c>
      <c r="D20" t="s">
        <v>189</v>
      </c>
      <c r="E20">
        <f t="shared" si="2"/>
        <v>24</v>
      </c>
      <c r="F20" s="38">
        <f t="shared" si="0"/>
        <v>1</v>
      </c>
      <c r="H20" s="37">
        <v>9</v>
      </c>
      <c r="I20">
        <v>41</v>
      </c>
      <c r="J20" t="s">
        <v>190</v>
      </c>
      <c r="K20">
        <f t="shared" si="3"/>
        <v>39.5</v>
      </c>
      <c r="L20" s="38">
        <f t="shared" si="1"/>
        <v>1</v>
      </c>
      <c r="N20">
        <v>17</v>
      </c>
      <c r="O20" s="42" t="s">
        <v>62</v>
      </c>
      <c r="P20" s="43" t="s">
        <v>62</v>
      </c>
      <c r="Q20" s="42" t="s">
        <v>326</v>
      </c>
    </row>
    <row r="21" spans="2:17" x14ac:dyDescent="0.25">
      <c r="B21" s="37">
        <v>10</v>
      </c>
      <c r="C21">
        <v>6</v>
      </c>
      <c r="D21" t="s">
        <v>191</v>
      </c>
      <c r="E21">
        <f t="shared" si="2"/>
        <v>26.5</v>
      </c>
      <c r="F21" s="38">
        <f t="shared" si="0"/>
        <v>0</v>
      </c>
      <c r="H21" s="37">
        <v>10</v>
      </c>
      <c r="I21">
        <v>23</v>
      </c>
      <c r="J21" t="s">
        <v>192</v>
      </c>
      <c r="K21">
        <f t="shared" si="3"/>
        <v>24</v>
      </c>
      <c r="L21" s="38">
        <f t="shared" si="1"/>
        <v>0</v>
      </c>
      <c r="N21">
        <v>18</v>
      </c>
      <c r="O21" s="42" t="s">
        <v>85</v>
      </c>
      <c r="P21" s="43" t="s">
        <v>85</v>
      </c>
      <c r="Q21" s="42" t="s">
        <v>78</v>
      </c>
    </row>
    <row r="22" spans="2:17" x14ac:dyDescent="0.25">
      <c r="B22" s="37">
        <v>10</v>
      </c>
      <c r="C22">
        <v>47</v>
      </c>
      <c r="D22" t="s">
        <v>193</v>
      </c>
      <c r="E22">
        <f t="shared" si="2"/>
        <v>26.5</v>
      </c>
      <c r="F22" s="38">
        <f t="shared" si="0"/>
        <v>1</v>
      </c>
      <c r="H22" s="37">
        <v>10</v>
      </c>
      <c r="I22">
        <v>25</v>
      </c>
      <c r="J22" t="s">
        <v>194</v>
      </c>
      <c r="K22">
        <f t="shared" si="3"/>
        <v>24</v>
      </c>
      <c r="L22" s="38">
        <f t="shared" si="1"/>
        <v>1</v>
      </c>
      <c r="N22">
        <v>19</v>
      </c>
      <c r="O22" s="42" t="s">
        <v>84</v>
      </c>
      <c r="P22" s="42" t="s">
        <v>83</v>
      </c>
      <c r="Q22" s="43" t="s">
        <v>84</v>
      </c>
    </row>
    <row r="23" spans="2:17" x14ac:dyDescent="0.25">
      <c r="B23" s="37">
        <v>11</v>
      </c>
      <c r="C23">
        <v>13</v>
      </c>
      <c r="D23" t="s">
        <v>195</v>
      </c>
      <c r="E23">
        <f t="shared" si="2"/>
        <v>14.5</v>
      </c>
      <c r="F23" s="38">
        <f t="shared" si="0"/>
        <v>0</v>
      </c>
      <c r="H23" s="37">
        <v>11</v>
      </c>
      <c r="I23">
        <v>17</v>
      </c>
      <c r="J23" t="s">
        <v>196</v>
      </c>
      <c r="K23">
        <f t="shared" si="3"/>
        <v>33</v>
      </c>
      <c r="L23" s="38">
        <f t="shared" si="1"/>
        <v>0</v>
      </c>
      <c r="N23">
        <v>20</v>
      </c>
      <c r="O23" s="42" t="s">
        <v>75</v>
      </c>
      <c r="P23" s="42" t="s">
        <v>87</v>
      </c>
      <c r="Q23" s="43" t="s">
        <v>75</v>
      </c>
    </row>
    <row r="24" spans="2:17" x14ac:dyDescent="0.25">
      <c r="B24" s="37">
        <v>11</v>
      </c>
      <c r="C24">
        <v>16</v>
      </c>
      <c r="D24" t="s">
        <v>197</v>
      </c>
      <c r="E24">
        <f t="shared" si="2"/>
        <v>14.5</v>
      </c>
      <c r="F24" s="38">
        <f t="shared" si="0"/>
        <v>1</v>
      </c>
      <c r="H24" s="37">
        <v>11</v>
      </c>
      <c r="I24">
        <v>49</v>
      </c>
      <c r="J24" t="s">
        <v>198</v>
      </c>
      <c r="K24">
        <f t="shared" si="3"/>
        <v>33</v>
      </c>
      <c r="L24" s="38">
        <f t="shared" si="1"/>
        <v>1</v>
      </c>
      <c r="N24">
        <v>21</v>
      </c>
      <c r="O24" s="42" t="s">
        <v>327</v>
      </c>
      <c r="P24" s="43" t="s">
        <v>327</v>
      </c>
      <c r="Q24" s="42" t="s">
        <v>82</v>
      </c>
    </row>
    <row r="25" spans="2:17" x14ac:dyDescent="0.25">
      <c r="B25" s="37">
        <v>12</v>
      </c>
      <c r="C25">
        <v>21</v>
      </c>
      <c r="D25" t="s">
        <v>199</v>
      </c>
      <c r="E25">
        <f t="shared" si="2"/>
        <v>31.5</v>
      </c>
      <c r="F25" s="38">
        <f t="shared" si="0"/>
        <v>0</v>
      </c>
      <c r="H25" s="37">
        <v>12</v>
      </c>
      <c r="I25">
        <v>26</v>
      </c>
      <c r="J25" t="s">
        <v>200</v>
      </c>
      <c r="K25">
        <f t="shared" si="3"/>
        <v>27.5</v>
      </c>
      <c r="L25" s="38">
        <f t="shared" si="1"/>
        <v>0</v>
      </c>
      <c r="N25">
        <v>22</v>
      </c>
      <c r="O25" s="42" t="s">
        <v>328</v>
      </c>
      <c r="P25" s="43" t="s">
        <v>328</v>
      </c>
      <c r="Q25" s="42" t="s">
        <v>329</v>
      </c>
    </row>
    <row r="26" spans="2:17" x14ac:dyDescent="0.25">
      <c r="B26" s="37">
        <v>12</v>
      </c>
      <c r="C26">
        <v>42</v>
      </c>
      <c r="D26" t="s">
        <v>201</v>
      </c>
      <c r="E26">
        <f t="shared" si="2"/>
        <v>31.5</v>
      </c>
      <c r="F26" s="38">
        <f t="shared" si="0"/>
        <v>1</v>
      </c>
      <c r="H26" s="37">
        <v>12</v>
      </c>
      <c r="I26">
        <v>29</v>
      </c>
      <c r="J26" t="s">
        <v>202</v>
      </c>
      <c r="K26">
        <f t="shared" si="3"/>
        <v>27.5</v>
      </c>
      <c r="L26" s="38">
        <f t="shared" si="1"/>
        <v>1</v>
      </c>
      <c r="N26">
        <v>23</v>
      </c>
      <c r="O26" s="42" t="s">
        <v>79</v>
      </c>
      <c r="P26" s="42" t="s">
        <v>81</v>
      </c>
      <c r="Q26" s="43" t="s">
        <v>79</v>
      </c>
    </row>
    <row r="27" spans="2:17" x14ac:dyDescent="0.25">
      <c r="B27" s="37">
        <v>13</v>
      </c>
      <c r="C27">
        <v>14</v>
      </c>
      <c r="D27" t="s">
        <v>203</v>
      </c>
      <c r="E27">
        <f t="shared" si="2"/>
        <v>15.5</v>
      </c>
      <c r="F27" s="38">
        <f t="shared" si="0"/>
        <v>0</v>
      </c>
      <c r="H27" s="37">
        <v>13</v>
      </c>
      <c r="I27">
        <v>12</v>
      </c>
      <c r="J27" t="s">
        <v>204</v>
      </c>
      <c r="K27">
        <f t="shared" si="3"/>
        <v>14</v>
      </c>
      <c r="L27" s="38">
        <f t="shared" si="1"/>
        <v>0</v>
      </c>
      <c r="N27">
        <v>24</v>
      </c>
      <c r="O27" s="42" t="s">
        <v>76</v>
      </c>
      <c r="P27" s="43" t="s">
        <v>76</v>
      </c>
      <c r="Q27" s="42" t="s">
        <v>330</v>
      </c>
    </row>
    <row r="28" spans="2:17" ht="15.75" thickBot="1" x14ac:dyDescent="0.3">
      <c r="B28" s="37">
        <v>13</v>
      </c>
      <c r="C28">
        <v>17</v>
      </c>
      <c r="D28" t="s">
        <v>205</v>
      </c>
      <c r="E28">
        <f t="shared" si="2"/>
        <v>15.5</v>
      </c>
      <c r="F28" s="38">
        <f t="shared" si="0"/>
        <v>1</v>
      </c>
      <c r="H28" s="39">
        <v>13</v>
      </c>
      <c r="I28" s="40">
        <v>16</v>
      </c>
      <c r="J28" s="40" t="s">
        <v>206</v>
      </c>
      <c r="K28" s="40">
        <f t="shared" si="3"/>
        <v>14</v>
      </c>
      <c r="L28" s="41">
        <f t="shared" si="1"/>
        <v>1</v>
      </c>
      <c r="N28">
        <v>25</v>
      </c>
      <c r="O28" s="45" t="s">
        <v>93</v>
      </c>
      <c r="P28" s="42" t="s">
        <v>80</v>
      </c>
      <c r="Q28" s="43" t="s">
        <v>93</v>
      </c>
    </row>
    <row r="29" spans="2:17" x14ac:dyDescent="0.25">
      <c r="B29" s="37">
        <v>14</v>
      </c>
      <c r="C29">
        <v>21</v>
      </c>
      <c r="D29" t="s">
        <v>207</v>
      </c>
      <c r="E29">
        <f t="shared" si="2"/>
        <v>40.75</v>
      </c>
      <c r="F29" s="38">
        <f t="shared" si="0"/>
        <v>0</v>
      </c>
      <c r="N29">
        <v>26</v>
      </c>
      <c r="O29" s="42" t="s">
        <v>331</v>
      </c>
      <c r="P29" s="43" t="s">
        <v>331</v>
      </c>
      <c r="Q29" s="42" t="s">
        <v>94</v>
      </c>
    </row>
    <row r="30" spans="2:17" x14ac:dyDescent="0.25">
      <c r="B30" s="37">
        <v>14</v>
      </c>
      <c r="C30">
        <v>45</v>
      </c>
      <c r="D30" t="s">
        <v>208</v>
      </c>
      <c r="E30">
        <f t="shared" si="2"/>
        <v>40.75</v>
      </c>
      <c r="F30" s="38">
        <f t="shared" si="0"/>
        <v>1</v>
      </c>
      <c r="N30">
        <v>27</v>
      </c>
      <c r="O30" s="42" t="s">
        <v>92</v>
      </c>
      <c r="P30" s="43" t="s">
        <v>92</v>
      </c>
      <c r="Q30" s="42" t="s">
        <v>77</v>
      </c>
    </row>
    <row r="31" spans="2:17" x14ac:dyDescent="0.25">
      <c r="B31" s="37">
        <v>14</v>
      </c>
      <c r="C31">
        <v>48</v>
      </c>
      <c r="D31" t="s">
        <v>209</v>
      </c>
      <c r="E31">
        <f t="shared" si="2"/>
        <v>40.75</v>
      </c>
      <c r="F31" s="38">
        <f t="shared" si="0"/>
        <v>1</v>
      </c>
      <c r="N31">
        <v>28</v>
      </c>
      <c r="O31" s="42" t="s">
        <v>86</v>
      </c>
      <c r="P31" s="42" t="s">
        <v>95</v>
      </c>
      <c r="Q31" s="43" t="s">
        <v>86</v>
      </c>
    </row>
    <row r="32" spans="2:17" x14ac:dyDescent="0.25">
      <c r="B32" s="37">
        <v>14</v>
      </c>
      <c r="C32">
        <v>49</v>
      </c>
      <c r="D32" t="s">
        <v>210</v>
      </c>
      <c r="E32">
        <f t="shared" si="2"/>
        <v>40.75</v>
      </c>
      <c r="F32" s="38">
        <f t="shared" si="0"/>
        <v>1</v>
      </c>
      <c r="N32">
        <v>29</v>
      </c>
      <c r="O32" s="42" t="s">
        <v>332</v>
      </c>
      <c r="P32" s="42" t="s">
        <v>88</v>
      </c>
      <c r="Q32" s="46" t="s">
        <v>332</v>
      </c>
    </row>
    <row r="33" spans="2:13" x14ac:dyDescent="0.25">
      <c r="B33" s="37">
        <v>15</v>
      </c>
      <c r="C33">
        <v>23</v>
      </c>
      <c r="D33" t="s">
        <v>211</v>
      </c>
      <c r="E33">
        <f t="shared" si="2"/>
        <v>25</v>
      </c>
      <c r="F33" s="38">
        <f t="shared" si="0"/>
        <v>0</v>
      </c>
    </row>
    <row r="34" spans="2:13" x14ac:dyDescent="0.25">
      <c r="B34" s="37">
        <v>15</v>
      </c>
      <c r="C34">
        <v>27</v>
      </c>
      <c r="D34" t="s">
        <v>212</v>
      </c>
      <c r="E34">
        <f t="shared" si="2"/>
        <v>25</v>
      </c>
      <c r="F34" s="38">
        <f t="shared" si="0"/>
        <v>1</v>
      </c>
    </row>
    <row r="35" spans="2:13" x14ac:dyDescent="0.25">
      <c r="B35" s="37">
        <v>16</v>
      </c>
      <c r="C35">
        <v>10</v>
      </c>
      <c r="D35" t="s">
        <v>213</v>
      </c>
      <c r="E35">
        <f t="shared" si="2"/>
        <v>11.5</v>
      </c>
      <c r="F35" s="38">
        <f t="shared" si="0"/>
        <v>0</v>
      </c>
    </row>
    <row r="36" spans="2:13" x14ac:dyDescent="0.25">
      <c r="B36" s="37">
        <v>16</v>
      </c>
      <c r="C36">
        <v>13</v>
      </c>
      <c r="D36" t="s">
        <v>214</v>
      </c>
      <c r="E36">
        <f t="shared" si="2"/>
        <v>11.5</v>
      </c>
      <c r="F36" s="38">
        <f t="shared" si="0"/>
        <v>1</v>
      </c>
    </row>
    <row r="37" spans="2:13" x14ac:dyDescent="0.25">
      <c r="B37" s="37">
        <v>17</v>
      </c>
      <c r="C37">
        <v>22</v>
      </c>
      <c r="D37" t="s">
        <v>215</v>
      </c>
      <c r="E37">
        <f t="shared" si="2"/>
        <v>35</v>
      </c>
      <c r="F37" s="38">
        <f t="shared" si="0"/>
        <v>0</v>
      </c>
      <c r="K37" s="27"/>
      <c r="L37" s="27"/>
      <c r="M37" s="27"/>
    </row>
    <row r="38" spans="2:13" x14ac:dyDescent="0.25">
      <c r="B38" s="37">
        <v>17</v>
      </c>
      <c r="C38">
        <v>48</v>
      </c>
      <c r="D38" t="s">
        <v>216</v>
      </c>
      <c r="E38">
        <f t="shared" si="2"/>
        <v>35</v>
      </c>
      <c r="F38" s="38">
        <f t="shared" si="0"/>
        <v>1</v>
      </c>
    </row>
    <row r="39" spans="2:13" x14ac:dyDescent="0.25">
      <c r="B39" s="37">
        <v>18</v>
      </c>
      <c r="C39">
        <v>15</v>
      </c>
      <c r="D39" t="s">
        <v>217</v>
      </c>
      <c r="E39">
        <f t="shared" si="2"/>
        <v>19.5</v>
      </c>
      <c r="F39" s="38">
        <f t="shared" si="0"/>
        <v>0</v>
      </c>
    </row>
    <row r="40" spans="2:13" x14ac:dyDescent="0.25">
      <c r="B40" s="37">
        <v>18</v>
      </c>
      <c r="C40">
        <v>24</v>
      </c>
      <c r="D40" t="s">
        <v>218</v>
      </c>
      <c r="E40">
        <f t="shared" si="2"/>
        <v>19.5</v>
      </c>
      <c r="F40" s="38">
        <f t="shared" si="0"/>
        <v>1</v>
      </c>
    </row>
    <row r="41" spans="2:13" x14ac:dyDescent="0.25">
      <c r="B41" s="37">
        <v>19</v>
      </c>
      <c r="C41">
        <v>22</v>
      </c>
      <c r="D41" t="s">
        <v>219</v>
      </c>
      <c r="E41">
        <f t="shared" si="2"/>
        <v>23</v>
      </c>
      <c r="F41" s="38">
        <f t="shared" si="0"/>
        <v>0</v>
      </c>
    </row>
    <row r="42" spans="2:13" x14ac:dyDescent="0.25">
      <c r="B42" s="37">
        <v>19</v>
      </c>
      <c r="C42">
        <v>24</v>
      </c>
      <c r="D42" t="s">
        <v>220</v>
      </c>
      <c r="E42">
        <f t="shared" si="2"/>
        <v>23</v>
      </c>
      <c r="F42" s="38">
        <f t="shared" si="0"/>
        <v>1</v>
      </c>
    </row>
    <row r="43" spans="2:13" x14ac:dyDescent="0.25">
      <c r="B43" s="37">
        <v>20</v>
      </c>
      <c r="C43">
        <v>4</v>
      </c>
      <c r="D43" t="s">
        <v>221</v>
      </c>
      <c r="E43">
        <f t="shared" si="2"/>
        <v>26.8</v>
      </c>
      <c r="F43" s="38">
        <f t="shared" si="0"/>
        <v>0</v>
      </c>
    </row>
    <row r="44" spans="2:13" x14ac:dyDescent="0.25">
      <c r="B44" s="37">
        <v>20</v>
      </c>
      <c r="C44">
        <v>10</v>
      </c>
      <c r="D44" t="s">
        <v>222</v>
      </c>
      <c r="E44">
        <f t="shared" si="2"/>
        <v>26.8</v>
      </c>
      <c r="F44" s="38">
        <f t="shared" si="0"/>
        <v>0</v>
      </c>
    </row>
    <row r="45" spans="2:13" x14ac:dyDescent="0.25">
      <c r="B45" s="37">
        <v>20</v>
      </c>
      <c r="C45">
        <v>38</v>
      </c>
      <c r="D45" t="s">
        <v>223</v>
      </c>
      <c r="E45">
        <f t="shared" si="2"/>
        <v>26.8</v>
      </c>
      <c r="F45" s="38">
        <f t="shared" si="0"/>
        <v>1</v>
      </c>
    </row>
    <row r="46" spans="2:13" x14ac:dyDescent="0.25">
      <c r="B46" s="37">
        <v>20</v>
      </c>
      <c r="C46">
        <v>38</v>
      </c>
      <c r="D46" t="s">
        <v>224</v>
      </c>
      <c r="E46">
        <f t="shared" si="2"/>
        <v>26.8</v>
      </c>
      <c r="F46" s="38">
        <f t="shared" si="0"/>
        <v>1</v>
      </c>
    </row>
    <row r="47" spans="2:13" x14ac:dyDescent="0.25">
      <c r="B47" s="37">
        <v>20</v>
      </c>
      <c r="C47">
        <v>44</v>
      </c>
      <c r="D47" t="s">
        <v>225</v>
      </c>
      <c r="E47">
        <f t="shared" si="2"/>
        <v>26.8</v>
      </c>
      <c r="F47" s="38">
        <f t="shared" si="0"/>
        <v>1</v>
      </c>
    </row>
    <row r="48" spans="2:13" x14ac:dyDescent="0.25">
      <c r="B48" s="37">
        <v>21</v>
      </c>
      <c r="C48">
        <v>14</v>
      </c>
      <c r="D48" t="s">
        <v>226</v>
      </c>
      <c r="E48">
        <f t="shared" si="2"/>
        <v>28</v>
      </c>
      <c r="F48" s="38">
        <f t="shared" si="0"/>
        <v>0</v>
      </c>
    </row>
    <row r="49" spans="2:6" x14ac:dyDescent="0.25">
      <c r="B49" s="37">
        <v>21</v>
      </c>
      <c r="C49">
        <v>42</v>
      </c>
      <c r="D49" t="s">
        <v>227</v>
      </c>
      <c r="E49">
        <f t="shared" si="2"/>
        <v>28</v>
      </c>
      <c r="F49" s="38">
        <f t="shared" si="0"/>
        <v>1</v>
      </c>
    </row>
    <row r="50" spans="2:6" x14ac:dyDescent="0.25">
      <c r="B50" s="37">
        <v>22</v>
      </c>
      <c r="C50">
        <v>6</v>
      </c>
      <c r="D50" t="s">
        <v>228</v>
      </c>
      <c r="E50">
        <f t="shared" si="2"/>
        <v>25</v>
      </c>
      <c r="F50" s="38">
        <f t="shared" si="0"/>
        <v>0</v>
      </c>
    </row>
    <row r="51" spans="2:6" x14ac:dyDescent="0.25">
      <c r="B51" s="37">
        <v>22</v>
      </c>
      <c r="C51">
        <v>44</v>
      </c>
      <c r="D51" t="s">
        <v>229</v>
      </c>
      <c r="E51">
        <f t="shared" si="2"/>
        <v>25</v>
      </c>
      <c r="F51" s="38">
        <f t="shared" si="0"/>
        <v>1</v>
      </c>
    </row>
    <row r="52" spans="2:6" x14ac:dyDescent="0.25">
      <c r="B52" s="37">
        <v>23</v>
      </c>
      <c r="C52">
        <v>31</v>
      </c>
      <c r="D52" t="s">
        <v>230</v>
      </c>
      <c r="E52">
        <f t="shared" si="2"/>
        <v>32.5</v>
      </c>
      <c r="F52" s="38">
        <f t="shared" si="0"/>
        <v>0</v>
      </c>
    </row>
    <row r="53" spans="2:6" x14ac:dyDescent="0.25">
      <c r="B53" s="37">
        <v>23</v>
      </c>
      <c r="C53">
        <v>34</v>
      </c>
      <c r="D53" t="s">
        <v>231</v>
      </c>
      <c r="E53">
        <f t="shared" si="2"/>
        <v>32.5</v>
      </c>
      <c r="F53" s="38">
        <f t="shared" si="0"/>
        <v>1</v>
      </c>
    </row>
    <row r="54" spans="2:6" x14ac:dyDescent="0.25">
      <c r="B54" s="37">
        <v>24</v>
      </c>
      <c r="C54">
        <v>6</v>
      </c>
      <c r="D54" t="s">
        <v>232</v>
      </c>
      <c r="E54">
        <f t="shared" si="2"/>
        <v>16</v>
      </c>
      <c r="F54" s="38">
        <f t="shared" si="0"/>
        <v>0</v>
      </c>
    </row>
    <row r="55" spans="2:6" x14ac:dyDescent="0.25">
      <c r="B55" s="37">
        <v>24</v>
      </c>
      <c r="C55">
        <v>26</v>
      </c>
      <c r="D55" t="s">
        <v>233</v>
      </c>
      <c r="E55">
        <f t="shared" si="2"/>
        <v>16</v>
      </c>
      <c r="F55" s="38">
        <f t="shared" si="0"/>
        <v>1</v>
      </c>
    </row>
    <row r="56" spans="2:6" x14ac:dyDescent="0.25">
      <c r="B56" s="37">
        <v>25</v>
      </c>
      <c r="C56">
        <v>14</v>
      </c>
      <c r="D56" t="s">
        <v>234</v>
      </c>
      <c r="E56">
        <f t="shared" si="2"/>
        <v>29.5</v>
      </c>
      <c r="F56" s="38">
        <f t="shared" si="0"/>
        <v>0</v>
      </c>
    </row>
    <row r="57" spans="2:6" x14ac:dyDescent="0.25">
      <c r="B57" s="37">
        <v>25</v>
      </c>
      <c r="C57">
        <v>45</v>
      </c>
      <c r="D57" t="s">
        <v>235</v>
      </c>
      <c r="E57">
        <f t="shared" si="2"/>
        <v>29.5</v>
      </c>
      <c r="F57" s="38">
        <f t="shared" si="0"/>
        <v>1</v>
      </c>
    </row>
    <row r="58" spans="2:6" x14ac:dyDescent="0.25">
      <c r="B58" s="37">
        <v>26</v>
      </c>
      <c r="C58">
        <v>25</v>
      </c>
      <c r="D58" t="s">
        <v>236</v>
      </c>
      <c r="E58">
        <f t="shared" si="2"/>
        <v>42</v>
      </c>
      <c r="F58" s="38">
        <f t="shared" si="0"/>
        <v>0</v>
      </c>
    </row>
    <row r="59" spans="2:6" x14ac:dyDescent="0.25">
      <c r="B59" s="37">
        <v>26</v>
      </c>
      <c r="C59">
        <v>59</v>
      </c>
      <c r="D59" t="s">
        <v>237</v>
      </c>
      <c r="E59">
        <f t="shared" si="2"/>
        <v>42</v>
      </c>
      <c r="F59" s="38">
        <f t="shared" si="0"/>
        <v>1</v>
      </c>
    </row>
    <row r="60" spans="2:6" x14ac:dyDescent="0.25">
      <c r="B60" s="37">
        <v>27</v>
      </c>
      <c r="C60">
        <v>24</v>
      </c>
      <c r="D60" t="s">
        <v>238</v>
      </c>
      <c r="E60">
        <f t="shared" si="2"/>
        <v>32.5</v>
      </c>
      <c r="F60" s="38">
        <f t="shared" si="0"/>
        <v>0</v>
      </c>
    </row>
    <row r="61" spans="2:6" x14ac:dyDescent="0.25">
      <c r="B61" s="37">
        <v>27</v>
      </c>
      <c r="C61">
        <v>41</v>
      </c>
      <c r="D61" t="s">
        <v>239</v>
      </c>
      <c r="E61">
        <f t="shared" si="2"/>
        <v>32.5</v>
      </c>
      <c r="F61" s="38">
        <f t="shared" si="0"/>
        <v>1</v>
      </c>
    </row>
    <row r="62" spans="2:6" x14ac:dyDescent="0.25">
      <c r="B62" s="37">
        <v>28</v>
      </c>
      <c r="C62">
        <v>27</v>
      </c>
      <c r="D62" t="s">
        <v>240</v>
      </c>
      <c r="E62">
        <f t="shared" si="2"/>
        <v>34.5</v>
      </c>
      <c r="F62" s="38">
        <f t="shared" si="0"/>
        <v>0</v>
      </c>
    </row>
    <row r="63" spans="2:6" x14ac:dyDescent="0.25">
      <c r="B63" s="37">
        <v>28</v>
      </c>
      <c r="C63">
        <v>42</v>
      </c>
      <c r="D63" t="s">
        <v>241</v>
      </c>
      <c r="E63">
        <f t="shared" si="2"/>
        <v>34.5</v>
      </c>
      <c r="F63" s="38">
        <f t="shared" si="0"/>
        <v>1</v>
      </c>
    </row>
    <row r="64" spans="2:6" x14ac:dyDescent="0.25">
      <c r="B64" s="37">
        <v>29</v>
      </c>
      <c r="C64">
        <v>3</v>
      </c>
      <c r="D64" t="s">
        <v>242</v>
      </c>
      <c r="E64">
        <f t="shared" si="2"/>
        <v>24</v>
      </c>
      <c r="F64" s="38">
        <f t="shared" si="0"/>
        <v>0</v>
      </c>
    </row>
    <row r="65" spans="2:6" x14ac:dyDescent="0.25">
      <c r="B65" s="37">
        <v>29</v>
      </c>
      <c r="C65">
        <v>45</v>
      </c>
      <c r="D65" t="s">
        <v>243</v>
      </c>
      <c r="E65">
        <f t="shared" si="2"/>
        <v>24</v>
      </c>
      <c r="F65" s="38">
        <f t="shared" si="0"/>
        <v>1</v>
      </c>
    </row>
    <row r="66" spans="2:6" x14ac:dyDescent="0.25">
      <c r="B66" s="37">
        <v>30</v>
      </c>
      <c r="C66">
        <v>7</v>
      </c>
      <c r="D66" t="s">
        <v>244</v>
      </c>
      <c r="E66">
        <f t="shared" si="2"/>
        <v>21.5</v>
      </c>
      <c r="F66" s="38">
        <f t="shared" si="0"/>
        <v>0</v>
      </c>
    </row>
    <row r="67" spans="2:6" x14ac:dyDescent="0.25">
      <c r="B67" s="37">
        <v>30</v>
      </c>
      <c r="C67">
        <v>36</v>
      </c>
      <c r="D67" t="s">
        <v>245</v>
      </c>
      <c r="E67">
        <f t="shared" si="2"/>
        <v>21.5</v>
      </c>
      <c r="F67" s="38">
        <f t="shared" si="0"/>
        <v>1</v>
      </c>
    </row>
    <row r="68" spans="2:6" x14ac:dyDescent="0.25">
      <c r="B68" s="37">
        <v>31</v>
      </c>
      <c r="C68">
        <v>20</v>
      </c>
      <c r="D68" t="s">
        <v>246</v>
      </c>
      <c r="E68">
        <f t="shared" ref="E68:E131" si="4">AVERAGEIF($B$3:$B$131,B68,$C$3:$C$131)</f>
        <v>23.5</v>
      </c>
      <c r="F68" s="38">
        <f t="shared" ref="F68:F131" si="5">IF(C68&gt;E68,1,0)</f>
        <v>0</v>
      </c>
    </row>
    <row r="69" spans="2:6" x14ac:dyDescent="0.25">
      <c r="B69" s="37">
        <v>31</v>
      </c>
      <c r="C69">
        <v>27</v>
      </c>
      <c r="D69" t="s">
        <v>247</v>
      </c>
      <c r="E69">
        <f t="shared" si="4"/>
        <v>23.5</v>
      </c>
      <c r="F69" s="38">
        <f t="shared" si="5"/>
        <v>1</v>
      </c>
    </row>
    <row r="70" spans="2:6" x14ac:dyDescent="0.25">
      <c r="B70" s="37">
        <v>32</v>
      </c>
      <c r="C70">
        <v>6</v>
      </c>
      <c r="D70" t="s">
        <v>248</v>
      </c>
      <c r="E70">
        <f t="shared" si="4"/>
        <v>18.5</v>
      </c>
      <c r="F70" s="38">
        <f t="shared" si="5"/>
        <v>0</v>
      </c>
    </row>
    <row r="71" spans="2:6" x14ac:dyDescent="0.25">
      <c r="B71" s="37">
        <v>32</v>
      </c>
      <c r="C71">
        <v>31</v>
      </c>
      <c r="D71" t="s">
        <v>249</v>
      </c>
      <c r="E71">
        <f t="shared" si="4"/>
        <v>18.5</v>
      </c>
      <c r="F71" s="38">
        <f t="shared" si="5"/>
        <v>1</v>
      </c>
    </row>
    <row r="72" spans="2:6" x14ac:dyDescent="0.25">
      <c r="B72" s="37">
        <v>33</v>
      </c>
      <c r="C72">
        <v>13</v>
      </c>
      <c r="D72" t="s">
        <v>250</v>
      </c>
      <c r="E72">
        <f t="shared" si="4"/>
        <v>20.5</v>
      </c>
      <c r="F72" s="38">
        <f t="shared" si="5"/>
        <v>0</v>
      </c>
    </row>
    <row r="73" spans="2:6" x14ac:dyDescent="0.25">
      <c r="B73" s="37">
        <v>33</v>
      </c>
      <c r="C73">
        <v>28</v>
      </c>
      <c r="D73" t="s">
        <v>251</v>
      </c>
      <c r="E73">
        <f t="shared" si="4"/>
        <v>20.5</v>
      </c>
      <c r="F73" s="38">
        <f t="shared" si="5"/>
        <v>1</v>
      </c>
    </row>
    <row r="74" spans="2:6" x14ac:dyDescent="0.25">
      <c r="B74" s="37">
        <v>34</v>
      </c>
      <c r="C74">
        <v>6</v>
      </c>
      <c r="D74" t="s">
        <v>252</v>
      </c>
      <c r="E74">
        <f t="shared" si="4"/>
        <v>23</v>
      </c>
      <c r="F74" s="38">
        <f t="shared" si="5"/>
        <v>0</v>
      </c>
    </row>
    <row r="75" spans="2:6" x14ac:dyDescent="0.25">
      <c r="B75" s="37">
        <v>34</v>
      </c>
      <c r="C75">
        <v>40</v>
      </c>
      <c r="D75" t="s">
        <v>253</v>
      </c>
      <c r="E75">
        <f t="shared" si="4"/>
        <v>23</v>
      </c>
      <c r="F75" s="38">
        <f t="shared" si="5"/>
        <v>1</v>
      </c>
    </row>
    <row r="76" spans="2:6" x14ac:dyDescent="0.25">
      <c r="B76" s="37">
        <v>35</v>
      </c>
      <c r="C76">
        <v>29</v>
      </c>
      <c r="D76" t="s">
        <v>254</v>
      </c>
      <c r="E76">
        <f t="shared" si="4"/>
        <v>33.5</v>
      </c>
      <c r="F76" s="38">
        <f t="shared" si="5"/>
        <v>0</v>
      </c>
    </row>
    <row r="77" spans="2:6" x14ac:dyDescent="0.25">
      <c r="B77" s="37">
        <v>35</v>
      </c>
      <c r="C77">
        <v>38</v>
      </c>
      <c r="D77" t="s">
        <v>255</v>
      </c>
      <c r="E77">
        <f t="shared" si="4"/>
        <v>33.5</v>
      </c>
      <c r="F77" s="38">
        <f t="shared" si="5"/>
        <v>1</v>
      </c>
    </row>
    <row r="78" spans="2:6" x14ac:dyDescent="0.25">
      <c r="B78" s="37">
        <v>36</v>
      </c>
      <c r="C78">
        <v>10</v>
      </c>
      <c r="D78" t="s">
        <v>256</v>
      </c>
      <c r="E78">
        <f t="shared" si="4"/>
        <v>17</v>
      </c>
      <c r="F78" s="38">
        <f t="shared" si="5"/>
        <v>0</v>
      </c>
    </row>
    <row r="79" spans="2:6" x14ac:dyDescent="0.25">
      <c r="B79" s="37">
        <v>36</v>
      </c>
      <c r="C79">
        <v>24</v>
      </c>
      <c r="D79" t="s">
        <v>257</v>
      </c>
      <c r="E79">
        <f t="shared" si="4"/>
        <v>17</v>
      </c>
      <c r="F79" s="38">
        <f t="shared" si="5"/>
        <v>1</v>
      </c>
    </row>
    <row r="80" spans="2:6" x14ac:dyDescent="0.25">
      <c r="B80" s="37">
        <v>37</v>
      </c>
      <c r="C80">
        <v>23</v>
      </c>
      <c r="D80" t="s">
        <v>258</v>
      </c>
      <c r="E80">
        <f t="shared" si="4"/>
        <v>27</v>
      </c>
      <c r="F80" s="38">
        <f t="shared" si="5"/>
        <v>0</v>
      </c>
    </row>
    <row r="81" spans="2:6" x14ac:dyDescent="0.25">
      <c r="B81" s="37">
        <v>37</v>
      </c>
      <c r="C81">
        <v>31</v>
      </c>
      <c r="D81" t="s">
        <v>259</v>
      </c>
      <c r="E81">
        <f t="shared" si="4"/>
        <v>27</v>
      </c>
      <c r="F81" s="38">
        <f t="shared" si="5"/>
        <v>1</v>
      </c>
    </row>
    <row r="82" spans="2:6" x14ac:dyDescent="0.25">
      <c r="B82" s="37">
        <v>38</v>
      </c>
      <c r="C82">
        <v>0</v>
      </c>
      <c r="D82" t="s">
        <v>260</v>
      </c>
      <c r="E82">
        <f t="shared" si="4"/>
        <v>11</v>
      </c>
      <c r="F82" s="38">
        <f t="shared" si="5"/>
        <v>0</v>
      </c>
    </row>
    <row r="83" spans="2:6" x14ac:dyDescent="0.25">
      <c r="B83" s="37">
        <v>38</v>
      </c>
      <c r="C83">
        <v>22</v>
      </c>
      <c r="D83" t="s">
        <v>261</v>
      </c>
      <c r="E83">
        <f t="shared" si="4"/>
        <v>11</v>
      </c>
      <c r="F83" s="38">
        <f t="shared" si="5"/>
        <v>1</v>
      </c>
    </row>
    <row r="84" spans="2:6" x14ac:dyDescent="0.25">
      <c r="B84" s="37">
        <v>39</v>
      </c>
      <c r="C84">
        <v>28</v>
      </c>
      <c r="D84" t="s">
        <v>262</v>
      </c>
      <c r="E84">
        <f t="shared" si="4"/>
        <v>31.5</v>
      </c>
      <c r="F84" s="38">
        <f t="shared" si="5"/>
        <v>0</v>
      </c>
    </row>
    <row r="85" spans="2:6" x14ac:dyDescent="0.25">
      <c r="B85" s="37">
        <v>39</v>
      </c>
      <c r="C85">
        <v>35</v>
      </c>
      <c r="D85" t="s">
        <v>263</v>
      </c>
      <c r="E85">
        <f t="shared" si="4"/>
        <v>31.5</v>
      </c>
      <c r="F85" s="38">
        <f t="shared" si="5"/>
        <v>1</v>
      </c>
    </row>
    <row r="86" spans="2:6" x14ac:dyDescent="0.25">
      <c r="B86" s="37">
        <v>40</v>
      </c>
      <c r="C86">
        <v>30</v>
      </c>
      <c r="D86" t="s">
        <v>264</v>
      </c>
      <c r="E86">
        <f t="shared" si="4"/>
        <v>39.5</v>
      </c>
      <c r="F86" s="38">
        <f t="shared" si="5"/>
        <v>0</v>
      </c>
    </row>
    <row r="87" spans="2:6" x14ac:dyDescent="0.25">
      <c r="B87" s="37">
        <v>40</v>
      </c>
      <c r="C87">
        <v>49</v>
      </c>
      <c r="D87" t="s">
        <v>265</v>
      </c>
      <c r="E87">
        <f t="shared" si="4"/>
        <v>39.5</v>
      </c>
      <c r="F87" s="38">
        <f t="shared" si="5"/>
        <v>1</v>
      </c>
    </row>
    <row r="88" spans="2:6" x14ac:dyDescent="0.25">
      <c r="B88" s="37">
        <v>41</v>
      </c>
      <c r="C88">
        <v>7</v>
      </c>
      <c r="D88" t="s">
        <v>266</v>
      </c>
      <c r="E88">
        <f t="shared" si="4"/>
        <v>14.5</v>
      </c>
      <c r="F88" s="38">
        <f t="shared" si="5"/>
        <v>0</v>
      </c>
    </row>
    <row r="89" spans="2:6" x14ac:dyDescent="0.25">
      <c r="B89" s="37">
        <v>41</v>
      </c>
      <c r="C89">
        <v>22</v>
      </c>
      <c r="D89" t="s">
        <v>267</v>
      </c>
      <c r="E89">
        <f t="shared" si="4"/>
        <v>14.5</v>
      </c>
      <c r="F89" s="38">
        <f t="shared" si="5"/>
        <v>1</v>
      </c>
    </row>
    <row r="90" spans="2:6" x14ac:dyDescent="0.25">
      <c r="B90" s="37">
        <v>42</v>
      </c>
      <c r="C90">
        <v>39</v>
      </c>
      <c r="D90" t="s">
        <v>268</v>
      </c>
      <c r="E90">
        <f t="shared" si="4"/>
        <v>40.5</v>
      </c>
      <c r="F90" s="38">
        <f t="shared" si="5"/>
        <v>0</v>
      </c>
    </row>
    <row r="91" spans="2:6" x14ac:dyDescent="0.25">
      <c r="B91" s="37">
        <v>42</v>
      </c>
      <c r="C91">
        <v>42</v>
      </c>
      <c r="D91" t="s">
        <v>269</v>
      </c>
      <c r="E91">
        <f t="shared" si="4"/>
        <v>40.5</v>
      </c>
      <c r="F91" s="38">
        <f t="shared" si="5"/>
        <v>1</v>
      </c>
    </row>
    <row r="92" spans="2:6" x14ac:dyDescent="0.25">
      <c r="B92" s="37">
        <v>43</v>
      </c>
      <c r="C92">
        <v>10</v>
      </c>
      <c r="D92" t="s">
        <v>270</v>
      </c>
      <c r="E92">
        <f t="shared" si="4"/>
        <v>29</v>
      </c>
      <c r="F92" s="38">
        <f t="shared" si="5"/>
        <v>0</v>
      </c>
    </row>
    <row r="93" spans="2:6" x14ac:dyDescent="0.25">
      <c r="B93" s="37">
        <v>43</v>
      </c>
      <c r="C93">
        <v>48</v>
      </c>
      <c r="D93" t="s">
        <v>271</v>
      </c>
      <c r="E93">
        <f t="shared" si="4"/>
        <v>29</v>
      </c>
      <c r="F93" s="38">
        <f t="shared" si="5"/>
        <v>1</v>
      </c>
    </row>
    <row r="94" spans="2:6" x14ac:dyDescent="0.25">
      <c r="B94" s="37">
        <v>44</v>
      </c>
      <c r="C94">
        <v>14</v>
      </c>
      <c r="D94" t="s">
        <v>272</v>
      </c>
      <c r="E94">
        <f t="shared" si="4"/>
        <v>17.5</v>
      </c>
      <c r="F94" s="38">
        <f t="shared" si="5"/>
        <v>0</v>
      </c>
    </row>
    <row r="95" spans="2:6" x14ac:dyDescent="0.25">
      <c r="B95" s="37">
        <v>44</v>
      </c>
      <c r="C95">
        <v>21</v>
      </c>
      <c r="D95" t="s">
        <v>273</v>
      </c>
      <c r="E95">
        <f t="shared" si="4"/>
        <v>17.5</v>
      </c>
      <c r="F95" s="38">
        <f t="shared" si="5"/>
        <v>1</v>
      </c>
    </row>
    <row r="96" spans="2:6" x14ac:dyDescent="0.25">
      <c r="B96" s="37">
        <v>45</v>
      </c>
      <c r="C96">
        <v>17</v>
      </c>
      <c r="D96" t="s">
        <v>274</v>
      </c>
      <c r="E96">
        <f t="shared" si="4"/>
        <v>39.5</v>
      </c>
      <c r="F96" s="38">
        <f t="shared" si="5"/>
        <v>0</v>
      </c>
    </row>
    <row r="97" spans="2:6" x14ac:dyDescent="0.25">
      <c r="B97" s="37">
        <v>45</v>
      </c>
      <c r="C97">
        <v>62</v>
      </c>
      <c r="D97" t="s">
        <v>275</v>
      </c>
      <c r="E97">
        <f t="shared" si="4"/>
        <v>39.5</v>
      </c>
      <c r="F97" s="38">
        <f t="shared" si="5"/>
        <v>1</v>
      </c>
    </row>
    <row r="98" spans="2:6" x14ac:dyDescent="0.25">
      <c r="B98" s="37">
        <v>46</v>
      </c>
      <c r="C98">
        <v>17</v>
      </c>
      <c r="D98" t="s">
        <v>276</v>
      </c>
      <c r="E98">
        <f t="shared" si="4"/>
        <v>34.5</v>
      </c>
      <c r="F98" s="38">
        <f t="shared" si="5"/>
        <v>0</v>
      </c>
    </row>
    <row r="99" spans="2:6" x14ac:dyDescent="0.25">
      <c r="B99" s="37">
        <v>46</v>
      </c>
      <c r="C99">
        <v>52</v>
      </c>
      <c r="D99" t="s">
        <v>277</v>
      </c>
      <c r="E99">
        <f t="shared" si="4"/>
        <v>34.5</v>
      </c>
      <c r="F99" s="38">
        <f t="shared" si="5"/>
        <v>1</v>
      </c>
    </row>
    <row r="100" spans="2:6" x14ac:dyDescent="0.25">
      <c r="B100" s="37">
        <v>47</v>
      </c>
      <c r="C100">
        <v>20</v>
      </c>
      <c r="D100" t="s">
        <v>278</v>
      </c>
      <c r="E100">
        <f t="shared" si="4"/>
        <v>39.5</v>
      </c>
      <c r="F100" s="38">
        <f t="shared" si="5"/>
        <v>0</v>
      </c>
    </row>
    <row r="101" spans="2:6" x14ac:dyDescent="0.25">
      <c r="B101" s="37">
        <v>47</v>
      </c>
      <c r="C101">
        <v>59</v>
      </c>
      <c r="D101" t="s">
        <v>279</v>
      </c>
      <c r="E101">
        <f t="shared" si="4"/>
        <v>39.5</v>
      </c>
      <c r="F101" s="38">
        <f t="shared" si="5"/>
        <v>1</v>
      </c>
    </row>
    <row r="102" spans="2:6" x14ac:dyDescent="0.25">
      <c r="B102" s="37">
        <v>48</v>
      </c>
      <c r="C102">
        <v>33</v>
      </c>
      <c r="D102" t="s">
        <v>280</v>
      </c>
      <c r="E102">
        <f t="shared" si="4"/>
        <v>35.5</v>
      </c>
      <c r="F102" s="38">
        <f t="shared" si="5"/>
        <v>0</v>
      </c>
    </row>
    <row r="103" spans="2:6" x14ac:dyDescent="0.25">
      <c r="B103" s="37">
        <v>48</v>
      </c>
      <c r="C103">
        <v>38</v>
      </c>
      <c r="D103" t="s">
        <v>281</v>
      </c>
      <c r="E103">
        <f t="shared" si="4"/>
        <v>35.5</v>
      </c>
      <c r="F103" s="38">
        <f t="shared" si="5"/>
        <v>1</v>
      </c>
    </row>
    <row r="104" spans="2:6" x14ac:dyDescent="0.25">
      <c r="B104" s="37">
        <v>49</v>
      </c>
      <c r="C104">
        <v>19</v>
      </c>
      <c r="D104" t="s">
        <v>282</v>
      </c>
      <c r="E104">
        <f t="shared" si="4"/>
        <v>20.5</v>
      </c>
      <c r="F104" s="38">
        <f t="shared" si="5"/>
        <v>0</v>
      </c>
    </row>
    <row r="105" spans="2:6" x14ac:dyDescent="0.25">
      <c r="B105" s="37">
        <v>49</v>
      </c>
      <c r="C105">
        <v>22</v>
      </c>
      <c r="D105" t="s">
        <v>283</v>
      </c>
      <c r="E105">
        <f t="shared" si="4"/>
        <v>20.5</v>
      </c>
      <c r="F105" s="38">
        <f t="shared" si="5"/>
        <v>1</v>
      </c>
    </row>
    <row r="106" spans="2:6" x14ac:dyDescent="0.25">
      <c r="B106" s="37">
        <v>50</v>
      </c>
      <c r="C106">
        <v>14</v>
      </c>
      <c r="D106" t="s">
        <v>284</v>
      </c>
      <c r="E106">
        <f t="shared" si="4"/>
        <v>19</v>
      </c>
      <c r="F106" s="38">
        <f t="shared" si="5"/>
        <v>0</v>
      </c>
    </row>
    <row r="107" spans="2:6" x14ac:dyDescent="0.25">
      <c r="B107" s="37">
        <v>50</v>
      </c>
      <c r="C107">
        <v>24</v>
      </c>
      <c r="D107" t="s">
        <v>285</v>
      </c>
      <c r="E107">
        <f t="shared" si="4"/>
        <v>19</v>
      </c>
      <c r="F107" s="38">
        <f t="shared" si="5"/>
        <v>1</v>
      </c>
    </row>
    <row r="108" spans="2:6" x14ac:dyDescent="0.25">
      <c r="B108" s="37">
        <v>51</v>
      </c>
      <c r="C108">
        <v>26</v>
      </c>
      <c r="D108" t="s">
        <v>286</v>
      </c>
      <c r="E108">
        <f t="shared" si="4"/>
        <v>27.5</v>
      </c>
      <c r="F108" s="38">
        <f t="shared" si="5"/>
        <v>0</v>
      </c>
    </row>
    <row r="109" spans="2:6" x14ac:dyDescent="0.25">
      <c r="B109" s="37">
        <v>51</v>
      </c>
      <c r="C109">
        <v>29</v>
      </c>
      <c r="D109" t="s">
        <v>287</v>
      </c>
      <c r="E109">
        <f t="shared" si="4"/>
        <v>27.5</v>
      </c>
      <c r="F109" s="38">
        <f t="shared" si="5"/>
        <v>1</v>
      </c>
    </row>
    <row r="110" spans="2:6" x14ac:dyDescent="0.25">
      <c r="B110" s="37">
        <v>52</v>
      </c>
      <c r="C110">
        <v>35</v>
      </c>
      <c r="D110" t="s">
        <v>288</v>
      </c>
      <c r="E110">
        <f t="shared" si="4"/>
        <v>43.5</v>
      </c>
      <c r="F110" s="38">
        <f t="shared" si="5"/>
        <v>0</v>
      </c>
    </row>
    <row r="111" spans="2:6" x14ac:dyDescent="0.25">
      <c r="B111" s="37">
        <v>52</v>
      </c>
      <c r="C111">
        <v>52</v>
      </c>
      <c r="D111" t="s">
        <v>289</v>
      </c>
      <c r="E111">
        <f t="shared" si="4"/>
        <v>43.5</v>
      </c>
      <c r="F111" s="38">
        <f t="shared" si="5"/>
        <v>1</v>
      </c>
    </row>
    <row r="112" spans="2:6" x14ac:dyDescent="0.25">
      <c r="B112" s="37">
        <v>53</v>
      </c>
      <c r="C112">
        <v>14</v>
      </c>
      <c r="D112" t="s">
        <v>290</v>
      </c>
      <c r="E112">
        <f t="shared" si="4"/>
        <v>24</v>
      </c>
      <c r="F112" s="38">
        <f t="shared" si="5"/>
        <v>0</v>
      </c>
    </row>
    <row r="113" spans="2:6" x14ac:dyDescent="0.25">
      <c r="B113" s="37">
        <v>53</v>
      </c>
      <c r="C113">
        <v>34</v>
      </c>
      <c r="D113" t="s">
        <v>291</v>
      </c>
      <c r="E113">
        <f t="shared" si="4"/>
        <v>24</v>
      </c>
      <c r="F113" s="38">
        <f t="shared" si="5"/>
        <v>1</v>
      </c>
    </row>
    <row r="114" spans="2:6" x14ac:dyDescent="0.25">
      <c r="B114" s="37">
        <v>54</v>
      </c>
      <c r="C114">
        <v>3</v>
      </c>
      <c r="D114" t="s">
        <v>292</v>
      </c>
      <c r="E114">
        <f t="shared" si="4"/>
        <v>20.5</v>
      </c>
      <c r="F114" s="38">
        <f t="shared" si="5"/>
        <v>0</v>
      </c>
    </row>
    <row r="115" spans="2:6" x14ac:dyDescent="0.25">
      <c r="B115" s="37">
        <v>54</v>
      </c>
      <c r="C115">
        <v>38</v>
      </c>
      <c r="D115" t="s">
        <v>293</v>
      </c>
      <c r="E115">
        <f t="shared" si="4"/>
        <v>20.5</v>
      </c>
      <c r="F115" s="38">
        <f t="shared" si="5"/>
        <v>1</v>
      </c>
    </row>
    <row r="116" spans="2:6" x14ac:dyDescent="0.25">
      <c r="B116" s="37">
        <v>55</v>
      </c>
      <c r="C116">
        <v>10</v>
      </c>
      <c r="D116" t="s">
        <v>294</v>
      </c>
      <c r="E116">
        <f t="shared" si="4"/>
        <v>30.5</v>
      </c>
      <c r="F116" s="38">
        <f t="shared" si="5"/>
        <v>0</v>
      </c>
    </row>
    <row r="117" spans="2:6" x14ac:dyDescent="0.25">
      <c r="B117" s="37">
        <v>55</v>
      </c>
      <c r="C117">
        <v>51</v>
      </c>
      <c r="D117" t="s">
        <v>295</v>
      </c>
      <c r="E117">
        <f t="shared" si="4"/>
        <v>30.5</v>
      </c>
      <c r="F117" s="38">
        <f t="shared" si="5"/>
        <v>1</v>
      </c>
    </row>
    <row r="118" spans="2:6" x14ac:dyDescent="0.25">
      <c r="B118" s="37">
        <v>56</v>
      </c>
      <c r="C118">
        <v>45</v>
      </c>
      <c r="D118" t="s">
        <v>296</v>
      </c>
      <c r="E118">
        <f t="shared" si="4"/>
        <v>46</v>
      </c>
      <c r="F118" s="38">
        <f t="shared" si="5"/>
        <v>0</v>
      </c>
    </row>
    <row r="119" spans="2:6" x14ac:dyDescent="0.25">
      <c r="B119" s="37">
        <v>56</v>
      </c>
      <c r="C119">
        <v>47</v>
      </c>
      <c r="D119" t="s">
        <v>297</v>
      </c>
      <c r="E119">
        <f t="shared" si="4"/>
        <v>46</v>
      </c>
      <c r="F119" s="38">
        <f t="shared" si="5"/>
        <v>1</v>
      </c>
    </row>
    <row r="120" spans="2:6" x14ac:dyDescent="0.25">
      <c r="B120" s="37">
        <v>57</v>
      </c>
      <c r="C120">
        <v>7</v>
      </c>
      <c r="D120" t="s">
        <v>298</v>
      </c>
      <c r="E120">
        <f t="shared" si="4"/>
        <v>12</v>
      </c>
      <c r="F120" s="38">
        <f t="shared" si="5"/>
        <v>0</v>
      </c>
    </row>
    <row r="121" spans="2:6" x14ac:dyDescent="0.25">
      <c r="B121" s="37">
        <v>57</v>
      </c>
      <c r="C121">
        <v>17</v>
      </c>
      <c r="D121" t="s">
        <v>299</v>
      </c>
      <c r="E121">
        <f t="shared" si="4"/>
        <v>12</v>
      </c>
      <c r="F121" s="38">
        <f t="shared" si="5"/>
        <v>1</v>
      </c>
    </row>
    <row r="122" spans="2:6" x14ac:dyDescent="0.25">
      <c r="B122" s="37">
        <v>58</v>
      </c>
      <c r="C122">
        <v>14</v>
      </c>
      <c r="D122" t="s">
        <v>300</v>
      </c>
      <c r="E122">
        <f t="shared" si="4"/>
        <v>28</v>
      </c>
      <c r="F122" s="38">
        <f t="shared" si="5"/>
        <v>0</v>
      </c>
    </row>
    <row r="123" spans="2:6" x14ac:dyDescent="0.25">
      <c r="B123" s="37">
        <v>58</v>
      </c>
      <c r="C123">
        <v>42</v>
      </c>
      <c r="D123" t="s">
        <v>301</v>
      </c>
      <c r="E123">
        <f t="shared" si="4"/>
        <v>28</v>
      </c>
      <c r="F123" s="38">
        <f t="shared" si="5"/>
        <v>1</v>
      </c>
    </row>
    <row r="124" spans="2:6" x14ac:dyDescent="0.25">
      <c r="B124" s="37">
        <v>59</v>
      </c>
      <c r="C124">
        <v>13</v>
      </c>
      <c r="D124" t="s">
        <v>302</v>
      </c>
      <c r="E124">
        <f t="shared" si="4"/>
        <v>29</v>
      </c>
      <c r="F124" s="38">
        <f t="shared" si="5"/>
        <v>0</v>
      </c>
    </row>
    <row r="125" spans="2:6" x14ac:dyDescent="0.25">
      <c r="B125" s="37">
        <v>59</v>
      </c>
      <c r="C125">
        <v>45</v>
      </c>
      <c r="D125" t="s">
        <v>303</v>
      </c>
      <c r="E125">
        <f t="shared" si="4"/>
        <v>29</v>
      </c>
      <c r="F125" s="38">
        <f t="shared" si="5"/>
        <v>1</v>
      </c>
    </row>
    <row r="126" spans="2:6" x14ac:dyDescent="0.25">
      <c r="B126" s="37">
        <v>60</v>
      </c>
      <c r="C126">
        <v>27</v>
      </c>
      <c r="D126" t="s">
        <v>304</v>
      </c>
      <c r="E126">
        <f t="shared" si="4"/>
        <v>31.5</v>
      </c>
      <c r="F126" s="38">
        <f t="shared" si="5"/>
        <v>0</v>
      </c>
    </row>
    <row r="127" spans="2:6" x14ac:dyDescent="0.25">
      <c r="B127" s="37">
        <v>60</v>
      </c>
      <c r="C127">
        <v>36</v>
      </c>
      <c r="D127" t="s">
        <v>305</v>
      </c>
      <c r="E127">
        <f t="shared" si="4"/>
        <v>31.5</v>
      </c>
      <c r="F127" s="38">
        <f t="shared" si="5"/>
        <v>1</v>
      </c>
    </row>
    <row r="128" spans="2:6" x14ac:dyDescent="0.25">
      <c r="B128" s="37">
        <v>61</v>
      </c>
      <c r="C128">
        <v>18</v>
      </c>
      <c r="D128" t="s">
        <v>306</v>
      </c>
      <c r="E128">
        <f t="shared" si="4"/>
        <v>30</v>
      </c>
      <c r="F128" s="38">
        <f t="shared" si="5"/>
        <v>0</v>
      </c>
    </row>
    <row r="129" spans="2:6" x14ac:dyDescent="0.25">
      <c r="B129" s="37">
        <v>61</v>
      </c>
      <c r="C129">
        <v>42</v>
      </c>
      <c r="D129" t="s">
        <v>307</v>
      </c>
      <c r="E129">
        <f t="shared" si="4"/>
        <v>30</v>
      </c>
      <c r="F129" s="38">
        <f t="shared" si="5"/>
        <v>1</v>
      </c>
    </row>
    <row r="130" spans="2:6" x14ac:dyDescent="0.25">
      <c r="B130" s="37">
        <v>62</v>
      </c>
      <c r="C130">
        <v>13</v>
      </c>
      <c r="D130" t="s">
        <v>308</v>
      </c>
      <c r="E130">
        <f t="shared" si="4"/>
        <v>20</v>
      </c>
      <c r="F130" s="38">
        <f t="shared" si="5"/>
        <v>0</v>
      </c>
    </row>
    <row r="131" spans="2:6" ht="15.75" thickBot="1" x14ac:dyDescent="0.3">
      <c r="B131" s="39">
        <v>62</v>
      </c>
      <c r="C131" s="40">
        <v>27</v>
      </c>
      <c r="D131" s="40" t="s">
        <v>309</v>
      </c>
      <c r="E131" s="40">
        <f t="shared" si="4"/>
        <v>20</v>
      </c>
      <c r="F131" s="41">
        <f t="shared" si="5"/>
        <v>1</v>
      </c>
    </row>
  </sheetData>
  <conditionalFormatting sqref="B3:B131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3:H2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C6D5B2-7F47-4264-9C3A-51091D64C761}">
  <sheetPr codeName="Sheet4"/>
  <dimension ref="A1:Q1465"/>
  <sheetViews>
    <sheetView topLeftCell="F1" zoomScaleNormal="100" workbookViewId="0">
      <pane ySplit="3600" topLeftCell="A1442" activePane="bottomLeft"/>
      <selection activeCell="M3" sqref="M3:Q1465"/>
      <selection pane="bottomLeft" activeCell="H1460" sqref="H1460"/>
    </sheetView>
  </sheetViews>
  <sheetFormatPr defaultRowHeight="15" x14ac:dyDescent="0.25"/>
  <cols>
    <col min="1" max="1" width="24.140625" customWidth="1"/>
    <col min="2" max="2" width="24.42578125" customWidth="1"/>
    <col min="7" max="7" width="43.5703125" customWidth="1"/>
    <col min="8" max="8" width="26.140625" customWidth="1"/>
  </cols>
  <sheetData>
    <row r="1" spans="1:17" x14ac:dyDescent="0.25">
      <c r="A1" t="s">
        <v>11</v>
      </c>
      <c r="B1" t="s">
        <v>18</v>
      </c>
      <c r="C1" t="s">
        <v>576</v>
      </c>
      <c r="D1" t="s">
        <v>577</v>
      </c>
      <c r="E1" t="s">
        <v>578</v>
      </c>
      <c r="F1" t="s">
        <v>17</v>
      </c>
      <c r="G1" t="s">
        <v>16</v>
      </c>
      <c r="H1" t="s">
        <v>15</v>
      </c>
      <c r="J1" s="1" t="s">
        <v>16</v>
      </c>
      <c r="K1" s="1" t="s">
        <v>12</v>
      </c>
      <c r="M1" s="1" t="s">
        <v>8</v>
      </c>
      <c r="N1" s="1" t="s">
        <v>9</v>
      </c>
    </row>
    <row r="2" spans="1:17" x14ac:dyDescent="0.25">
      <c r="A2" t="s">
        <v>436</v>
      </c>
      <c r="B2" t="s">
        <v>437</v>
      </c>
      <c r="C2" t="s">
        <v>579</v>
      </c>
      <c r="D2" t="s">
        <v>582</v>
      </c>
      <c r="E2" t="s">
        <v>620</v>
      </c>
      <c r="F2">
        <v>1.77</v>
      </c>
      <c r="G2">
        <v>2.1</v>
      </c>
      <c r="H2" t="s">
        <v>10</v>
      </c>
      <c r="J2">
        <v>1.28</v>
      </c>
      <c r="K2" t="s">
        <v>8</v>
      </c>
      <c r="M2" t="s">
        <v>11</v>
      </c>
      <c r="N2" t="s">
        <v>18</v>
      </c>
      <c r="O2" t="s">
        <v>17</v>
      </c>
      <c r="P2" t="s">
        <v>16</v>
      </c>
    </row>
    <row r="3" spans="1:17" x14ac:dyDescent="0.25">
      <c r="A3" t="s">
        <v>436</v>
      </c>
      <c r="B3" t="s">
        <v>437</v>
      </c>
      <c r="C3" t="s">
        <v>579</v>
      </c>
      <c r="D3" t="s">
        <v>583</v>
      </c>
      <c r="E3" t="s">
        <v>621</v>
      </c>
      <c r="F3">
        <v>1.75</v>
      </c>
      <c r="G3">
        <v>2.02</v>
      </c>
      <c r="H3" t="s">
        <v>10</v>
      </c>
      <c r="J3">
        <v>1.24</v>
      </c>
      <c r="K3" t="s">
        <v>8</v>
      </c>
      <c r="M3" t="s">
        <v>340</v>
      </c>
      <c r="N3" t="s">
        <v>341</v>
      </c>
      <c r="O3">
        <v>2.02</v>
      </c>
      <c r="P3">
        <v>1.82</v>
      </c>
      <c r="Q3" t="s">
        <v>8</v>
      </c>
    </row>
    <row r="4" spans="1:17" x14ac:dyDescent="0.25">
      <c r="A4" t="s">
        <v>436</v>
      </c>
      <c r="B4" t="s">
        <v>437</v>
      </c>
      <c r="C4" t="s">
        <v>579</v>
      </c>
      <c r="D4" t="s">
        <v>584</v>
      </c>
      <c r="E4" t="s">
        <v>622</v>
      </c>
      <c r="F4">
        <v>1.74</v>
      </c>
      <c r="G4">
        <v>2.0499999999999998</v>
      </c>
      <c r="H4" t="s">
        <v>10</v>
      </c>
      <c r="J4">
        <v>1.26</v>
      </c>
      <c r="K4" t="s">
        <v>8</v>
      </c>
      <c r="M4" t="s">
        <v>340</v>
      </c>
      <c r="N4" t="s">
        <v>341</v>
      </c>
      <c r="O4">
        <v>2</v>
      </c>
      <c r="P4">
        <v>1.83</v>
      </c>
      <c r="Q4" t="s">
        <v>8</v>
      </c>
    </row>
    <row r="5" spans="1:17" x14ac:dyDescent="0.25">
      <c r="A5" t="s">
        <v>436</v>
      </c>
      <c r="B5" t="s">
        <v>437</v>
      </c>
      <c r="C5" t="s">
        <v>579</v>
      </c>
      <c r="D5" t="s">
        <v>581</v>
      </c>
      <c r="E5" t="s">
        <v>594</v>
      </c>
      <c r="F5">
        <v>1.82</v>
      </c>
      <c r="G5">
        <v>2</v>
      </c>
      <c r="H5" t="s">
        <v>10</v>
      </c>
      <c r="J5">
        <v>1.25</v>
      </c>
      <c r="K5" t="s">
        <v>8</v>
      </c>
      <c r="M5" t="s">
        <v>340</v>
      </c>
      <c r="N5" t="s">
        <v>341</v>
      </c>
      <c r="O5">
        <v>2.13</v>
      </c>
      <c r="P5">
        <v>1.75</v>
      </c>
      <c r="Q5" t="s">
        <v>8</v>
      </c>
    </row>
    <row r="6" spans="1:17" x14ac:dyDescent="0.25">
      <c r="A6" t="s">
        <v>438</v>
      </c>
      <c r="B6" t="s">
        <v>437</v>
      </c>
      <c r="C6" t="s">
        <v>579</v>
      </c>
      <c r="D6" t="s">
        <v>583</v>
      </c>
      <c r="E6" t="s">
        <v>621</v>
      </c>
      <c r="F6">
        <v>1.1599999999999999</v>
      </c>
      <c r="G6">
        <v>4.8</v>
      </c>
      <c r="H6" t="s">
        <v>10</v>
      </c>
      <c r="J6">
        <v>1.25</v>
      </c>
      <c r="K6" t="s">
        <v>8</v>
      </c>
      <c r="M6" t="s">
        <v>340</v>
      </c>
      <c r="N6" t="s">
        <v>341</v>
      </c>
      <c r="O6">
        <v>2.08</v>
      </c>
      <c r="P6">
        <v>1.72</v>
      </c>
      <c r="Q6" t="s">
        <v>8</v>
      </c>
    </row>
    <row r="7" spans="1:17" x14ac:dyDescent="0.25">
      <c r="A7" t="s">
        <v>438</v>
      </c>
      <c r="B7" t="s">
        <v>437</v>
      </c>
      <c r="C7" t="s">
        <v>579</v>
      </c>
      <c r="D7" t="s">
        <v>589</v>
      </c>
      <c r="E7" t="s">
        <v>623</v>
      </c>
      <c r="F7">
        <v>1.1499999999999999</v>
      </c>
      <c r="G7">
        <v>5.25</v>
      </c>
      <c r="H7" t="s">
        <v>10</v>
      </c>
      <c r="J7">
        <v>1.27</v>
      </c>
      <c r="K7" t="s">
        <v>8</v>
      </c>
      <c r="M7" t="s">
        <v>340</v>
      </c>
      <c r="N7" t="s">
        <v>341</v>
      </c>
      <c r="O7">
        <v>2.15</v>
      </c>
      <c r="P7">
        <v>1.74</v>
      </c>
      <c r="Q7" t="s">
        <v>8</v>
      </c>
    </row>
    <row r="8" spans="1:17" x14ac:dyDescent="0.25">
      <c r="A8" t="s">
        <v>438</v>
      </c>
      <c r="B8" t="s">
        <v>437</v>
      </c>
      <c r="C8" t="s">
        <v>579</v>
      </c>
      <c r="D8" t="s">
        <v>582</v>
      </c>
      <c r="E8" t="s">
        <v>620</v>
      </c>
      <c r="F8">
        <v>1.1399999999999999</v>
      </c>
      <c r="G8">
        <v>6.4</v>
      </c>
      <c r="H8" t="s">
        <v>10</v>
      </c>
      <c r="J8">
        <v>1.26</v>
      </c>
      <c r="K8" t="s">
        <v>8</v>
      </c>
      <c r="M8" t="s">
        <v>340</v>
      </c>
      <c r="N8" t="s">
        <v>341</v>
      </c>
      <c r="O8">
        <v>2.1</v>
      </c>
      <c r="P8">
        <v>1.77</v>
      </c>
      <c r="Q8" t="s">
        <v>8</v>
      </c>
    </row>
    <row r="9" spans="1:17" x14ac:dyDescent="0.25">
      <c r="A9" t="s">
        <v>438</v>
      </c>
      <c r="B9" t="s">
        <v>437</v>
      </c>
      <c r="C9" t="s">
        <v>579</v>
      </c>
      <c r="D9" t="s">
        <v>581</v>
      </c>
      <c r="E9" t="s">
        <v>594</v>
      </c>
      <c r="F9">
        <v>1.2</v>
      </c>
      <c r="G9">
        <v>4.5999999999999996</v>
      </c>
      <c r="H9" t="s">
        <v>10</v>
      </c>
      <c r="J9">
        <v>1.25</v>
      </c>
      <c r="K9" t="s">
        <v>8</v>
      </c>
      <c r="M9" t="s">
        <v>340</v>
      </c>
      <c r="N9" t="s">
        <v>341</v>
      </c>
      <c r="O9">
        <v>2.13</v>
      </c>
      <c r="P9">
        <v>1.75</v>
      </c>
      <c r="Q9" t="s">
        <v>8</v>
      </c>
    </row>
    <row r="10" spans="1:17" x14ac:dyDescent="0.25">
      <c r="A10" t="s">
        <v>438</v>
      </c>
      <c r="B10" t="s">
        <v>437</v>
      </c>
      <c r="C10" t="s">
        <v>579</v>
      </c>
      <c r="D10" t="s">
        <v>584</v>
      </c>
      <c r="E10" t="s">
        <v>622</v>
      </c>
      <c r="F10">
        <v>1.1299999999999999</v>
      </c>
      <c r="G10">
        <v>5.6</v>
      </c>
      <c r="H10" t="s">
        <v>10</v>
      </c>
      <c r="J10">
        <v>1.27</v>
      </c>
      <c r="K10" t="s">
        <v>8</v>
      </c>
      <c r="M10" t="s">
        <v>340</v>
      </c>
      <c r="N10" t="s">
        <v>341</v>
      </c>
      <c r="O10">
        <v>2.08</v>
      </c>
      <c r="P10">
        <v>1.72</v>
      </c>
      <c r="Q10" t="s">
        <v>8</v>
      </c>
    </row>
    <row r="11" spans="1:17" x14ac:dyDescent="0.25">
      <c r="A11" t="s">
        <v>624</v>
      </c>
      <c r="B11" t="s">
        <v>437</v>
      </c>
      <c r="C11" t="s">
        <v>579</v>
      </c>
      <c r="D11" t="s">
        <v>582</v>
      </c>
      <c r="E11" t="s">
        <v>620</v>
      </c>
      <c r="F11">
        <v>2.85</v>
      </c>
      <c r="G11">
        <v>1.46</v>
      </c>
      <c r="H11" t="s">
        <v>10</v>
      </c>
      <c r="J11">
        <v>1.25</v>
      </c>
      <c r="K11" t="s">
        <v>8</v>
      </c>
      <c r="M11" t="s">
        <v>340</v>
      </c>
      <c r="N11" t="s">
        <v>341</v>
      </c>
      <c r="O11">
        <v>2.15</v>
      </c>
      <c r="P11">
        <v>1.74</v>
      </c>
      <c r="Q11" t="s">
        <v>8</v>
      </c>
    </row>
    <row r="12" spans="1:17" x14ac:dyDescent="0.25">
      <c r="A12" t="s">
        <v>624</v>
      </c>
      <c r="B12" t="s">
        <v>437</v>
      </c>
      <c r="C12" t="s">
        <v>579</v>
      </c>
      <c r="D12" t="s">
        <v>581</v>
      </c>
      <c r="E12" t="s">
        <v>594</v>
      </c>
      <c r="F12">
        <v>2.64</v>
      </c>
      <c r="G12">
        <v>1.49</v>
      </c>
      <c r="H12" t="s">
        <v>10</v>
      </c>
      <c r="J12">
        <v>1.29</v>
      </c>
      <c r="K12" t="s">
        <v>8</v>
      </c>
      <c r="M12" t="s">
        <v>340</v>
      </c>
      <c r="N12" t="s">
        <v>341</v>
      </c>
      <c r="O12">
        <v>2.1</v>
      </c>
      <c r="P12">
        <v>1.77</v>
      </c>
      <c r="Q12" t="s">
        <v>8</v>
      </c>
    </row>
    <row r="13" spans="1:17" x14ac:dyDescent="0.25">
      <c r="A13" t="s">
        <v>624</v>
      </c>
      <c r="B13" t="s">
        <v>437</v>
      </c>
      <c r="C13" t="s">
        <v>579</v>
      </c>
      <c r="D13" t="s">
        <v>584</v>
      </c>
      <c r="E13" t="s">
        <v>622</v>
      </c>
      <c r="F13">
        <v>2.65</v>
      </c>
      <c r="G13">
        <v>1.45</v>
      </c>
      <c r="H13" t="s">
        <v>10</v>
      </c>
      <c r="J13">
        <v>1.26</v>
      </c>
      <c r="K13" t="s">
        <v>8</v>
      </c>
      <c r="M13" t="s">
        <v>340</v>
      </c>
      <c r="N13" t="s">
        <v>341</v>
      </c>
      <c r="O13">
        <v>2.1</v>
      </c>
      <c r="P13">
        <v>1.77</v>
      </c>
      <c r="Q13" t="s">
        <v>8</v>
      </c>
    </row>
    <row r="14" spans="1:17" x14ac:dyDescent="0.25">
      <c r="A14" t="s">
        <v>624</v>
      </c>
      <c r="B14" t="s">
        <v>437</v>
      </c>
      <c r="C14" t="s">
        <v>579</v>
      </c>
      <c r="D14" t="s">
        <v>589</v>
      </c>
      <c r="E14" t="s">
        <v>623</v>
      </c>
      <c r="F14">
        <v>2.65</v>
      </c>
      <c r="G14">
        <v>1.5</v>
      </c>
      <c r="H14" t="s">
        <v>10</v>
      </c>
      <c r="J14">
        <v>1.62</v>
      </c>
      <c r="K14" t="s">
        <v>8</v>
      </c>
      <c r="M14" t="s">
        <v>340</v>
      </c>
      <c r="N14" t="s">
        <v>341</v>
      </c>
      <c r="O14">
        <v>2.1</v>
      </c>
      <c r="P14">
        <v>1.77</v>
      </c>
      <c r="Q14" t="s">
        <v>8</v>
      </c>
    </row>
    <row r="15" spans="1:17" x14ac:dyDescent="0.25">
      <c r="A15" t="s">
        <v>624</v>
      </c>
      <c r="B15" t="s">
        <v>437</v>
      </c>
      <c r="C15" t="s">
        <v>579</v>
      </c>
      <c r="D15" t="s">
        <v>583</v>
      </c>
      <c r="E15" t="s">
        <v>621</v>
      </c>
      <c r="F15">
        <v>2.5</v>
      </c>
      <c r="G15">
        <v>1.47</v>
      </c>
      <c r="H15" t="s">
        <v>10</v>
      </c>
      <c r="J15">
        <v>1.58</v>
      </c>
      <c r="K15" t="s">
        <v>8</v>
      </c>
      <c r="M15" t="s">
        <v>342</v>
      </c>
      <c r="N15" t="s">
        <v>343</v>
      </c>
      <c r="O15">
        <v>6.75</v>
      </c>
      <c r="P15">
        <v>1.1200000000000001</v>
      </c>
      <c r="Q15" t="s">
        <v>8</v>
      </c>
    </row>
    <row r="16" spans="1:17" x14ac:dyDescent="0.25">
      <c r="A16" t="s">
        <v>625</v>
      </c>
      <c r="B16" t="s">
        <v>626</v>
      </c>
      <c r="C16" t="s">
        <v>579</v>
      </c>
      <c r="D16" t="s">
        <v>582</v>
      </c>
      <c r="E16" t="s">
        <v>620</v>
      </c>
      <c r="F16">
        <v>1.04</v>
      </c>
      <c r="G16">
        <v>12</v>
      </c>
      <c r="H16" t="s">
        <v>10</v>
      </c>
      <c r="J16">
        <v>1.61</v>
      </c>
      <c r="K16" t="s">
        <v>8</v>
      </c>
      <c r="M16" t="s">
        <v>342</v>
      </c>
      <c r="N16" t="s">
        <v>343</v>
      </c>
      <c r="O16">
        <v>6.7</v>
      </c>
      <c r="P16">
        <v>1.1200000000000001</v>
      </c>
      <c r="Q16" t="s">
        <v>8</v>
      </c>
    </row>
    <row r="17" spans="1:17" x14ac:dyDescent="0.25">
      <c r="A17" t="s">
        <v>625</v>
      </c>
      <c r="B17" t="s">
        <v>626</v>
      </c>
      <c r="C17" t="s">
        <v>579</v>
      </c>
      <c r="D17" t="s">
        <v>581</v>
      </c>
      <c r="E17" t="s">
        <v>594</v>
      </c>
      <c r="F17">
        <v>1.17</v>
      </c>
      <c r="G17">
        <v>5.0999999999999996</v>
      </c>
      <c r="H17" t="s">
        <v>10</v>
      </c>
      <c r="J17">
        <v>1.6</v>
      </c>
      <c r="K17" t="s">
        <v>8</v>
      </c>
      <c r="M17" t="s">
        <v>342</v>
      </c>
      <c r="N17" t="s">
        <v>343</v>
      </c>
      <c r="O17">
        <v>6.2</v>
      </c>
      <c r="P17">
        <v>1.1399999999999999</v>
      </c>
      <c r="Q17" t="s">
        <v>8</v>
      </c>
    </row>
    <row r="18" spans="1:17" x14ac:dyDescent="0.25">
      <c r="A18" t="s">
        <v>625</v>
      </c>
      <c r="B18" t="s">
        <v>626</v>
      </c>
      <c r="C18" t="s">
        <v>579</v>
      </c>
      <c r="D18" t="s">
        <v>584</v>
      </c>
      <c r="E18" t="s">
        <v>622</v>
      </c>
      <c r="F18">
        <v>1.1000000000000001</v>
      </c>
      <c r="G18">
        <v>6.75</v>
      </c>
      <c r="H18" t="s">
        <v>10</v>
      </c>
      <c r="J18">
        <v>1.62</v>
      </c>
      <c r="K18" t="s">
        <v>8</v>
      </c>
      <c r="M18" t="s">
        <v>342</v>
      </c>
      <c r="N18" t="s">
        <v>343</v>
      </c>
      <c r="O18">
        <v>6.25</v>
      </c>
      <c r="P18">
        <v>1.1200000000000001</v>
      </c>
      <c r="Q18" t="s">
        <v>8</v>
      </c>
    </row>
    <row r="19" spans="1:17" x14ac:dyDescent="0.25">
      <c r="A19" t="s">
        <v>446</v>
      </c>
      <c r="B19" t="s">
        <v>447</v>
      </c>
      <c r="C19" t="s">
        <v>579</v>
      </c>
      <c r="D19" t="s">
        <v>582</v>
      </c>
      <c r="E19" t="s">
        <v>620</v>
      </c>
      <c r="F19">
        <v>1.48</v>
      </c>
      <c r="G19">
        <v>2.8</v>
      </c>
      <c r="H19" t="s">
        <v>10</v>
      </c>
      <c r="J19">
        <v>1.59</v>
      </c>
      <c r="K19" t="s">
        <v>8</v>
      </c>
      <c r="M19" t="s">
        <v>342</v>
      </c>
      <c r="N19" t="s">
        <v>343</v>
      </c>
      <c r="O19">
        <v>6.25</v>
      </c>
      <c r="P19">
        <v>1.1200000000000001</v>
      </c>
      <c r="Q19" t="s">
        <v>8</v>
      </c>
    </row>
    <row r="20" spans="1:17" x14ac:dyDescent="0.25">
      <c r="A20" t="s">
        <v>446</v>
      </c>
      <c r="B20" t="s">
        <v>447</v>
      </c>
      <c r="C20" t="s">
        <v>579</v>
      </c>
      <c r="D20" t="s">
        <v>583</v>
      </c>
      <c r="E20" t="s">
        <v>621</v>
      </c>
      <c r="F20">
        <v>1.5</v>
      </c>
      <c r="G20">
        <v>2.4500000000000002</v>
      </c>
      <c r="H20" t="s">
        <v>10</v>
      </c>
      <c r="J20">
        <v>1.61</v>
      </c>
      <c r="K20" t="s">
        <v>8</v>
      </c>
      <c r="M20" t="s">
        <v>342</v>
      </c>
      <c r="N20" t="s">
        <v>343</v>
      </c>
      <c r="O20">
        <v>6.5</v>
      </c>
      <c r="P20">
        <v>1.1200000000000001</v>
      </c>
      <c r="Q20" t="s">
        <v>8</v>
      </c>
    </row>
    <row r="21" spans="1:17" x14ac:dyDescent="0.25">
      <c r="A21" t="s">
        <v>446</v>
      </c>
      <c r="B21" t="s">
        <v>447</v>
      </c>
      <c r="C21" t="s">
        <v>579</v>
      </c>
      <c r="D21" t="s">
        <v>589</v>
      </c>
      <c r="E21" t="s">
        <v>623</v>
      </c>
      <c r="F21">
        <v>1.5</v>
      </c>
      <c r="G21">
        <v>2.65</v>
      </c>
      <c r="H21" t="s">
        <v>10</v>
      </c>
      <c r="J21">
        <v>1.6</v>
      </c>
      <c r="K21" t="s">
        <v>8</v>
      </c>
      <c r="M21" t="s">
        <v>342</v>
      </c>
      <c r="N21" t="s">
        <v>343</v>
      </c>
      <c r="O21">
        <v>6.2</v>
      </c>
      <c r="P21">
        <v>1.1399999999999999</v>
      </c>
      <c r="Q21" t="s">
        <v>8</v>
      </c>
    </row>
    <row r="22" spans="1:17" x14ac:dyDescent="0.25">
      <c r="A22" t="s">
        <v>446</v>
      </c>
      <c r="B22" t="s">
        <v>447</v>
      </c>
      <c r="C22" t="s">
        <v>579</v>
      </c>
      <c r="D22" t="s">
        <v>584</v>
      </c>
      <c r="E22" t="s">
        <v>622</v>
      </c>
      <c r="F22">
        <v>1.48</v>
      </c>
      <c r="G22">
        <v>2.6</v>
      </c>
      <c r="H22" t="s">
        <v>10</v>
      </c>
      <c r="J22">
        <v>1.62</v>
      </c>
      <c r="K22" t="s">
        <v>8</v>
      </c>
      <c r="M22" t="s">
        <v>342</v>
      </c>
      <c r="N22" t="s">
        <v>343</v>
      </c>
      <c r="O22">
        <v>6.25</v>
      </c>
      <c r="P22">
        <v>1.1200000000000001</v>
      </c>
      <c r="Q22" t="s">
        <v>8</v>
      </c>
    </row>
    <row r="23" spans="1:17" x14ac:dyDescent="0.25">
      <c r="A23" t="s">
        <v>446</v>
      </c>
      <c r="B23" t="s">
        <v>447</v>
      </c>
      <c r="C23" t="s">
        <v>579</v>
      </c>
      <c r="D23" t="s">
        <v>581</v>
      </c>
      <c r="E23" t="s">
        <v>594</v>
      </c>
      <c r="F23">
        <v>1.43</v>
      </c>
      <c r="G23">
        <v>2.84</v>
      </c>
      <c r="H23" t="s">
        <v>10</v>
      </c>
      <c r="J23">
        <v>1.61</v>
      </c>
      <c r="K23" t="s">
        <v>8</v>
      </c>
      <c r="M23" t="s">
        <v>342</v>
      </c>
      <c r="N23" t="s">
        <v>343</v>
      </c>
      <c r="O23">
        <v>5.9</v>
      </c>
      <c r="P23">
        <v>1.1399999999999999</v>
      </c>
      <c r="Q23" t="s">
        <v>8</v>
      </c>
    </row>
    <row r="24" spans="1:17" x14ac:dyDescent="0.25">
      <c r="A24" t="s">
        <v>627</v>
      </c>
      <c r="B24" t="s">
        <v>447</v>
      </c>
      <c r="C24" t="s">
        <v>579</v>
      </c>
      <c r="D24" t="s">
        <v>582</v>
      </c>
      <c r="E24" t="s">
        <v>620</v>
      </c>
      <c r="F24">
        <v>1.36</v>
      </c>
      <c r="G24">
        <v>3.4</v>
      </c>
      <c r="H24" t="s">
        <v>10</v>
      </c>
      <c r="J24">
        <v>1.59</v>
      </c>
      <c r="K24" t="s">
        <v>8</v>
      </c>
      <c r="M24" t="s">
        <v>342</v>
      </c>
      <c r="N24" t="s">
        <v>343</v>
      </c>
      <c r="O24">
        <v>6.5</v>
      </c>
      <c r="P24">
        <v>1.1200000000000001</v>
      </c>
      <c r="Q24" t="s">
        <v>8</v>
      </c>
    </row>
    <row r="25" spans="1:17" x14ac:dyDescent="0.25">
      <c r="A25" t="s">
        <v>627</v>
      </c>
      <c r="B25" t="s">
        <v>447</v>
      </c>
      <c r="C25" t="s">
        <v>579</v>
      </c>
      <c r="D25" t="s">
        <v>581</v>
      </c>
      <c r="E25" t="s">
        <v>594</v>
      </c>
      <c r="F25">
        <v>1.41</v>
      </c>
      <c r="G25">
        <v>2.96</v>
      </c>
      <c r="H25" t="s">
        <v>10</v>
      </c>
      <c r="J25">
        <v>1.57</v>
      </c>
      <c r="K25" t="s">
        <v>8</v>
      </c>
      <c r="M25" t="s">
        <v>342</v>
      </c>
      <c r="N25" t="s">
        <v>343</v>
      </c>
      <c r="O25">
        <v>6.5</v>
      </c>
      <c r="P25">
        <v>1.1200000000000001</v>
      </c>
      <c r="Q25" t="s">
        <v>8</v>
      </c>
    </row>
    <row r="26" spans="1:17" x14ac:dyDescent="0.25">
      <c r="A26" t="s">
        <v>627</v>
      </c>
      <c r="B26" t="s">
        <v>447</v>
      </c>
      <c r="C26" t="s">
        <v>579</v>
      </c>
      <c r="D26" t="s">
        <v>584</v>
      </c>
      <c r="E26" t="s">
        <v>622</v>
      </c>
      <c r="F26">
        <v>1.33</v>
      </c>
      <c r="G26">
        <v>3.2</v>
      </c>
      <c r="H26" t="s">
        <v>10</v>
      </c>
      <c r="J26">
        <v>2.64</v>
      </c>
      <c r="K26" t="s">
        <v>8</v>
      </c>
      <c r="M26" t="s">
        <v>342</v>
      </c>
      <c r="N26" t="s">
        <v>343</v>
      </c>
      <c r="O26">
        <v>6.3</v>
      </c>
      <c r="P26">
        <v>1.1200000000000001</v>
      </c>
      <c r="Q26" t="s">
        <v>8</v>
      </c>
    </row>
    <row r="27" spans="1:17" x14ac:dyDescent="0.25">
      <c r="A27" t="s">
        <v>627</v>
      </c>
      <c r="B27" t="s">
        <v>447</v>
      </c>
      <c r="C27" t="s">
        <v>579</v>
      </c>
      <c r="D27" t="s">
        <v>589</v>
      </c>
      <c r="E27" t="s">
        <v>623</v>
      </c>
      <c r="F27">
        <v>1.36</v>
      </c>
      <c r="G27">
        <v>3.2</v>
      </c>
      <c r="H27" t="s">
        <v>10</v>
      </c>
      <c r="J27">
        <v>2.64</v>
      </c>
      <c r="K27" t="s">
        <v>8</v>
      </c>
      <c r="M27" t="s">
        <v>342</v>
      </c>
      <c r="N27" t="s">
        <v>343</v>
      </c>
      <c r="O27">
        <v>6.5</v>
      </c>
      <c r="P27">
        <v>1.1299999999999999</v>
      </c>
      <c r="Q27" t="s">
        <v>8</v>
      </c>
    </row>
    <row r="28" spans="1:17" x14ac:dyDescent="0.25">
      <c r="A28" t="s">
        <v>627</v>
      </c>
      <c r="B28" t="s">
        <v>447</v>
      </c>
      <c r="C28" t="s">
        <v>579</v>
      </c>
      <c r="D28" t="s">
        <v>583</v>
      </c>
      <c r="E28" t="s">
        <v>621</v>
      </c>
      <c r="F28">
        <v>1.3</v>
      </c>
      <c r="G28">
        <v>3.2</v>
      </c>
      <c r="H28" t="s">
        <v>10</v>
      </c>
      <c r="J28">
        <v>2.65</v>
      </c>
      <c r="K28" t="s">
        <v>8</v>
      </c>
      <c r="M28" t="s">
        <v>344</v>
      </c>
      <c r="N28" t="s">
        <v>345</v>
      </c>
      <c r="O28">
        <v>2.54</v>
      </c>
      <c r="P28">
        <v>1.54</v>
      </c>
      <c r="Q28" t="s">
        <v>8</v>
      </c>
    </row>
    <row r="29" spans="1:17" x14ac:dyDescent="0.25">
      <c r="A29" t="s">
        <v>445</v>
      </c>
      <c r="B29" t="s">
        <v>628</v>
      </c>
      <c r="C29" t="s">
        <v>579</v>
      </c>
      <c r="D29" t="s">
        <v>582</v>
      </c>
      <c r="E29" t="s">
        <v>620</v>
      </c>
      <c r="F29">
        <v>1.63</v>
      </c>
      <c r="G29">
        <v>2.39</v>
      </c>
      <c r="H29" t="s">
        <v>10</v>
      </c>
      <c r="J29">
        <v>2.7</v>
      </c>
      <c r="K29" t="s">
        <v>8</v>
      </c>
      <c r="M29" t="s">
        <v>344</v>
      </c>
      <c r="N29" t="s">
        <v>345</v>
      </c>
      <c r="O29">
        <v>2.62</v>
      </c>
      <c r="P29">
        <v>1.51</v>
      </c>
      <c r="Q29" t="s">
        <v>8</v>
      </c>
    </row>
    <row r="30" spans="1:17" x14ac:dyDescent="0.25">
      <c r="A30" t="s">
        <v>445</v>
      </c>
      <c r="B30" t="s">
        <v>628</v>
      </c>
      <c r="C30" t="s">
        <v>579</v>
      </c>
      <c r="D30" t="s">
        <v>589</v>
      </c>
      <c r="E30" t="s">
        <v>623</v>
      </c>
      <c r="F30">
        <v>1.62</v>
      </c>
      <c r="G30">
        <v>2.2999999999999998</v>
      </c>
      <c r="H30" t="s">
        <v>10</v>
      </c>
      <c r="J30">
        <v>2.7</v>
      </c>
      <c r="K30" t="s">
        <v>8</v>
      </c>
      <c r="M30" t="s">
        <v>344</v>
      </c>
      <c r="N30" t="s">
        <v>345</v>
      </c>
      <c r="O30">
        <v>2.6</v>
      </c>
      <c r="P30">
        <v>1.56</v>
      </c>
      <c r="Q30" t="s">
        <v>8</v>
      </c>
    </row>
    <row r="31" spans="1:17" x14ac:dyDescent="0.25">
      <c r="A31" t="s">
        <v>445</v>
      </c>
      <c r="B31" t="s">
        <v>628</v>
      </c>
      <c r="C31" t="s">
        <v>579</v>
      </c>
      <c r="D31" t="s">
        <v>581</v>
      </c>
      <c r="E31" t="s">
        <v>594</v>
      </c>
      <c r="F31">
        <v>1.56</v>
      </c>
      <c r="G31">
        <v>2.46</v>
      </c>
      <c r="H31" t="s">
        <v>10</v>
      </c>
      <c r="J31">
        <v>2.58</v>
      </c>
      <c r="K31" t="s">
        <v>8</v>
      </c>
      <c r="M31" t="s">
        <v>344</v>
      </c>
      <c r="N31" t="s">
        <v>345</v>
      </c>
      <c r="O31">
        <v>2.6</v>
      </c>
      <c r="P31">
        <v>1.5</v>
      </c>
      <c r="Q31" t="s">
        <v>8</v>
      </c>
    </row>
    <row r="32" spans="1:17" x14ac:dyDescent="0.25">
      <c r="A32" t="s">
        <v>445</v>
      </c>
      <c r="B32" t="s">
        <v>628</v>
      </c>
      <c r="C32" t="s">
        <v>579</v>
      </c>
      <c r="D32" t="s">
        <v>583</v>
      </c>
      <c r="E32" t="s">
        <v>621</v>
      </c>
      <c r="F32">
        <v>1.55</v>
      </c>
      <c r="G32">
        <v>2.3199999999999998</v>
      </c>
      <c r="H32" t="s">
        <v>10</v>
      </c>
      <c r="J32">
        <v>2.65</v>
      </c>
      <c r="K32" t="s">
        <v>8</v>
      </c>
      <c r="M32" t="s">
        <v>344</v>
      </c>
      <c r="N32" t="s">
        <v>345</v>
      </c>
      <c r="O32">
        <v>2.6</v>
      </c>
      <c r="P32">
        <v>1.54</v>
      </c>
      <c r="Q32" t="s">
        <v>8</v>
      </c>
    </row>
    <row r="33" spans="1:17" x14ac:dyDescent="0.25">
      <c r="A33" t="s">
        <v>629</v>
      </c>
      <c r="B33" t="s">
        <v>628</v>
      </c>
      <c r="C33" t="s">
        <v>579</v>
      </c>
      <c r="D33" t="s">
        <v>589</v>
      </c>
      <c r="E33" t="s">
        <v>623</v>
      </c>
      <c r="F33">
        <v>4.5999999999999996</v>
      </c>
      <c r="G33">
        <v>1.2</v>
      </c>
      <c r="H33" t="s">
        <v>10</v>
      </c>
      <c r="J33">
        <v>2.7</v>
      </c>
      <c r="K33" t="s">
        <v>8</v>
      </c>
      <c r="M33" t="s">
        <v>344</v>
      </c>
      <c r="N33" t="s">
        <v>345</v>
      </c>
      <c r="O33">
        <v>2.58</v>
      </c>
      <c r="P33">
        <v>1.53</v>
      </c>
      <c r="Q33" t="s">
        <v>8</v>
      </c>
    </row>
    <row r="34" spans="1:17" x14ac:dyDescent="0.25">
      <c r="A34" t="s">
        <v>629</v>
      </c>
      <c r="B34" t="s">
        <v>628</v>
      </c>
      <c r="C34" t="s">
        <v>579</v>
      </c>
      <c r="D34" t="s">
        <v>582</v>
      </c>
      <c r="E34" t="s">
        <v>620</v>
      </c>
      <c r="F34">
        <v>4.25</v>
      </c>
      <c r="G34">
        <v>1.24</v>
      </c>
      <c r="H34" t="s">
        <v>10</v>
      </c>
      <c r="J34">
        <v>2.63</v>
      </c>
      <c r="K34" t="s">
        <v>8</v>
      </c>
      <c r="M34" t="s">
        <v>344</v>
      </c>
      <c r="N34" t="s">
        <v>345</v>
      </c>
      <c r="O34">
        <v>2.6</v>
      </c>
      <c r="P34">
        <v>1.56</v>
      </c>
      <c r="Q34" t="s">
        <v>8</v>
      </c>
    </row>
    <row r="35" spans="1:17" x14ac:dyDescent="0.25">
      <c r="A35" t="s">
        <v>629</v>
      </c>
      <c r="B35" t="s">
        <v>628</v>
      </c>
      <c r="C35" t="s">
        <v>579</v>
      </c>
      <c r="D35" t="s">
        <v>583</v>
      </c>
      <c r="E35" t="s">
        <v>621</v>
      </c>
      <c r="F35">
        <v>3.8</v>
      </c>
      <c r="G35">
        <v>1.24</v>
      </c>
      <c r="H35" t="s">
        <v>10</v>
      </c>
      <c r="J35">
        <v>2.65</v>
      </c>
      <c r="K35" t="s">
        <v>8</v>
      </c>
      <c r="M35" t="s">
        <v>344</v>
      </c>
      <c r="N35" t="s">
        <v>345</v>
      </c>
      <c r="O35">
        <v>2.6</v>
      </c>
      <c r="P35">
        <v>1.5</v>
      </c>
      <c r="Q35" t="s">
        <v>8</v>
      </c>
    </row>
    <row r="36" spans="1:17" x14ac:dyDescent="0.25">
      <c r="A36" t="s">
        <v>629</v>
      </c>
      <c r="B36" t="s">
        <v>628</v>
      </c>
      <c r="C36" t="s">
        <v>579</v>
      </c>
      <c r="D36" t="s">
        <v>581</v>
      </c>
      <c r="E36" t="s">
        <v>594</v>
      </c>
      <c r="F36">
        <v>4.0999999999999996</v>
      </c>
      <c r="G36">
        <v>1.23</v>
      </c>
      <c r="H36" t="s">
        <v>10</v>
      </c>
      <c r="J36">
        <v>2.6</v>
      </c>
      <c r="K36" t="s">
        <v>8</v>
      </c>
      <c r="M36" t="s">
        <v>344</v>
      </c>
      <c r="N36" t="s">
        <v>345</v>
      </c>
      <c r="O36">
        <v>2.5499999999999998</v>
      </c>
      <c r="P36">
        <v>1.56</v>
      </c>
      <c r="Q36" t="s">
        <v>8</v>
      </c>
    </row>
    <row r="37" spans="1:17" x14ac:dyDescent="0.25">
      <c r="A37" t="s">
        <v>629</v>
      </c>
      <c r="B37" t="s">
        <v>628</v>
      </c>
      <c r="C37" t="s">
        <v>579</v>
      </c>
      <c r="D37" t="s">
        <v>584</v>
      </c>
      <c r="E37" t="s">
        <v>622</v>
      </c>
      <c r="F37">
        <v>4.25</v>
      </c>
      <c r="G37">
        <v>1.21</v>
      </c>
      <c r="H37" t="s">
        <v>10</v>
      </c>
      <c r="J37">
        <v>2.65</v>
      </c>
      <c r="K37" t="s">
        <v>8</v>
      </c>
      <c r="M37" t="s">
        <v>344</v>
      </c>
      <c r="N37" t="s">
        <v>345</v>
      </c>
      <c r="O37">
        <v>2.6</v>
      </c>
      <c r="P37">
        <v>1.53</v>
      </c>
      <c r="Q37" t="s">
        <v>8</v>
      </c>
    </row>
    <row r="38" spans="1:17" x14ac:dyDescent="0.25">
      <c r="A38" t="s">
        <v>444</v>
      </c>
      <c r="B38" t="s">
        <v>630</v>
      </c>
      <c r="C38" t="s">
        <v>579</v>
      </c>
      <c r="D38" t="s">
        <v>584</v>
      </c>
      <c r="E38" t="s">
        <v>622</v>
      </c>
      <c r="F38">
        <v>1.45</v>
      </c>
      <c r="G38">
        <v>2.69</v>
      </c>
      <c r="H38" t="s">
        <v>10</v>
      </c>
      <c r="J38">
        <v>1.25</v>
      </c>
      <c r="K38" t="s">
        <v>8</v>
      </c>
      <c r="M38" t="s">
        <v>344</v>
      </c>
      <c r="N38" t="s">
        <v>345</v>
      </c>
      <c r="O38">
        <v>2.65</v>
      </c>
      <c r="P38">
        <v>1.51</v>
      </c>
      <c r="Q38" t="s">
        <v>8</v>
      </c>
    </row>
    <row r="39" spans="1:17" x14ac:dyDescent="0.25">
      <c r="A39" t="s">
        <v>444</v>
      </c>
      <c r="B39" t="s">
        <v>630</v>
      </c>
      <c r="C39" t="s">
        <v>579</v>
      </c>
      <c r="D39" t="s">
        <v>582</v>
      </c>
      <c r="E39" t="s">
        <v>620</v>
      </c>
      <c r="F39">
        <v>1.5</v>
      </c>
      <c r="G39">
        <v>2.7</v>
      </c>
      <c r="H39" t="s">
        <v>10</v>
      </c>
      <c r="J39">
        <v>1.23</v>
      </c>
      <c r="K39" t="s">
        <v>8</v>
      </c>
      <c r="M39" t="s">
        <v>344</v>
      </c>
      <c r="N39" t="s">
        <v>345</v>
      </c>
      <c r="O39">
        <v>2.6</v>
      </c>
      <c r="P39">
        <v>1.51</v>
      </c>
      <c r="Q39" t="s">
        <v>8</v>
      </c>
    </row>
    <row r="40" spans="1:17" x14ac:dyDescent="0.25">
      <c r="A40" t="s">
        <v>444</v>
      </c>
      <c r="B40" t="s">
        <v>630</v>
      </c>
      <c r="C40" t="s">
        <v>579</v>
      </c>
      <c r="D40" t="s">
        <v>589</v>
      </c>
      <c r="E40" t="s">
        <v>623</v>
      </c>
      <c r="F40">
        <v>1.5</v>
      </c>
      <c r="G40">
        <v>2.65</v>
      </c>
      <c r="H40" t="s">
        <v>10</v>
      </c>
      <c r="J40">
        <v>1.24</v>
      </c>
      <c r="K40" t="s">
        <v>8</v>
      </c>
      <c r="M40" t="s">
        <v>344</v>
      </c>
      <c r="N40" t="s">
        <v>345</v>
      </c>
      <c r="O40">
        <v>2.63</v>
      </c>
      <c r="P40">
        <v>1.53</v>
      </c>
      <c r="Q40" t="s">
        <v>8</v>
      </c>
    </row>
    <row r="41" spans="1:17" x14ac:dyDescent="0.25">
      <c r="A41" t="s">
        <v>444</v>
      </c>
      <c r="B41" t="s">
        <v>630</v>
      </c>
      <c r="C41" t="s">
        <v>579</v>
      </c>
      <c r="D41" t="s">
        <v>581</v>
      </c>
      <c r="E41" t="s">
        <v>594</v>
      </c>
      <c r="F41">
        <v>1.44</v>
      </c>
      <c r="G41">
        <v>2.8</v>
      </c>
      <c r="H41" t="s">
        <v>10</v>
      </c>
      <c r="J41">
        <v>1.23</v>
      </c>
      <c r="K41" t="s">
        <v>8</v>
      </c>
      <c r="M41" t="s">
        <v>346</v>
      </c>
      <c r="N41" t="s">
        <v>347</v>
      </c>
      <c r="O41">
        <v>1.91</v>
      </c>
      <c r="P41">
        <v>1.91</v>
      </c>
      <c r="Q41" t="s">
        <v>8</v>
      </c>
    </row>
    <row r="42" spans="1:17" x14ac:dyDescent="0.25">
      <c r="A42" t="s">
        <v>444</v>
      </c>
      <c r="B42" t="s">
        <v>630</v>
      </c>
      <c r="C42" t="s">
        <v>579</v>
      </c>
      <c r="D42" t="s">
        <v>583</v>
      </c>
      <c r="E42" t="s">
        <v>621</v>
      </c>
      <c r="F42">
        <v>1.43</v>
      </c>
      <c r="G42">
        <v>2.63</v>
      </c>
      <c r="H42" t="s">
        <v>10</v>
      </c>
      <c r="J42">
        <v>1.23</v>
      </c>
      <c r="K42" t="s">
        <v>8</v>
      </c>
      <c r="M42" t="s">
        <v>346</v>
      </c>
      <c r="N42" t="s">
        <v>347</v>
      </c>
      <c r="O42">
        <v>1.91</v>
      </c>
      <c r="P42">
        <v>1.91</v>
      </c>
      <c r="Q42" t="s">
        <v>8</v>
      </c>
    </row>
    <row r="43" spans="1:17" x14ac:dyDescent="0.25">
      <c r="A43" t="s">
        <v>631</v>
      </c>
      <c r="B43" t="s">
        <v>632</v>
      </c>
      <c r="C43" t="s">
        <v>579</v>
      </c>
      <c r="D43" t="s">
        <v>582</v>
      </c>
      <c r="E43" t="s">
        <v>620</v>
      </c>
      <c r="F43">
        <v>1.44</v>
      </c>
      <c r="G43">
        <v>2.95</v>
      </c>
      <c r="H43" t="s">
        <v>10</v>
      </c>
      <c r="J43">
        <v>1.2</v>
      </c>
      <c r="K43" t="s">
        <v>8</v>
      </c>
      <c r="M43" t="s">
        <v>346</v>
      </c>
      <c r="N43" t="s">
        <v>347</v>
      </c>
      <c r="O43">
        <v>1.88</v>
      </c>
      <c r="P43">
        <v>1.93</v>
      </c>
      <c r="Q43" t="s">
        <v>8</v>
      </c>
    </row>
    <row r="44" spans="1:17" x14ac:dyDescent="0.25">
      <c r="A44" t="s">
        <v>631</v>
      </c>
      <c r="B44" t="s">
        <v>632</v>
      </c>
      <c r="C44" t="s">
        <v>579</v>
      </c>
      <c r="D44" t="s">
        <v>581</v>
      </c>
      <c r="E44" t="s">
        <v>594</v>
      </c>
      <c r="F44">
        <v>1.48</v>
      </c>
      <c r="G44">
        <v>2.7</v>
      </c>
      <c r="H44" t="s">
        <v>10</v>
      </c>
      <c r="J44">
        <v>1.24</v>
      </c>
      <c r="K44" t="s">
        <v>8</v>
      </c>
      <c r="M44" t="s">
        <v>346</v>
      </c>
      <c r="N44" t="s">
        <v>347</v>
      </c>
      <c r="O44">
        <v>1.95</v>
      </c>
      <c r="P44">
        <v>1.87</v>
      </c>
      <c r="Q44" t="s">
        <v>8</v>
      </c>
    </row>
    <row r="45" spans="1:17" x14ac:dyDescent="0.25">
      <c r="A45" t="s">
        <v>631</v>
      </c>
      <c r="B45" t="s">
        <v>632</v>
      </c>
      <c r="C45" t="s">
        <v>579</v>
      </c>
      <c r="D45" t="s">
        <v>584</v>
      </c>
      <c r="E45" t="s">
        <v>622</v>
      </c>
      <c r="F45">
        <v>1.44</v>
      </c>
      <c r="G45">
        <v>2.7</v>
      </c>
      <c r="H45" t="s">
        <v>10</v>
      </c>
      <c r="J45">
        <v>1.2</v>
      </c>
      <c r="K45" t="s">
        <v>8</v>
      </c>
      <c r="M45" t="s">
        <v>346</v>
      </c>
      <c r="N45" t="s">
        <v>347</v>
      </c>
      <c r="O45">
        <v>1.91</v>
      </c>
      <c r="P45">
        <v>1.91</v>
      </c>
      <c r="Q45" t="s">
        <v>8</v>
      </c>
    </row>
    <row r="46" spans="1:17" x14ac:dyDescent="0.25">
      <c r="A46" t="s">
        <v>631</v>
      </c>
      <c r="B46" t="s">
        <v>632</v>
      </c>
      <c r="C46" t="s">
        <v>579</v>
      </c>
      <c r="D46" t="s">
        <v>589</v>
      </c>
      <c r="E46" t="s">
        <v>623</v>
      </c>
      <c r="F46">
        <v>1.44</v>
      </c>
      <c r="G46">
        <v>2.85</v>
      </c>
      <c r="H46" t="s">
        <v>10</v>
      </c>
      <c r="J46">
        <v>1.24</v>
      </c>
      <c r="K46" t="s">
        <v>8</v>
      </c>
      <c r="M46" t="s">
        <v>346</v>
      </c>
      <c r="N46" t="s">
        <v>347</v>
      </c>
      <c r="O46">
        <v>1.88</v>
      </c>
      <c r="P46">
        <v>1.93</v>
      </c>
      <c r="Q46" t="s">
        <v>8</v>
      </c>
    </row>
    <row r="47" spans="1:17" x14ac:dyDescent="0.25">
      <c r="A47" t="s">
        <v>631</v>
      </c>
      <c r="B47" t="s">
        <v>632</v>
      </c>
      <c r="C47" t="s">
        <v>579</v>
      </c>
      <c r="D47" t="s">
        <v>583</v>
      </c>
      <c r="E47" t="s">
        <v>621</v>
      </c>
      <c r="F47">
        <v>1.44</v>
      </c>
      <c r="G47">
        <v>2.5499999999999998</v>
      </c>
      <c r="H47" t="s">
        <v>10</v>
      </c>
      <c r="J47">
        <v>1.22</v>
      </c>
      <c r="K47" t="s">
        <v>8</v>
      </c>
      <c r="M47" t="s">
        <v>346</v>
      </c>
      <c r="N47" t="s">
        <v>347</v>
      </c>
      <c r="O47">
        <v>1.91</v>
      </c>
      <c r="P47">
        <v>1.91</v>
      </c>
      <c r="Q47" t="s">
        <v>8</v>
      </c>
    </row>
    <row r="48" spans="1:17" x14ac:dyDescent="0.25">
      <c r="A48" t="s">
        <v>633</v>
      </c>
      <c r="B48" t="s">
        <v>634</v>
      </c>
      <c r="C48" t="s">
        <v>579</v>
      </c>
      <c r="D48" t="s">
        <v>582</v>
      </c>
      <c r="E48" t="s">
        <v>620</v>
      </c>
      <c r="F48">
        <v>1.42</v>
      </c>
      <c r="G48">
        <v>3.05</v>
      </c>
      <c r="H48" t="s">
        <v>10</v>
      </c>
      <c r="J48">
        <v>1.24</v>
      </c>
      <c r="K48" t="s">
        <v>8</v>
      </c>
      <c r="M48" t="s">
        <v>346</v>
      </c>
      <c r="N48" t="s">
        <v>347</v>
      </c>
      <c r="O48">
        <v>1.91</v>
      </c>
      <c r="P48">
        <v>1.91</v>
      </c>
      <c r="Q48" t="s">
        <v>8</v>
      </c>
    </row>
    <row r="49" spans="1:17" x14ac:dyDescent="0.25">
      <c r="A49" t="s">
        <v>633</v>
      </c>
      <c r="B49" t="s">
        <v>634</v>
      </c>
      <c r="C49" t="s">
        <v>579</v>
      </c>
      <c r="D49" t="s">
        <v>581</v>
      </c>
      <c r="E49" t="s">
        <v>594</v>
      </c>
      <c r="F49">
        <v>1.43</v>
      </c>
      <c r="G49">
        <v>2.84</v>
      </c>
      <c r="H49" t="s">
        <v>10</v>
      </c>
      <c r="J49">
        <v>1.23</v>
      </c>
      <c r="K49" t="s">
        <v>8</v>
      </c>
      <c r="M49" t="s">
        <v>346</v>
      </c>
      <c r="N49" t="s">
        <v>347</v>
      </c>
      <c r="O49">
        <v>1.91</v>
      </c>
      <c r="P49">
        <v>1.91</v>
      </c>
      <c r="Q49" t="s">
        <v>8</v>
      </c>
    </row>
    <row r="50" spans="1:17" x14ac:dyDescent="0.25">
      <c r="A50" t="s">
        <v>633</v>
      </c>
      <c r="B50" t="s">
        <v>634</v>
      </c>
      <c r="C50" t="s">
        <v>579</v>
      </c>
      <c r="D50" t="s">
        <v>584</v>
      </c>
      <c r="E50" t="s">
        <v>622</v>
      </c>
      <c r="F50">
        <v>1.4</v>
      </c>
      <c r="G50">
        <v>2.85</v>
      </c>
      <c r="H50" t="s">
        <v>10</v>
      </c>
      <c r="J50">
        <v>1.34</v>
      </c>
      <c r="K50" t="s">
        <v>8</v>
      </c>
      <c r="M50" t="s">
        <v>346</v>
      </c>
      <c r="N50" t="s">
        <v>347</v>
      </c>
      <c r="O50">
        <v>1.93</v>
      </c>
      <c r="P50">
        <v>1.93</v>
      </c>
      <c r="Q50" t="s">
        <v>8</v>
      </c>
    </row>
    <row r="51" spans="1:17" x14ac:dyDescent="0.25">
      <c r="A51" t="s">
        <v>443</v>
      </c>
      <c r="B51" t="s">
        <v>635</v>
      </c>
      <c r="C51" t="s">
        <v>579</v>
      </c>
      <c r="D51" t="s">
        <v>584</v>
      </c>
      <c r="E51" t="s">
        <v>622</v>
      </c>
      <c r="F51">
        <v>1.08</v>
      </c>
      <c r="G51">
        <v>7.5</v>
      </c>
      <c r="H51" t="s">
        <v>10</v>
      </c>
      <c r="J51">
        <v>1.32</v>
      </c>
      <c r="K51" t="s">
        <v>8</v>
      </c>
      <c r="M51" t="s">
        <v>348</v>
      </c>
      <c r="N51" t="s">
        <v>347</v>
      </c>
      <c r="O51">
        <v>8</v>
      </c>
      <c r="P51">
        <v>1.0900000000000001</v>
      </c>
      <c r="Q51" t="s">
        <v>8</v>
      </c>
    </row>
    <row r="52" spans="1:17" x14ac:dyDescent="0.25">
      <c r="A52" t="s">
        <v>443</v>
      </c>
      <c r="B52" t="s">
        <v>635</v>
      </c>
      <c r="C52" t="s">
        <v>579</v>
      </c>
      <c r="D52" t="s">
        <v>582</v>
      </c>
      <c r="E52" t="s">
        <v>620</v>
      </c>
      <c r="F52">
        <v>1.0900000000000001</v>
      </c>
      <c r="G52">
        <v>8.25</v>
      </c>
      <c r="H52" t="s">
        <v>10</v>
      </c>
      <c r="J52">
        <v>1.31</v>
      </c>
      <c r="K52" t="s">
        <v>8</v>
      </c>
      <c r="M52" t="s">
        <v>348</v>
      </c>
      <c r="N52" t="s">
        <v>347</v>
      </c>
      <c r="O52">
        <v>8.6</v>
      </c>
      <c r="P52">
        <v>1.08</v>
      </c>
      <c r="Q52" t="s">
        <v>8</v>
      </c>
    </row>
    <row r="53" spans="1:17" x14ac:dyDescent="0.25">
      <c r="A53" t="s">
        <v>443</v>
      </c>
      <c r="B53" t="s">
        <v>635</v>
      </c>
      <c r="C53" t="s">
        <v>579</v>
      </c>
      <c r="D53" t="s">
        <v>589</v>
      </c>
      <c r="E53" t="s">
        <v>623</v>
      </c>
      <c r="F53">
        <v>1.0900000000000001</v>
      </c>
      <c r="G53">
        <v>7.75</v>
      </c>
      <c r="H53" t="s">
        <v>10</v>
      </c>
      <c r="J53">
        <v>1.27</v>
      </c>
      <c r="K53" t="s">
        <v>8</v>
      </c>
      <c r="M53" t="s">
        <v>348</v>
      </c>
      <c r="N53" t="s">
        <v>347</v>
      </c>
      <c r="O53">
        <v>8.9</v>
      </c>
      <c r="P53">
        <v>1.08</v>
      </c>
      <c r="Q53" t="s">
        <v>8</v>
      </c>
    </row>
    <row r="54" spans="1:17" x14ac:dyDescent="0.25">
      <c r="A54" t="s">
        <v>443</v>
      </c>
      <c r="B54" t="s">
        <v>635</v>
      </c>
      <c r="C54" t="s">
        <v>579</v>
      </c>
      <c r="D54" t="s">
        <v>581</v>
      </c>
      <c r="E54" t="s">
        <v>594</v>
      </c>
      <c r="F54">
        <v>1.08</v>
      </c>
      <c r="G54">
        <v>7.6</v>
      </c>
      <c r="H54" t="s">
        <v>10</v>
      </c>
      <c r="J54">
        <v>1.29</v>
      </c>
      <c r="K54" t="s">
        <v>8</v>
      </c>
      <c r="M54" t="s">
        <v>348</v>
      </c>
      <c r="N54" t="s">
        <v>347</v>
      </c>
      <c r="O54">
        <v>8.5</v>
      </c>
      <c r="P54">
        <v>1.08</v>
      </c>
      <c r="Q54" t="s">
        <v>8</v>
      </c>
    </row>
    <row r="55" spans="1:17" x14ac:dyDescent="0.25">
      <c r="A55" t="s">
        <v>443</v>
      </c>
      <c r="B55" t="s">
        <v>635</v>
      </c>
      <c r="C55" t="s">
        <v>579</v>
      </c>
      <c r="D55" t="s">
        <v>583</v>
      </c>
      <c r="E55" t="s">
        <v>621</v>
      </c>
      <c r="F55">
        <v>1.08</v>
      </c>
      <c r="G55">
        <v>7</v>
      </c>
      <c r="H55" t="s">
        <v>10</v>
      </c>
      <c r="J55">
        <v>1.3</v>
      </c>
      <c r="K55" t="s">
        <v>8</v>
      </c>
      <c r="M55" t="s">
        <v>348</v>
      </c>
      <c r="N55" t="s">
        <v>347</v>
      </c>
      <c r="O55">
        <v>8.5</v>
      </c>
      <c r="P55">
        <v>1.07</v>
      </c>
      <c r="Q55" t="s">
        <v>8</v>
      </c>
    </row>
    <row r="56" spans="1:17" x14ac:dyDescent="0.25">
      <c r="A56" t="s">
        <v>442</v>
      </c>
      <c r="B56" t="s">
        <v>636</v>
      </c>
      <c r="C56" t="s">
        <v>579</v>
      </c>
      <c r="D56" t="s">
        <v>589</v>
      </c>
      <c r="E56" t="s">
        <v>623</v>
      </c>
      <c r="F56">
        <v>4.0999999999999996</v>
      </c>
      <c r="G56">
        <v>1.25</v>
      </c>
      <c r="H56" t="s">
        <v>10</v>
      </c>
      <c r="J56">
        <v>1.31</v>
      </c>
      <c r="K56" t="s">
        <v>8</v>
      </c>
      <c r="M56" t="s">
        <v>348</v>
      </c>
      <c r="N56" t="s">
        <v>347</v>
      </c>
      <c r="O56">
        <v>8</v>
      </c>
      <c r="P56">
        <v>1.0900000000000001</v>
      </c>
      <c r="Q56" t="s">
        <v>8</v>
      </c>
    </row>
    <row r="57" spans="1:17" x14ac:dyDescent="0.25">
      <c r="A57" t="s">
        <v>442</v>
      </c>
      <c r="B57" t="s">
        <v>636</v>
      </c>
      <c r="C57" t="s">
        <v>579</v>
      </c>
      <c r="D57" t="s">
        <v>581</v>
      </c>
      <c r="E57" t="s">
        <v>594</v>
      </c>
      <c r="F57">
        <v>3.7</v>
      </c>
      <c r="G57">
        <v>1.27</v>
      </c>
      <c r="H57" t="s">
        <v>10</v>
      </c>
      <c r="J57">
        <v>1.27</v>
      </c>
      <c r="K57" t="s">
        <v>8</v>
      </c>
      <c r="M57" t="s">
        <v>348</v>
      </c>
      <c r="N57" t="s">
        <v>347</v>
      </c>
      <c r="O57">
        <v>8.9</v>
      </c>
      <c r="P57">
        <v>1.08</v>
      </c>
      <c r="Q57" t="s">
        <v>8</v>
      </c>
    </row>
    <row r="58" spans="1:17" x14ac:dyDescent="0.25">
      <c r="A58" t="s">
        <v>442</v>
      </c>
      <c r="B58" t="s">
        <v>636</v>
      </c>
      <c r="C58" t="s">
        <v>579</v>
      </c>
      <c r="D58" t="s">
        <v>584</v>
      </c>
      <c r="E58" t="s">
        <v>622</v>
      </c>
      <c r="F58">
        <v>4.0999999999999996</v>
      </c>
      <c r="G58">
        <v>1.22</v>
      </c>
      <c r="H58" t="s">
        <v>10</v>
      </c>
      <c r="J58">
        <v>1.31</v>
      </c>
      <c r="K58" t="s">
        <v>8</v>
      </c>
      <c r="M58" t="s">
        <v>348</v>
      </c>
      <c r="N58" t="s">
        <v>347</v>
      </c>
      <c r="O58">
        <v>8.5</v>
      </c>
      <c r="P58">
        <v>1.08</v>
      </c>
      <c r="Q58" t="s">
        <v>8</v>
      </c>
    </row>
    <row r="59" spans="1:17" x14ac:dyDescent="0.25">
      <c r="A59" t="s">
        <v>442</v>
      </c>
      <c r="B59" t="s">
        <v>636</v>
      </c>
      <c r="C59" t="s">
        <v>579</v>
      </c>
      <c r="D59" t="s">
        <v>582</v>
      </c>
      <c r="E59" t="s">
        <v>620</v>
      </c>
      <c r="F59">
        <v>4.25</v>
      </c>
      <c r="G59">
        <v>1.24</v>
      </c>
      <c r="H59" t="s">
        <v>10</v>
      </c>
      <c r="J59">
        <v>1.29</v>
      </c>
      <c r="K59" t="s">
        <v>8</v>
      </c>
      <c r="M59" t="s">
        <v>348</v>
      </c>
      <c r="N59" t="s">
        <v>347</v>
      </c>
      <c r="O59">
        <v>9.1999999999999993</v>
      </c>
      <c r="P59">
        <v>1.07</v>
      </c>
      <c r="Q59" t="s">
        <v>8</v>
      </c>
    </row>
    <row r="60" spans="1:17" x14ac:dyDescent="0.25">
      <c r="A60" t="s">
        <v>442</v>
      </c>
      <c r="B60" t="s">
        <v>636</v>
      </c>
      <c r="C60" t="s">
        <v>579</v>
      </c>
      <c r="D60" t="s">
        <v>583</v>
      </c>
      <c r="E60" t="s">
        <v>621</v>
      </c>
      <c r="F60">
        <v>4</v>
      </c>
      <c r="G60">
        <v>1.22</v>
      </c>
      <c r="H60" t="s">
        <v>10</v>
      </c>
      <c r="J60">
        <v>1.32</v>
      </c>
      <c r="K60" t="s">
        <v>8</v>
      </c>
      <c r="M60" t="s">
        <v>348</v>
      </c>
      <c r="N60" t="s">
        <v>347</v>
      </c>
      <c r="O60">
        <v>9</v>
      </c>
      <c r="P60">
        <v>1.07</v>
      </c>
      <c r="Q60" t="s">
        <v>8</v>
      </c>
    </row>
    <row r="61" spans="1:17" x14ac:dyDescent="0.25">
      <c r="A61" t="s">
        <v>441</v>
      </c>
      <c r="B61" t="s">
        <v>637</v>
      </c>
      <c r="C61" t="s">
        <v>579</v>
      </c>
      <c r="D61" t="s">
        <v>589</v>
      </c>
      <c r="E61" t="s">
        <v>623</v>
      </c>
      <c r="F61">
        <v>2.2999999999999998</v>
      </c>
      <c r="G61">
        <v>1.62</v>
      </c>
      <c r="H61" t="s">
        <v>10</v>
      </c>
      <c r="J61">
        <v>1.3</v>
      </c>
      <c r="K61" t="s">
        <v>8</v>
      </c>
      <c r="M61" t="s">
        <v>348</v>
      </c>
      <c r="N61" t="s">
        <v>347</v>
      </c>
      <c r="O61">
        <v>8.5</v>
      </c>
      <c r="P61">
        <v>1.07</v>
      </c>
      <c r="Q61" t="s">
        <v>8</v>
      </c>
    </row>
    <row r="62" spans="1:17" x14ac:dyDescent="0.25">
      <c r="A62" t="s">
        <v>441</v>
      </c>
      <c r="B62" t="s">
        <v>637</v>
      </c>
      <c r="C62" t="s">
        <v>579</v>
      </c>
      <c r="D62" t="s">
        <v>581</v>
      </c>
      <c r="E62" t="s">
        <v>594</v>
      </c>
      <c r="F62">
        <v>2.06</v>
      </c>
      <c r="G62">
        <v>1.77</v>
      </c>
      <c r="H62" t="s">
        <v>10</v>
      </c>
      <c r="J62">
        <v>1.62</v>
      </c>
      <c r="K62" t="s">
        <v>8</v>
      </c>
      <c r="M62" t="s">
        <v>348</v>
      </c>
      <c r="N62" t="s">
        <v>347</v>
      </c>
      <c r="O62">
        <v>8.65</v>
      </c>
      <c r="P62">
        <v>1.07</v>
      </c>
      <c r="Q62" t="s">
        <v>8</v>
      </c>
    </row>
    <row r="63" spans="1:17" x14ac:dyDescent="0.25">
      <c r="A63" t="s">
        <v>441</v>
      </c>
      <c r="B63" t="s">
        <v>637</v>
      </c>
      <c r="C63" t="s">
        <v>579</v>
      </c>
      <c r="D63" t="s">
        <v>584</v>
      </c>
      <c r="E63" t="s">
        <v>622</v>
      </c>
      <c r="F63">
        <v>2.15</v>
      </c>
      <c r="G63">
        <v>1.67</v>
      </c>
      <c r="H63" t="s">
        <v>10</v>
      </c>
      <c r="J63">
        <v>1.64</v>
      </c>
      <c r="K63" t="s">
        <v>8</v>
      </c>
      <c r="M63" t="s">
        <v>348</v>
      </c>
      <c r="N63" t="s">
        <v>347</v>
      </c>
      <c r="O63">
        <v>9.25</v>
      </c>
      <c r="P63">
        <v>1.08</v>
      </c>
      <c r="Q63" t="s">
        <v>8</v>
      </c>
    </row>
    <row r="64" spans="1:17" x14ac:dyDescent="0.25">
      <c r="A64" t="s">
        <v>441</v>
      </c>
      <c r="B64" t="s">
        <v>637</v>
      </c>
      <c r="C64" t="s">
        <v>579</v>
      </c>
      <c r="D64" t="s">
        <v>582</v>
      </c>
      <c r="E64" t="s">
        <v>620</v>
      </c>
      <c r="F64">
        <v>2.2999999999999998</v>
      </c>
      <c r="G64">
        <v>1.67</v>
      </c>
      <c r="H64" t="s">
        <v>10</v>
      </c>
      <c r="J64">
        <v>1.67</v>
      </c>
      <c r="K64" t="s">
        <v>8</v>
      </c>
      <c r="M64" t="s">
        <v>349</v>
      </c>
      <c r="N64" t="s">
        <v>347</v>
      </c>
      <c r="O64">
        <v>3.7</v>
      </c>
      <c r="P64">
        <v>1.29</v>
      </c>
      <c r="Q64" t="s">
        <v>8</v>
      </c>
    </row>
    <row r="65" spans="1:17" x14ac:dyDescent="0.25">
      <c r="A65" t="s">
        <v>441</v>
      </c>
      <c r="B65" t="s">
        <v>637</v>
      </c>
      <c r="C65" t="s">
        <v>579</v>
      </c>
      <c r="D65" t="s">
        <v>583</v>
      </c>
      <c r="E65" t="s">
        <v>621</v>
      </c>
      <c r="F65">
        <v>2.15</v>
      </c>
      <c r="G65">
        <v>1.63</v>
      </c>
      <c r="H65" t="s">
        <v>10</v>
      </c>
      <c r="J65">
        <v>1.73</v>
      </c>
      <c r="K65" t="s">
        <v>8</v>
      </c>
      <c r="M65" t="s">
        <v>349</v>
      </c>
      <c r="N65" t="s">
        <v>347</v>
      </c>
      <c r="O65">
        <v>3.75</v>
      </c>
      <c r="P65">
        <v>1.29</v>
      </c>
      <c r="Q65" t="s">
        <v>8</v>
      </c>
    </row>
    <row r="66" spans="1:17" x14ac:dyDescent="0.25">
      <c r="A66" t="s">
        <v>439</v>
      </c>
      <c r="B66" t="s">
        <v>638</v>
      </c>
      <c r="C66" t="s">
        <v>579</v>
      </c>
      <c r="D66" t="s">
        <v>589</v>
      </c>
      <c r="E66" t="s">
        <v>623</v>
      </c>
      <c r="F66">
        <v>2.25</v>
      </c>
      <c r="G66">
        <v>1.65</v>
      </c>
      <c r="H66" t="s">
        <v>10</v>
      </c>
      <c r="J66">
        <v>1.69</v>
      </c>
      <c r="K66" t="s">
        <v>8</v>
      </c>
      <c r="M66" t="s">
        <v>349</v>
      </c>
      <c r="N66" t="s">
        <v>347</v>
      </c>
      <c r="O66">
        <v>3.8</v>
      </c>
      <c r="P66">
        <v>1.29</v>
      </c>
      <c r="Q66" t="s">
        <v>8</v>
      </c>
    </row>
    <row r="67" spans="1:17" x14ac:dyDescent="0.25">
      <c r="A67" t="s">
        <v>439</v>
      </c>
      <c r="B67" t="s">
        <v>638</v>
      </c>
      <c r="C67" t="s">
        <v>579</v>
      </c>
      <c r="D67" t="s">
        <v>581</v>
      </c>
      <c r="E67" t="s">
        <v>594</v>
      </c>
      <c r="F67">
        <v>2.38</v>
      </c>
      <c r="G67">
        <v>1.59</v>
      </c>
      <c r="H67" t="s">
        <v>10</v>
      </c>
      <c r="J67">
        <v>1.65</v>
      </c>
      <c r="K67" t="s">
        <v>8</v>
      </c>
      <c r="M67" t="s">
        <v>349</v>
      </c>
      <c r="N67" t="s">
        <v>347</v>
      </c>
      <c r="O67">
        <v>3.3</v>
      </c>
      <c r="P67">
        <v>1.33</v>
      </c>
      <c r="Q67" t="s">
        <v>8</v>
      </c>
    </row>
    <row r="68" spans="1:17" x14ac:dyDescent="0.25">
      <c r="A68" t="s">
        <v>439</v>
      </c>
      <c r="B68" t="s">
        <v>638</v>
      </c>
      <c r="C68" t="s">
        <v>579</v>
      </c>
      <c r="D68" t="s">
        <v>584</v>
      </c>
      <c r="E68" t="s">
        <v>622</v>
      </c>
      <c r="F68">
        <v>2.35</v>
      </c>
      <c r="G68">
        <v>1.57</v>
      </c>
      <c r="H68" t="s">
        <v>10</v>
      </c>
      <c r="J68">
        <v>1.67</v>
      </c>
      <c r="K68" t="s">
        <v>8</v>
      </c>
      <c r="M68" t="s">
        <v>349</v>
      </c>
      <c r="N68" t="s">
        <v>347</v>
      </c>
      <c r="O68">
        <v>3.7</v>
      </c>
      <c r="P68">
        <v>1.29</v>
      </c>
      <c r="Q68" t="s">
        <v>8</v>
      </c>
    </row>
    <row r="69" spans="1:17" x14ac:dyDescent="0.25">
      <c r="A69" t="s">
        <v>439</v>
      </c>
      <c r="B69" t="s">
        <v>638</v>
      </c>
      <c r="C69" t="s">
        <v>579</v>
      </c>
      <c r="D69" t="s">
        <v>582</v>
      </c>
      <c r="E69" t="s">
        <v>620</v>
      </c>
      <c r="F69">
        <v>2.4</v>
      </c>
      <c r="G69">
        <v>1.62</v>
      </c>
      <c r="H69" t="s">
        <v>10</v>
      </c>
      <c r="J69">
        <v>1.73</v>
      </c>
      <c r="K69" t="s">
        <v>8</v>
      </c>
      <c r="M69" t="s">
        <v>349</v>
      </c>
      <c r="N69" t="s">
        <v>347</v>
      </c>
      <c r="O69">
        <v>3.6</v>
      </c>
      <c r="P69">
        <v>1.3</v>
      </c>
      <c r="Q69" t="s">
        <v>8</v>
      </c>
    </row>
    <row r="70" spans="1:17" x14ac:dyDescent="0.25">
      <c r="A70" t="s">
        <v>439</v>
      </c>
      <c r="B70" t="s">
        <v>638</v>
      </c>
      <c r="C70" t="s">
        <v>579</v>
      </c>
      <c r="D70" t="s">
        <v>583</v>
      </c>
      <c r="E70" t="s">
        <v>621</v>
      </c>
      <c r="F70">
        <v>2.25</v>
      </c>
      <c r="G70">
        <v>1.56</v>
      </c>
      <c r="H70" t="s">
        <v>10</v>
      </c>
      <c r="J70">
        <v>1.67</v>
      </c>
      <c r="K70" t="s">
        <v>8</v>
      </c>
      <c r="M70" t="s">
        <v>349</v>
      </c>
      <c r="N70" t="s">
        <v>347</v>
      </c>
      <c r="O70">
        <v>3.8</v>
      </c>
      <c r="P70">
        <v>1.29</v>
      </c>
      <c r="Q70" t="s">
        <v>8</v>
      </c>
    </row>
    <row r="71" spans="1:17" x14ac:dyDescent="0.25">
      <c r="A71" t="s">
        <v>449</v>
      </c>
      <c r="B71" t="s">
        <v>639</v>
      </c>
      <c r="C71" t="s">
        <v>579</v>
      </c>
      <c r="D71" t="s">
        <v>581</v>
      </c>
      <c r="E71" t="s">
        <v>594</v>
      </c>
      <c r="F71">
        <v>1.37</v>
      </c>
      <c r="G71">
        <v>3.1</v>
      </c>
      <c r="H71" t="s">
        <v>10</v>
      </c>
      <c r="J71">
        <v>1.67</v>
      </c>
      <c r="K71" t="s">
        <v>8</v>
      </c>
      <c r="M71" t="s">
        <v>349</v>
      </c>
      <c r="N71" t="s">
        <v>347</v>
      </c>
      <c r="O71">
        <v>3.3</v>
      </c>
      <c r="P71">
        <v>1.33</v>
      </c>
      <c r="Q71" t="s">
        <v>8</v>
      </c>
    </row>
    <row r="72" spans="1:17" x14ac:dyDescent="0.25">
      <c r="A72" t="s">
        <v>449</v>
      </c>
      <c r="B72" t="s">
        <v>639</v>
      </c>
      <c r="C72" t="s">
        <v>579</v>
      </c>
      <c r="D72" t="s">
        <v>584</v>
      </c>
      <c r="E72" t="s">
        <v>622</v>
      </c>
      <c r="F72">
        <v>1.4</v>
      </c>
      <c r="G72">
        <v>2.85</v>
      </c>
      <c r="H72" t="s">
        <v>10</v>
      </c>
      <c r="J72">
        <v>1.65</v>
      </c>
      <c r="K72" t="s">
        <v>8</v>
      </c>
      <c r="M72" t="s">
        <v>349</v>
      </c>
      <c r="N72" t="s">
        <v>347</v>
      </c>
      <c r="O72">
        <v>3.8</v>
      </c>
      <c r="P72">
        <v>1.29</v>
      </c>
      <c r="Q72" t="s">
        <v>8</v>
      </c>
    </row>
    <row r="73" spans="1:17" x14ac:dyDescent="0.25">
      <c r="A73" t="s">
        <v>449</v>
      </c>
      <c r="B73" t="s">
        <v>639</v>
      </c>
      <c r="C73" t="s">
        <v>579</v>
      </c>
      <c r="D73" t="s">
        <v>589</v>
      </c>
      <c r="E73" t="s">
        <v>623</v>
      </c>
      <c r="F73">
        <v>1.36</v>
      </c>
      <c r="G73">
        <v>3.2</v>
      </c>
      <c r="H73" t="s">
        <v>10</v>
      </c>
      <c r="J73">
        <v>1.65</v>
      </c>
      <c r="K73" t="s">
        <v>8</v>
      </c>
      <c r="M73" t="s">
        <v>349</v>
      </c>
      <c r="N73" t="s">
        <v>347</v>
      </c>
      <c r="O73">
        <v>3.7</v>
      </c>
      <c r="P73">
        <v>1.29</v>
      </c>
      <c r="Q73" t="s">
        <v>8</v>
      </c>
    </row>
    <row r="74" spans="1:17" x14ac:dyDescent="0.25">
      <c r="A74" t="s">
        <v>449</v>
      </c>
      <c r="B74" t="s">
        <v>639</v>
      </c>
      <c r="C74" t="s">
        <v>579</v>
      </c>
      <c r="D74" t="s">
        <v>582</v>
      </c>
      <c r="E74" t="s">
        <v>620</v>
      </c>
      <c r="F74">
        <v>1.36</v>
      </c>
      <c r="G74">
        <v>3.35</v>
      </c>
      <c r="H74" t="s">
        <v>10</v>
      </c>
      <c r="J74">
        <v>1.1100000000000001</v>
      </c>
      <c r="K74" t="s">
        <v>8</v>
      </c>
      <c r="M74" t="s">
        <v>349</v>
      </c>
      <c r="N74" t="s">
        <v>347</v>
      </c>
      <c r="O74">
        <v>3.6</v>
      </c>
      <c r="P74">
        <v>1.3</v>
      </c>
      <c r="Q74" t="s">
        <v>8</v>
      </c>
    </row>
    <row r="75" spans="1:17" x14ac:dyDescent="0.25">
      <c r="A75" t="s">
        <v>640</v>
      </c>
      <c r="B75" t="s">
        <v>363</v>
      </c>
      <c r="C75" t="s">
        <v>579</v>
      </c>
      <c r="D75" t="s">
        <v>587</v>
      </c>
      <c r="E75" t="s">
        <v>641</v>
      </c>
      <c r="F75">
        <v>1.26</v>
      </c>
      <c r="G75">
        <v>3.95</v>
      </c>
      <c r="H75" t="s">
        <v>10</v>
      </c>
      <c r="J75">
        <v>1.1200000000000001</v>
      </c>
      <c r="K75" t="s">
        <v>8</v>
      </c>
      <c r="M75" t="s">
        <v>349</v>
      </c>
      <c r="N75" t="s">
        <v>347</v>
      </c>
      <c r="O75">
        <v>3.65</v>
      </c>
      <c r="P75">
        <v>1.29</v>
      </c>
      <c r="Q75" t="s">
        <v>8</v>
      </c>
    </row>
    <row r="76" spans="1:17" x14ac:dyDescent="0.25">
      <c r="A76" t="s">
        <v>640</v>
      </c>
      <c r="B76" t="s">
        <v>363</v>
      </c>
      <c r="C76" t="s">
        <v>579</v>
      </c>
      <c r="D76" t="s">
        <v>586</v>
      </c>
      <c r="E76" t="s">
        <v>641</v>
      </c>
      <c r="F76">
        <v>1.25</v>
      </c>
      <c r="G76">
        <v>4</v>
      </c>
      <c r="H76" t="s">
        <v>10</v>
      </c>
      <c r="J76">
        <v>1.1299999999999999</v>
      </c>
      <c r="K76" t="s">
        <v>8</v>
      </c>
      <c r="M76" t="s">
        <v>349</v>
      </c>
      <c r="N76" t="s">
        <v>347</v>
      </c>
      <c r="O76">
        <v>3.7</v>
      </c>
      <c r="P76">
        <v>1.3</v>
      </c>
      <c r="Q76" t="s">
        <v>8</v>
      </c>
    </row>
    <row r="77" spans="1:17" x14ac:dyDescent="0.25">
      <c r="A77" t="s">
        <v>640</v>
      </c>
      <c r="B77" t="s">
        <v>363</v>
      </c>
      <c r="C77" t="s">
        <v>579</v>
      </c>
      <c r="D77" t="s">
        <v>583</v>
      </c>
      <c r="E77" t="s">
        <v>621</v>
      </c>
      <c r="F77">
        <v>1.26</v>
      </c>
      <c r="G77">
        <v>3.95</v>
      </c>
      <c r="H77" t="s">
        <v>10</v>
      </c>
      <c r="J77">
        <v>1.1200000000000001</v>
      </c>
      <c r="K77" t="s">
        <v>8</v>
      </c>
      <c r="M77" t="s">
        <v>350</v>
      </c>
      <c r="N77" t="s">
        <v>347</v>
      </c>
      <c r="O77">
        <v>1.57</v>
      </c>
      <c r="P77">
        <v>2.4500000000000002</v>
      </c>
      <c r="Q77" t="s">
        <v>8</v>
      </c>
    </row>
    <row r="78" spans="1:17" x14ac:dyDescent="0.25">
      <c r="A78" t="s">
        <v>640</v>
      </c>
      <c r="B78" t="s">
        <v>363</v>
      </c>
      <c r="C78" t="s">
        <v>579</v>
      </c>
      <c r="D78" t="s">
        <v>581</v>
      </c>
      <c r="E78" t="s">
        <v>594</v>
      </c>
      <c r="F78">
        <v>1.25</v>
      </c>
      <c r="G78">
        <v>3.85</v>
      </c>
      <c r="H78" t="s">
        <v>10</v>
      </c>
      <c r="J78">
        <v>1.1200000000000001</v>
      </c>
      <c r="K78" t="s">
        <v>8</v>
      </c>
      <c r="M78" t="s">
        <v>350</v>
      </c>
      <c r="N78" t="s">
        <v>347</v>
      </c>
      <c r="O78">
        <v>1.56</v>
      </c>
      <c r="P78">
        <v>2.46</v>
      </c>
      <c r="Q78" t="s">
        <v>8</v>
      </c>
    </row>
    <row r="79" spans="1:17" x14ac:dyDescent="0.25">
      <c r="A79" t="s">
        <v>640</v>
      </c>
      <c r="B79" t="s">
        <v>363</v>
      </c>
      <c r="C79" t="s">
        <v>579</v>
      </c>
      <c r="D79" t="s">
        <v>588</v>
      </c>
      <c r="E79" t="s">
        <v>642</v>
      </c>
      <c r="F79">
        <v>1.25</v>
      </c>
      <c r="G79">
        <v>4</v>
      </c>
      <c r="H79" t="s">
        <v>10</v>
      </c>
      <c r="J79">
        <v>1.1200000000000001</v>
      </c>
      <c r="K79" t="s">
        <v>8</v>
      </c>
      <c r="M79" t="s">
        <v>350</v>
      </c>
      <c r="N79" t="s">
        <v>347</v>
      </c>
      <c r="O79">
        <v>1.59</v>
      </c>
      <c r="P79">
        <v>2.5</v>
      </c>
      <c r="Q79" t="s">
        <v>8</v>
      </c>
    </row>
    <row r="80" spans="1:17" x14ac:dyDescent="0.25">
      <c r="A80" t="s">
        <v>640</v>
      </c>
      <c r="B80" t="s">
        <v>363</v>
      </c>
      <c r="C80" t="s">
        <v>579</v>
      </c>
      <c r="D80" t="s">
        <v>582</v>
      </c>
      <c r="E80" t="s">
        <v>620</v>
      </c>
      <c r="F80">
        <v>1.25</v>
      </c>
      <c r="G80">
        <v>4</v>
      </c>
      <c r="H80" t="s">
        <v>10</v>
      </c>
      <c r="J80">
        <v>1.1299999999999999</v>
      </c>
      <c r="K80" t="s">
        <v>8</v>
      </c>
      <c r="M80" t="s">
        <v>350</v>
      </c>
      <c r="N80" t="s">
        <v>347</v>
      </c>
      <c r="O80">
        <v>1.56</v>
      </c>
      <c r="P80">
        <v>2.4500000000000002</v>
      </c>
      <c r="Q80" t="s">
        <v>8</v>
      </c>
    </row>
    <row r="81" spans="1:17" x14ac:dyDescent="0.25">
      <c r="A81" t="s">
        <v>640</v>
      </c>
      <c r="B81" t="s">
        <v>363</v>
      </c>
      <c r="C81" t="s">
        <v>579</v>
      </c>
      <c r="D81" t="s">
        <v>580</v>
      </c>
      <c r="E81" t="s">
        <v>643</v>
      </c>
      <c r="F81">
        <v>1.26</v>
      </c>
      <c r="G81">
        <v>4</v>
      </c>
      <c r="H81" t="s">
        <v>10</v>
      </c>
      <c r="J81">
        <v>1.1200000000000001</v>
      </c>
      <c r="K81" t="s">
        <v>8</v>
      </c>
      <c r="M81" t="s">
        <v>350</v>
      </c>
      <c r="N81" t="s">
        <v>347</v>
      </c>
      <c r="O81">
        <v>1.61</v>
      </c>
      <c r="P81">
        <v>2.4</v>
      </c>
      <c r="Q81" t="s">
        <v>8</v>
      </c>
    </row>
    <row r="82" spans="1:17" x14ac:dyDescent="0.25">
      <c r="A82" t="s">
        <v>111</v>
      </c>
      <c r="B82" t="s">
        <v>112</v>
      </c>
      <c r="C82" t="s">
        <v>579</v>
      </c>
      <c r="D82" t="s">
        <v>586</v>
      </c>
      <c r="E82" t="s">
        <v>641</v>
      </c>
      <c r="F82">
        <v>1.77</v>
      </c>
      <c r="G82">
        <v>2.1</v>
      </c>
      <c r="H82" t="s">
        <v>10</v>
      </c>
      <c r="J82">
        <v>1.1299999999999999</v>
      </c>
      <c r="K82" t="s">
        <v>8</v>
      </c>
      <c r="M82" t="s">
        <v>350</v>
      </c>
      <c r="N82" t="s">
        <v>347</v>
      </c>
      <c r="O82">
        <v>1.59</v>
      </c>
      <c r="P82">
        <v>2.4300000000000002</v>
      </c>
      <c r="Q82" t="s">
        <v>8</v>
      </c>
    </row>
    <row r="83" spans="1:17" x14ac:dyDescent="0.25">
      <c r="A83" t="s">
        <v>111</v>
      </c>
      <c r="B83" t="s">
        <v>112</v>
      </c>
      <c r="C83" t="s">
        <v>579</v>
      </c>
      <c r="D83" t="s">
        <v>584</v>
      </c>
      <c r="E83" t="s">
        <v>622</v>
      </c>
      <c r="F83">
        <v>1.75</v>
      </c>
      <c r="G83">
        <v>2.12</v>
      </c>
      <c r="H83" t="s">
        <v>10</v>
      </c>
      <c r="J83">
        <v>1.1200000000000001</v>
      </c>
      <c r="K83" t="s">
        <v>8</v>
      </c>
      <c r="M83" t="s">
        <v>350</v>
      </c>
      <c r="N83" t="s">
        <v>347</v>
      </c>
      <c r="O83">
        <v>1.59</v>
      </c>
      <c r="P83">
        <v>2.5</v>
      </c>
      <c r="Q83" t="s">
        <v>8</v>
      </c>
    </row>
    <row r="84" spans="1:17" x14ac:dyDescent="0.25">
      <c r="A84" t="s">
        <v>111</v>
      </c>
      <c r="B84" t="s">
        <v>112</v>
      </c>
      <c r="C84" t="s">
        <v>579</v>
      </c>
      <c r="D84" t="s">
        <v>582</v>
      </c>
      <c r="E84" t="s">
        <v>620</v>
      </c>
      <c r="F84">
        <v>1.77</v>
      </c>
      <c r="G84">
        <v>2.1</v>
      </c>
      <c r="H84" t="s">
        <v>10</v>
      </c>
      <c r="J84">
        <v>1.1200000000000001</v>
      </c>
      <c r="K84" t="s">
        <v>8</v>
      </c>
      <c r="M84" t="s">
        <v>350</v>
      </c>
      <c r="N84" t="s">
        <v>347</v>
      </c>
      <c r="O84">
        <v>1.56</v>
      </c>
      <c r="P84">
        <v>2.4500000000000002</v>
      </c>
      <c r="Q84" t="s">
        <v>8</v>
      </c>
    </row>
    <row r="85" spans="1:17" x14ac:dyDescent="0.25">
      <c r="A85" t="s">
        <v>111</v>
      </c>
      <c r="B85" t="s">
        <v>112</v>
      </c>
      <c r="C85" t="s">
        <v>579</v>
      </c>
      <c r="D85" t="s">
        <v>580</v>
      </c>
      <c r="E85" t="s">
        <v>643</v>
      </c>
      <c r="F85">
        <v>1.74</v>
      </c>
      <c r="G85">
        <v>2.14</v>
      </c>
      <c r="H85" t="s">
        <v>10</v>
      </c>
      <c r="J85">
        <v>1.1200000000000001</v>
      </c>
      <c r="K85" t="s">
        <v>8</v>
      </c>
      <c r="M85" t="s">
        <v>350</v>
      </c>
      <c r="N85" t="s">
        <v>347</v>
      </c>
      <c r="O85">
        <v>1.59</v>
      </c>
      <c r="P85">
        <v>2.48</v>
      </c>
      <c r="Q85" t="s">
        <v>8</v>
      </c>
    </row>
    <row r="86" spans="1:17" x14ac:dyDescent="0.25">
      <c r="A86" t="s">
        <v>111</v>
      </c>
      <c r="B86" t="s">
        <v>112</v>
      </c>
      <c r="C86" t="s">
        <v>579</v>
      </c>
      <c r="D86" t="s">
        <v>588</v>
      </c>
      <c r="E86" t="s">
        <v>642</v>
      </c>
      <c r="F86">
        <v>1.77</v>
      </c>
      <c r="G86">
        <v>2</v>
      </c>
      <c r="H86" t="s">
        <v>10</v>
      </c>
      <c r="J86">
        <v>1.51</v>
      </c>
      <c r="K86" t="s">
        <v>8</v>
      </c>
      <c r="M86" t="s">
        <v>350</v>
      </c>
      <c r="N86" t="s">
        <v>347</v>
      </c>
      <c r="O86">
        <v>1.54</v>
      </c>
      <c r="P86">
        <v>2.5</v>
      </c>
      <c r="Q86" t="s">
        <v>8</v>
      </c>
    </row>
    <row r="87" spans="1:17" x14ac:dyDescent="0.25">
      <c r="A87" t="s">
        <v>111</v>
      </c>
      <c r="B87" t="s">
        <v>112</v>
      </c>
      <c r="C87" t="s">
        <v>579</v>
      </c>
      <c r="D87" t="s">
        <v>581</v>
      </c>
      <c r="E87" t="s">
        <v>594</v>
      </c>
      <c r="F87">
        <v>1.68</v>
      </c>
      <c r="G87">
        <v>2.14</v>
      </c>
      <c r="H87" t="s">
        <v>10</v>
      </c>
      <c r="J87">
        <v>1.52</v>
      </c>
      <c r="K87" t="s">
        <v>8</v>
      </c>
      <c r="M87" t="s">
        <v>350</v>
      </c>
      <c r="N87" t="s">
        <v>347</v>
      </c>
      <c r="O87">
        <v>1.59</v>
      </c>
      <c r="P87">
        <v>2.4500000000000002</v>
      </c>
      <c r="Q87" t="s">
        <v>8</v>
      </c>
    </row>
    <row r="88" spans="1:17" x14ac:dyDescent="0.25">
      <c r="A88" t="s">
        <v>111</v>
      </c>
      <c r="B88" t="s">
        <v>112</v>
      </c>
      <c r="C88" t="s">
        <v>579</v>
      </c>
      <c r="D88" t="s">
        <v>587</v>
      </c>
      <c r="E88" t="s">
        <v>641</v>
      </c>
      <c r="F88">
        <v>1.77</v>
      </c>
      <c r="G88">
        <v>2.0499999999999998</v>
      </c>
      <c r="H88" t="s">
        <v>10</v>
      </c>
      <c r="J88">
        <v>1.53</v>
      </c>
      <c r="K88" t="s">
        <v>8</v>
      </c>
      <c r="M88" t="s">
        <v>350</v>
      </c>
      <c r="N88" t="s">
        <v>347</v>
      </c>
      <c r="O88">
        <v>1.56</v>
      </c>
      <c r="P88">
        <v>2.5</v>
      </c>
      <c r="Q88" t="s">
        <v>8</v>
      </c>
    </row>
    <row r="89" spans="1:17" x14ac:dyDescent="0.25">
      <c r="A89" t="s">
        <v>111</v>
      </c>
      <c r="B89" t="s">
        <v>112</v>
      </c>
      <c r="C89" t="s">
        <v>579</v>
      </c>
      <c r="D89" t="s">
        <v>583</v>
      </c>
      <c r="E89" t="s">
        <v>621</v>
      </c>
      <c r="F89">
        <v>1.77</v>
      </c>
      <c r="G89">
        <v>2.0499999999999998</v>
      </c>
      <c r="H89" t="s">
        <v>10</v>
      </c>
      <c r="J89">
        <v>1.5</v>
      </c>
      <c r="K89" t="s">
        <v>8</v>
      </c>
      <c r="M89" t="s">
        <v>350</v>
      </c>
      <c r="N89" t="s">
        <v>347</v>
      </c>
      <c r="O89">
        <v>1.54</v>
      </c>
      <c r="P89">
        <v>2.58</v>
      </c>
      <c r="Q89" t="s">
        <v>8</v>
      </c>
    </row>
    <row r="90" spans="1:17" x14ac:dyDescent="0.25">
      <c r="A90" t="s">
        <v>111</v>
      </c>
      <c r="B90" t="s">
        <v>112</v>
      </c>
      <c r="C90" t="s">
        <v>579</v>
      </c>
      <c r="D90" t="s">
        <v>585</v>
      </c>
      <c r="E90" t="s">
        <v>644</v>
      </c>
      <c r="F90">
        <v>1.74</v>
      </c>
      <c r="G90">
        <v>2.15</v>
      </c>
      <c r="H90" t="s">
        <v>10</v>
      </c>
      <c r="J90">
        <v>1.51</v>
      </c>
      <c r="K90" t="s">
        <v>8</v>
      </c>
      <c r="M90" t="s">
        <v>351</v>
      </c>
      <c r="N90" t="s">
        <v>347</v>
      </c>
      <c r="O90">
        <v>2.12</v>
      </c>
      <c r="P90">
        <v>1.75</v>
      </c>
      <c r="Q90" t="s">
        <v>8</v>
      </c>
    </row>
    <row r="91" spans="1:17" x14ac:dyDescent="0.25">
      <c r="A91" t="s">
        <v>111</v>
      </c>
      <c r="B91" t="s">
        <v>112</v>
      </c>
      <c r="C91" t="s">
        <v>579</v>
      </c>
      <c r="D91" t="s">
        <v>590</v>
      </c>
      <c r="E91" t="s">
        <v>645</v>
      </c>
      <c r="F91">
        <v>1.77</v>
      </c>
      <c r="G91">
        <v>2.1</v>
      </c>
      <c r="H91" t="s">
        <v>10</v>
      </c>
      <c r="J91">
        <v>1.51</v>
      </c>
      <c r="K91" t="s">
        <v>8</v>
      </c>
      <c r="M91" t="s">
        <v>351</v>
      </c>
      <c r="N91" t="s">
        <v>347</v>
      </c>
      <c r="O91">
        <v>2.27</v>
      </c>
      <c r="P91">
        <v>1.68</v>
      </c>
      <c r="Q91" t="s">
        <v>8</v>
      </c>
    </row>
    <row r="92" spans="1:17" x14ac:dyDescent="0.25">
      <c r="A92" t="s">
        <v>111</v>
      </c>
      <c r="B92" t="s">
        <v>112</v>
      </c>
      <c r="C92" t="s">
        <v>579</v>
      </c>
      <c r="D92" t="s">
        <v>589</v>
      </c>
      <c r="E92" t="s">
        <v>623</v>
      </c>
      <c r="F92">
        <v>1.74</v>
      </c>
      <c r="G92">
        <v>2.1</v>
      </c>
      <c r="H92" t="s">
        <v>10</v>
      </c>
      <c r="J92">
        <v>1.53</v>
      </c>
      <c r="K92" t="s">
        <v>8</v>
      </c>
      <c r="M92" t="s">
        <v>351</v>
      </c>
      <c r="N92" t="s">
        <v>347</v>
      </c>
      <c r="O92">
        <v>2.15</v>
      </c>
      <c r="P92">
        <v>1.74</v>
      </c>
      <c r="Q92" t="s">
        <v>8</v>
      </c>
    </row>
    <row r="93" spans="1:17" x14ac:dyDescent="0.25">
      <c r="A93" t="s">
        <v>113</v>
      </c>
      <c r="B93" t="s">
        <v>112</v>
      </c>
      <c r="C93" t="s">
        <v>579</v>
      </c>
      <c r="D93" t="s">
        <v>586</v>
      </c>
      <c r="E93" t="s">
        <v>641</v>
      </c>
      <c r="F93">
        <v>2.2999999999999998</v>
      </c>
      <c r="G93">
        <v>1.67</v>
      </c>
      <c r="H93" t="s">
        <v>10</v>
      </c>
      <c r="J93">
        <v>1.5</v>
      </c>
      <c r="K93" t="s">
        <v>8</v>
      </c>
      <c r="M93" t="s">
        <v>351</v>
      </c>
      <c r="N93" t="s">
        <v>347</v>
      </c>
      <c r="O93">
        <v>2.12</v>
      </c>
      <c r="P93">
        <v>1.73</v>
      </c>
      <c r="Q93" t="s">
        <v>8</v>
      </c>
    </row>
    <row r="94" spans="1:17" x14ac:dyDescent="0.25">
      <c r="A94" t="s">
        <v>113</v>
      </c>
      <c r="B94" t="s">
        <v>112</v>
      </c>
      <c r="C94" t="s">
        <v>579</v>
      </c>
      <c r="D94" t="s">
        <v>584</v>
      </c>
      <c r="E94" t="s">
        <v>622</v>
      </c>
      <c r="F94">
        <v>2.2000000000000002</v>
      </c>
      <c r="G94">
        <v>1.69</v>
      </c>
      <c r="H94" t="s">
        <v>10</v>
      </c>
      <c r="J94">
        <v>1.53</v>
      </c>
      <c r="K94" t="s">
        <v>8</v>
      </c>
      <c r="M94" t="s">
        <v>351</v>
      </c>
      <c r="N94" t="s">
        <v>347</v>
      </c>
      <c r="O94">
        <v>2.2599999999999998</v>
      </c>
      <c r="P94">
        <v>1.67</v>
      </c>
      <c r="Q94" t="s">
        <v>8</v>
      </c>
    </row>
    <row r="95" spans="1:17" x14ac:dyDescent="0.25">
      <c r="A95" t="s">
        <v>113</v>
      </c>
      <c r="B95" t="s">
        <v>112</v>
      </c>
      <c r="C95" t="s">
        <v>579</v>
      </c>
      <c r="D95" t="s">
        <v>582</v>
      </c>
      <c r="E95" t="s">
        <v>620</v>
      </c>
      <c r="F95">
        <v>2.2999999999999998</v>
      </c>
      <c r="G95">
        <v>1.67</v>
      </c>
      <c r="H95" t="s">
        <v>10</v>
      </c>
      <c r="J95">
        <v>1.53</v>
      </c>
      <c r="K95" t="s">
        <v>8</v>
      </c>
      <c r="M95" t="s">
        <v>351</v>
      </c>
      <c r="N95" t="s">
        <v>347</v>
      </c>
      <c r="O95">
        <v>2.27</v>
      </c>
      <c r="P95">
        <v>1.68</v>
      </c>
      <c r="Q95" t="s">
        <v>8</v>
      </c>
    </row>
    <row r="96" spans="1:17" x14ac:dyDescent="0.25">
      <c r="A96" t="s">
        <v>113</v>
      </c>
      <c r="B96" t="s">
        <v>112</v>
      </c>
      <c r="C96" t="s">
        <v>579</v>
      </c>
      <c r="D96" t="s">
        <v>580</v>
      </c>
      <c r="E96" t="s">
        <v>643</v>
      </c>
      <c r="F96">
        <v>2.2400000000000002</v>
      </c>
      <c r="G96">
        <v>1.68</v>
      </c>
      <c r="H96" t="s">
        <v>10</v>
      </c>
      <c r="J96">
        <v>1.51</v>
      </c>
      <c r="K96" t="s">
        <v>8</v>
      </c>
      <c r="M96" t="s">
        <v>351</v>
      </c>
      <c r="N96" t="s">
        <v>347</v>
      </c>
      <c r="O96">
        <v>2.12</v>
      </c>
      <c r="P96">
        <v>1.73</v>
      </c>
      <c r="Q96" t="s">
        <v>8</v>
      </c>
    </row>
    <row r="97" spans="1:17" x14ac:dyDescent="0.25">
      <c r="A97" t="s">
        <v>113</v>
      </c>
      <c r="B97" t="s">
        <v>112</v>
      </c>
      <c r="C97" t="s">
        <v>579</v>
      </c>
      <c r="D97" t="s">
        <v>591</v>
      </c>
      <c r="E97" t="s">
        <v>646</v>
      </c>
      <c r="F97">
        <v>2.27</v>
      </c>
      <c r="G97">
        <v>1.67</v>
      </c>
      <c r="H97" t="s">
        <v>10</v>
      </c>
      <c r="J97">
        <v>1.5</v>
      </c>
      <c r="K97" t="s">
        <v>8</v>
      </c>
      <c r="M97" t="s">
        <v>351</v>
      </c>
      <c r="N97" t="s">
        <v>347</v>
      </c>
      <c r="O97">
        <v>2.25</v>
      </c>
      <c r="P97">
        <v>1.69</v>
      </c>
      <c r="Q97" t="s">
        <v>8</v>
      </c>
    </row>
    <row r="98" spans="1:17" x14ac:dyDescent="0.25">
      <c r="A98" t="s">
        <v>113</v>
      </c>
      <c r="B98" t="s">
        <v>112</v>
      </c>
      <c r="C98" t="s">
        <v>579</v>
      </c>
      <c r="D98" t="s">
        <v>588</v>
      </c>
      <c r="E98" t="s">
        <v>642</v>
      </c>
      <c r="F98">
        <v>2.2000000000000002</v>
      </c>
      <c r="G98">
        <v>1.67</v>
      </c>
      <c r="H98" t="s">
        <v>10</v>
      </c>
      <c r="J98">
        <v>1.95</v>
      </c>
      <c r="K98" t="s">
        <v>8</v>
      </c>
      <c r="M98" t="s">
        <v>351</v>
      </c>
      <c r="N98" t="s">
        <v>347</v>
      </c>
      <c r="O98">
        <v>2.25</v>
      </c>
      <c r="P98">
        <v>1.67</v>
      </c>
      <c r="Q98" t="s">
        <v>8</v>
      </c>
    </row>
    <row r="99" spans="1:17" x14ac:dyDescent="0.25">
      <c r="A99" t="s">
        <v>113</v>
      </c>
      <c r="B99" t="s">
        <v>112</v>
      </c>
      <c r="C99" t="s">
        <v>579</v>
      </c>
      <c r="D99" t="s">
        <v>581</v>
      </c>
      <c r="E99" t="s">
        <v>594</v>
      </c>
      <c r="F99">
        <v>2.06</v>
      </c>
      <c r="G99">
        <v>1.74</v>
      </c>
      <c r="H99" t="s">
        <v>10</v>
      </c>
      <c r="J99">
        <v>1.91</v>
      </c>
      <c r="K99" t="s">
        <v>8</v>
      </c>
      <c r="M99" t="s">
        <v>351</v>
      </c>
      <c r="N99" t="s">
        <v>347</v>
      </c>
      <c r="O99">
        <v>2.2999999999999998</v>
      </c>
      <c r="P99">
        <v>1.67</v>
      </c>
      <c r="Q99" t="s">
        <v>8</v>
      </c>
    </row>
    <row r="100" spans="1:17" x14ac:dyDescent="0.25">
      <c r="A100" t="s">
        <v>113</v>
      </c>
      <c r="B100" t="s">
        <v>112</v>
      </c>
      <c r="C100" t="s">
        <v>579</v>
      </c>
      <c r="D100" t="s">
        <v>583</v>
      </c>
      <c r="E100" t="s">
        <v>621</v>
      </c>
      <c r="F100">
        <v>2.23</v>
      </c>
      <c r="G100">
        <v>1.66</v>
      </c>
      <c r="H100" t="s">
        <v>10</v>
      </c>
      <c r="J100">
        <v>1.95</v>
      </c>
      <c r="K100" t="s">
        <v>8</v>
      </c>
      <c r="M100" t="s">
        <v>351</v>
      </c>
      <c r="N100" t="s">
        <v>347</v>
      </c>
      <c r="O100">
        <v>2.25</v>
      </c>
      <c r="P100">
        <v>1.69</v>
      </c>
      <c r="Q100" t="s">
        <v>8</v>
      </c>
    </row>
    <row r="101" spans="1:17" x14ac:dyDescent="0.25">
      <c r="A101" t="s">
        <v>113</v>
      </c>
      <c r="B101" t="s">
        <v>112</v>
      </c>
      <c r="C101" t="s">
        <v>579</v>
      </c>
      <c r="D101" t="s">
        <v>587</v>
      </c>
      <c r="E101" t="s">
        <v>641</v>
      </c>
      <c r="F101">
        <v>2.23</v>
      </c>
      <c r="G101">
        <v>1.66</v>
      </c>
      <c r="H101" t="s">
        <v>10</v>
      </c>
      <c r="J101">
        <v>1.93</v>
      </c>
      <c r="K101" t="s">
        <v>8</v>
      </c>
      <c r="M101" t="s">
        <v>351</v>
      </c>
      <c r="N101" t="s">
        <v>347</v>
      </c>
      <c r="O101">
        <v>2.2799999999999998</v>
      </c>
      <c r="P101">
        <v>1.67</v>
      </c>
      <c r="Q101" t="s">
        <v>8</v>
      </c>
    </row>
    <row r="102" spans="1:17" x14ac:dyDescent="0.25">
      <c r="A102" t="s">
        <v>113</v>
      </c>
      <c r="B102" t="s">
        <v>112</v>
      </c>
      <c r="C102" t="s">
        <v>579</v>
      </c>
      <c r="D102" t="s">
        <v>585</v>
      </c>
      <c r="E102" t="s">
        <v>644</v>
      </c>
      <c r="F102">
        <v>2.25</v>
      </c>
      <c r="G102">
        <v>1.67</v>
      </c>
      <c r="H102" t="s">
        <v>10</v>
      </c>
      <c r="J102">
        <v>1.91</v>
      </c>
      <c r="K102" t="s">
        <v>8</v>
      </c>
      <c r="M102" t="s">
        <v>352</v>
      </c>
      <c r="N102" t="s">
        <v>347</v>
      </c>
      <c r="O102">
        <v>12</v>
      </c>
      <c r="P102">
        <v>1.05</v>
      </c>
      <c r="Q102" t="s">
        <v>8</v>
      </c>
    </row>
    <row r="103" spans="1:17" x14ac:dyDescent="0.25">
      <c r="A103" t="s">
        <v>113</v>
      </c>
      <c r="B103" t="s">
        <v>112</v>
      </c>
      <c r="C103" t="s">
        <v>579</v>
      </c>
      <c r="D103" t="s">
        <v>590</v>
      </c>
      <c r="E103" t="s">
        <v>645</v>
      </c>
      <c r="F103">
        <v>2.2000000000000002</v>
      </c>
      <c r="G103">
        <v>1.71</v>
      </c>
      <c r="H103" t="s">
        <v>10</v>
      </c>
      <c r="J103">
        <v>2</v>
      </c>
      <c r="K103" t="s">
        <v>8</v>
      </c>
      <c r="M103" t="s">
        <v>352</v>
      </c>
      <c r="N103" t="s">
        <v>347</v>
      </c>
      <c r="O103">
        <v>13</v>
      </c>
      <c r="P103">
        <v>1.03</v>
      </c>
      <c r="Q103" t="s">
        <v>8</v>
      </c>
    </row>
    <row r="104" spans="1:17" x14ac:dyDescent="0.25">
      <c r="A104" t="s">
        <v>113</v>
      </c>
      <c r="B104" t="s">
        <v>112</v>
      </c>
      <c r="C104" t="s">
        <v>579</v>
      </c>
      <c r="D104" t="s">
        <v>589</v>
      </c>
      <c r="E104" t="s">
        <v>623</v>
      </c>
      <c r="F104">
        <v>2.25</v>
      </c>
      <c r="G104">
        <v>1.67</v>
      </c>
      <c r="H104" t="s">
        <v>10</v>
      </c>
      <c r="J104">
        <v>1.95</v>
      </c>
      <c r="K104" t="s">
        <v>8</v>
      </c>
      <c r="M104" t="s">
        <v>352</v>
      </c>
      <c r="N104" t="s">
        <v>347</v>
      </c>
      <c r="O104">
        <v>12.5</v>
      </c>
      <c r="P104">
        <v>1.04</v>
      </c>
      <c r="Q104" t="s">
        <v>8</v>
      </c>
    </row>
    <row r="105" spans="1:17" x14ac:dyDescent="0.25">
      <c r="A105" t="s">
        <v>114</v>
      </c>
      <c r="B105" t="s">
        <v>112</v>
      </c>
      <c r="C105" t="s">
        <v>579</v>
      </c>
      <c r="D105" t="s">
        <v>586</v>
      </c>
      <c r="E105" t="s">
        <v>641</v>
      </c>
      <c r="F105">
        <v>4.95</v>
      </c>
      <c r="G105">
        <v>1.2</v>
      </c>
      <c r="H105" t="s">
        <v>10</v>
      </c>
      <c r="J105">
        <v>1.93</v>
      </c>
      <c r="K105" t="s">
        <v>8</v>
      </c>
      <c r="M105" t="s">
        <v>352</v>
      </c>
      <c r="N105" t="s">
        <v>347</v>
      </c>
      <c r="O105">
        <v>13</v>
      </c>
      <c r="P105">
        <v>1.03</v>
      </c>
      <c r="Q105" t="s">
        <v>8</v>
      </c>
    </row>
    <row r="106" spans="1:17" x14ac:dyDescent="0.25">
      <c r="A106" t="s">
        <v>114</v>
      </c>
      <c r="B106" t="s">
        <v>112</v>
      </c>
      <c r="C106" t="s">
        <v>579</v>
      </c>
      <c r="D106" t="s">
        <v>582</v>
      </c>
      <c r="E106" t="s">
        <v>620</v>
      </c>
      <c r="F106">
        <v>4.95</v>
      </c>
      <c r="G106">
        <v>1.2</v>
      </c>
      <c r="H106" t="s">
        <v>10</v>
      </c>
      <c r="J106">
        <v>1.95</v>
      </c>
      <c r="K106" t="s">
        <v>8</v>
      </c>
      <c r="M106" t="s">
        <v>352</v>
      </c>
      <c r="N106" t="s">
        <v>347</v>
      </c>
      <c r="O106">
        <v>12</v>
      </c>
      <c r="P106">
        <v>1.03</v>
      </c>
      <c r="Q106" t="s">
        <v>8</v>
      </c>
    </row>
    <row r="107" spans="1:17" x14ac:dyDescent="0.25">
      <c r="A107" t="s">
        <v>114</v>
      </c>
      <c r="B107" t="s">
        <v>112</v>
      </c>
      <c r="C107" t="s">
        <v>579</v>
      </c>
      <c r="D107" t="s">
        <v>580</v>
      </c>
      <c r="E107" t="s">
        <v>643</v>
      </c>
      <c r="F107">
        <v>5</v>
      </c>
      <c r="G107">
        <v>1.19</v>
      </c>
      <c r="H107" t="s">
        <v>10</v>
      </c>
      <c r="J107">
        <v>2</v>
      </c>
      <c r="K107" t="s">
        <v>8</v>
      </c>
      <c r="M107" t="s">
        <v>352</v>
      </c>
      <c r="N107" t="s">
        <v>347</v>
      </c>
      <c r="O107">
        <v>14.5</v>
      </c>
      <c r="P107">
        <v>1.03</v>
      </c>
      <c r="Q107" t="s">
        <v>8</v>
      </c>
    </row>
    <row r="108" spans="1:17" x14ac:dyDescent="0.25">
      <c r="A108" t="s">
        <v>114</v>
      </c>
      <c r="B108" t="s">
        <v>112</v>
      </c>
      <c r="C108" t="s">
        <v>579</v>
      </c>
      <c r="D108" t="s">
        <v>588</v>
      </c>
      <c r="E108" t="s">
        <v>642</v>
      </c>
      <c r="F108">
        <v>4.5999999999999996</v>
      </c>
      <c r="G108">
        <v>1.2</v>
      </c>
      <c r="H108" t="s">
        <v>10</v>
      </c>
      <c r="J108">
        <v>2</v>
      </c>
      <c r="K108" t="s">
        <v>8</v>
      </c>
      <c r="M108" t="s">
        <v>352</v>
      </c>
      <c r="N108" t="s">
        <v>347</v>
      </c>
      <c r="O108">
        <v>12.5</v>
      </c>
      <c r="P108">
        <v>1.04</v>
      </c>
      <c r="Q108" t="s">
        <v>8</v>
      </c>
    </row>
    <row r="109" spans="1:17" x14ac:dyDescent="0.25">
      <c r="A109" t="s">
        <v>114</v>
      </c>
      <c r="B109" t="s">
        <v>112</v>
      </c>
      <c r="C109" t="s">
        <v>579</v>
      </c>
      <c r="D109" t="s">
        <v>581</v>
      </c>
      <c r="E109" t="s">
        <v>594</v>
      </c>
      <c r="F109">
        <v>4.5</v>
      </c>
      <c r="G109">
        <v>1.19</v>
      </c>
      <c r="H109" t="s">
        <v>10</v>
      </c>
      <c r="J109">
        <v>2</v>
      </c>
      <c r="K109" t="s">
        <v>8</v>
      </c>
      <c r="M109" t="s">
        <v>352</v>
      </c>
      <c r="N109" t="s">
        <v>347</v>
      </c>
      <c r="O109">
        <v>13</v>
      </c>
      <c r="P109">
        <v>1.03</v>
      </c>
      <c r="Q109" t="s">
        <v>8</v>
      </c>
    </row>
    <row r="110" spans="1:17" x14ac:dyDescent="0.25">
      <c r="A110" t="s">
        <v>114</v>
      </c>
      <c r="B110" t="s">
        <v>112</v>
      </c>
      <c r="C110" t="s">
        <v>579</v>
      </c>
      <c r="D110" t="s">
        <v>583</v>
      </c>
      <c r="E110" t="s">
        <v>621</v>
      </c>
      <c r="F110">
        <v>5</v>
      </c>
      <c r="G110">
        <v>1.18</v>
      </c>
      <c r="H110" t="s">
        <v>10</v>
      </c>
      <c r="J110">
        <v>1.1000000000000001</v>
      </c>
      <c r="K110" t="s">
        <v>8</v>
      </c>
      <c r="M110" t="s">
        <v>352</v>
      </c>
      <c r="N110" t="s">
        <v>347</v>
      </c>
      <c r="O110">
        <v>15</v>
      </c>
      <c r="P110">
        <v>1.03</v>
      </c>
      <c r="Q110" t="s">
        <v>8</v>
      </c>
    </row>
    <row r="111" spans="1:17" x14ac:dyDescent="0.25">
      <c r="A111" t="s">
        <v>114</v>
      </c>
      <c r="B111" t="s">
        <v>112</v>
      </c>
      <c r="C111" t="s">
        <v>579</v>
      </c>
      <c r="D111" t="s">
        <v>587</v>
      </c>
      <c r="E111" t="s">
        <v>641</v>
      </c>
      <c r="F111">
        <v>5</v>
      </c>
      <c r="G111">
        <v>1.18</v>
      </c>
      <c r="H111" t="s">
        <v>10</v>
      </c>
      <c r="J111">
        <v>1.08</v>
      </c>
      <c r="K111" t="s">
        <v>8</v>
      </c>
      <c r="M111" t="s">
        <v>352</v>
      </c>
      <c r="N111" t="s">
        <v>347</v>
      </c>
      <c r="O111">
        <v>13</v>
      </c>
      <c r="P111">
        <v>1.03</v>
      </c>
      <c r="Q111" t="s">
        <v>8</v>
      </c>
    </row>
    <row r="112" spans="1:17" x14ac:dyDescent="0.25">
      <c r="A112" t="s">
        <v>114</v>
      </c>
      <c r="B112" t="s">
        <v>112</v>
      </c>
      <c r="C112" t="s">
        <v>579</v>
      </c>
      <c r="D112" t="s">
        <v>585</v>
      </c>
      <c r="E112" t="s">
        <v>644</v>
      </c>
      <c r="F112">
        <v>4.8</v>
      </c>
      <c r="G112">
        <v>1.2</v>
      </c>
      <c r="H112" t="s">
        <v>10</v>
      </c>
      <c r="J112">
        <v>1.0900000000000001</v>
      </c>
      <c r="K112" t="s">
        <v>8</v>
      </c>
      <c r="M112" t="s">
        <v>352</v>
      </c>
      <c r="N112" t="s">
        <v>347</v>
      </c>
      <c r="O112">
        <v>15</v>
      </c>
      <c r="P112">
        <v>1.02</v>
      </c>
      <c r="Q112" t="s">
        <v>8</v>
      </c>
    </row>
    <row r="113" spans="1:17" x14ac:dyDescent="0.25">
      <c r="A113" t="s">
        <v>114</v>
      </c>
      <c r="B113" t="s">
        <v>112</v>
      </c>
      <c r="C113" t="s">
        <v>579</v>
      </c>
      <c r="D113" t="s">
        <v>590</v>
      </c>
      <c r="E113" t="s">
        <v>645</v>
      </c>
      <c r="F113">
        <v>4.75</v>
      </c>
      <c r="G113">
        <v>1.2</v>
      </c>
      <c r="H113" t="s">
        <v>10</v>
      </c>
      <c r="J113">
        <v>1.08</v>
      </c>
      <c r="K113" t="s">
        <v>8</v>
      </c>
      <c r="M113" t="s">
        <v>352</v>
      </c>
      <c r="N113" t="s">
        <v>347</v>
      </c>
      <c r="O113">
        <v>14.45</v>
      </c>
      <c r="P113">
        <v>1.02</v>
      </c>
      <c r="Q113" t="s">
        <v>8</v>
      </c>
    </row>
    <row r="114" spans="1:17" x14ac:dyDescent="0.25">
      <c r="A114" t="s">
        <v>114</v>
      </c>
      <c r="B114" t="s">
        <v>112</v>
      </c>
      <c r="C114" t="s">
        <v>579</v>
      </c>
      <c r="D114" t="s">
        <v>589</v>
      </c>
      <c r="E114" t="s">
        <v>623</v>
      </c>
      <c r="F114">
        <v>5</v>
      </c>
      <c r="G114">
        <v>1.18</v>
      </c>
      <c r="H114" t="s">
        <v>10</v>
      </c>
      <c r="J114">
        <v>1.08</v>
      </c>
      <c r="K114" t="s">
        <v>8</v>
      </c>
      <c r="M114" t="s">
        <v>352</v>
      </c>
      <c r="N114" t="s">
        <v>347</v>
      </c>
      <c r="O114">
        <v>13.5</v>
      </c>
      <c r="P114">
        <v>1.04</v>
      </c>
      <c r="Q114" t="s">
        <v>8</v>
      </c>
    </row>
    <row r="115" spans="1:17" x14ac:dyDescent="0.25">
      <c r="A115" t="s">
        <v>114</v>
      </c>
      <c r="B115" t="s">
        <v>112</v>
      </c>
      <c r="C115" t="s">
        <v>579</v>
      </c>
      <c r="D115" t="s">
        <v>584</v>
      </c>
      <c r="E115" t="s">
        <v>622</v>
      </c>
      <c r="F115">
        <v>4.95</v>
      </c>
      <c r="G115">
        <v>1.18</v>
      </c>
      <c r="H115" t="s">
        <v>10</v>
      </c>
      <c r="J115">
        <v>1.0900000000000001</v>
      </c>
      <c r="K115" t="s">
        <v>8</v>
      </c>
      <c r="M115" t="s">
        <v>353</v>
      </c>
      <c r="N115" t="s">
        <v>347</v>
      </c>
      <c r="O115">
        <v>2.4</v>
      </c>
      <c r="P115">
        <v>1.6</v>
      </c>
      <c r="Q115" t="s">
        <v>8</v>
      </c>
    </row>
    <row r="116" spans="1:17" x14ac:dyDescent="0.25">
      <c r="A116" t="s">
        <v>116</v>
      </c>
      <c r="B116" t="s">
        <v>112</v>
      </c>
      <c r="C116" t="s">
        <v>579</v>
      </c>
      <c r="D116" t="s">
        <v>586</v>
      </c>
      <c r="E116" t="s">
        <v>641</v>
      </c>
      <c r="F116">
        <v>1.55</v>
      </c>
      <c r="G116">
        <v>2.56</v>
      </c>
      <c r="H116" t="s">
        <v>10</v>
      </c>
      <c r="J116">
        <v>1.0900000000000001</v>
      </c>
      <c r="K116" t="s">
        <v>8</v>
      </c>
      <c r="M116" t="s">
        <v>353</v>
      </c>
      <c r="N116" t="s">
        <v>347</v>
      </c>
      <c r="O116">
        <v>2.38</v>
      </c>
      <c r="P116">
        <v>1.6</v>
      </c>
      <c r="Q116" t="s">
        <v>8</v>
      </c>
    </row>
    <row r="117" spans="1:17" x14ac:dyDescent="0.25">
      <c r="A117" t="s">
        <v>116</v>
      </c>
      <c r="B117" t="s">
        <v>112</v>
      </c>
      <c r="C117" t="s">
        <v>579</v>
      </c>
      <c r="D117" t="s">
        <v>584</v>
      </c>
      <c r="E117" t="s">
        <v>622</v>
      </c>
      <c r="F117">
        <v>1.5</v>
      </c>
      <c r="G117">
        <v>2.65</v>
      </c>
      <c r="H117" t="s">
        <v>10</v>
      </c>
      <c r="J117">
        <v>1.08</v>
      </c>
      <c r="K117" t="s">
        <v>8</v>
      </c>
      <c r="M117" t="s">
        <v>353</v>
      </c>
      <c r="N117" t="s">
        <v>347</v>
      </c>
      <c r="O117">
        <v>2.4500000000000002</v>
      </c>
      <c r="P117">
        <v>1.61</v>
      </c>
      <c r="Q117" t="s">
        <v>8</v>
      </c>
    </row>
    <row r="118" spans="1:17" x14ac:dyDescent="0.25">
      <c r="A118" t="s">
        <v>116</v>
      </c>
      <c r="B118" t="s">
        <v>112</v>
      </c>
      <c r="C118" t="s">
        <v>579</v>
      </c>
      <c r="D118" t="s">
        <v>582</v>
      </c>
      <c r="E118" t="s">
        <v>620</v>
      </c>
      <c r="F118">
        <v>1.55</v>
      </c>
      <c r="G118">
        <v>2.56</v>
      </c>
      <c r="H118" t="s">
        <v>10</v>
      </c>
      <c r="J118">
        <v>1.08</v>
      </c>
      <c r="K118" t="s">
        <v>8</v>
      </c>
      <c r="M118" t="s">
        <v>353</v>
      </c>
      <c r="N118" t="s">
        <v>347</v>
      </c>
      <c r="O118">
        <v>2.4500000000000002</v>
      </c>
      <c r="P118">
        <v>1.56</v>
      </c>
      <c r="Q118" t="s">
        <v>8</v>
      </c>
    </row>
    <row r="119" spans="1:17" x14ac:dyDescent="0.25">
      <c r="A119" t="s">
        <v>116</v>
      </c>
      <c r="B119" t="s">
        <v>112</v>
      </c>
      <c r="C119" t="s">
        <v>579</v>
      </c>
      <c r="D119" t="s">
        <v>580</v>
      </c>
      <c r="E119" t="s">
        <v>643</v>
      </c>
      <c r="F119">
        <v>1.54</v>
      </c>
      <c r="G119">
        <v>2.54</v>
      </c>
      <c r="H119" t="s">
        <v>10</v>
      </c>
      <c r="J119">
        <v>1.07</v>
      </c>
      <c r="K119" t="s">
        <v>8</v>
      </c>
      <c r="M119" t="s">
        <v>353</v>
      </c>
      <c r="N119" t="s">
        <v>347</v>
      </c>
      <c r="O119">
        <v>2.4500000000000002</v>
      </c>
      <c r="P119">
        <v>1.59</v>
      </c>
      <c r="Q119" t="s">
        <v>8</v>
      </c>
    </row>
    <row r="120" spans="1:17" x14ac:dyDescent="0.25">
      <c r="A120" t="s">
        <v>116</v>
      </c>
      <c r="B120" t="s">
        <v>112</v>
      </c>
      <c r="C120" t="s">
        <v>579</v>
      </c>
      <c r="D120" t="s">
        <v>588</v>
      </c>
      <c r="E120" t="s">
        <v>642</v>
      </c>
      <c r="F120">
        <v>1.54</v>
      </c>
      <c r="G120">
        <v>2.5499999999999998</v>
      </c>
      <c r="H120" t="s">
        <v>10</v>
      </c>
      <c r="J120">
        <v>1.07</v>
      </c>
      <c r="K120" t="s">
        <v>8</v>
      </c>
      <c r="M120" t="s">
        <v>353</v>
      </c>
      <c r="N120" t="s">
        <v>347</v>
      </c>
      <c r="O120">
        <v>2.4300000000000002</v>
      </c>
      <c r="P120">
        <v>1.59</v>
      </c>
      <c r="Q120" t="s">
        <v>8</v>
      </c>
    </row>
    <row r="121" spans="1:17" x14ac:dyDescent="0.25">
      <c r="A121" t="s">
        <v>116</v>
      </c>
      <c r="B121" t="s">
        <v>112</v>
      </c>
      <c r="C121" t="s">
        <v>579</v>
      </c>
      <c r="D121" t="s">
        <v>581</v>
      </c>
      <c r="E121" t="s">
        <v>594</v>
      </c>
      <c r="F121">
        <v>1.51</v>
      </c>
      <c r="G121">
        <v>2.52</v>
      </c>
      <c r="H121" t="s">
        <v>10</v>
      </c>
      <c r="J121">
        <v>1.07</v>
      </c>
      <c r="K121" t="s">
        <v>8</v>
      </c>
      <c r="M121" t="s">
        <v>353</v>
      </c>
      <c r="N121" t="s">
        <v>347</v>
      </c>
      <c r="O121">
        <v>2.4500000000000002</v>
      </c>
      <c r="P121">
        <v>1.61</v>
      </c>
      <c r="Q121" t="s">
        <v>8</v>
      </c>
    </row>
    <row r="122" spans="1:17" x14ac:dyDescent="0.25">
      <c r="A122" t="s">
        <v>116</v>
      </c>
      <c r="B122" t="s">
        <v>112</v>
      </c>
      <c r="C122" t="s">
        <v>579</v>
      </c>
      <c r="D122" t="s">
        <v>583</v>
      </c>
      <c r="E122" t="s">
        <v>621</v>
      </c>
      <c r="F122">
        <v>1.5</v>
      </c>
      <c r="G122">
        <v>2.6</v>
      </c>
      <c r="H122" t="s">
        <v>10</v>
      </c>
      <c r="J122">
        <v>1.29</v>
      </c>
      <c r="K122" t="s">
        <v>8</v>
      </c>
      <c r="M122" t="s">
        <v>353</v>
      </c>
      <c r="N122" t="s">
        <v>347</v>
      </c>
      <c r="O122">
        <v>2.4500000000000002</v>
      </c>
      <c r="P122">
        <v>1.56</v>
      </c>
      <c r="Q122" t="s">
        <v>8</v>
      </c>
    </row>
    <row r="123" spans="1:17" x14ac:dyDescent="0.25">
      <c r="A123" t="s">
        <v>116</v>
      </c>
      <c r="B123" t="s">
        <v>112</v>
      </c>
      <c r="C123" t="s">
        <v>579</v>
      </c>
      <c r="D123" t="s">
        <v>587</v>
      </c>
      <c r="E123" t="s">
        <v>641</v>
      </c>
      <c r="F123">
        <v>1.5</v>
      </c>
      <c r="G123">
        <v>2.6</v>
      </c>
      <c r="H123" t="s">
        <v>10</v>
      </c>
      <c r="J123">
        <v>1.31</v>
      </c>
      <c r="K123" t="s">
        <v>8</v>
      </c>
      <c r="M123" t="s">
        <v>353</v>
      </c>
      <c r="N123" t="s">
        <v>347</v>
      </c>
      <c r="O123">
        <v>2.4</v>
      </c>
      <c r="P123">
        <v>1.62</v>
      </c>
      <c r="Q123" t="s">
        <v>8</v>
      </c>
    </row>
    <row r="124" spans="1:17" x14ac:dyDescent="0.25">
      <c r="A124" t="s">
        <v>116</v>
      </c>
      <c r="B124" t="s">
        <v>112</v>
      </c>
      <c r="C124" t="s">
        <v>579</v>
      </c>
      <c r="D124" t="s">
        <v>585</v>
      </c>
      <c r="E124" t="s">
        <v>644</v>
      </c>
      <c r="F124">
        <v>1.53</v>
      </c>
      <c r="G124">
        <v>2.6</v>
      </c>
      <c r="H124" t="s">
        <v>10</v>
      </c>
      <c r="J124">
        <v>1.31</v>
      </c>
      <c r="K124" t="s">
        <v>8</v>
      </c>
      <c r="M124" t="s">
        <v>353</v>
      </c>
      <c r="N124" t="s">
        <v>347</v>
      </c>
      <c r="O124">
        <v>2.4500000000000002</v>
      </c>
      <c r="P124">
        <v>1.57</v>
      </c>
      <c r="Q124" t="s">
        <v>8</v>
      </c>
    </row>
    <row r="125" spans="1:17" x14ac:dyDescent="0.25">
      <c r="A125" t="s">
        <v>116</v>
      </c>
      <c r="B125" t="s">
        <v>112</v>
      </c>
      <c r="C125" t="s">
        <v>579</v>
      </c>
      <c r="D125" t="s">
        <v>590</v>
      </c>
      <c r="E125" t="s">
        <v>645</v>
      </c>
      <c r="F125">
        <v>1.56</v>
      </c>
      <c r="G125">
        <v>2.5</v>
      </c>
      <c r="H125" t="s">
        <v>10</v>
      </c>
      <c r="J125">
        <v>1.33</v>
      </c>
      <c r="K125" t="s">
        <v>8</v>
      </c>
      <c r="M125" t="s">
        <v>353</v>
      </c>
      <c r="N125" t="s">
        <v>347</v>
      </c>
      <c r="O125">
        <v>2.42</v>
      </c>
      <c r="P125">
        <v>1.61</v>
      </c>
      <c r="Q125" t="s">
        <v>8</v>
      </c>
    </row>
    <row r="126" spans="1:17" x14ac:dyDescent="0.25">
      <c r="A126" t="s">
        <v>116</v>
      </c>
      <c r="B126" t="s">
        <v>112</v>
      </c>
      <c r="C126" t="s">
        <v>579</v>
      </c>
      <c r="D126" t="s">
        <v>589</v>
      </c>
      <c r="E126" t="s">
        <v>623</v>
      </c>
      <c r="F126">
        <v>1.5</v>
      </c>
      <c r="G126">
        <v>2.6</v>
      </c>
      <c r="H126" t="s">
        <v>10</v>
      </c>
      <c r="J126">
        <v>1.29</v>
      </c>
      <c r="K126" t="s">
        <v>8</v>
      </c>
      <c r="M126" t="s">
        <v>353</v>
      </c>
      <c r="N126" t="s">
        <v>347</v>
      </c>
      <c r="O126">
        <v>2.4</v>
      </c>
      <c r="P126">
        <v>1.61</v>
      </c>
      <c r="Q126" t="s">
        <v>8</v>
      </c>
    </row>
    <row r="127" spans="1:17" x14ac:dyDescent="0.25">
      <c r="A127" t="s">
        <v>118</v>
      </c>
      <c r="B127" t="s">
        <v>112</v>
      </c>
      <c r="C127" t="s">
        <v>579</v>
      </c>
      <c r="D127" t="s">
        <v>586</v>
      </c>
      <c r="E127" t="s">
        <v>641</v>
      </c>
      <c r="F127">
        <v>3.7</v>
      </c>
      <c r="G127">
        <v>1.3</v>
      </c>
      <c r="H127" t="s">
        <v>10</v>
      </c>
      <c r="J127">
        <v>1.3</v>
      </c>
      <c r="K127" t="s">
        <v>8</v>
      </c>
      <c r="M127" t="s">
        <v>353</v>
      </c>
      <c r="N127" t="s">
        <v>347</v>
      </c>
      <c r="O127">
        <v>2.63</v>
      </c>
      <c r="P127">
        <v>1.53</v>
      </c>
      <c r="Q127" t="s">
        <v>8</v>
      </c>
    </row>
    <row r="128" spans="1:17" x14ac:dyDescent="0.25">
      <c r="A128" t="s">
        <v>118</v>
      </c>
      <c r="B128" t="s">
        <v>112</v>
      </c>
      <c r="C128" t="s">
        <v>579</v>
      </c>
      <c r="D128" t="s">
        <v>582</v>
      </c>
      <c r="E128" t="s">
        <v>620</v>
      </c>
      <c r="F128">
        <v>3.7</v>
      </c>
      <c r="G128">
        <v>1.3</v>
      </c>
      <c r="H128" t="s">
        <v>10</v>
      </c>
      <c r="J128">
        <v>1.31</v>
      </c>
      <c r="K128" t="s">
        <v>8</v>
      </c>
      <c r="M128" t="s">
        <v>354</v>
      </c>
      <c r="N128" t="s">
        <v>347</v>
      </c>
      <c r="O128">
        <v>3.95</v>
      </c>
      <c r="P128">
        <v>1.27</v>
      </c>
      <c r="Q128" t="s">
        <v>8</v>
      </c>
    </row>
    <row r="129" spans="1:17" x14ac:dyDescent="0.25">
      <c r="A129" t="s">
        <v>118</v>
      </c>
      <c r="B129" t="s">
        <v>112</v>
      </c>
      <c r="C129" t="s">
        <v>579</v>
      </c>
      <c r="D129" t="s">
        <v>580</v>
      </c>
      <c r="E129" t="s">
        <v>643</v>
      </c>
      <c r="F129">
        <v>3.95</v>
      </c>
      <c r="G129">
        <v>1.27</v>
      </c>
      <c r="H129" t="s">
        <v>10</v>
      </c>
      <c r="J129">
        <v>1.33</v>
      </c>
      <c r="K129" t="s">
        <v>8</v>
      </c>
      <c r="M129" t="s">
        <v>354</v>
      </c>
      <c r="N129" t="s">
        <v>347</v>
      </c>
      <c r="O129">
        <v>3.85</v>
      </c>
      <c r="P129">
        <v>1.27</v>
      </c>
      <c r="Q129" t="s">
        <v>8</v>
      </c>
    </row>
    <row r="130" spans="1:17" x14ac:dyDescent="0.25">
      <c r="A130" t="s">
        <v>118</v>
      </c>
      <c r="B130" t="s">
        <v>112</v>
      </c>
      <c r="C130" t="s">
        <v>579</v>
      </c>
      <c r="D130" t="s">
        <v>584</v>
      </c>
      <c r="E130" t="s">
        <v>622</v>
      </c>
      <c r="F130">
        <v>3.8</v>
      </c>
      <c r="G130">
        <v>1.29</v>
      </c>
      <c r="H130" t="s">
        <v>10</v>
      </c>
      <c r="J130">
        <v>1.31</v>
      </c>
      <c r="K130" t="s">
        <v>8</v>
      </c>
      <c r="M130" t="s">
        <v>354</v>
      </c>
      <c r="N130" t="s">
        <v>347</v>
      </c>
      <c r="O130">
        <v>3.8</v>
      </c>
      <c r="P130">
        <v>1.3</v>
      </c>
      <c r="Q130" t="s">
        <v>8</v>
      </c>
    </row>
    <row r="131" spans="1:17" x14ac:dyDescent="0.25">
      <c r="A131" t="s">
        <v>118</v>
      </c>
      <c r="B131" t="s">
        <v>112</v>
      </c>
      <c r="C131" t="s">
        <v>579</v>
      </c>
      <c r="D131" t="s">
        <v>588</v>
      </c>
      <c r="E131" t="s">
        <v>642</v>
      </c>
      <c r="F131">
        <v>3.5</v>
      </c>
      <c r="G131">
        <v>1.29</v>
      </c>
      <c r="H131" t="s">
        <v>10</v>
      </c>
      <c r="J131">
        <v>1.33</v>
      </c>
      <c r="K131" t="s">
        <v>8</v>
      </c>
      <c r="M131" t="s">
        <v>354</v>
      </c>
      <c r="N131" t="s">
        <v>347</v>
      </c>
      <c r="O131">
        <v>3.75</v>
      </c>
      <c r="P131">
        <v>1.28</v>
      </c>
      <c r="Q131" t="s">
        <v>8</v>
      </c>
    </row>
    <row r="132" spans="1:17" x14ac:dyDescent="0.25">
      <c r="A132" t="s">
        <v>118</v>
      </c>
      <c r="B132" t="s">
        <v>112</v>
      </c>
      <c r="C132" t="s">
        <v>579</v>
      </c>
      <c r="D132" t="s">
        <v>581</v>
      </c>
      <c r="E132" t="s">
        <v>594</v>
      </c>
      <c r="F132">
        <v>3.65</v>
      </c>
      <c r="G132">
        <v>1.27</v>
      </c>
      <c r="H132" t="s">
        <v>10</v>
      </c>
      <c r="J132">
        <v>1.3</v>
      </c>
      <c r="K132" t="s">
        <v>8</v>
      </c>
      <c r="M132" t="s">
        <v>354</v>
      </c>
      <c r="N132" t="s">
        <v>347</v>
      </c>
      <c r="O132">
        <v>3.7</v>
      </c>
      <c r="P132">
        <v>1.29</v>
      </c>
      <c r="Q132" t="s">
        <v>8</v>
      </c>
    </row>
    <row r="133" spans="1:17" x14ac:dyDescent="0.25">
      <c r="A133" t="s">
        <v>118</v>
      </c>
      <c r="B133" t="s">
        <v>112</v>
      </c>
      <c r="C133" t="s">
        <v>579</v>
      </c>
      <c r="D133" t="s">
        <v>583</v>
      </c>
      <c r="E133" t="s">
        <v>621</v>
      </c>
      <c r="F133">
        <v>3.7</v>
      </c>
      <c r="G133">
        <v>1.28</v>
      </c>
      <c r="H133" t="s">
        <v>10</v>
      </c>
      <c r="J133">
        <v>1.29</v>
      </c>
      <c r="K133" t="s">
        <v>8</v>
      </c>
      <c r="M133" t="s">
        <v>354</v>
      </c>
      <c r="N133" t="s">
        <v>347</v>
      </c>
      <c r="O133">
        <v>3.78</v>
      </c>
      <c r="P133">
        <v>1.28</v>
      </c>
      <c r="Q133" t="s">
        <v>8</v>
      </c>
    </row>
    <row r="134" spans="1:17" x14ac:dyDescent="0.25">
      <c r="A134" t="s">
        <v>118</v>
      </c>
      <c r="B134" t="s">
        <v>112</v>
      </c>
      <c r="C134" t="s">
        <v>579</v>
      </c>
      <c r="D134" t="s">
        <v>587</v>
      </c>
      <c r="E134" t="s">
        <v>641</v>
      </c>
      <c r="F134">
        <v>3.7</v>
      </c>
      <c r="G134">
        <v>1.28</v>
      </c>
      <c r="H134" t="s">
        <v>10</v>
      </c>
      <c r="J134">
        <v>2.64</v>
      </c>
      <c r="K134" t="s">
        <v>8</v>
      </c>
      <c r="M134" t="s">
        <v>354</v>
      </c>
      <c r="N134" t="s">
        <v>347</v>
      </c>
      <c r="O134">
        <v>3.8</v>
      </c>
      <c r="P134">
        <v>1.3</v>
      </c>
      <c r="Q134" t="s">
        <v>8</v>
      </c>
    </row>
    <row r="135" spans="1:17" x14ac:dyDescent="0.25">
      <c r="A135" t="s">
        <v>118</v>
      </c>
      <c r="B135" t="s">
        <v>112</v>
      </c>
      <c r="C135" t="s">
        <v>579</v>
      </c>
      <c r="D135" t="s">
        <v>585</v>
      </c>
      <c r="E135" t="s">
        <v>644</v>
      </c>
      <c r="F135">
        <v>3.65</v>
      </c>
      <c r="G135">
        <v>1.29</v>
      </c>
      <c r="H135" t="s">
        <v>10</v>
      </c>
      <c r="J135">
        <v>2.58</v>
      </c>
      <c r="K135" t="s">
        <v>8</v>
      </c>
      <c r="M135" t="s">
        <v>354</v>
      </c>
      <c r="N135" t="s">
        <v>347</v>
      </c>
      <c r="O135">
        <v>3.75</v>
      </c>
      <c r="P135">
        <v>1.28</v>
      </c>
      <c r="Q135" t="s">
        <v>8</v>
      </c>
    </row>
    <row r="136" spans="1:17" x14ac:dyDescent="0.25">
      <c r="A136" t="s">
        <v>118</v>
      </c>
      <c r="B136" t="s">
        <v>112</v>
      </c>
      <c r="C136" t="s">
        <v>579</v>
      </c>
      <c r="D136" t="s">
        <v>590</v>
      </c>
      <c r="E136" t="s">
        <v>645</v>
      </c>
      <c r="F136">
        <v>3.6</v>
      </c>
      <c r="G136">
        <v>1.3</v>
      </c>
      <c r="H136" t="s">
        <v>10</v>
      </c>
      <c r="J136">
        <v>2.6</v>
      </c>
      <c r="K136" t="s">
        <v>8</v>
      </c>
      <c r="M136" t="s">
        <v>354</v>
      </c>
      <c r="N136" t="s">
        <v>347</v>
      </c>
      <c r="O136">
        <v>3.8</v>
      </c>
      <c r="P136">
        <v>1.29</v>
      </c>
      <c r="Q136" t="s">
        <v>8</v>
      </c>
    </row>
    <row r="137" spans="1:17" x14ac:dyDescent="0.25">
      <c r="A137" t="s">
        <v>117</v>
      </c>
      <c r="B137" t="s">
        <v>647</v>
      </c>
      <c r="C137" t="s">
        <v>579</v>
      </c>
      <c r="D137" t="s">
        <v>586</v>
      </c>
      <c r="E137" t="s">
        <v>641</v>
      </c>
      <c r="F137">
        <v>2.7</v>
      </c>
      <c r="G137">
        <v>1.5</v>
      </c>
      <c r="H137" t="s">
        <v>10</v>
      </c>
      <c r="J137">
        <v>2.5499999999999998</v>
      </c>
      <c r="K137" t="s">
        <v>8</v>
      </c>
      <c r="M137" t="s">
        <v>354</v>
      </c>
      <c r="N137" t="s">
        <v>347</v>
      </c>
      <c r="O137">
        <v>3.8</v>
      </c>
      <c r="P137">
        <v>1.29</v>
      </c>
      <c r="Q137" t="s">
        <v>8</v>
      </c>
    </row>
    <row r="138" spans="1:17" x14ac:dyDescent="0.25">
      <c r="A138" t="s">
        <v>117</v>
      </c>
      <c r="B138" t="s">
        <v>647</v>
      </c>
      <c r="C138" t="s">
        <v>579</v>
      </c>
      <c r="D138" t="s">
        <v>584</v>
      </c>
      <c r="E138" t="s">
        <v>622</v>
      </c>
      <c r="F138">
        <v>2.67</v>
      </c>
      <c r="G138">
        <v>1.5</v>
      </c>
      <c r="H138" t="s">
        <v>10</v>
      </c>
      <c r="J138">
        <v>2.65</v>
      </c>
      <c r="K138" t="s">
        <v>8</v>
      </c>
      <c r="M138" t="s">
        <v>354</v>
      </c>
      <c r="N138" t="s">
        <v>347</v>
      </c>
      <c r="O138">
        <v>3.75</v>
      </c>
      <c r="P138">
        <v>1.29</v>
      </c>
      <c r="Q138" t="s">
        <v>8</v>
      </c>
    </row>
    <row r="139" spans="1:17" x14ac:dyDescent="0.25">
      <c r="A139" t="s">
        <v>117</v>
      </c>
      <c r="B139" t="s">
        <v>647</v>
      </c>
      <c r="C139" t="s">
        <v>579</v>
      </c>
      <c r="D139" t="s">
        <v>582</v>
      </c>
      <c r="E139" t="s">
        <v>620</v>
      </c>
      <c r="F139">
        <v>2.7</v>
      </c>
      <c r="G139">
        <v>1.5</v>
      </c>
      <c r="H139" t="s">
        <v>10</v>
      </c>
      <c r="J139">
        <v>2.58</v>
      </c>
      <c r="K139" t="s">
        <v>8</v>
      </c>
      <c r="M139" t="s">
        <v>354</v>
      </c>
      <c r="N139" t="s">
        <v>347</v>
      </c>
      <c r="O139">
        <v>3.75</v>
      </c>
      <c r="P139">
        <v>1.28</v>
      </c>
      <c r="Q139" t="s">
        <v>8</v>
      </c>
    </row>
    <row r="140" spans="1:17" x14ac:dyDescent="0.25">
      <c r="A140" t="s">
        <v>117</v>
      </c>
      <c r="B140" t="s">
        <v>647</v>
      </c>
      <c r="C140" t="s">
        <v>579</v>
      </c>
      <c r="D140" t="s">
        <v>580</v>
      </c>
      <c r="E140" t="s">
        <v>643</v>
      </c>
      <c r="F140">
        <v>2.7</v>
      </c>
      <c r="G140">
        <v>1.49</v>
      </c>
      <c r="H140" t="s">
        <v>10</v>
      </c>
      <c r="J140">
        <v>2.6</v>
      </c>
      <c r="K140" t="s">
        <v>8</v>
      </c>
      <c r="M140" t="s">
        <v>354</v>
      </c>
      <c r="N140" t="s">
        <v>347</v>
      </c>
      <c r="O140">
        <v>3.7</v>
      </c>
      <c r="P140">
        <v>1.3</v>
      </c>
      <c r="Q140" t="s">
        <v>8</v>
      </c>
    </row>
    <row r="141" spans="1:17" x14ac:dyDescent="0.25">
      <c r="A141" t="s">
        <v>117</v>
      </c>
      <c r="B141" t="s">
        <v>647</v>
      </c>
      <c r="C141" t="s">
        <v>579</v>
      </c>
      <c r="D141" t="s">
        <v>588</v>
      </c>
      <c r="E141" t="s">
        <v>642</v>
      </c>
      <c r="F141">
        <v>2.65</v>
      </c>
      <c r="G141">
        <v>1.5</v>
      </c>
      <c r="H141" t="s">
        <v>10</v>
      </c>
      <c r="J141">
        <v>2.5499999999999998</v>
      </c>
      <c r="K141" t="s">
        <v>8</v>
      </c>
      <c r="M141" t="s">
        <v>355</v>
      </c>
      <c r="N141" t="s">
        <v>347</v>
      </c>
      <c r="O141">
        <v>2.14</v>
      </c>
      <c r="P141">
        <v>1.74</v>
      </c>
      <c r="Q141" t="s">
        <v>8</v>
      </c>
    </row>
    <row r="142" spans="1:17" x14ac:dyDescent="0.25">
      <c r="A142" t="s">
        <v>117</v>
      </c>
      <c r="B142" t="s">
        <v>647</v>
      </c>
      <c r="C142" t="s">
        <v>579</v>
      </c>
      <c r="D142" t="s">
        <v>581</v>
      </c>
      <c r="E142" t="s">
        <v>594</v>
      </c>
      <c r="F142">
        <v>2.64</v>
      </c>
      <c r="G142">
        <v>1.47</v>
      </c>
      <c r="H142" t="s">
        <v>10</v>
      </c>
      <c r="J142">
        <v>2.63</v>
      </c>
      <c r="K142" t="s">
        <v>8</v>
      </c>
      <c r="M142" t="s">
        <v>355</v>
      </c>
      <c r="N142" t="s">
        <v>347</v>
      </c>
      <c r="O142">
        <v>2.2200000000000002</v>
      </c>
      <c r="P142">
        <v>1.68</v>
      </c>
      <c r="Q142" t="s">
        <v>8</v>
      </c>
    </row>
    <row r="143" spans="1:17" x14ac:dyDescent="0.25">
      <c r="A143" t="s">
        <v>117</v>
      </c>
      <c r="B143" t="s">
        <v>647</v>
      </c>
      <c r="C143" t="s">
        <v>579</v>
      </c>
      <c r="D143" t="s">
        <v>583</v>
      </c>
      <c r="E143" t="s">
        <v>621</v>
      </c>
      <c r="F143">
        <v>2.5499999999999998</v>
      </c>
      <c r="G143">
        <v>1.51</v>
      </c>
      <c r="H143" t="s">
        <v>10</v>
      </c>
      <c r="J143">
        <v>2.6</v>
      </c>
      <c r="K143" t="s">
        <v>8</v>
      </c>
      <c r="M143" t="s">
        <v>355</v>
      </c>
      <c r="N143" t="s">
        <v>347</v>
      </c>
      <c r="O143">
        <v>2.2200000000000002</v>
      </c>
      <c r="P143">
        <v>1.7</v>
      </c>
      <c r="Q143" t="s">
        <v>8</v>
      </c>
    </row>
    <row r="144" spans="1:17" x14ac:dyDescent="0.25">
      <c r="A144" t="s">
        <v>117</v>
      </c>
      <c r="B144" t="s">
        <v>647</v>
      </c>
      <c r="C144" t="s">
        <v>579</v>
      </c>
      <c r="D144" t="s">
        <v>587</v>
      </c>
      <c r="E144" t="s">
        <v>641</v>
      </c>
      <c r="F144">
        <v>2.5499999999999998</v>
      </c>
      <c r="G144">
        <v>1.51</v>
      </c>
      <c r="H144" t="s">
        <v>10</v>
      </c>
      <c r="J144">
        <v>2.6</v>
      </c>
      <c r="K144" t="s">
        <v>8</v>
      </c>
      <c r="M144" t="s">
        <v>355</v>
      </c>
      <c r="N144" t="s">
        <v>347</v>
      </c>
      <c r="O144">
        <v>2.25</v>
      </c>
      <c r="P144">
        <v>1.69</v>
      </c>
      <c r="Q144" t="s">
        <v>8</v>
      </c>
    </row>
    <row r="145" spans="1:17" x14ac:dyDescent="0.25">
      <c r="A145" t="s">
        <v>117</v>
      </c>
      <c r="B145" t="s">
        <v>647</v>
      </c>
      <c r="C145" t="s">
        <v>579</v>
      </c>
      <c r="D145" t="s">
        <v>585</v>
      </c>
      <c r="E145" t="s">
        <v>644</v>
      </c>
      <c r="F145">
        <v>2.6</v>
      </c>
      <c r="G145">
        <v>1.53</v>
      </c>
      <c r="H145" t="s">
        <v>10</v>
      </c>
      <c r="J145">
        <v>2.6</v>
      </c>
      <c r="K145" t="s">
        <v>8</v>
      </c>
      <c r="M145" t="s">
        <v>355</v>
      </c>
      <c r="N145" t="s">
        <v>347</v>
      </c>
      <c r="O145">
        <v>2.08</v>
      </c>
      <c r="P145">
        <v>1.71</v>
      </c>
      <c r="Q145" t="s">
        <v>8</v>
      </c>
    </row>
    <row r="146" spans="1:17" x14ac:dyDescent="0.25">
      <c r="A146" t="s">
        <v>117</v>
      </c>
      <c r="B146" t="s">
        <v>647</v>
      </c>
      <c r="C146" t="s">
        <v>579</v>
      </c>
      <c r="D146" t="s">
        <v>590</v>
      </c>
      <c r="E146" t="s">
        <v>645</v>
      </c>
      <c r="F146">
        <v>2.7</v>
      </c>
      <c r="G146">
        <v>1.5</v>
      </c>
      <c r="H146" t="s">
        <v>10</v>
      </c>
      <c r="J146">
        <v>1.65</v>
      </c>
      <c r="K146" t="s">
        <v>8</v>
      </c>
      <c r="M146" t="s">
        <v>355</v>
      </c>
      <c r="N146" t="s">
        <v>347</v>
      </c>
      <c r="O146">
        <v>2.1800000000000002</v>
      </c>
      <c r="P146">
        <v>1.71</v>
      </c>
      <c r="Q146" t="s">
        <v>8</v>
      </c>
    </row>
    <row r="147" spans="1:17" x14ac:dyDescent="0.25">
      <c r="A147" t="s">
        <v>117</v>
      </c>
      <c r="B147" t="s">
        <v>647</v>
      </c>
      <c r="C147" t="s">
        <v>579</v>
      </c>
      <c r="D147" t="s">
        <v>589</v>
      </c>
      <c r="E147" t="s">
        <v>623</v>
      </c>
      <c r="F147">
        <v>2.65</v>
      </c>
      <c r="G147">
        <v>1.5</v>
      </c>
      <c r="H147" t="s">
        <v>10</v>
      </c>
      <c r="J147">
        <v>1.73</v>
      </c>
      <c r="K147" t="s">
        <v>8</v>
      </c>
      <c r="M147" t="s">
        <v>355</v>
      </c>
      <c r="N147" t="s">
        <v>347</v>
      </c>
      <c r="O147">
        <v>2.2200000000000002</v>
      </c>
      <c r="P147">
        <v>1.7</v>
      </c>
      <c r="Q147" t="s">
        <v>8</v>
      </c>
    </row>
    <row r="148" spans="1:17" x14ac:dyDescent="0.25">
      <c r="A148" t="s">
        <v>115</v>
      </c>
      <c r="B148" t="s">
        <v>648</v>
      </c>
      <c r="C148" t="s">
        <v>579</v>
      </c>
      <c r="D148" t="s">
        <v>586</v>
      </c>
      <c r="E148" t="s">
        <v>641</v>
      </c>
      <c r="F148">
        <v>2.0499999999999998</v>
      </c>
      <c r="G148">
        <v>1.8</v>
      </c>
      <c r="H148" t="s">
        <v>10</v>
      </c>
      <c r="J148">
        <v>1.67</v>
      </c>
      <c r="K148" t="s">
        <v>8</v>
      </c>
      <c r="M148" t="s">
        <v>355</v>
      </c>
      <c r="N148" t="s">
        <v>347</v>
      </c>
      <c r="O148">
        <v>2.08</v>
      </c>
      <c r="P148">
        <v>1.71</v>
      </c>
      <c r="Q148" t="s">
        <v>8</v>
      </c>
    </row>
    <row r="149" spans="1:17" x14ac:dyDescent="0.25">
      <c r="A149" t="s">
        <v>115</v>
      </c>
      <c r="B149" t="s">
        <v>648</v>
      </c>
      <c r="C149" t="s">
        <v>579</v>
      </c>
      <c r="D149" t="s">
        <v>584</v>
      </c>
      <c r="E149" t="s">
        <v>622</v>
      </c>
      <c r="F149">
        <v>2.0499999999999998</v>
      </c>
      <c r="G149">
        <v>1.8</v>
      </c>
      <c r="H149" t="s">
        <v>10</v>
      </c>
      <c r="J149">
        <v>1.74</v>
      </c>
      <c r="K149" t="s">
        <v>8</v>
      </c>
      <c r="M149" t="s">
        <v>355</v>
      </c>
      <c r="N149" t="s">
        <v>347</v>
      </c>
      <c r="O149">
        <v>2.2000000000000002</v>
      </c>
      <c r="P149">
        <v>1.71</v>
      </c>
      <c r="Q149" t="s">
        <v>8</v>
      </c>
    </row>
    <row r="150" spans="1:17" x14ac:dyDescent="0.25">
      <c r="A150" t="s">
        <v>115</v>
      </c>
      <c r="B150" t="s">
        <v>648</v>
      </c>
      <c r="C150" t="s">
        <v>579</v>
      </c>
      <c r="D150" t="s">
        <v>582</v>
      </c>
      <c r="E150" t="s">
        <v>620</v>
      </c>
      <c r="F150">
        <v>2.0499999999999998</v>
      </c>
      <c r="G150">
        <v>1.8</v>
      </c>
      <c r="H150" t="s">
        <v>10</v>
      </c>
      <c r="J150">
        <v>1.76</v>
      </c>
      <c r="K150" t="s">
        <v>8</v>
      </c>
      <c r="M150" t="s">
        <v>355</v>
      </c>
      <c r="N150" t="s">
        <v>347</v>
      </c>
      <c r="O150">
        <v>2.15</v>
      </c>
      <c r="P150">
        <v>1.71</v>
      </c>
      <c r="Q150" t="s">
        <v>8</v>
      </c>
    </row>
    <row r="151" spans="1:17" x14ac:dyDescent="0.25">
      <c r="A151" t="s">
        <v>115</v>
      </c>
      <c r="B151" t="s">
        <v>648</v>
      </c>
      <c r="C151" t="s">
        <v>579</v>
      </c>
      <c r="D151" t="s">
        <v>580</v>
      </c>
      <c r="E151" t="s">
        <v>643</v>
      </c>
      <c r="F151">
        <v>2.1</v>
      </c>
      <c r="G151">
        <v>1.77</v>
      </c>
      <c r="H151" t="s">
        <v>10</v>
      </c>
      <c r="J151">
        <v>1.67</v>
      </c>
      <c r="K151" t="s">
        <v>8</v>
      </c>
      <c r="M151" t="s">
        <v>355</v>
      </c>
      <c r="N151" t="s">
        <v>347</v>
      </c>
      <c r="O151">
        <v>2.2000000000000002</v>
      </c>
      <c r="P151">
        <v>1.71</v>
      </c>
      <c r="Q151" t="s">
        <v>8</v>
      </c>
    </row>
    <row r="152" spans="1:17" x14ac:dyDescent="0.25">
      <c r="A152" t="s">
        <v>115</v>
      </c>
      <c r="B152" t="s">
        <v>648</v>
      </c>
      <c r="C152" t="s">
        <v>579</v>
      </c>
      <c r="D152" t="s">
        <v>591</v>
      </c>
      <c r="E152" t="s">
        <v>646</v>
      </c>
      <c r="F152">
        <v>2.0499999999999998</v>
      </c>
      <c r="G152">
        <v>1.8</v>
      </c>
      <c r="H152" t="s">
        <v>10</v>
      </c>
      <c r="J152">
        <v>1.67</v>
      </c>
      <c r="K152" t="s">
        <v>8</v>
      </c>
      <c r="M152" t="s">
        <v>355</v>
      </c>
      <c r="N152" t="s">
        <v>347</v>
      </c>
      <c r="O152">
        <v>2.2000000000000002</v>
      </c>
      <c r="P152">
        <v>1.71</v>
      </c>
      <c r="Q152" t="s">
        <v>8</v>
      </c>
    </row>
    <row r="153" spans="1:17" x14ac:dyDescent="0.25">
      <c r="A153" t="s">
        <v>115</v>
      </c>
      <c r="B153" t="s">
        <v>648</v>
      </c>
      <c r="C153" t="s">
        <v>579</v>
      </c>
      <c r="D153" t="s">
        <v>588</v>
      </c>
      <c r="E153" t="s">
        <v>642</v>
      </c>
      <c r="F153">
        <v>1.95</v>
      </c>
      <c r="G153">
        <v>1.8</v>
      </c>
      <c r="H153" t="s">
        <v>10</v>
      </c>
      <c r="J153">
        <v>1.76</v>
      </c>
      <c r="K153" t="s">
        <v>8</v>
      </c>
      <c r="M153" t="s">
        <v>355</v>
      </c>
      <c r="N153" t="s">
        <v>347</v>
      </c>
      <c r="O153">
        <v>2.2000000000000002</v>
      </c>
      <c r="P153">
        <v>1.71</v>
      </c>
      <c r="Q153" t="s">
        <v>8</v>
      </c>
    </row>
    <row r="154" spans="1:17" x14ac:dyDescent="0.25">
      <c r="A154" t="s">
        <v>115</v>
      </c>
      <c r="B154" t="s">
        <v>648</v>
      </c>
      <c r="C154" t="s">
        <v>579</v>
      </c>
      <c r="D154" t="s">
        <v>581</v>
      </c>
      <c r="E154" t="s">
        <v>594</v>
      </c>
      <c r="F154">
        <v>2.08</v>
      </c>
      <c r="G154">
        <v>1.72</v>
      </c>
      <c r="H154" t="s">
        <v>10</v>
      </c>
      <c r="J154">
        <v>1.69</v>
      </c>
      <c r="K154" t="s">
        <v>8</v>
      </c>
      <c r="M154" t="s">
        <v>356</v>
      </c>
      <c r="N154" t="s">
        <v>347</v>
      </c>
      <c r="O154">
        <v>1</v>
      </c>
      <c r="P154">
        <v>41</v>
      </c>
      <c r="Q154" t="s">
        <v>8</v>
      </c>
    </row>
    <row r="155" spans="1:17" x14ac:dyDescent="0.25">
      <c r="A155" t="s">
        <v>115</v>
      </c>
      <c r="B155" t="s">
        <v>648</v>
      </c>
      <c r="C155" t="s">
        <v>579</v>
      </c>
      <c r="D155" t="s">
        <v>587</v>
      </c>
      <c r="E155" t="s">
        <v>641</v>
      </c>
      <c r="F155">
        <v>2.0499999999999998</v>
      </c>
      <c r="G155">
        <v>1.77</v>
      </c>
      <c r="H155" t="s">
        <v>10</v>
      </c>
      <c r="J155">
        <v>1.67</v>
      </c>
      <c r="K155" t="s">
        <v>8</v>
      </c>
      <c r="M155" t="s">
        <v>356</v>
      </c>
      <c r="N155" t="s">
        <v>347</v>
      </c>
      <c r="O155">
        <v>1</v>
      </c>
      <c r="P155">
        <v>41</v>
      </c>
      <c r="Q155" t="s">
        <v>8</v>
      </c>
    </row>
    <row r="156" spans="1:17" x14ac:dyDescent="0.25">
      <c r="A156" t="s">
        <v>115</v>
      </c>
      <c r="B156" t="s">
        <v>648</v>
      </c>
      <c r="C156" t="s">
        <v>579</v>
      </c>
      <c r="D156" t="s">
        <v>583</v>
      </c>
      <c r="E156" t="s">
        <v>621</v>
      </c>
      <c r="F156">
        <v>2.0499999999999998</v>
      </c>
      <c r="G156">
        <v>1.77</v>
      </c>
      <c r="H156" t="s">
        <v>10</v>
      </c>
      <c r="J156">
        <v>1.67</v>
      </c>
      <c r="K156" t="s">
        <v>8</v>
      </c>
      <c r="M156" t="s">
        <v>357</v>
      </c>
      <c r="N156" t="s">
        <v>347</v>
      </c>
      <c r="O156">
        <v>1.17</v>
      </c>
      <c r="P156">
        <v>5.4</v>
      </c>
      <c r="Q156" t="s">
        <v>8</v>
      </c>
    </row>
    <row r="157" spans="1:17" x14ac:dyDescent="0.25">
      <c r="A157" t="s">
        <v>115</v>
      </c>
      <c r="B157" t="s">
        <v>648</v>
      </c>
      <c r="C157" t="s">
        <v>579</v>
      </c>
      <c r="D157" t="s">
        <v>585</v>
      </c>
      <c r="E157" t="s">
        <v>644</v>
      </c>
      <c r="F157">
        <v>2.1</v>
      </c>
      <c r="G157">
        <v>1.77</v>
      </c>
      <c r="H157" t="s">
        <v>10</v>
      </c>
      <c r="J157">
        <v>1.69</v>
      </c>
      <c r="K157" t="s">
        <v>8</v>
      </c>
      <c r="M157" t="s">
        <v>357</v>
      </c>
      <c r="N157" t="s">
        <v>347</v>
      </c>
      <c r="O157">
        <v>1.17</v>
      </c>
      <c r="P157">
        <v>5.3</v>
      </c>
      <c r="Q157" t="s">
        <v>8</v>
      </c>
    </row>
    <row r="158" spans="1:17" x14ac:dyDescent="0.25">
      <c r="A158" t="s">
        <v>115</v>
      </c>
      <c r="B158" t="s">
        <v>648</v>
      </c>
      <c r="C158" t="s">
        <v>579</v>
      </c>
      <c r="D158" t="s">
        <v>590</v>
      </c>
      <c r="E158" t="s">
        <v>645</v>
      </c>
      <c r="F158">
        <v>2.1</v>
      </c>
      <c r="G158">
        <v>1.77</v>
      </c>
      <c r="H158" t="s">
        <v>10</v>
      </c>
      <c r="J158">
        <v>1.04</v>
      </c>
      <c r="K158" t="s">
        <v>8</v>
      </c>
      <c r="M158" t="s">
        <v>357</v>
      </c>
      <c r="N158" t="s">
        <v>347</v>
      </c>
      <c r="O158">
        <v>1.17</v>
      </c>
      <c r="P158">
        <v>5.6</v>
      </c>
      <c r="Q158" t="s">
        <v>8</v>
      </c>
    </row>
    <row r="159" spans="1:17" x14ac:dyDescent="0.25">
      <c r="A159" t="s">
        <v>115</v>
      </c>
      <c r="B159" t="s">
        <v>648</v>
      </c>
      <c r="C159" t="s">
        <v>579</v>
      </c>
      <c r="D159" t="s">
        <v>589</v>
      </c>
      <c r="E159" t="s">
        <v>623</v>
      </c>
      <c r="F159">
        <v>2.0499999999999998</v>
      </c>
      <c r="G159">
        <v>1.8</v>
      </c>
      <c r="H159" t="s">
        <v>10</v>
      </c>
      <c r="J159">
        <v>1.04</v>
      </c>
      <c r="K159" t="s">
        <v>8</v>
      </c>
      <c r="M159" t="s">
        <v>357</v>
      </c>
      <c r="N159" t="s">
        <v>347</v>
      </c>
      <c r="O159">
        <v>1.1599999999999999</v>
      </c>
      <c r="P159">
        <v>5.5</v>
      </c>
      <c r="Q159" t="s">
        <v>8</v>
      </c>
    </row>
    <row r="160" spans="1:17" x14ac:dyDescent="0.25">
      <c r="A160" t="s">
        <v>48</v>
      </c>
      <c r="B160" t="s">
        <v>649</v>
      </c>
      <c r="C160" t="s">
        <v>579</v>
      </c>
      <c r="D160" t="s">
        <v>586</v>
      </c>
      <c r="E160" t="s">
        <v>641</v>
      </c>
      <c r="F160">
        <v>1.44</v>
      </c>
      <c r="G160">
        <v>2.95</v>
      </c>
      <c r="H160" t="s">
        <v>10</v>
      </c>
      <c r="J160">
        <v>1.04</v>
      </c>
      <c r="K160" t="s">
        <v>8</v>
      </c>
      <c r="M160" t="s">
        <v>357</v>
      </c>
      <c r="N160" t="s">
        <v>347</v>
      </c>
      <c r="O160">
        <v>1.1599999999999999</v>
      </c>
      <c r="P160">
        <v>5.3</v>
      </c>
      <c r="Q160" t="s">
        <v>8</v>
      </c>
    </row>
    <row r="161" spans="1:17" x14ac:dyDescent="0.25">
      <c r="A161" t="s">
        <v>48</v>
      </c>
      <c r="B161" t="s">
        <v>649</v>
      </c>
      <c r="C161" t="s">
        <v>579</v>
      </c>
      <c r="D161" t="s">
        <v>584</v>
      </c>
      <c r="E161" t="s">
        <v>622</v>
      </c>
      <c r="F161">
        <v>1.42</v>
      </c>
      <c r="G161">
        <v>2.95</v>
      </c>
      <c r="H161" t="s">
        <v>10</v>
      </c>
      <c r="J161">
        <v>1.04</v>
      </c>
      <c r="K161" t="s">
        <v>8</v>
      </c>
      <c r="M161" t="s">
        <v>357</v>
      </c>
      <c r="N161" t="s">
        <v>347</v>
      </c>
      <c r="O161">
        <v>1.17</v>
      </c>
      <c r="P161">
        <v>5.3</v>
      </c>
      <c r="Q161" t="s">
        <v>8</v>
      </c>
    </row>
    <row r="162" spans="1:17" x14ac:dyDescent="0.25">
      <c r="A162" t="s">
        <v>48</v>
      </c>
      <c r="B162" t="s">
        <v>649</v>
      </c>
      <c r="C162" t="s">
        <v>579</v>
      </c>
      <c r="D162" t="s">
        <v>582</v>
      </c>
      <c r="E162" t="s">
        <v>620</v>
      </c>
      <c r="F162">
        <v>1.44</v>
      </c>
      <c r="G162">
        <v>2.95</v>
      </c>
      <c r="H162" t="s">
        <v>10</v>
      </c>
      <c r="J162">
        <v>1.03</v>
      </c>
      <c r="K162" t="s">
        <v>8</v>
      </c>
      <c r="M162" t="s">
        <v>357</v>
      </c>
      <c r="N162" t="s">
        <v>347</v>
      </c>
      <c r="O162">
        <v>1.17</v>
      </c>
      <c r="P162">
        <v>5.6</v>
      </c>
      <c r="Q162" t="s">
        <v>8</v>
      </c>
    </row>
    <row r="163" spans="1:17" x14ac:dyDescent="0.25">
      <c r="A163" t="s">
        <v>48</v>
      </c>
      <c r="B163" t="s">
        <v>649</v>
      </c>
      <c r="C163" t="s">
        <v>579</v>
      </c>
      <c r="D163" t="s">
        <v>580</v>
      </c>
      <c r="E163" t="s">
        <v>643</v>
      </c>
      <c r="F163">
        <v>1.42</v>
      </c>
      <c r="G163">
        <v>2.95</v>
      </c>
      <c r="H163" t="s">
        <v>10</v>
      </c>
      <c r="J163">
        <v>1.04</v>
      </c>
      <c r="K163" t="s">
        <v>8</v>
      </c>
      <c r="M163" t="s">
        <v>357</v>
      </c>
      <c r="N163" t="s">
        <v>347</v>
      </c>
      <c r="O163">
        <v>1.1599999999999999</v>
      </c>
      <c r="P163">
        <v>5.5</v>
      </c>
      <c r="Q163" t="s">
        <v>8</v>
      </c>
    </row>
    <row r="164" spans="1:17" x14ac:dyDescent="0.25">
      <c r="A164" t="s">
        <v>48</v>
      </c>
      <c r="B164" t="s">
        <v>649</v>
      </c>
      <c r="C164" t="s">
        <v>579</v>
      </c>
      <c r="D164" t="s">
        <v>591</v>
      </c>
      <c r="E164" t="s">
        <v>646</v>
      </c>
      <c r="F164">
        <v>1.43</v>
      </c>
      <c r="G164">
        <v>2.95</v>
      </c>
      <c r="H164" t="s">
        <v>10</v>
      </c>
      <c r="J164">
        <v>1.03</v>
      </c>
      <c r="K164" t="s">
        <v>8</v>
      </c>
      <c r="M164" t="s">
        <v>357</v>
      </c>
      <c r="N164" t="s">
        <v>347</v>
      </c>
      <c r="O164">
        <v>1.17</v>
      </c>
      <c r="P164">
        <v>5.5</v>
      </c>
      <c r="Q164" t="s">
        <v>8</v>
      </c>
    </row>
    <row r="165" spans="1:17" x14ac:dyDescent="0.25">
      <c r="A165" t="s">
        <v>48</v>
      </c>
      <c r="B165" t="s">
        <v>649</v>
      </c>
      <c r="C165" t="s">
        <v>579</v>
      </c>
      <c r="D165" t="s">
        <v>585</v>
      </c>
      <c r="E165" t="s">
        <v>644</v>
      </c>
      <c r="F165">
        <v>1.42</v>
      </c>
      <c r="G165">
        <v>3</v>
      </c>
      <c r="H165" t="s">
        <v>10</v>
      </c>
      <c r="J165">
        <v>1.02</v>
      </c>
      <c r="K165" t="s">
        <v>8</v>
      </c>
      <c r="M165" t="s">
        <v>357</v>
      </c>
      <c r="N165" t="s">
        <v>347</v>
      </c>
      <c r="O165">
        <v>1.17</v>
      </c>
      <c r="P165">
        <v>5.25</v>
      </c>
      <c r="Q165" t="s">
        <v>8</v>
      </c>
    </row>
    <row r="166" spans="1:17" x14ac:dyDescent="0.25">
      <c r="A166" t="s">
        <v>48</v>
      </c>
      <c r="B166" t="s">
        <v>649</v>
      </c>
      <c r="C166" t="s">
        <v>579</v>
      </c>
      <c r="D166" t="s">
        <v>588</v>
      </c>
      <c r="E166" t="s">
        <v>642</v>
      </c>
      <c r="F166">
        <v>1.43</v>
      </c>
      <c r="G166">
        <v>2.9</v>
      </c>
      <c r="H166" t="s">
        <v>10</v>
      </c>
      <c r="J166">
        <v>1.56</v>
      </c>
      <c r="K166" t="s">
        <v>8</v>
      </c>
      <c r="M166" t="s">
        <v>357</v>
      </c>
      <c r="N166" t="s">
        <v>347</v>
      </c>
      <c r="O166">
        <v>1.17</v>
      </c>
      <c r="P166">
        <v>5.25</v>
      </c>
      <c r="Q166" t="s">
        <v>8</v>
      </c>
    </row>
    <row r="167" spans="1:17" x14ac:dyDescent="0.25">
      <c r="A167" t="s">
        <v>48</v>
      </c>
      <c r="B167" t="s">
        <v>649</v>
      </c>
      <c r="C167" t="s">
        <v>579</v>
      </c>
      <c r="D167" t="s">
        <v>581</v>
      </c>
      <c r="E167" t="s">
        <v>594</v>
      </c>
      <c r="F167">
        <v>1.38</v>
      </c>
      <c r="G167">
        <v>3</v>
      </c>
      <c r="H167" t="s">
        <v>10</v>
      </c>
      <c r="J167">
        <v>1.53</v>
      </c>
      <c r="K167" t="s">
        <v>8</v>
      </c>
      <c r="M167" t="s">
        <v>357</v>
      </c>
      <c r="N167" t="s">
        <v>347</v>
      </c>
      <c r="O167">
        <v>1.1599999999999999</v>
      </c>
      <c r="P167">
        <v>5.35</v>
      </c>
      <c r="Q167" t="s">
        <v>8</v>
      </c>
    </row>
    <row r="168" spans="1:17" x14ac:dyDescent="0.25">
      <c r="A168" t="s">
        <v>48</v>
      </c>
      <c r="B168" t="s">
        <v>649</v>
      </c>
      <c r="C168" t="s">
        <v>579</v>
      </c>
      <c r="D168" t="s">
        <v>587</v>
      </c>
      <c r="E168" t="s">
        <v>641</v>
      </c>
      <c r="F168">
        <v>1.42</v>
      </c>
      <c r="G168">
        <v>2.85</v>
      </c>
      <c r="H168" t="s">
        <v>10</v>
      </c>
      <c r="J168">
        <v>1.56</v>
      </c>
      <c r="K168" t="s">
        <v>8</v>
      </c>
      <c r="M168" t="s">
        <v>357</v>
      </c>
      <c r="N168" t="s">
        <v>347</v>
      </c>
      <c r="O168">
        <v>1.18</v>
      </c>
      <c r="P168">
        <v>5.25</v>
      </c>
      <c r="Q168" t="s">
        <v>8</v>
      </c>
    </row>
    <row r="169" spans="1:17" x14ac:dyDescent="0.25">
      <c r="A169" t="s">
        <v>48</v>
      </c>
      <c r="B169" t="s">
        <v>649</v>
      </c>
      <c r="C169" t="s">
        <v>579</v>
      </c>
      <c r="D169" t="s">
        <v>583</v>
      </c>
      <c r="E169" t="s">
        <v>621</v>
      </c>
      <c r="F169">
        <v>1.42</v>
      </c>
      <c r="G169">
        <v>2.85</v>
      </c>
      <c r="H169" t="s">
        <v>10</v>
      </c>
      <c r="J169">
        <v>1.5</v>
      </c>
      <c r="K169" t="s">
        <v>8</v>
      </c>
      <c r="M169" t="s">
        <v>358</v>
      </c>
      <c r="N169" t="s">
        <v>347</v>
      </c>
      <c r="O169">
        <v>1.07</v>
      </c>
      <c r="P169">
        <v>9.25</v>
      </c>
      <c r="Q169" t="s">
        <v>8</v>
      </c>
    </row>
    <row r="170" spans="1:17" x14ac:dyDescent="0.25">
      <c r="A170" t="s">
        <v>48</v>
      </c>
      <c r="B170" t="s">
        <v>649</v>
      </c>
      <c r="C170" t="s">
        <v>579</v>
      </c>
      <c r="D170" t="s">
        <v>590</v>
      </c>
      <c r="E170" t="s">
        <v>645</v>
      </c>
      <c r="F170">
        <v>1.4</v>
      </c>
      <c r="G170">
        <v>3</v>
      </c>
      <c r="H170" t="s">
        <v>10</v>
      </c>
      <c r="J170">
        <v>1.56</v>
      </c>
      <c r="K170" t="s">
        <v>8</v>
      </c>
      <c r="M170" t="s">
        <v>358</v>
      </c>
      <c r="N170" t="s">
        <v>347</v>
      </c>
      <c r="O170">
        <v>1.05</v>
      </c>
      <c r="P170">
        <v>11</v>
      </c>
      <c r="Q170" t="s">
        <v>8</v>
      </c>
    </row>
    <row r="171" spans="1:17" x14ac:dyDescent="0.25">
      <c r="A171" t="s">
        <v>48</v>
      </c>
      <c r="B171" t="s">
        <v>649</v>
      </c>
      <c r="C171" t="s">
        <v>579</v>
      </c>
      <c r="D171" t="s">
        <v>589</v>
      </c>
      <c r="E171" t="s">
        <v>623</v>
      </c>
      <c r="F171">
        <v>1.4</v>
      </c>
      <c r="G171">
        <v>2.9</v>
      </c>
      <c r="H171" t="s">
        <v>10</v>
      </c>
      <c r="J171">
        <v>1.53</v>
      </c>
      <c r="K171" t="s">
        <v>8</v>
      </c>
      <c r="M171" t="s">
        <v>358</v>
      </c>
      <c r="N171" t="s">
        <v>347</v>
      </c>
      <c r="O171">
        <v>1.08</v>
      </c>
      <c r="P171">
        <v>8</v>
      </c>
      <c r="Q171" t="s">
        <v>8</v>
      </c>
    </row>
    <row r="172" spans="1:17" x14ac:dyDescent="0.25">
      <c r="A172" t="s">
        <v>119</v>
      </c>
      <c r="B172" t="s">
        <v>120</v>
      </c>
      <c r="C172" t="s">
        <v>579</v>
      </c>
      <c r="D172" t="s">
        <v>588</v>
      </c>
      <c r="E172" t="s">
        <v>642</v>
      </c>
      <c r="F172">
        <v>6</v>
      </c>
      <c r="G172">
        <v>1.1200000000000001</v>
      </c>
      <c r="H172" t="s">
        <v>10</v>
      </c>
      <c r="J172">
        <v>1.56</v>
      </c>
      <c r="K172" t="s">
        <v>8</v>
      </c>
      <c r="M172" t="s">
        <v>358</v>
      </c>
      <c r="N172" t="s">
        <v>347</v>
      </c>
      <c r="O172">
        <v>1.07</v>
      </c>
      <c r="P172">
        <v>9.1</v>
      </c>
      <c r="Q172" t="s">
        <v>8</v>
      </c>
    </row>
    <row r="173" spans="1:17" x14ac:dyDescent="0.25">
      <c r="A173" t="s">
        <v>119</v>
      </c>
      <c r="B173" t="s">
        <v>120</v>
      </c>
      <c r="C173" t="s">
        <v>579</v>
      </c>
      <c r="D173" t="s">
        <v>580</v>
      </c>
      <c r="E173" t="s">
        <v>643</v>
      </c>
      <c r="F173">
        <v>6.5</v>
      </c>
      <c r="G173">
        <v>1.1200000000000001</v>
      </c>
      <c r="H173" t="s">
        <v>10</v>
      </c>
      <c r="J173">
        <v>1.5</v>
      </c>
      <c r="K173" t="s">
        <v>8</v>
      </c>
      <c r="M173" t="s">
        <v>358</v>
      </c>
      <c r="N173" t="s">
        <v>347</v>
      </c>
      <c r="O173">
        <v>1.07</v>
      </c>
      <c r="P173">
        <v>9</v>
      </c>
      <c r="Q173" t="s">
        <v>8</v>
      </c>
    </row>
    <row r="174" spans="1:17" x14ac:dyDescent="0.25">
      <c r="A174" t="s">
        <v>119</v>
      </c>
      <c r="B174" t="s">
        <v>120</v>
      </c>
      <c r="C174" t="s">
        <v>579</v>
      </c>
      <c r="D174" t="s">
        <v>584</v>
      </c>
      <c r="E174" t="s">
        <v>622</v>
      </c>
      <c r="F174">
        <v>6.25</v>
      </c>
      <c r="G174">
        <v>1.1200000000000001</v>
      </c>
      <c r="H174" t="s">
        <v>10</v>
      </c>
      <c r="J174">
        <v>1.56</v>
      </c>
      <c r="K174" t="s">
        <v>8</v>
      </c>
      <c r="M174" t="s">
        <v>358</v>
      </c>
      <c r="N174" t="s">
        <v>347</v>
      </c>
      <c r="O174">
        <v>1.07</v>
      </c>
      <c r="P174">
        <v>9.25</v>
      </c>
      <c r="Q174" t="s">
        <v>8</v>
      </c>
    </row>
    <row r="175" spans="1:17" x14ac:dyDescent="0.25">
      <c r="A175" t="s">
        <v>119</v>
      </c>
      <c r="B175" t="s">
        <v>120</v>
      </c>
      <c r="C175" t="s">
        <v>579</v>
      </c>
      <c r="D175" t="s">
        <v>581</v>
      </c>
      <c r="E175" t="s">
        <v>594</v>
      </c>
      <c r="F175">
        <v>5.8</v>
      </c>
      <c r="G175">
        <v>1.1299999999999999</v>
      </c>
      <c r="H175" t="s">
        <v>10</v>
      </c>
      <c r="J175">
        <v>1.54</v>
      </c>
      <c r="K175" t="s">
        <v>8</v>
      </c>
      <c r="M175" t="s">
        <v>358</v>
      </c>
      <c r="N175" t="s">
        <v>347</v>
      </c>
      <c r="O175">
        <v>1.05</v>
      </c>
      <c r="P175">
        <v>11</v>
      </c>
      <c r="Q175" t="s">
        <v>8</v>
      </c>
    </row>
    <row r="176" spans="1:17" x14ac:dyDescent="0.25">
      <c r="A176" t="s">
        <v>119</v>
      </c>
      <c r="B176" t="s">
        <v>120</v>
      </c>
      <c r="C176" t="s">
        <v>579</v>
      </c>
      <c r="D176" t="s">
        <v>586</v>
      </c>
      <c r="E176" t="s">
        <v>641</v>
      </c>
      <c r="F176">
        <v>6.5</v>
      </c>
      <c r="G176">
        <v>1.1200000000000001</v>
      </c>
      <c r="H176" t="s">
        <v>10</v>
      </c>
      <c r="J176">
        <v>1.53</v>
      </c>
      <c r="K176" t="s">
        <v>8</v>
      </c>
      <c r="M176" t="s">
        <v>358</v>
      </c>
      <c r="N176" t="s">
        <v>347</v>
      </c>
      <c r="O176">
        <v>1.06</v>
      </c>
      <c r="P176">
        <v>10</v>
      </c>
      <c r="Q176" t="s">
        <v>8</v>
      </c>
    </row>
    <row r="177" spans="1:17" x14ac:dyDescent="0.25">
      <c r="A177" t="s">
        <v>119</v>
      </c>
      <c r="B177" t="s">
        <v>120</v>
      </c>
      <c r="C177" t="s">
        <v>579</v>
      </c>
      <c r="D177" t="s">
        <v>582</v>
      </c>
      <c r="E177" t="s">
        <v>620</v>
      </c>
      <c r="F177">
        <v>6.5</v>
      </c>
      <c r="G177">
        <v>1.1200000000000001</v>
      </c>
      <c r="H177" t="s">
        <v>10</v>
      </c>
      <c r="J177">
        <v>1.51</v>
      </c>
      <c r="K177" t="s">
        <v>8</v>
      </c>
      <c r="M177" t="s">
        <v>358</v>
      </c>
      <c r="N177" t="s">
        <v>347</v>
      </c>
      <c r="O177">
        <v>1.07</v>
      </c>
      <c r="P177">
        <v>9</v>
      </c>
      <c r="Q177" t="s">
        <v>8</v>
      </c>
    </row>
    <row r="178" spans="1:17" x14ac:dyDescent="0.25">
      <c r="A178" t="s">
        <v>119</v>
      </c>
      <c r="B178" t="s">
        <v>120</v>
      </c>
      <c r="C178" t="s">
        <v>579</v>
      </c>
      <c r="D178" t="s">
        <v>585</v>
      </c>
      <c r="E178" t="s">
        <v>644</v>
      </c>
      <c r="F178">
        <v>6.5</v>
      </c>
      <c r="G178">
        <v>1.1200000000000001</v>
      </c>
      <c r="H178" t="s">
        <v>10</v>
      </c>
      <c r="J178">
        <v>1.27</v>
      </c>
      <c r="K178" t="s">
        <v>8</v>
      </c>
      <c r="M178" t="s">
        <v>358</v>
      </c>
      <c r="N178" t="s">
        <v>347</v>
      </c>
      <c r="O178">
        <v>1.06</v>
      </c>
      <c r="P178">
        <v>9.5</v>
      </c>
      <c r="Q178" t="s">
        <v>8</v>
      </c>
    </row>
    <row r="179" spans="1:17" x14ac:dyDescent="0.25">
      <c r="A179" t="s">
        <v>119</v>
      </c>
      <c r="B179" t="s">
        <v>120</v>
      </c>
      <c r="C179" t="s">
        <v>579</v>
      </c>
      <c r="D179" t="s">
        <v>587</v>
      </c>
      <c r="E179" t="s">
        <v>641</v>
      </c>
      <c r="F179">
        <v>6.25</v>
      </c>
      <c r="G179">
        <v>1.1299999999999999</v>
      </c>
      <c r="H179" t="s">
        <v>10</v>
      </c>
      <c r="J179">
        <v>1.27</v>
      </c>
      <c r="K179" t="s">
        <v>8</v>
      </c>
      <c r="M179" t="s">
        <v>358</v>
      </c>
      <c r="N179" t="s">
        <v>347</v>
      </c>
      <c r="O179">
        <v>1.06</v>
      </c>
      <c r="P179">
        <v>9.4</v>
      </c>
      <c r="Q179" t="s">
        <v>8</v>
      </c>
    </row>
    <row r="180" spans="1:17" x14ac:dyDescent="0.25">
      <c r="A180" t="s">
        <v>119</v>
      </c>
      <c r="B180" t="s">
        <v>120</v>
      </c>
      <c r="C180" t="s">
        <v>579</v>
      </c>
      <c r="D180" t="s">
        <v>583</v>
      </c>
      <c r="E180" t="s">
        <v>621</v>
      </c>
      <c r="F180">
        <v>6.25</v>
      </c>
      <c r="G180">
        <v>1.1299999999999999</v>
      </c>
      <c r="H180" t="s">
        <v>10</v>
      </c>
      <c r="J180">
        <v>1.29</v>
      </c>
      <c r="K180" t="s">
        <v>8</v>
      </c>
      <c r="M180" t="s">
        <v>358</v>
      </c>
      <c r="N180" t="s">
        <v>347</v>
      </c>
      <c r="O180">
        <v>1.08</v>
      </c>
      <c r="P180">
        <v>9.25</v>
      </c>
      <c r="Q180" t="s">
        <v>8</v>
      </c>
    </row>
    <row r="181" spans="1:17" x14ac:dyDescent="0.25">
      <c r="A181" t="s">
        <v>119</v>
      </c>
      <c r="B181" t="s">
        <v>120</v>
      </c>
      <c r="C181" t="s">
        <v>579</v>
      </c>
      <c r="D181" t="s">
        <v>590</v>
      </c>
      <c r="E181" t="s">
        <v>645</v>
      </c>
      <c r="F181">
        <v>6.25</v>
      </c>
      <c r="G181">
        <v>1.1200000000000001</v>
      </c>
      <c r="H181" t="s">
        <v>10</v>
      </c>
      <c r="J181">
        <v>1.28</v>
      </c>
      <c r="K181" t="s">
        <v>8</v>
      </c>
      <c r="M181" t="s">
        <v>359</v>
      </c>
      <c r="N181" t="s">
        <v>360</v>
      </c>
      <c r="O181">
        <v>3.95</v>
      </c>
      <c r="P181">
        <v>1.27</v>
      </c>
      <c r="Q181" t="s">
        <v>8</v>
      </c>
    </row>
    <row r="182" spans="1:17" x14ac:dyDescent="0.25">
      <c r="A182" t="s">
        <v>119</v>
      </c>
      <c r="B182" t="s">
        <v>120</v>
      </c>
      <c r="C182" t="s">
        <v>579</v>
      </c>
      <c r="D182" t="s">
        <v>589</v>
      </c>
      <c r="E182" t="s">
        <v>623</v>
      </c>
      <c r="F182">
        <v>6</v>
      </c>
      <c r="G182">
        <v>1.1299999999999999</v>
      </c>
      <c r="H182" t="s">
        <v>10</v>
      </c>
      <c r="J182">
        <v>1.28</v>
      </c>
      <c r="K182" t="s">
        <v>8</v>
      </c>
      <c r="M182" t="s">
        <v>359</v>
      </c>
      <c r="N182" t="s">
        <v>360</v>
      </c>
      <c r="O182">
        <v>4.0999999999999996</v>
      </c>
      <c r="P182">
        <v>1.25</v>
      </c>
      <c r="Q182" t="s">
        <v>8</v>
      </c>
    </row>
    <row r="183" spans="1:17" x14ac:dyDescent="0.25">
      <c r="A183" t="s">
        <v>40</v>
      </c>
      <c r="B183" t="s">
        <v>451</v>
      </c>
      <c r="C183" t="s">
        <v>579</v>
      </c>
      <c r="D183" t="s">
        <v>586</v>
      </c>
      <c r="E183" t="s">
        <v>641</v>
      </c>
      <c r="F183">
        <v>1.5</v>
      </c>
      <c r="G183">
        <v>2.7</v>
      </c>
      <c r="H183" t="s">
        <v>10</v>
      </c>
      <c r="J183">
        <v>1.27</v>
      </c>
      <c r="K183" t="s">
        <v>8</v>
      </c>
      <c r="M183" t="s">
        <v>359</v>
      </c>
      <c r="N183" t="s">
        <v>360</v>
      </c>
      <c r="O183">
        <v>3.9</v>
      </c>
      <c r="P183">
        <v>1.28</v>
      </c>
      <c r="Q183" t="s">
        <v>8</v>
      </c>
    </row>
    <row r="184" spans="1:17" x14ac:dyDescent="0.25">
      <c r="A184" t="s">
        <v>40</v>
      </c>
      <c r="B184" t="s">
        <v>451</v>
      </c>
      <c r="C184" t="s">
        <v>579</v>
      </c>
      <c r="D184" t="s">
        <v>582</v>
      </c>
      <c r="E184" t="s">
        <v>620</v>
      </c>
      <c r="F184">
        <v>1.5</v>
      </c>
      <c r="G184">
        <v>2.7</v>
      </c>
      <c r="H184" t="s">
        <v>10</v>
      </c>
      <c r="J184">
        <v>1.29</v>
      </c>
      <c r="K184" t="s">
        <v>8</v>
      </c>
      <c r="M184" t="s">
        <v>359</v>
      </c>
      <c r="N184" t="s">
        <v>360</v>
      </c>
      <c r="O184">
        <v>3.75</v>
      </c>
      <c r="P184">
        <v>1.29</v>
      </c>
      <c r="Q184" t="s">
        <v>8</v>
      </c>
    </row>
    <row r="185" spans="1:17" x14ac:dyDescent="0.25">
      <c r="A185" t="s">
        <v>40</v>
      </c>
      <c r="B185" t="s">
        <v>451</v>
      </c>
      <c r="C185" t="s">
        <v>579</v>
      </c>
      <c r="D185" t="s">
        <v>580</v>
      </c>
      <c r="E185" t="s">
        <v>643</v>
      </c>
      <c r="F185">
        <v>1.49</v>
      </c>
      <c r="G185">
        <v>2.7</v>
      </c>
      <c r="H185" t="s">
        <v>10</v>
      </c>
      <c r="J185">
        <v>1.28</v>
      </c>
      <c r="K185" t="s">
        <v>8</v>
      </c>
      <c r="M185" t="s">
        <v>359</v>
      </c>
      <c r="N185" t="s">
        <v>360</v>
      </c>
      <c r="O185">
        <v>3.85</v>
      </c>
      <c r="P185">
        <v>1.27</v>
      </c>
      <c r="Q185" t="s">
        <v>8</v>
      </c>
    </row>
    <row r="186" spans="1:17" x14ac:dyDescent="0.25">
      <c r="A186" t="s">
        <v>40</v>
      </c>
      <c r="B186" t="s">
        <v>451</v>
      </c>
      <c r="C186" t="s">
        <v>579</v>
      </c>
      <c r="D186" t="s">
        <v>584</v>
      </c>
      <c r="E186" t="s">
        <v>622</v>
      </c>
      <c r="F186">
        <v>1.47</v>
      </c>
      <c r="G186">
        <v>2.75</v>
      </c>
      <c r="H186" t="s">
        <v>10</v>
      </c>
      <c r="J186">
        <v>1.29</v>
      </c>
      <c r="K186" t="s">
        <v>8</v>
      </c>
      <c r="M186" t="s">
        <v>359</v>
      </c>
      <c r="N186" t="s">
        <v>360</v>
      </c>
      <c r="O186">
        <v>3.7</v>
      </c>
      <c r="P186">
        <v>1.29</v>
      </c>
      <c r="Q186" t="s">
        <v>8</v>
      </c>
    </row>
    <row r="187" spans="1:17" x14ac:dyDescent="0.25">
      <c r="A187" t="s">
        <v>40</v>
      </c>
      <c r="B187" t="s">
        <v>451</v>
      </c>
      <c r="C187" t="s">
        <v>579</v>
      </c>
      <c r="D187" t="s">
        <v>591</v>
      </c>
      <c r="E187" t="s">
        <v>646</v>
      </c>
      <c r="F187">
        <v>1.49</v>
      </c>
      <c r="G187">
        <v>2.72</v>
      </c>
      <c r="H187" t="s">
        <v>10</v>
      </c>
      <c r="J187">
        <v>1.27</v>
      </c>
      <c r="K187" t="s">
        <v>8</v>
      </c>
      <c r="M187" t="s">
        <v>359</v>
      </c>
      <c r="N187" t="s">
        <v>360</v>
      </c>
      <c r="O187">
        <v>3.9</v>
      </c>
      <c r="P187">
        <v>1.28</v>
      </c>
      <c r="Q187" t="s">
        <v>8</v>
      </c>
    </row>
    <row r="188" spans="1:17" x14ac:dyDescent="0.25">
      <c r="A188" t="s">
        <v>40</v>
      </c>
      <c r="B188" t="s">
        <v>451</v>
      </c>
      <c r="C188" t="s">
        <v>579</v>
      </c>
      <c r="D188" t="s">
        <v>585</v>
      </c>
      <c r="E188" t="s">
        <v>644</v>
      </c>
      <c r="F188">
        <v>1.48</v>
      </c>
      <c r="G188">
        <v>2.75</v>
      </c>
      <c r="H188" t="s">
        <v>10</v>
      </c>
      <c r="J188">
        <v>1.29</v>
      </c>
      <c r="K188" t="s">
        <v>8</v>
      </c>
      <c r="M188" t="s">
        <v>359</v>
      </c>
      <c r="N188" t="s">
        <v>360</v>
      </c>
      <c r="O188">
        <v>3.7</v>
      </c>
      <c r="P188">
        <v>1.29</v>
      </c>
      <c r="Q188" t="s">
        <v>8</v>
      </c>
    </row>
    <row r="189" spans="1:17" x14ac:dyDescent="0.25">
      <c r="A189" t="s">
        <v>40</v>
      </c>
      <c r="B189" t="s">
        <v>451</v>
      </c>
      <c r="C189" t="s">
        <v>579</v>
      </c>
      <c r="D189" t="s">
        <v>588</v>
      </c>
      <c r="E189" t="s">
        <v>642</v>
      </c>
      <c r="F189">
        <v>1.48</v>
      </c>
      <c r="G189">
        <v>2.7</v>
      </c>
      <c r="H189" t="s">
        <v>10</v>
      </c>
      <c r="J189">
        <v>1.28</v>
      </c>
      <c r="K189" t="s">
        <v>8</v>
      </c>
      <c r="M189" t="s">
        <v>359</v>
      </c>
      <c r="N189" t="s">
        <v>360</v>
      </c>
      <c r="O189">
        <v>3.8</v>
      </c>
      <c r="P189">
        <v>1.29</v>
      </c>
      <c r="Q189" t="s">
        <v>8</v>
      </c>
    </row>
    <row r="190" spans="1:17" x14ac:dyDescent="0.25">
      <c r="A190" t="s">
        <v>40</v>
      </c>
      <c r="B190" t="s">
        <v>451</v>
      </c>
      <c r="C190" t="s">
        <v>579</v>
      </c>
      <c r="D190" t="s">
        <v>581</v>
      </c>
      <c r="E190" t="s">
        <v>594</v>
      </c>
      <c r="F190">
        <v>1.43</v>
      </c>
      <c r="G190">
        <v>2.8</v>
      </c>
      <c r="H190" t="s">
        <v>10</v>
      </c>
      <c r="J190">
        <v>1.7</v>
      </c>
      <c r="K190" t="s">
        <v>8</v>
      </c>
      <c r="M190" t="s">
        <v>359</v>
      </c>
      <c r="N190" t="s">
        <v>360</v>
      </c>
      <c r="O190">
        <v>3.75</v>
      </c>
      <c r="P190">
        <v>1.29</v>
      </c>
      <c r="Q190" t="s">
        <v>8</v>
      </c>
    </row>
    <row r="191" spans="1:17" x14ac:dyDescent="0.25">
      <c r="A191" t="s">
        <v>40</v>
      </c>
      <c r="B191" t="s">
        <v>451</v>
      </c>
      <c r="C191" t="s">
        <v>579</v>
      </c>
      <c r="D191" t="s">
        <v>587</v>
      </c>
      <c r="E191" t="s">
        <v>641</v>
      </c>
      <c r="F191">
        <v>1.49</v>
      </c>
      <c r="G191">
        <v>2.63</v>
      </c>
      <c r="H191" t="s">
        <v>10</v>
      </c>
      <c r="J191">
        <v>1.71</v>
      </c>
      <c r="K191" t="s">
        <v>8</v>
      </c>
      <c r="M191" t="s">
        <v>359</v>
      </c>
      <c r="N191" t="s">
        <v>360</v>
      </c>
      <c r="O191">
        <v>3.85</v>
      </c>
      <c r="P191">
        <v>1.27</v>
      </c>
      <c r="Q191" t="s">
        <v>8</v>
      </c>
    </row>
    <row r="192" spans="1:17" x14ac:dyDescent="0.25">
      <c r="A192" t="s">
        <v>40</v>
      </c>
      <c r="B192" t="s">
        <v>451</v>
      </c>
      <c r="C192" t="s">
        <v>579</v>
      </c>
      <c r="D192" t="s">
        <v>583</v>
      </c>
      <c r="E192" t="s">
        <v>621</v>
      </c>
      <c r="F192">
        <v>1.49</v>
      </c>
      <c r="G192">
        <v>2.63</v>
      </c>
      <c r="H192" t="s">
        <v>10</v>
      </c>
      <c r="J192">
        <v>1.7</v>
      </c>
      <c r="K192" t="s">
        <v>8</v>
      </c>
      <c r="M192" t="s">
        <v>359</v>
      </c>
      <c r="N192" t="s">
        <v>360</v>
      </c>
      <c r="O192">
        <v>3.7</v>
      </c>
      <c r="P192">
        <v>1.3</v>
      </c>
      <c r="Q192" t="s">
        <v>8</v>
      </c>
    </row>
    <row r="193" spans="1:17" x14ac:dyDescent="0.25">
      <c r="A193" t="s">
        <v>40</v>
      </c>
      <c r="B193" t="s">
        <v>451</v>
      </c>
      <c r="C193" t="s">
        <v>579</v>
      </c>
      <c r="D193" t="s">
        <v>590</v>
      </c>
      <c r="E193" t="s">
        <v>645</v>
      </c>
      <c r="F193">
        <v>1.45</v>
      </c>
      <c r="G193">
        <v>2.8</v>
      </c>
      <c r="H193" t="s">
        <v>10</v>
      </c>
      <c r="J193">
        <v>1.69</v>
      </c>
      <c r="K193" t="s">
        <v>8</v>
      </c>
      <c r="M193" t="s">
        <v>361</v>
      </c>
      <c r="N193" t="s">
        <v>360</v>
      </c>
      <c r="O193">
        <v>1.03</v>
      </c>
      <c r="P193">
        <v>16</v>
      </c>
      <c r="Q193" t="s">
        <v>8</v>
      </c>
    </row>
    <row r="194" spans="1:17" x14ac:dyDescent="0.25">
      <c r="A194" t="s">
        <v>40</v>
      </c>
      <c r="B194" t="s">
        <v>451</v>
      </c>
      <c r="C194" t="s">
        <v>579</v>
      </c>
      <c r="D194" t="s">
        <v>589</v>
      </c>
      <c r="E194" t="s">
        <v>623</v>
      </c>
      <c r="F194">
        <v>1.44</v>
      </c>
      <c r="G194">
        <v>2.8</v>
      </c>
      <c r="H194" t="s">
        <v>10</v>
      </c>
      <c r="J194">
        <v>1.74</v>
      </c>
      <c r="K194" t="s">
        <v>8</v>
      </c>
      <c r="M194" t="s">
        <v>361</v>
      </c>
      <c r="N194" t="s">
        <v>360</v>
      </c>
      <c r="O194">
        <v>1.01</v>
      </c>
      <c r="P194">
        <v>17</v>
      </c>
      <c r="Q194" t="s">
        <v>8</v>
      </c>
    </row>
    <row r="195" spans="1:17" x14ac:dyDescent="0.25">
      <c r="A195" t="s">
        <v>39</v>
      </c>
      <c r="B195" t="s">
        <v>452</v>
      </c>
      <c r="C195" t="s">
        <v>579</v>
      </c>
      <c r="D195" t="s">
        <v>586</v>
      </c>
      <c r="E195" t="s">
        <v>641</v>
      </c>
      <c r="F195">
        <v>3.6</v>
      </c>
      <c r="G195">
        <v>1.32</v>
      </c>
      <c r="H195" t="s">
        <v>10</v>
      </c>
      <c r="J195">
        <v>1.71</v>
      </c>
      <c r="K195" t="s">
        <v>8</v>
      </c>
      <c r="M195" t="s">
        <v>361</v>
      </c>
      <c r="N195" t="s">
        <v>360</v>
      </c>
      <c r="O195">
        <v>1.01</v>
      </c>
      <c r="P195">
        <v>19</v>
      </c>
      <c r="Q195" t="s">
        <v>8</v>
      </c>
    </row>
    <row r="196" spans="1:17" x14ac:dyDescent="0.25">
      <c r="A196" t="s">
        <v>39</v>
      </c>
      <c r="B196" t="s">
        <v>452</v>
      </c>
      <c r="C196" t="s">
        <v>579</v>
      </c>
      <c r="D196" t="s">
        <v>582</v>
      </c>
      <c r="E196" t="s">
        <v>620</v>
      </c>
      <c r="F196">
        <v>3.6</v>
      </c>
      <c r="G196">
        <v>1.32</v>
      </c>
      <c r="H196" t="s">
        <v>10</v>
      </c>
      <c r="J196">
        <v>1.7</v>
      </c>
      <c r="K196" t="s">
        <v>8</v>
      </c>
      <c r="M196" t="s">
        <v>361</v>
      </c>
      <c r="N196" t="s">
        <v>360</v>
      </c>
      <c r="O196">
        <v>1.01</v>
      </c>
      <c r="P196">
        <v>19</v>
      </c>
      <c r="Q196" t="s">
        <v>8</v>
      </c>
    </row>
    <row r="197" spans="1:17" x14ac:dyDescent="0.25">
      <c r="A197" t="s">
        <v>39</v>
      </c>
      <c r="B197" t="s">
        <v>452</v>
      </c>
      <c r="C197" t="s">
        <v>579</v>
      </c>
      <c r="D197" t="s">
        <v>580</v>
      </c>
      <c r="E197" t="s">
        <v>643</v>
      </c>
      <c r="F197">
        <v>3.45</v>
      </c>
      <c r="G197">
        <v>1.33</v>
      </c>
      <c r="H197" t="s">
        <v>10</v>
      </c>
      <c r="J197">
        <v>1.74</v>
      </c>
      <c r="K197" t="s">
        <v>8</v>
      </c>
      <c r="M197" t="s">
        <v>361</v>
      </c>
      <c r="N197" t="s">
        <v>360</v>
      </c>
      <c r="O197">
        <v>1.01</v>
      </c>
      <c r="P197">
        <v>17</v>
      </c>
      <c r="Q197" t="s">
        <v>8</v>
      </c>
    </row>
    <row r="198" spans="1:17" x14ac:dyDescent="0.25">
      <c r="A198" t="s">
        <v>39</v>
      </c>
      <c r="B198" t="s">
        <v>452</v>
      </c>
      <c r="C198" t="s">
        <v>579</v>
      </c>
      <c r="D198" t="s">
        <v>584</v>
      </c>
      <c r="E198" t="s">
        <v>622</v>
      </c>
      <c r="F198">
        <v>3.4</v>
      </c>
      <c r="G198">
        <v>1.33</v>
      </c>
      <c r="H198" t="s">
        <v>10</v>
      </c>
      <c r="J198">
        <v>1.71</v>
      </c>
      <c r="K198" t="s">
        <v>8</v>
      </c>
      <c r="M198" t="s">
        <v>361</v>
      </c>
      <c r="N198" t="s">
        <v>360</v>
      </c>
      <c r="O198">
        <v>1.02</v>
      </c>
      <c r="P198">
        <v>17</v>
      </c>
      <c r="Q198" t="s">
        <v>8</v>
      </c>
    </row>
    <row r="199" spans="1:17" x14ac:dyDescent="0.25">
      <c r="A199" t="s">
        <v>39</v>
      </c>
      <c r="B199" t="s">
        <v>452</v>
      </c>
      <c r="C199" t="s">
        <v>579</v>
      </c>
      <c r="D199" t="s">
        <v>585</v>
      </c>
      <c r="E199" t="s">
        <v>644</v>
      </c>
      <c r="F199">
        <v>3.6</v>
      </c>
      <c r="G199">
        <v>1.3</v>
      </c>
      <c r="H199" t="s">
        <v>10</v>
      </c>
      <c r="J199">
        <v>1.71</v>
      </c>
      <c r="K199" t="s">
        <v>8</v>
      </c>
      <c r="M199" t="s">
        <v>361</v>
      </c>
      <c r="N199" t="s">
        <v>360</v>
      </c>
      <c r="O199">
        <v>1.01</v>
      </c>
      <c r="P199">
        <v>17</v>
      </c>
      <c r="Q199" t="s">
        <v>8</v>
      </c>
    </row>
    <row r="200" spans="1:17" x14ac:dyDescent="0.25">
      <c r="A200" t="s">
        <v>39</v>
      </c>
      <c r="B200" t="s">
        <v>452</v>
      </c>
      <c r="C200" t="s">
        <v>579</v>
      </c>
      <c r="D200" t="s">
        <v>588</v>
      </c>
      <c r="E200" t="s">
        <v>642</v>
      </c>
      <c r="F200">
        <v>3.3</v>
      </c>
      <c r="G200">
        <v>1.33</v>
      </c>
      <c r="H200" t="s">
        <v>10</v>
      </c>
      <c r="J200">
        <v>1.71</v>
      </c>
      <c r="K200" t="s">
        <v>8</v>
      </c>
      <c r="M200" t="s">
        <v>361</v>
      </c>
      <c r="N200" t="s">
        <v>360</v>
      </c>
      <c r="O200">
        <v>1.02</v>
      </c>
      <c r="P200">
        <v>15</v>
      </c>
      <c r="Q200" t="s">
        <v>8</v>
      </c>
    </row>
    <row r="201" spans="1:17" x14ac:dyDescent="0.25">
      <c r="A201" t="s">
        <v>39</v>
      </c>
      <c r="B201" t="s">
        <v>452</v>
      </c>
      <c r="C201" t="s">
        <v>579</v>
      </c>
      <c r="D201" t="s">
        <v>581</v>
      </c>
      <c r="E201" t="s">
        <v>594</v>
      </c>
      <c r="F201">
        <v>3.3</v>
      </c>
      <c r="G201">
        <v>1.32</v>
      </c>
      <c r="H201" t="s">
        <v>10</v>
      </c>
      <c r="J201">
        <v>1.71</v>
      </c>
      <c r="K201" t="s">
        <v>8</v>
      </c>
      <c r="M201" t="s">
        <v>362</v>
      </c>
      <c r="N201" t="s">
        <v>363</v>
      </c>
      <c r="O201">
        <v>3.6</v>
      </c>
      <c r="P201">
        <v>1.31</v>
      </c>
      <c r="Q201" t="s">
        <v>8</v>
      </c>
    </row>
    <row r="202" spans="1:17" x14ac:dyDescent="0.25">
      <c r="A202" t="s">
        <v>39</v>
      </c>
      <c r="B202" t="s">
        <v>452</v>
      </c>
      <c r="C202" t="s">
        <v>579</v>
      </c>
      <c r="D202" t="s">
        <v>587</v>
      </c>
      <c r="E202" t="s">
        <v>641</v>
      </c>
      <c r="F202">
        <v>3.45</v>
      </c>
      <c r="G202">
        <v>1.32</v>
      </c>
      <c r="H202" t="s">
        <v>10</v>
      </c>
      <c r="J202">
        <v>41</v>
      </c>
      <c r="K202" t="s">
        <v>8</v>
      </c>
      <c r="M202" t="s">
        <v>362</v>
      </c>
      <c r="N202" t="s">
        <v>363</v>
      </c>
      <c r="O202">
        <v>4</v>
      </c>
      <c r="P202">
        <v>1.27</v>
      </c>
      <c r="Q202" t="s">
        <v>8</v>
      </c>
    </row>
    <row r="203" spans="1:17" x14ac:dyDescent="0.25">
      <c r="A203" t="s">
        <v>39</v>
      </c>
      <c r="B203" t="s">
        <v>452</v>
      </c>
      <c r="C203" t="s">
        <v>579</v>
      </c>
      <c r="D203" t="s">
        <v>583</v>
      </c>
      <c r="E203" t="s">
        <v>621</v>
      </c>
      <c r="F203">
        <v>3.45</v>
      </c>
      <c r="G203">
        <v>1.32</v>
      </c>
      <c r="H203" t="s">
        <v>10</v>
      </c>
      <c r="J203">
        <v>5.0999999999999996</v>
      </c>
      <c r="K203" t="s">
        <v>8</v>
      </c>
      <c r="M203" t="s">
        <v>362</v>
      </c>
      <c r="N203" t="s">
        <v>363</v>
      </c>
      <c r="O203">
        <v>4</v>
      </c>
      <c r="P203">
        <v>1.25</v>
      </c>
      <c r="Q203" t="s">
        <v>8</v>
      </c>
    </row>
    <row r="204" spans="1:17" x14ac:dyDescent="0.25">
      <c r="A204" t="s">
        <v>39</v>
      </c>
      <c r="B204" t="s">
        <v>452</v>
      </c>
      <c r="C204" t="s">
        <v>579</v>
      </c>
      <c r="D204" t="s">
        <v>590</v>
      </c>
      <c r="E204" t="s">
        <v>645</v>
      </c>
      <c r="F204">
        <v>3.3</v>
      </c>
      <c r="G204">
        <v>1.36</v>
      </c>
      <c r="H204" t="s">
        <v>10</v>
      </c>
      <c r="J204">
        <v>5.3</v>
      </c>
      <c r="K204" t="s">
        <v>8</v>
      </c>
      <c r="M204" t="s">
        <v>362</v>
      </c>
      <c r="N204" t="s">
        <v>363</v>
      </c>
      <c r="O204">
        <v>3.7</v>
      </c>
      <c r="P204">
        <v>1.29</v>
      </c>
      <c r="Q204" t="s">
        <v>8</v>
      </c>
    </row>
    <row r="205" spans="1:17" x14ac:dyDescent="0.25">
      <c r="A205" t="s">
        <v>39</v>
      </c>
      <c r="B205" t="s">
        <v>452</v>
      </c>
      <c r="C205" t="s">
        <v>579</v>
      </c>
      <c r="D205" t="s">
        <v>589</v>
      </c>
      <c r="E205" t="s">
        <v>623</v>
      </c>
      <c r="F205">
        <v>3.4</v>
      </c>
      <c r="G205">
        <v>1.33</v>
      </c>
      <c r="H205" t="s">
        <v>10</v>
      </c>
      <c r="J205">
        <v>4.95</v>
      </c>
      <c r="K205" t="s">
        <v>8</v>
      </c>
      <c r="M205" t="s">
        <v>362</v>
      </c>
      <c r="N205" t="s">
        <v>363</v>
      </c>
      <c r="O205">
        <v>3.7</v>
      </c>
      <c r="P205">
        <v>1.29</v>
      </c>
      <c r="Q205" t="s">
        <v>8</v>
      </c>
    </row>
    <row r="206" spans="1:17" x14ac:dyDescent="0.25">
      <c r="A206" t="s">
        <v>41</v>
      </c>
      <c r="B206" t="s">
        <v>453</v>
      </c>
      <c r="C206" t="s">
        <v>579</v>
      </c>
      <c r="D206" t="s">
        <v>586</v>
      </c>
      <c r="E206" t="s">
        <v>641</v>
      </c>
      <c r="F206">
        <v>1.23</v>
      </c>
      <c r="G206">
        <v>4.3</v>
      </c>
      <c r="H206" t="s">
        <v>10</v>
      </c>
      <c r="J206">
        <v>5.2</v>
      </c>
      <c r="K206" t="s">
        <v>8</v>
      </c>
      <c r="M206" t="s">
        <v>362</v>
      </c>
      <c r="N206" t="s">
        <v>363</v>
      </c>
      <c r="O206">
        <v>4</v>
      </c>
      <c r="P206">
        <v>1.26</v>
      </c>
      <c r="Q206" t="s">
        <v>8</v>
      </c>
    </row>
    <row r="207" spans="1:17" x14ac:dyDescent="0.25">
      <c r="A207" t="s">
        <v>41</v>
      </c>
      <c r="B207" t="s">
        <v>453</v>
      </c>
      <c r="C207" t="s">
        <v>579</v>
      </c>
      <c r="D207" t="s">
        <v>582</v>
      </c>
      <c r="E207" t="s">
        <v>620</v>
      </c>
      <c r="F207">
        <v>1.23</v>
      </c>
      <c r="G207">
        <v>4.3</v>
      </c>
      <c r="H207" t="s">
        <v>10</v>
      </c>
      <c r="J207">
        <v>5</v>
      </c>
      <c r="K207" t="s">
        <v>8</v>
      </c>
      <c r="M207" t="s">
        <v>362</v>
      </c>
      <c r="N207" t="s">
        <v>363</v>
      </c>
      <c r="O207">
        <v>4</v>
      </c>
      <c r="P207">
        <v>1.27</v>
      </c>
      <c r="Q207" t="s">
        <v>8</v>
      </c>
    </row>
    <row r="208" spans="1:17" x14ac:dyDescent="0.25">
      <c r="A208" t="s">
        <v>41</v>
      </c>
      <c r="B208" t="s">
        <v>453</v>
      </c>
      <c r="C208" t="s">
        <v>579</v>
      </c>
      <c r="D208" t="s">
        <v>580</v>
      </c>
      <c r="E208" t="s">
        <v>643</v>
      </c>
      <c r="F208">
        <v>1.24</v>
      </c>
      <c r="G208">
        <v>4.3</v>
      </c>
      <c r="H208" t="s">
        <v>10</v>
      </c>
      <c r="J208">
        <v>5.3</v>
      </c>
      <c r="K208" t="s">
        <v>8</v>
      </c>
      <c r="M208" t="s">
        <v>362</v>
      </c>
      <c r="N208" t="s">
        <v>363</v>
      </c>
      <c r="O208">
        <v>3.7</v>
      </c>
      <c r="P208">
        <v>1.29</v>
      </c>
      <c r="Q208" t="s">
        <v>8</v>
      </c>
    </row>
    <row r="209" spans="1:17" x14ac:dyDescent="0.25">
      <c r="A209" t="s">
        <v>41</v>
      </c>
      <c r="B209" t="s">
        <v>453</v>
      </c>
      <c r="C209" t="s">
        <v>579</v>
      </c>
      <c r="D209" t="s">
        <v>584</v>
      </c>
      <c r="E209" t="s">
        <v>622</v>
      </c>
      <c r="F209">
        <v>1.24</v>
      </c>
      <c r="G209">
        <v>4.25</v>
      </c>
      <c r="H209" t="s">
        <v>10</v>
      </c>
      <c r="J209">
        <v>4.95</v>
      </c>
      <c r="K209" t="s">
        <v>8</v>
      </c>
      <c r="M209" t="s">
        <v>362</v>
      </c>
      <c r="N209" t="s">
        <v>363</v>
      </c>
      <c r="O209">
        <v>3.9</v>
      </c>
      <c r="P209">
        <v>1.27</v>
      </c>
      <c r="Q209" t="s">
        <v>8</v>
      </c>
    </row>
    <row r="210" spans="1:17" x14ac:dyDescent="0.25">
      <c r="A210" t="s">
        <v>41</v>
      </c>
      <c r="B210" t="s">
        <v>453</v>
      </c>
      <c r="C210" t="s">
        <v>579</v>
      </c>
      <c r="D210" t="s">
        <v>591</v>
      </c>
      <c r="E210" t="s">
        <v>646</v>
      </c>
      <c r="F210">
        <v>1.23</v>
      </c>
      <c r="G210">
        <v>4.3499999999999996</v>
      </c>
      <c r="H210" t="s">
        <v>10</v>
      </c>
      <c r="J210">
        <v>5.2</v>
      </c>
      <c r="K210" t="s">
        <v>8</v>
      </c>
      <c r="M210" t="s">
        <v>362</v>
      </c>
      <c r="N210" t="s">
        <v>363</v>
      </c>
      <c r="O210">
        <v>3.7</v>
      </c>
      <c r="P210">
        <v>1.29</v>
      </c>
      <c r="Q210" t="s">
        <v>8</v>
      </c>
    </row>
    <row r="211" spans="1:17" x14ac:dyDescent="0.25">
      <c r="A211" t="s">
        <v>41</v>
      </c>
      <c r="B211" t="s">
        <v>453</v>
      </c>
      <c r="C211" t="s">
        <v>579</v>
      </c>
      <c r="D211" t="s">
        <v>585</v>
      </c>
      <c r="E211" t="s">
        <v>644</v>
      </c>
      <c r="F211">
        <v>1.22</v>
      </c>
      <c r="G211">
        <v>4.5</v>
      </c>
      <c r="H211" t="s">
        <v>10</v>
      </c>
      <c r="J211">
        <v>5.15</v>
      </c>
      <c r="K211" t="s">
        <v>8</v>
      </c>
      <c r="M211" t="s">
        <v>362</v>
      </c>
      <c r="N211" t="s">
        <v>363</v>
      </c>
      <c r="O211">
        <v>3.6</v>
      </c>
      <c r="P211">
        <v>1.3</v>
      </c>
      <c r="Q211" t="s">
        <v>8</v>
      </c>
    </row>
    <row r="212" spans="1:17" x14ac:dyDescent="0.25">
      <c r="A212" t="s">
        <v>41</v>
      </c>
      <c r="B212" t="s">
        <v>453</v>
      </c>
      <c r="C212" t="s">
        <v>579</v>
      </c>
      <c r="D212" t="s">
        <v>583</v>
      </c>
      <c r="E212" t="s">
        <v>621</v>
      </c>
      <c r="F212">
        <v>1.23</v>
      </c>
      <c r="G212">
        <v>4.3</v>
      </c>
      <c r="H212" t="s">
        <v>10</v>
      </c>
      <c r="J212">
        <v>5.25</v>
      </c>
      <c r="K212" t="s">
        <v>8</v>
      </c>
      <c r="M212" t="s">
        <v>362</v>
      </c>
      <c r="N212" t="s">
        <v>363</v>
      </c>
      <c r="O212">
        <v>3.75</v>
      </c>
      <c r="P212">
        <v>1.28</v>
      </c>
      <c r="Q212" t="s">
        <v>8</v>
      </c>
    </row>
    <row r="213" spans="1:17" x14ac:dyDescent="0.25">
      <c r="A213" t="s">
        <v>41</v>
      </c>
      <c r="B213" t="s">
        <v>453</v>
      </c>
      <c r="C213" t="s">
        <v>579</v>
      </c>
      <c r="D213" t="s">
        <v>587</v>
      </c>
      <c r="E213" t="s">
        <v>641</v>
      </c>
      <c r="F213">
        <v>1.23</v>
      </c>
      <c r="G213">
        <v>4.3</v>
      </c>
      <c r="H213" t="s">
        <v>10</v>
      </c>
      <c r="J213">
        <v>5</v>
      </c>
      <c r="K213" t="s">
        <v>8</v>
      </c>
      <c r="M213" t="s">
        <v>362</v>
      </c>
      <c r="N213" t="s">
        <v>363</v>
      </c>
      <c r="O213">
        <v>3.85</v>
      </c>
      <c r="P213">
        <v>1.29</v>
      </c>
      <c r="Q213" t="s">
        <v>8</v>
      </c>
    </row>
    <row r="214" spans="1:17" x14ac:dyDescent="0.25">
      <c r="A214" t="s">
        <v>41</v>
      </c>
      <c r="B214" t="s">
        <v>453</v>
      </c>
      <c r="C214" t="s">
        <v>579</v>
      </c>
      <c r="D214" t="s">
        <v>588</v>
      </c>
      <c r="E214" t="s">
        <v>642</v>
      </c>
      <c r="F214">
        <v>1.23</v>
      </c>
      <c r="G214">
        <v>4.3</v>
      </c>
      <c r="H214" t="s">
        <v>10</v>
      </c>
      <c r="J214">
        <v>5.05</v>
      </c>
      <c r="K214" t="s">
        <v>8</v>
      </c>
      <c r="M214" t="s">
        <v>364</v>
      </c>
      <c r="N214" t="s">
        <v>363</v>
      </c>
      <c r="O214">
        <v>1.21</v>
      </c>
      <c r="P214">
        <v>4.7</v>
      </c>
      <c r="Q214" t="s">
        <v>8</v>
      </c>
    </row>
    <row r="215" spans="1:17" x14ac:dyDescent="0.25">
      <c r="A215" t="s">
        <v>41</v>
      </c>
      <c r="B215" t="s">
        <v>453</v>
      </c>
      <c r="C215" t="s">
        <v>579</v>
      </c>
      <c r="D215" t="s">
        <v>581</v>
      </c>
      <c r="E215" t="s">
        <v>594</v>
      </c>
      <c r="F215">
        <v>1.23</v>
      </c>
      <c r="G215">
        <v>4.0999999999999996</v>
      </c>
      <c r="H215" t="s">
        <v>10</v>
      </c>
      <c r="J215">
        <v>9.25</v>
      </c>
      <c r="K215" t="s">
        <v>8</v>
      </c>
      <c r="M215" t="s">
        <v>364</v>
      </c>
      <c r="N215" t="s">
        <v>363</v>
      </c>
      <c r="O215">
        <v>1.22</v>
      </c>
      <c r="P215">
        <v>4.7</v>
      </c>
      <c r="Q215" t="s">
        <v>8</v>
      </c>
    </row>
    <row r="216" spans="1:17" x14ac:dyDescent="0.25">
      <c r="A216" t="s">
        <v>41</v>
      </c>
      <c r="B216" t="s">
        <v>453</v>
      </c>
      <c r="C216" t="s">
        <v>579</v>
      </c>
      <c r="D216" t="s">
        <v>590</v>
      </c>
      <c r="E216" t="s">
        <v>645</v>
      </c>
      <c r="F216">
        <v>1.24</v>
      </c>
      <c r="G216">
        <v>4.25</v>
      </c>
      <c r="H216" t="s">
        <v>10</v>
      </c>
      <c r="J216">
        <v>10.5</v>
      </c>
      <c r="K216" t="s">
        <v>8</v>
      </c>
      <c r="M216" t="s">
        <v>364</v>
      </c>
      <c r="N216" t="s">
        <v>363</v>
      </c>
      <c r="O216">
        <v>1.19</v>
      </c>
      <c r="P216">
        <v>4.75</v>
      </c>
      <c r="Q216" t="s">
        <v>8</v>
      </c>
    </row>
    <row r="217" spans="1:17" x14ac:dyDescent="0.25">
      <c r="A217" t="s">
        <v>41</v>
      </c>
      <c r="B217" t="s">
        <v>453</v>
      </c>
      <c r="C217" t="s">
        <v>579</v>
      </c>
      <c r="D217" t="s">
        <v>589</v>
      </c>
      <c r="E217" t="s">
        <v>623</v>
      </c>
      <c r="F217">
        <v>1.22</v>
      </c>
      <c r="G217">
        <v>4.33</v>
      </c>
      <c r="H217" t="s">
        <v>10</v>
      </c>
      <c r="J217">
        <v>8</v>
      </c>
      <c r="K217" t="s">
        <v>8</v>
      </c>
      <c r="M217" t="s">
        <v>364</v>
      </c>
      <c r="N217" t="s">
        <v>363</v>
      </c>
      <c r="O217">
        <v>1.2</v>
      </c>
      <c r="P217">
        <v>4.75</v>
      </c>
      <c r="Q217" t="s">
        <v>8</v>
      </c>
    </row>
    <row r="218" spans="1:17" x14ac:dyDescent="0.25">
      <c r="A218" t="s">
        <v>650</v>
      </c>
      <c r="B218" t="s">
        <v>651</v>
      </c>
      <c r="C218" t="s">
        <v>579</v>
      </c>
      <c r="D218" t="s">
        <v>582</v>
      </c>
      <c r="E218" t="s">
        <v>620</v>
      </c>
      <c r="F218">
        <v>2.9</v>
      </c>
      <c r="G218">
        <v>1.44</v>
      </c>
      <c r="H218" t="s">
        <v>10</v>
      </c>
      <c r="J218">
        <v>9.1</v>
      </c>
      <c r="K218" t="s">
        <v>8</v>
      </c>
      <c r="M218" t="s">
        <v>364</v>
      </c>
      <c r="N218" t="s">
        <v>363</v>
      </c>
      <c r="O218">
        <v>1.21</v>
      </c>
      <c r="P218">
        <v>4.5999999999999996</v>
      </c>
      <c r="Q218" t="s">
        <v>8</v>
      </c>
    </row>
    <row r="219" spans="1:17" x14ac:dyDescent="0.25">
      <c r="A219" t="s">
        <v>650</v>
      </c>
      <c r="B219" t="s">
        <v>651</v>
      </c>
      <c r="C219" t="s">
        <v>579</v>
      </c>
      <c r="D219" t="s">
        <v>586</v>
      </c>
      <c r="E219" t="s">
        <v>641</v>
      </c>
      <c r="F219">
        <v>2.9</v>
      </c>
      <c r="G219">
        <v>1.44</v>
      </c>
      <c r="H219" t="s">
        <v>10</v>
      </c>
      <c r="J219">
        <v>9</v>
      </c>
      <c r="K219" t="s">
        <v>8</v>
      </c>
      <c r="M219" t="s">
        <v>364</v>
      </c>
      <c r="N219" t="s">
        <v>363</v>
      </c>
      <c r="O219">
        <v>1.19</v>
      </c>
      <c r="P219">
        <v>4.8</v>
      </c>
      <c r="Q219" t="s">
        <v>8</v>
      </c>
    </row>
    <row r="220" spans="1:17" x14ac:dyDescent="0.25">
      <c r="A220" t="s">
        <v>650</v>
      </c>
      <c r="B220" t="s">
        <v>651</v>
      </c>
      <c r="C220" t="s">
        <v>579</v>
      </c>
      <c r="D220" t="s">
        <v>588</v>
      </c>
      <c r="E220" t="s">
        <v>642</v>
      </c>
      <c r="F220">
        <v>2.85</v>
      </c>
      <c r="G220">
        <v>1.44</v>
      </c>
      <c r="H220" t="s">
        <v>10</v>
      </c>
      <c r="J220">
        <v>9.25</v>
      </c>
      <c r="K220" t="s">
        <v>8</v>
      </c>
      <c r="M220" t="s">
        <v>364</v>
      </c>
      <c r="N220" t="s">
        <v>363</v>
      </c>
      <c r="O220">
        <v>1.18</v>
      </c>
      <c r="P220">
        <v>5</v>
      </c>
      <c r="Q220" t="s">
        <v>8</v>
      </c>
    </row>
    <row r="221" spans="1:17" x14ac:dyDescent="0.25">
      <c r="A221" t="s">
        <v>650</v>
      </c>
      <c r="B221" t="s">
        <v>651</v>
      </c>
      <c r="C221" t="s">
        <v>579</v>
      </c>
      <c r="D221" t="s">
        <v>587</v>
      </c>
      <c r="E221" t="s">
        <v>641</v>
      </c>
      <c r="F221">
        <v>2.65</v>
      </c>
      <c r="G221">
        <v>1.48</v>
      </c>
      <c r="H221" t="s">
        <v>10</v>
      </c>
      <c r="J221">
        <v>10.5</v>
      </c>
      <c r="K221" t="s">
        <v>8</v>
      </c>
      <c r="M221" t="s">
        <v>364</v>
      </c>
      <c r="N221" t="s">
        <v>363</v>
      </c>
      <c r="O221">
        <v>1.22</v>
      </c>
      <c r="P221">
        <v>4.7</v>
      </c>
      <c r="Q221" t="s">
        <v>8</v>
      </c>
    </row>
    <row r="222" spans="1:17" x14ac:dyDescent="0.25">
      <c r="A222" t="s">
        <v>650</v>
      </c>
      <c r="B222" t="s">
        <v>651</v>
      </c>
      <c r="C222" t="s">
        <v>579</v>
      </c>
      <c r="D222" t="s">
        <v>583</v>
      </c>
      <c r="E222" t="s">
        <v>621</v>
      </c>
      <c r="F222">
        <v>2.65</v>
      </c>
      <c r="G222">
        <v>1.48</v>
      </c>
      <c r="H222" t="s">
        <v>10</v>
      </c>
      <c r="J222">
        <v>9.1999999999999993</v>
      </c>
      <c r="K222" t="s">
        <v>8</v>
      </c>
      <c r="M222" t="s">
        <v>364</v>
      </c>
      <c r="N222" t="s">
        <v>363</v>
      </c>
      <c r="O222">
        <v>1.19</v>
      </c>
      <c r="P222">
        <v>4.8</v>
      </c>
      <c r="Q222" t="s">
        <v>8</v>
      </c>
    </row>
    <row r="223" spans="1:17" x14ac:dyDescent="0.25">
      <c r="A223" t="s">
        <v>650</v>
      </c>
      <c r="B223" t="s">
        <v>651</v>
      </c>
      <c r="C223" t="s">
        <v>579</v>
      </c>
      <c r="D223" t="s">
        <v>580</v>
      </c>
      <c r="E223" t="s">
        <v>643</v>
      </c>
      <c r="F223">
        <v>2.85</v>
      </c>
      <c r="G223">
        <v>1.44</v>
      </c>
      <c r="H223" t="s">
        <v>10</v>
      </c>
      <c r="J223">
        <v>9</v>
      </c>
      <c r="K223" t="s">
        <v>8</v>
      </c>
      <c r="M223" t="s">
        <v>364</v>
      </c>
      <c r="N223" t="s">
        <v>363</v>
      </c>
      <c r="O223">
        <v>1.21</v>
      </c>
      <c r="P223">
        <v>4.5999999999999996</v>
      </c>
      <c r="Q223" t="s">
        <v>8</v>
      </c>
    </row>
    <row r="224" spans="1:17" x14ac:dyDescent="0.25">
      <c r="A224" t="s">
        <v>650</v>
      </c>
      <c r="B224" t="s">
        <v>651</v>
      </c>
      <c r="C224" t="s">
        <v>579</v>
      </c>
      <c r="D224" t="s">
        <v>581</v>
      </c>
      <c r="E224" t="s">
        <v>594</v>
      </c>
      <c r="F224">
        <v>2.86</v>
      </c>
      <c r="G224">
        <v>1.41</v>
      </c>
      <c r="H224" t="s">
        <v>10</v>
      </c>
      <c r="J224">
        <v>9.5</v>
      </c>
      <c r="K224" t="s">
        <v>8</v>
      </c>
      <c r="M224" t="s">
        <v>364</v>
      </c>
      <c r="N224" t="s">
        <v>363</v>
      </c>
      <c r="O224">
        <v>1.2</v>
      </c>
      <c r="P224">
        <v>4.75</v>
      </c>
      <c r="Q224" t="s">
        <v>8</v>
      </c>
    </row>
    <row r="225" spans="1:17" x14ac:dyDescent="0.25">
      <c r="A225" t="s">
        <v>650</v>
      </c>
      <c r="B225" t="s">
        <v>651</v>
      </c>
      <c r="C225" t="s">
        <v>579</v>
      </c>
      <c r="D225" t="s">
        <v>585</v>
      </c>
      <c r="E225" t="s">
        <v>644</v>
      </c>
      <c r="F225">
        <v>2.9</v>
      </c>
      <c r="G225">
        <v>1.43</v>
      </c>
      <c r="H225" t="s">
        <v>10</v>
      </c>
      <c r="J225">
        <v>9.4499999999999993</v>
      </c>
      <c r="K225" t="s">
        <v>8</v>
      </c>
      <c r="M225" t="s">
        <v>364</v>
      </c>
      <c r="N225" t="s">
        <v>363</v>
      </c>
      <c r="O225">
        <v>1.2</v>
      </c>
      <c r="P225">
        <v>4.7</v>
      </c>
      <c r="Q225" t="s">
        <v>8</v>
      </c>
    </row>
    <row r="226" spans="1:17" x14ac:dyDescent="0.25">
      <c r="A226" t="s">
        <v>652</v>
      </c>
      <c r="B226" t="s">
        <v>651</v>
      </c>
      <c r="C226" t="s">
        <v>579</v>
      </c>
      <c r="D226" t="s">
        <v>582</v>
      </c>
      <c r="E226" t="s">
        <v>620</v>
      </c>
      <c r="F226">
        <v>1.62</v>
      </c>
      <c r="G226">
        <v>2.42</v>
      </c>
      <c r="H226" t="s">
        <v>10</v>
      </c>
      <c r="J226">
        <v>1.29</v>
      </c>
      <c r="K226" t="s">
        <v>8</v>
      </c>
      <c r="M226" t="s">
        <v>364</v>
      </c>
      <c r="N226" t="s">
        <v>363</v>
      </c>
      <c r="O226">
        <v>1.22</v>
      </c>
      <c r="P226">
        <v>4.6500000000000004</v>
      </c>
      <c r="Q226" t="s">
        <v>8</v>
      </c>
    </row>
    <row r="227" spans="1:17" x14ac:dyDescent="0.25">
      <c r="A227" t="s">
        <v>652</v>
      </c>
      <c r="B227" t="s">
        <v>651</v>
      </c>
      <c r="C227" t="s">
        <v>579</v>
      </c>
      <c r="D227" t="s">
        <v>584</v>
      </c>
      <c r="E227" t="s">
        <v>622</v>
      </c>
      <c r="F227">
        <v>1.59</v>
      </c>
      <c r="G227">
        <v>2.4</v>
      </c>
      <c r="H227" t="s">
        <v>10</v>
      </c>
      <c r="J227">
        <v>1.3</v>
      </c>
      <c r="K227" t="s">
        <v>8</v>
      </c>
      <c r="M227" t="s">
        <v>365</v>
      </c>
      <c r="N227" t="s">
        <v>363</v>
      </c>
      <c r="O227">
        <v>2.14</v>
      </c>
      <c r="P227">
        <v>1.74</v>
      </c>
      <c r="Q227" t="s">
        <v>8</v>
      </c>
    </row>
    <row r="228" spans="1:17" x14ac:dyDescent="0.25">
      <c r="A228" t="s">
        <v>652</v>
      </c>
      <c r="B228" t="s">
        <v>651</v>
      </c>
      <c r="C228" t="s">
        <v>579</v>
      </c>
      <c r="D228" t="s">
        <v>586</v>
      </c>
      <c r="E228" t="s">
        <v>641</v>
      </c>
      <c r="F228">
        <v>1.62</v>
      </c>
      <c r="G228">
        <v>2.42</v>
      </c>
      <c r="H228" t="s">
        <v>10</v>
      </c>
      <c r="J228">
        <v>1.36</v>
      </c>
      <c r="K228" t="s">
        <v>8</v>
      </c>
      <c r="M228" t="s">
        <v>365</v>
      </c>
      <c r="N228" t="s">
        <v>363</v>
      </c>
      <c r="O228">
        <v>2.15</v>
      </c>
      <c r="P228">
        <v>1.74</v>
      </c>
      <c r="Q228" t="s">
        <v>8</v>
      </c>
    </row>
    <row r="229" spans="1:17" x14ac:dyDescent="0.25">
      <c r="A229" t="s">
        <v>652</v>
      </c>
      <c r="B229" t="s">
        <v>651</v>
      </c>
      <c r="C229" t="s">
        <v>579</v>
      </c>
      <c r="D229" t="s">
        <v>588</v>
      </c>
      <c r="E229" t="s">
        <v>642</v>
      </c>
      <c r="F229">
        <v>1.61</v>
      </c>
      <c r="G229">
        <v>2.35</v>
      </c>
      <c r="H229" t="s">
        <v>10</v>
      </c>
      <c r="J229">
        <v>1.33</v>
      </c>
      <c r="K229" t="s">
        <v>8</v>
      </c>
      <c r="M229" t="s">
        <v>365</v>
      </c>
      <c r="N229" t="s">
        <v>363</v>
      </c>
      <c r="O229">
        <v>2.15</v>
      </c>
      <c r="P229">
        <v>1.74</v>
      </c>
      <c r="Q229" t="s">
        <v>8</v>
      </c>
    </row>
    <row r="230" spans="1:17" x14ac:dyDescent="0.25">
      <c r="A230" t="s">
        <v>652</v>
      </c>
      <c r="B230" t="s">
        <v>651</v>
      </c>
      <c r="C230" t="s">
        <v>579</v>
      </c>
      <c r="D230" t="s">
        <v>587</v>
      </c>
      <c r="E230" t="s">
        <v>641</v>
      </c>
      <c r="F230">
        <v>1.57</v>
      </c>
      <c r="G230">
        <v>2.38</v>
      </c>
      <c r="H230" t="s">
        <v>10</v>
      </c>
      <c r="J230">
        <v>1.31</v>
      </c>
      <c r="K230" t="s">
        <v>8</v>
      </c>
      <c r="M230" t="s">
        <v>365</v>
      </c>
      <c r="N230" t="s">
        <v>363</v>
      </c>
      <c r="O230">
        <v>2.25</v>
      </c>
      <c r="P230">
        <v>1.69</v>
      </c>
      <c r="Q230" t="s">
        <v>8</v>
      </c>
    </row>
    <row r="231" spans="1:17" x14ac:dyDescent="0.25">
      <c r="A231" t="s">
        <v>652</v>
      </c>
      <c r="B231" t="s">
        <v>651</v>
      </c>
      <c r="C231" t="s">
        <v>579</v>
      </c>
      <c r="D231" t="s">
        <v>583</v>
      </c>
      <c r="E231" t="s">
        <v>621</v>
      </c>
      <c r="F231">
        <v>1.57</v>
      </c>
      <c r="G231">
        <v>2.38</v>
      </c>
      <c r="H231" t="s">
        <v>10</v>
      </c>
      <c r="J231">
        <v>1.32</v>
      </c>
      <c r="K231" t="s">
        <v>8</v>
      </c>
      <c r="M231" t="s">
        <v>365</v>
      </c>
      <c r="N231" t="s">
        <v>363</v>
      </c>
      <c r="O231">
        <v>2.1800000000000002</v>
      </c>
      <c r="P231">
        <v>1.71</v>
      </c>
      <c r="Q231" t="s">
        <v>8</v>
      </c>
    </row>
    <row r="232" spans="1:17" x14ac:dyDescent="0.25">
      <c r="A232" t="s">
        <v>652</v>
      </c>
      <c r="B232" t="s">
        <v>651</v>
      </c>
      <c r="C232" t="s">
        <v>579</v>
      </c>
      <c r="D232" t="s">
        <v>580</v>
      </c>
      <c r="E232" t="s">
        <v>643</v>
      </c>
      <c r="F232">
        <v>1.59</v>
      </c>
      <c r="G232">
        <v>2.42</v>
      </c>
      <c r="H232" t="s">
        <v>10</v>
      </c>
      <c r="J232">
        <v>1.36</v>
      </c>
      <c r="K232" t="s">
        <v>8</v>
      </c>
      <c r="M232" t="s">
        <v>365</v>
      </c>
      <c r="N232" t="s">
        <v>363</v>
      </c>
      <c r="O232">
        <v>2.1800000000000002</v>
      </c>
      <c r="P232">
        <v>1.7</v>
      </c>
      <c r="Q232" t="s">
        <v>8</v>
      </c>
    </row>
    <row r="233" spans="1:17" x14ac:dyDescent="0.25">
      <c r="A233" t="s">
        <v>652</v>
      </c>
      <c r="B233" t="s">
        <v>651</v>
      </c>
      <c r="C233" t="s">
        <v>579</v>
      </c>
      <c r="D233" t="s">
        <v>581</v>
      </c>
      <c r="E233" t="s">
        <v>594</v>
      </c>
      <c r="F233">
        <v>1.57</v>
      </c>
      <c r="G233">
        <v>2.36</v>
      </c>
      <c r="H233" t="s">
        <v>10</v>
      </c>
      <c r="J233">
        <v>1.32</v>
      </c>
      <c r="K233" t="s">
        <v>8</v>
      </c>
      <c r="M233" t="s">
        <v>365</v>
      </c>
      <c r="N233" t="s">
        <v>363</v>
      </c>
      <c r="O233">
        <v>2.1800000000000002</v>
      </c>
      <c r="P233">
        <v>1.7</v>
      </c>
      <c r="Q233" t="s">
        <v>8</v>
      </c>
    </row>
    <row r="234" spans="1:17" x14ac:dyDescent="0.25">
      <c r="A234" t="s">
        <v>652</v>
      </c>
      <c r="B234" t="s">
        <v>651</v>
      </c>
      <c r="C234" t="s">
        <v>579</v>
      </c>
      <c r="D234" t="s">
        <v>585</v>
      </c>
      <c r="E234" t="s">
        <v>644</v>
      </c>
      <c r="F234">
        <v>1.61</v>
      </c>
      <c r="G234">
        <v>2.4</v>
      </c>
      <c r="H234" t="s">
        <v>10</v>
      </c>
      <c r="J234">
        <v>1.36</v>
      </c>
      <c r="K234" t="s">
        <v>8</v>
      </c>
      <c r="M234" t="s">
        <v>365</v>
      </c>
      <c r="N234" t="s">
        <v>363</v>
      </c>
      <c r="O234">
        <v>2.15</v>
      </c>
      <c r="P234">
        <v>1.74</v>
      </c>
      <c r="Q234" t="s">
        <v>8</v>
      </c>
    </row>
    <row r="235" spans="1:17" x14ac:dyDescent="0.25">
      <c r="A235" t="s">
        <v>653</v>
      </c>
      <c r="B235" t="s">
        <v>651</v>
      </c>
      <c r="C235" t="s">
        <v>579</v>
      </c>
      <c r="D235" t="s">
        <v>582</v>
      </c>
      <c r="E235" t="s">
        <v>620</v>
      </c>
      <c r="F235">
        <v>1.8</v>
      </c>
      <c r="G235">
        <v>2.0499999999999998</v>
      </c>
      <c r="H235" t="s">
        <v>10</v>
      </c>
      <c r="J235">
        <v>1.32</v>
      </c>
      <c r="K235" t="s">
        <v>8</v>
      </c>
      <c r="M235" t="s">
        <v>365</v>
      </c>
      <c r="N235" t="s">
        <v>363</v>
      </c>
      <c r="O235">
        <v>2.1800000000000002</v>
      </c>
      <c r="P235">
        <v>1.7</v>
      </c>
      <c r="Q235" t="s">
        <v>8</v>
      </c>
    </row>
    <row r="236" spans="1:17" x14ac:dyDescent="0.25">
      <c r="A236" t="s">
        <v>653</v>
      </c>
      <c r="B236" t="s">
        <v>651</v>
      </c>
      <c r="C236" t="s">
        <v>579</v>
      </c>
      <c r="D236" t="s">
        <v>584</v>
      </c>
      <c r="E236" t="s">
        <v>622</v>
      </c>
      <c r="F236">
        <v>1.83</v>
      </c>
      <c r="G236">
        <v>2</v>
      </c>
      <c r="H236" t="s">
        <v>10</v>
      </c>
      <c r="J236">
        <v>1.32</v>
      </c>
      <c r="K236" t="s">
        <v>8</v>
      </c>
      <c r="M236" t="s">
        <v>365</v>
      </c>
      <c r="N236" t="s">
        <v>363</v>
      </c>
      <c r="O236">
        <v>2.15</v>
      </c>
      <c r="P236">
        <v>1.74</v>
      </c>
      <c r="Q236" t="s">
        <v>8</v>
      </c>
    </row>
    <row r="237" spans="1:17" x14ac:dyDescent="0.25">
      <c r="A237" t="s">
        <v>653</v>
      </c>
      <c r="B237" t="s">
        <v>651</v>
      </c>
      <c r="C237" t="s">
        <v>579</v>
      </c>
      <c r="D237" t="s">
        <v>586</v>
      </c>
      <c r="E237" t="s">
        <v>641</v>
      </c>
      <c r="F237">
        <v>1.8</v>
      </c>
      <c r="G237">
        <v>2.0499999999999998</v>
      </c>
      <c r="H237" t="s">
        <v>10</v>
      </c>
      <c r="J237">
        <v>16</v>
      </c>
      <c r="K237" t="s">
        <v>8</v>
      </c>
      <c r="M237" t="s">
        <v>365</v>
      </c>
      <c r="N237" t="s">
        <v>363</v>
      </c>
      <c r="O237">
        <v>2.15</v>
      </c>
      <c r="P237">
        <v>1.71</v>
      </c>
      <c r="Q237" t="s">
        <v>8</v>
      </c>
    </row>
    <row r="238" spans="1:17" x14ac:dyDescent="0.25">
      <c r="A238" t="s">
        <v>653</v>
      </c>
      <c r="B238" t="s">
        <v>651</v>
      </c>
      <c r="C238" t="s">
        <v>579</v>
      </c>
      <c r="D238" t="s">
        <v>588</v>
      </c>
      <c r="E238" t="s">
        <v>642</v>
      </c>
      <c r="F238">
        <v>1.8</v>
      </c>
      <c r="G238">
        <v>1.95</v>
      </c>
      <c r="H238" t="s">
        <v>10</v>
      </c>
      <c r="J238">
        <v>15</v>
      </c>
      <c r="K238" t="s">
        <v>8</v>
      </c>
      <c r="M238" t="s">
        <v>365</v>
      </c>
      <c r="N238" t="s">
        <v>363</v>
      </c>
      <c r="O238">
        <v>2.2000000000000002</v>
      </c>
      <c r="P238">
        <v>1.71</v>
      </c>
      <c r="Q238" t="s">
        <v>8</v>
      </c>
    </row>
    <row r="239" spans="1:17" x14ac:dyDescent="0.25">
      <c r="A239" t="s">
        <v>653</v>
      </c>
      <c r="B239" t="s">
        <v>651</v>
      </c>
      <c r="C239" t="s">
        <v>579</v>
      </c>
      <c r="D239" t="s">
        <v>587</v>
      </c>
      <c r="E239" t="s">
        <v>641</v>
      </c>
      <c r="F239">
        <v>1.85</v>
      </c>
      <c r="G239">
        <v>1.93</v>
      </c>
      <c r="H239" t="s">
        <v>10</v>
      </c>
      <c r="J239">
        <v>16.5</v>
      </c>
      <c r="K239" t="s">
        <v>8</v>
      </c>
      <c r="M239" t="s">
        <v>365</v>
      </c>
      <c r="N239" t="s">
        <v>363</v>
      </c>
      <c r="O239">
        <v>2.12</v>
      </c>
      <c r="P239">
        <v>1.77</v>
      </c>
      <c r="Q239" t="s">
        <v>8</v>
      </c>
    </row>
    <row r="240" spans="1:17" x14ac:dyDescent="0.25">
      <c r="A240" t="s">
        <v>653</v>
      </c>
      <c r="B240" t="s">
        <v>651</v>
      </c>
      <c r="C240" t="s">
        <v>579</v>
      </c>
      <c r="D240" t="s">
        <v>583</v>
      </c>
      <c r="E240" t="s">
        <v>621</v>
      </c>
      <c r="F240">
        <v>1.85</v>
      </c>
      <c r="G240">
        <v>1.93</v>
      </c>
      <c r="H240" t="s">
        <v>10</v>
      </c>
      <c r="J240">
        <v>19</v>
      </c>
      <c r="K240" t="s">
        <v>8</v>
      </c>
      <c r="M240" t="s">
        <v>366</v>
      </c>
      <c r="N240" t="s">
        <v>363</v>
      </c>
      <c r="O240">
        <v>1.33</v>
      </c>
      <c r="P240">
        <v>3.45</v>
      </c>
      <c r="Q240" t="s">
        <v>8</v>
      </c>
    </row>
    <row r="241" spans="1:17" x14ac:dyDescent="0.25">
      <c r="A241" t="s">
        <v>653</v>
      </c>
      <c r="B241" t="s">
        <v>651</v>
      </c>
      <c r="C241" t="s">
        <v>579</v>
      </c>
      <c r="D241" t="s">
        <v>580</v>
      </c>
      <c r="E241" t="s">
        <v>643</v>
      </c>
      <c r="F241">
        <v>1.85</v>
      </c>
      <c r="G241">
        <v>1.98</v>
      </c>
      <c r="H241" t="s">
        <v>10</v>
      </c>
      <c r="J241">
        <v>17</v>
      </c>
      <c r="K241" t="s">
        <v>8</v>
      </c>
      <c r="M241" t="s">
        <v>366</v>
      </c>
      <c r="N241" t="s">
        <v>363</v>
      </c>
      <c r="O241">
        <v>1.36</v>
      </c>
      <c r="P241">
        <v>3.35</v>
      </c>
      <c r="Q241" t="s">
        <v>8</v>
      </c>
    </row>
    <row r="242" spans="1:17" x14ac:dyDescent="0.25">
      <c r="A242" t="s">
        <v>653</v>
      </c>
      <c r="B242" t="s">
        <v>651</v>
      </c>
      <c r="C242" t="s">
        <v>579</v>
      </c>
      <c r="D242" t="s">
        <v>581</v>
      </c>
      <c r="E242" t="s">
        <v>594</v>
      </c>
      <c r="F242">
        <v>1.82</v>
      </c>
      <c r="G242">
        <v>1.96</v>
      </c>
      <c r="H242" t="s">
        <v>10</v>
      </c>
      <c r="J242">
        <v>17</v>
      </c>
      <c r="K242" t="s">
        <v>8</v>
      </c>
      <c r="M242" t="s">
        <v>366</v>
      </c>
      <c r="N242" t="s">
        <v>363</v>
      </c>
      <c r="O242">
        <v>1.34</v>
      </c>
      <c r="P242">
        <v>3.4</v>
      </c>
      <c r="Q242" t="s">
        <v>8</v>
      </c>
    </row>
    <row r="243" spans="1:17" x14ac:dyDescent="0.25">
      <c r="A243" t="s">
        <v>653</v>
      </c>
      <c r="B243" t="s">
        <v>651</v>
      </c>
      <c r="C243" t="s">
        <v>579</v>
      </c>
      <c r="D243" t="s">
        <v>585</v>
      </c>
      <c r="E243" t="s">
        <v>644</v>
      </c>
      <c r="F243">
        <v>1.83</v>
      </c>
      <c r="G243">
        <v>2</v>
      </c>
      <c r="H243" t="s">
        <v>10</v>
      </c>
      <c r="J243">
        <v>17</v>
      </c>
      <c r="K243" t="s">
        <v>8</v>
      </c>
      <c r="M243" t="s">
        <v>366</v>
      </c>
      <c r="N243" t="s">
        <v>363</v>
      </c>
      <c r="O243">
        <v>1.33</v>
      </c>
      <c r="P243">
        <v>3.4</v>
      </c>
      <c r="Q243" t="s">
        <v>8</v>
      </c>
    </row>
    <row r="244" spans="1:17" x14ac:dyDescent="0.25">
      <c r="A244" t="s">
        <v>654</v>
      </c>
      <c r="B244" t="s">
        <v>651</v>
      </c>
      <c r="C244" t="s">
        <v>579</v>
      </c>
      <c r="D244" t="s">
        <v>582</v>
      </c>
      <c r="E244" t="s">
        <v>620</v>
      </c>
      <c r="F244">
        <v>2.68</v>
      </c>
      <c r="G244">
        <v>1.52</v>
      </c>
      <c r="H244" t="s">
        <v>10</v>
      </c>
      <c r="J244">
        <v>13</v>
      </c>
      <c r="K244" t="s">
        <v>8</v>
      </c>
      <c r="M244" t="s">
        <v>366</v>
      </c>
      <c r="N244" t="s">
        <v>363</v>
      </c>
      <c r="O244">
        <v>1.33</v>
      </c>
      <c r="P244">
        <v>3.4</v>
      </c>
      <c r="Q244" t="s">
        <v>8</v>
      </c>
    </row>
    <row r="245" spans="1:17" x14ac:dyDescent="0.25">
      <c r="A245" t="s">
        <v>654</v>
      </c>
      <c r="B245" t="s">
        <v>651</v>
      </c>
      <c r="C245" t="s">
        <v>579</v>
      </c>
      <c r="D245" t="s">
        <v>584</v>
      </c>
      <c r="E245" t="s">
        <v>622</v>
      </c>
      <c r="F245">
        <v>2.6</v>
      </c>
      <c r="G245">
        <v>1.51</v>
      </c>
      <c r="H245" t="s">
        <v>10</v>
      </c>
      <c r="J245">
        <v>1.29</v>
      </c>
      <c r="K245" t="s">
        <v>8</v>
      </c>
      <c r="M245" t="s">
        <v>366</v>
      </c>
      <c r="N245" t="s">
        <v>363</v>
      </c>
      <c r="O245">
        <v>1.3</v>
      </c>
      <c r="P245">
        <v>3.55</v>
      </c>
      <c r="Q245" t="s">
        <v>8</v>
      </c>
    </row>
    <row r="246" spans="1:17" x14ac:dyDescent="0.25">
      <c r="A246" t="s">
        <v>654</v>
      </c>
      <c r="B246" t="s">
        <v>651</v>
      </c>
      <c r="C246" t="s">
        <v>579</v>
      </c>
      <c r="D246" t="s">
        <v>586</v>
      </c>
      <c r="E246" t="s">
        <v>641</v>
      </c>
      <c r="F246">
        <v>2.68</v>
      </c>
      <c r="G246">
        <v>1.52</v>
      </c>
      <c r="H246" t="s">
        <v>10</v>
      </c>
      <c r="J246">
        <v>1.3</v>
      </c>
      <c r="K246" t="s">
        <v>8</v>
      </c>
      <c r="M246" t="s">
        <v>366</v>
      </c>
      <c r="N246" t="s">
        <v>363</v>
      </c>
      <c r="O246">
        <v>1.3</v>
      </c>
      <c r="P246">
        <v>3.6</v>
      </c>
      <c r="Q246" t="s">
        <v>8</v>
      </c>
    </row>
    <row r="247" spans="1:17" x14ac:dyDescent="0.25">
      <c r="A247" t="s">
        <v>654</v>
      </c>
      <c r="B247" t="s">
        <v>651</v>
      </c>
      <c r="C247" t="s">
        <v>579</v>
      </c>
      <c r="D247" t="s">
        <v>588</v>
      </c>
      <c r="E247" t="s">
        <v>642</v>
      </c>
      <c r="F247">
        <v>2.6</v>
      </c>
      <c r="G247">
        <v>1.53</v>
      </c>
      <c r="H247" t="s">
        <v>10</v>
      </c>
      <c r="J247">
        <v>1.24</v>
      </c>
      <c r="K247" t="s">
        <v>8</v>
      </c>
      <c r="M247" t="s">
        <v>366</v>
      </c>
      <c r="N247" t="s">
        <v>363</v>
      </c>
      <c r="O247">
        <v>1.36</v>
      </c>
      <c r="P247">
        <v>3.35</v>
      </c>
      <c r="Q247" t="s">
        <v>8</v>
      </c>
    </row>
    <row r="248" spans="1:17" x14ac:dyDescent="0.25">
      <c r="A248" t="s">
        <v>654</v>
      </c>
      <c r="B248" t="s">
        <v>651</v>
      </c>
      <c r="C248" t="s">
        <v>579</v>
      </c>
      <c r="D248" t="s">
        <v>587</v>
      </c>
      <c r="E248" t="s">
        <v>641</v>
      </c>
      <c r="F248">
        <v>2.5499999999999998</v>
      </c>
      <c r="G248">
        <v>1.51</v>
      </c>
      <c r="H248" t="s">
        <v>10</v>
      </c>
      <c r="J248">
        <v>1.29</v>
      </c>
      <c r="K248" t="s">
        <v>8</v>
      </c>
      <c r="M248" t="s">
        <v>366</v>
      </c>
      <c r="N248" t="s">
        <v>363</v>
      </c>
      <c r="O248">
        <v>1.3</v>
      </c>
      <c r="P248">
        <v>3.55</v>
      </c>
      <c r="Q248" t="s">
        <v>8</v>
      </c>
    </row>
    <row r="249" spans="1:17" x14ac:dyDescent="0.25">
      <c r="A249" t="s">
        <v>654</v>
      </c>
      <c r="B249" t="s">
        <v>651</v>
      </c>
      <c r="C249" t="s">
        <v>579</v>
      </c>
      <c r="D249" t="s">
        <v>583</v>
      </c>
      <c r="E249" t="s">
        <v>621</v>
      </c>
      <c r="F249">
        <v>2.5499999999999998</v>
      </c>
      <c r="G249">
        <v>1.51</v>
      </c>
      <c r="H249" t="s">
        <v>10</v>
      </c>
      <c r="J249">
        <v>1.33</v>
      </c>
      <c r="K249" t="s">
        <v>8</v>
      </c>
      <c r="M249" t="s">
        <v>366</v>
      </c>
      <c r="N249" t="s">
        <v>363</v>
      </c>
      <c r="O249">
        <v>1.36</v>
      </c>
      <c r="P249">
        <v>3.3</v>
      </c>
      <c r="Q249" t="s">
        <v>8</v>
      </c>
    </row>
    <row r="250" spans="1:17" x14ac:dyDescent="0.25">
      <c r="A250" t="s">
        <v>654</v>
      </c>
      <c r="B250" t="s">
        <v>651</v>
      </c>
      <c r="C250" t="s">
        <v>579</v>
      </c>
      <c r="D250" t="s">
        <v>580</v>
      </c>
      <c r="E250" t="s">
        <v>643</v>
      </c>
      <c r="F250">
        <v>2.64</v>
      </c>
      <c r="G250">
        <v>1.51</v>
      </c>
      <c r="H250" t="s">
        <v>10</v>
      </c>
      <c r="J250">
        <v>1.28</v>
      </c>
      <c r="K250" t="s">
        <v>8</v>
      </c>
      <c r="M250" t="s">
        <v>366</v>
      </c>
      <c r="N250" t="s">
        <v>363</v>
      </c>
      <c r="O250">
        <v>1.33</v>
      </c>
      <c r="P250">
        <v>3.4</v>
      </c>
      <c r="Q250" t="s">
        <v>8</v>
      </c>
    </row>
    <row r="251" spans="1:17" x14ac:dyDescent="0.25">
      <c r="A251" t="s">
        <v>654</v>
      </c>
      <c r="B251" t="s">
        <v>651</v>
      </c>
      <c r="C251" t="s">
        <v>579</v>
      </c>
      <c r="D251" t="s">
        <v>581</v>
      </c>
      <c r="E251" t="s">
        <v>594</v>
      </c>
      <c r="F251">
        <v>2.62</v>
      </c>
      <c r="G251">
        <v>1.48</v>
      </c>
      <c r="H251" t="s">
        <v>10</v>
      </c>
      <c r="J251">
        <v>1.3</v>
      </c>
      <c r="K251" t="s">
        <v>8</v>
      </c>
      <c r="M251" t="s">
        <v>366</v>
      </c>
      <c r="N251" t="s">
        <v>363</v>
      </c>
      <c r="O251">
        <v>1.34</v>
      </c>
      <c r="P251">
        <v>3.35</v>
      </c>
      <c r="Q251" t="s">
        <v>8</v>
      </c>
    </row>
    <row r="252" spans="1:17" x14ac:dyDescent="0.25">
      <c r="A252" t="s">
        <v>654</v>
      </c>
      <c r="B252" t="s">
        <v>651</v>
      </c>
      <c r="C252" t="s">
        <v>579</v>
      </c>
      <c r="D252" t="s">
        <v>585</v>
      </c>
      <c r="E252" t="s">
        <v>644</v>
      </c>
      <c r="F252">
        <v>2.65</v>
      </c>
      <c r="G252">
        <v>1.51</v>
      </c>
      <c r="H252" t="s">
        <v>10</v>
      </c>
      <c r="J252">
        <v>1.33</v>
      </c>
      <c r="K252" t="s">
        <v>8</v>
      </c>
      <c r="M252" t="s">
        <v>366</v>
      </c>
      <c r="N252" t="s">
        <v>363</v>
      </c>
      <c r="O252">
        <v>1.32</v>
      </c>
      <c r="P252">
        <v>3.55</v>
      </c>
      <c r="Q252" t="s">
        <v>8</v>
      </c>
    </row>
    <row r="253" spans="1:17" x14ac:dyDescent="0.25">
      <c r="A253" t="s">
        <v>655</v>
      </c>
      <c r="B253" t="s">
        <v>651</v>
      </c>
      <c r="C253" t="s">
        <v>579</v>
      </c>
      <c r="D253" t="s">
        <v>582</v>
      </c>
      <c r="E253" t="s">
        <v>620</v>
      </c>
      <c r="F253">
        <v>3.35</v>
      </c>
      <c r="G253">
        <v>1.36</v>
      </c>
      <c r="H253" t="s">
        <v>10</v>
      </c>
      <c r="J253">
        <v>1.29</v>
      </c>
      <c r="K253" t="s">
        <v>8</v>
      </c>
      <c r="M253" t="s">
        <v>367</v>
      </c>
      <c r="N253" t="s">
        <v>363</v>
      </c>
      <c r="O253">
        <v>1.31</v>
      </c>
      <c r="P253">
        <v>3.6</v>
      </c>
      <c r="Q253" t="s">
        <v>8</v>
      </c>
    </row>
    <row r="254" spans="1:17" x14ac:dyDescent="0.25">
      <c r="A254" t="s">
        <v>655</v>
      </c>
      <c r="B254" t="s">
        <v>651</v>
      </c>
      <c r="C254" t="s">
        <v>579</v>
      </c>
      <c r="D254" t="s">
        <v>584</v>
      </c>
      <c r="E254" t="s">
        <v>622</v>
      </c>
      <c r="F254">
        <v>3.2</v>
      </c>
      <c r="G254">
        <v>1.36</v>
      </c>
      <c r="H254" t="s">
        <v>10</v>
      </c>
      <c r="J254">
        <v>1.29</v>
      </c>
      <c r="K254" t="s">
        <v>8</v>
      </c>
      <c r="M254" t="s">
        <v>367</v>
      </c>
      <c r="N254" t="s">
        <v>363</v>
      </c>
      <c r="O254">
        <v>1.32</v>
      </c>
      <c r="P254">
        <v>3.6</v>
      </c>
      <c r="Q254" t="s">
        <v>8</v>
      </c>
    </row>
    <row r="255" spans="1:17" x14ac:dyDescent="0.25">
      <c r="A255" t="s">
        <v>655</v>
      </c>
      <c r="B255" t="s">
        <v>651</v>
      </c>
      <c r="C255" t="s">
        <v>579</v>
      </c>
      <c r="D255" t="s">
        <v>586</v>
      </c>
      <c r="E255" t="s">
        <v>641</v>
      </c>
      <c r="F255">
        <v>3.35</v>
      </c>
      <c r="G255">
        <v>1.36</v>
      </c>
      <c r="H255" t="s">
        <v>10</v>
      </c>
      <c r="J255">
        <v>1.29</v>
      </c>
      <c r="K255" t="s">
        <v>8</v>
      </c>
      <c r="M255" t="s">
        <v>367</v>
      </c>
      <c r="N255" t="s">
        <v>363</v>
      </c>
      <c r="O255">
        <v>1.3</v>
      </c>
      <c r="P255">
        <v>3.65</v>
      </c>
      <c r="Q255" t="s">
        <v>8</v>
      </c>
    </row>
    <row r="256" spans="1:17" x14ac:dyDescent="0.25">
      <c r="A256" t="s">
        <v>655</v>
      </c>
      <c r="B256" t="s">
        <v>651</v>
      </c>
      <c r="C256" t="s">
        <v>579</v>
      </c>
      <c r="D256" t="s">
        <v>588</v>
      </c>
      <c r="E256" t="s">
        <v>642</v>
      </c>
      <c r="F256">
        <v>3.2</v>
      </c>
      <c r="G256">
        <v>1.36</v>
      </c>
      <c r="H256" t="s">
        <v>10</v>
      </c>
      <c r="J256">
        <v>1.28</v>
      </c>
      <c r="K256" t="s">
        <v>8</v>
      </c>
      <c r="M256" t="s">
        <v>367</v>
      </c>
      <c r="N256" t="s">
        <v>363</v>
      </c>
      <c r="O256">
        <v>1.3</v>
      </c>
      <c r="P256">
        <v>3.6</v>
      </c>
      <c r="Q256" t="s">
        <v>8</v>
      </c>
    </row>
    <row r="257" spans="1:17" x14ac:dyDescent="0.25">
      <c r="A257" t="s">
        <v>655</v>
      </c>
      <c r="B257" t="s">
        <v>651</v>
      </c>
      <c r="C257" t="s">
        <v>579</v>
      </c>
      <c r="D257" t="s">
        <v>587</v>
      </c>
      <c r="E257" t="s">
        <v>641</v>
      </c>
      <c r="F257">
        <v>2.95</v>
      </c>
      <c r="G257">
        <v>1.4</v>
      </c>
      <c r="H257" t="s">
        <v>10</v>
      </c>
      <c r="J257">
        <v>4.7</v>
      </c>
      <c r="K257" t="s">
        <v>8</v>
      </c>
      <c r="M257" t="s">
        <v>367</v>
      </c>
      <c r="N257" t="s">
        <v>363</v>
      </c>
      <c r="O257">
        <v>1.3</v>
      </c>
      <c r="P257">
        <v>3.6</v>
      </c>
      <c r="Q257" t="s">
        <v>8</v>
      </c>
    </row>
    <row r="258" spans="1:17" x14ac:dyDescent="0.25">
      <c r="A258" t="s">
        <v>655</v>
      </c>
      <c r="B258" t="s">
        <v>651</v>
      </c>
      <c r="C258" t="s">
        <v>579</v>
      </c>
      <c r="D258" t="s">
        <v>583</v>
      </c>
      <c r="E258" t="s">
        <v>621</v>
      </c>
      <c r="F258">
        <v>2.95</v>
      </c>
      <c r="G258">
        <v>1.4</v>
      </c>
      <c r="H258" t="s">
        <v>10</v>
      </c>
      <c r="J258">
        <v>4.7</v>
      </c>
      <c r="K258" t="s">
        <v>8</v>
      </c>
      <c r="M258" t="s">
        <v>367</v>
      </c>
      <c r="N258" t="s">
        <v>363</v>
      </c>
      <c r="O258">
        <v>1.3</v>
      </c>
      <c r="P258">
        <v>3.5</v>
      </c>
      <c r="Q258" t="s">
        <v>8</v>
      </c>
    </row>
    <row r="259" spans="1:17" x14ac:dyDescent="0.25">
      <c r="A259" t="s">
        <v>655</v>
      </c>
      <c r="B259" t="s">
        <v>651</v>
      </c>
      <c r="C259" t="s">
        <v>579</v>
      </c>
      <c r="D259" t="s">
        <v>580</v>
      </c>
      <c r="E259" t="s">
        <v>643</v>
      </c>
      <c r="F259">
        <v>3.3</v>
      </c>
      <c r="G259">
        <v>1.35</v>
      </c>
      <c r="H259" t="s">
        <v>10</v>
      </c>
      <c r="J259">
        <v>4.75</v>
      </c>
      <c r="K259" t="s">
        <v>8</v>
      </c>
      <c r="M259" t="s">
        <v>367</v>
      </c>
      <c r="N259" t="s">
        <v>363</v>
      </c>
      <c r="O259">
        <v>1.29</v>
      </c>
      <c r="P259">
        <v>3.75</v>
      </c>
      <c r="Q259" t="s">
        <v>8</v>
      </c>
    </row>
    <row r="260" spans="1:17" x14ac:dyDescent="0.25">
      <c r="A260" t="s">
        <v>655</v>
      </c>
      <c r="B260" t="s">
        <v>651</v>
      </c>
      <c r="C260" t="s">
        <v>579</v>
      </c>
      <c r="D260" t="s">
        <v>581</v>
      </c>
      <c r="E260" t="s">
        <v>594</v>
      </c>
      <c r="F260">
        <v>3.3</v>
      </c>
      <c r="G260">
        <v>1.32</v>
      </c>
      <c r="H260" t="s">
        <v>10</v>
      </c>
      <c r="J260">
        <v>4.75</v>
      </c>
      <c r="K260" t="s">
        <v>8</v>
      </c>
      <c r="M260" t="s">
        <v>367</v>
      </c>
      <c r="N260" t="s">
        <v>363</v>
      </c>
      <c r="O260">
        <v>1.32</v>
      </c>
      <c r="P260">
        <v>3.6</v>
      </c>
      <c r="Q260" t="s">
        <v>8</v>
      </c>
    </row>
    <row r="261" spans="1:17" x14ac:dyDescent="0.25">
      <c r="A261" t="s">
        <v>655</v>
      </c>
      <c r="B261" t="s">
        <v>651</v>
      </c>
      <c r="C261" t="s">
        <v>579</v>
      </c>
      <c r="D261" t="s">
        <v>585</v>
      </c>
      <c r="E261" t="s">
        <v>644</v>
      </c>
      <c r="F261">
        <v>3.3</v>
      </c>
      <c r="G261">
        <v>1.36</v>
      </c>
      <c r="H261" t="s">
        <v>10</v>
      </c>
      <c r="J261">
        <v>4.5999999999999996</v>
      </c>
      <c r="K261" t="s">
        <v>8</v>
      </c>
      <c r="M261" t="s">
        <v>367</v>
      </c>
      <c r="N261" t="s">
        <v>363</v>
      </c>
      <c r="O261">
        <v>1.3</v>
      </c>
      <c r="P261">
        <v>3.5</v>
      </c>
      <c r="Q261" t="s">
        <v>8</v>
      </c>
    </row>
    <row r="262" spans="1:17" x14ac:dyDescent="0.25">
      <c r="A262" t="s">
        <v>656</v>
      </c>
      <c r="B262" t="s">
        <v>651</v>
      </c>
      <c r="C262" t="s">
        <v>579</v>
      </c>
      <c r="D262" t="s">
        <v>586</v>
      </c>
      <c r="E262" t="s">
        <v>641</v>
      </c>
      <c r="F262">
        <v>1.56</v>
      </c>
      <c r="G262">
        <v>2.5499999999999998</v>
      </c>
      <c r="H262" t="s">
        <v>10</v>
      </c>
      <c r="J262">
        <v>4.8</v>
      </c>
      <c r="K262" t="s">
        <v>8</v>
      </c>
      <c r="M262" t="s">
        <v>367</v>
      </c>
      <c r="N262" t="s">
        <v>363</v>
      </c>
      <c r="O262">
        <v>1.32</v>
      </c>
      <c r="P262">
        <v>3.56</v>
      </c>
      <c r="Q262" t="s">
        <v>8</v>
      </c>
    </row>
    <row r="263" spans="1:17" x14ac:dyDescent="0.25">
      <c r="A263" t="s">
        <v>656</v>
      </c>
      <c r="B263" t="s">
        <v>651</v>
      </c>
      <c r="C263" t="s">
        <v>579</v>
      </c>
      <c r="D263" t="s">
        <v>582</v>
      </c>
      <c r="E263" t="s">
        <v>620</v>
      </c>
      <c r="F263">
        <v>1.56</v>
      </c>
      <c r="G263">
        <v>2.5499999999999998</v>
      </c>
      <c r="H263" t="s">
        <v>10</v>
      </c>
      <c r="J263">
        <v>5</v>
      </c>
      <c r="K263" t="s">
        <v>8</v>
      </c>
      <c r="M263" t="s">
        <v>367</v>
      </c>
      <c r="N263" t="s">
        <v>363</v>
      </c>
      <c r="O263">
        <v>1.29</v>
      </c>
      <c r="P263">
        <v>3.6</v>
      </c>
      <c r="Q263" t="s">
        <v>8</v>
      </c>
    </row>
    <row r="264" spans="1:17" x14ac:dyDescent="0.25">
      <c r="A264" t="s">
        <v>656</v>
      </c>
      <c r="B264" t="s">
        <v>651</v>
      </c>
      <c r="C264" t="s">
        <v>579</v>
      </c>
      <c r="D264" t="s">
        <v>588</v>
      </c>
      <c r="E264" t="s">
        <v>642</v>
      </c>
      <c r="F264">
        <v>1.56</v>
      </c>
      <c r="G264">
        <v>2.5</v>
      </c>
      <c r="H264" t="s">
        <v>10</v>
      </c>
      <c r="J264">
        <v>4.7</v>
      </c>
      <c r="K264" t="s">
        <v>8</v>
      </c>
      <c r="M264" t="s">
        <v>367</v>
      </c>
      <c r="N264" t="s">
        <v>363</v>
      </c>
      <c r="O264">
        <v>1.3</v>
      </c>
      <c r="P264">
        <v>3.55</v>
      </c>
      <c r="Q264" t="s">
        <v>8</v>
      </c>
    </row>
    <row r="265" spans="1:17" x14ac:dyDescent="0.25">
      <c r="A265" t="s">
        <v>656</v>
      </c>
      <c r="B265" t="s">
        <v>651</v>
      </c>
      <c r="C265" t="s">
        <v>579</v>
      </c>
      <c r="D265" t="s">
        <v>581</v>
      </c>
      <c r="E265" t="s">
        <v>594</v>
      </c>
      <c r="F265">
        <v>1.5</v>
      </c>
      <c r="G265">
        <v>2.54</v>
      </c>
      <c r="H265" t="s">
        <v>10</v>
      </c>
      <c r="J265">
        <v>4.8</v>
      </c>
      <c r="K265" t="s">
        <v>8</v>
      </c>
      <c r="M265" t="s">
        <v>367</v>
      </c>
      <c r="N265" t="s">
        <v>363</v>
      </c>
      <c r="O265">
        <v>1.3</v>
      </c>
      <c r="P265">
        <v>3.7</v>
      </c>
      <c r="Q265" t="s">
        <v>8</v>
      </c>
    </row>
    <row r="266" spans="1:17" x14ac:dyDescent="0.25">
      <c r="A266" t="s">
        <v>656</v>
      </c>
      <c r="B266" t="s">
        <v>651</v>
      </c>
      <c r="C266" t="s">
        <v>579</v>
      </c>
      <c r="D266" t="s">
        <v>585</v>
      </c>
      <c r="E266" t="s">
        <v>644</v>
      </c>
      <c r="F266">
        <v>1.56</v>
      </c>
      <c r="G266">
        <v>2.5499999999999998</v>
      </c>
      <c r="H266" t="s">
        <v>10</v>
      </c>
      <c r="J266">
        <v>4.8499999999999996</v>
      </c>
      <c r="K266" t="s">
        <v>8</v>
      </c>
      <c r="M266" t="s">
        <v>368</v>
      </c>
      <c r="N266" t="s">
        <v>363</v>
      </c>
      <c r="O266">
        <v>5.25</v>
      </c>
      <c r="P266">
        <v>1.17</v>
      </c>
      <c r="Q266" t="s">
        <v>8</v>
      </c>
    </row>
    <row r="267" spans="1:17" x14ac:dyDescent="0.25">
      <c r="A267" t="s">
        <v>657</v>
      </c>
      <c r="B267" t="s">
        <v>651</v>
      </c>
      <c r="C267" t="s">
        <v>579</v>
      </c>
      <c r="D267" t="s">
        <v>583</v>
      </c>
      <c r="E267" t="s">
        <v>621</v>
      </c>
      <c r="F267">
        <v>1.67</v>
      </c>
      <c r="G267">
        <v>2.2000000000000002</v>
      </c>
      <c r="H267" t="s">
        <v>10</v>
      </c>
      <c r="J267">
        <v>4.75</v>
      </c>
      <c r="K267" t="s">
        <v>8</v>
      </c>
      <c r="M267" t="s">
        <v>368</v>
      </c>
      <c r="N267" t="s">
        <v>363</v>
      </c>
      <c r="O267">
        <v>5.05</v>
      </c>
      <c r="P267">
        <v>1.2</v>
      </c>
      <c r="Q267" t="s">
        <v>8</v>
      </c>
    </row>
    <row r="268" spans="1:17" x14ac:dyDescent="0.25">
      <c r="A268" t="s">
        <v>657</v>
      </c>
      <c r="B268" t="s">
        <v>651</v>
      </c>
      <c r="C268" t="s">
        <v>579</v>
      </c>
      <c r="D268" t="s">
        <v>587</v>
      </c>
      <c r="E268" t="s">
        <v>641</v>
      </c>
      <c r="F268">
        <v>1.67</v>
      </c>
      <c r="G268">
        <v>2.2000000000000002</v>
      </c>
      <c r="H268" t="s">
        <v>10</v>
      </c>
      <c r="J268">
        <v>4.7</v>
      </c>
      <c r="K268" t="s">
        <v>8</v>
      </c>
      <c r="M268" t="s">
        <v>368</v>
      </c>
      <c r="N268" t="s">
        <v>363</v>
      </c>
      <c r="O268">
        <v>5.0999999999999996</v>
      </c>
      <c r="P268">
        <v>1.17</v>
      </c>
      <c r="Q268" t="s">
        <v>8</v>
      </c>
    </row>
    <row r="269" spans="1:17" x14ac:dyDescent="0.25">
      <c r="A269" t="s">
        <v>657</v>
      </c>
      <c r="B269" t="s">
        <v>651</v>
      </c>
      <c r="C269" t="s">
        <v>579</v>
      </c>
      <c r="D269" t="s">
        <v>584</v>
      </c>
      <c r="E269" t="s">
        <v>622</v>
      </c>
      <c r="F269">
        <v>1.67</v>
      </c>
      <c r="G269">
        <v>2.25</v>
      </c>
      <c r="H269" t="s">
        <v>10</v>
      </c>
      <c r="J269">
        <v>1.74</v>
      </c>
      <c r="K269" t="s">
        <v>8</v>
      </c>
      <c r="M269" t="s">
        <v>368</v>
      </c>
      <c r="N269" t="s">
        <v>363</v>
      </c>
      <c r="O269">
        <v>5</v>
      </c>
      <c r="P269">
        <v>1.18</v>
      </c>
      <c r="Q269" t="s">
        <v>8</v>
      </c>
    </row>
    <row r="270" spans="1:17" x14ac:dyDescent="0.25">
      <c r="A270" t="s">
        <v>657</v>
      </c>
      <c r="B270" t="s">
        <v>651</v>
      </c>
      <c r="C270" t="s">
        <v>579</v>
      </c>
      <c r="D270" t="s">
        <v>580</v>
      </c>
      <c r="E270" t="s">
        <v>643</v>
      </c>
      <c r="F270">
        <v>1.68</v>
      </c>
      <c r="G270">
        <v>2.2400000000000002</v>
      </c>
      <c r="H270" t="s">
        <v>10</v>
      </c>
      <c r="J270">
        <v>1.71</v>
      </c>
      <c r="K270" t="s">
        <v>8</v>
      </c>
      <c r="M270" t="s">
        <v>368</v>
      </c>
      <c r="N270" t="s">
        <v>363</v>
      </c>
      <c r="O270">
        <v>5</v>
      </c>
      <c r="P270">
        <v>1.18</v>
      </c>
      <c r="Q270" t="s">
        <v>8</v>
      </c>
    </row>
    <row r="271" spans="1:17" x14ac:dyDescent="0.25">
      <c r="A271" t="s">
        <v>657</v>
      </c>
      <c r="B271" t="s">
        <v>651</v>
      </c>
      <c r="C271" t="s">
        <v>579</v>
      </c>
      <c r="D271" t="s">
        <v>588</v>
      </c>
      <c r="E271" t="s">
        <v>642</v>
      </c>
      <c r="F271">
        <v>1.71</v>
      </c>
      <c r="G271">
        <v>2.1</v>
      </c>
      <c r="H271" t="s">
        <v>10</v>
      </c>
      <c r="J271">
        <v>1.71</v>
      </c>
      <c r="K271" t="s">
        <v>8</v>
      </c>
      <c r="M271" t="s">
        <v>368</v>
      </c>
      <c r="N271" t="s">
        <v>363</v>
      </c>
      <c r="O271">
        <v>5.4</v>
      </c>
      <c r="P271">
        <v>1.1499999999999999</v>
      </c>
      <c r="Q271" t="s">
        <v>8</v>
      </c>
    </row>
    <row r="272" spans="1:17" x14ac:dyDescent="0.25">
      <c r="A272" t="s">
        <v>657</v>
      </c>
      <c r="B272" t="s">
        <v>651</v>
      </c>
      <c r="C272" t="s">
        <v>579</v>
      </c>
      <c r="D272" t="s">
        <v>586</v>
      </c>
      <c r="E272" t="s">
        <v>641</v>
      </c>
      <c r="F272">
        <v>1.71</v>
      </c>
      <c r="G272">
        <v>2.2000000000000002</v>
      </c>
      <c r="H272" t="s">
        <v>10</v>
      </c>
      <c r="J272">
        <v>1.69</v>
      </c>
      <c r="K272" t="s">
        <v>8</v>
      </c>
      <c r="M272" t="s">
        <v>368</v>
      </c>
      <c r="N272" t="s">
        <v>363</v>
      </c>
      <c r="O272">
        <v>5.2</v>
      </c>
      <c r="P272">
        <v>1.17</v>
      </c>
      <c r="Q272" t="s">
        <v>8</v>
      </c>
    </row>
    <row r="273" spans="1:17" x14ac:dyDescent="0.25">
      <c r="A273" t="s">
        <v>657</v>
      </c>
      <c r="B273" t="s">
        <v>651</v>
      </c>
      <c r="C273" t="s">
        <v>579</v>
      </c>
      <c r="D273" t="s">
        <v>582</v>
      </c>
      <c r="E273" t="s">
        <v>620</v>
      </c>
      <c r="F273">
        <v>1.71</v>
      </c>
      <c r="G273">
        <v>2.2000000000000002</v>
      </c>
      <c r="H273" t="s">
        <v>10</v>
      </c>
      <c r="J273">
        <v>1.71</v>
      </c>
      <c r="K273" t="s">
        <v>8</v>
      </c>
      <c r="M273" t="s">
        <v>368</v>
      </c>
      <c r="N273" t="s">
        <v>363</v>
      </c>
      <c r="O273">
        <v>5.05</v>
      </c>
      <c r="P273">
        <v>1.2</v>
      </c>
      <c r="Q273" t="s">
        <v>8</v>
      </c>
    </row>
    <row r="274" spans="1:17" x14ac:dyDescent="0.25">
      <c r="A274" t="s">
        <v>657</v>
      </c>
      <c r="B274" t="s">
        <v>651</v>
      </c>
      <c r="C274" t="s">
        <v>579</v>
      </c>
      <c r="D274" t="s">
        <v>581</v>
      </c>
      <c r="E274" t="s">
        <v>594</v>
      </c>
      <c r="F274">
        <v>1.62</v>
      </c>
      <c r="G274">
        <v>2.2599999999999998</v>
      </c>
      <c r="H274" t="s">
        <v>10</v>
      </c>
      <c r="J274">
        <v>1.7</v>
      </c>
      <c r="K274" t="s">
        <v>8</v>
      </c>
      <c r="M274" t="s">
        <v>368</v>
      </c>
      <c r="N274" t="s">
        <v>363</v>
      </c>
      <c r="O274">
        <v>5.4</v>
      </c>
      <c r="P274">
        <v>1.1499999999999999</v>
      </c>
      <c r="Q274" t="s">
        <v>8</v>
      </c>
    </row>
    <row r="275" spans="1:17" x14ac:dyDescent="0.25">
      <c r="A275" t="s">
        <v>657</v>
      </c>
      <c r="B275" t="s">
        <v>651</v>
      </c>
      <c r="C275" t="s">
        <v>579</v>
      </c>
      <c r="D275" t="s">
        <v>585</v>
      </c>
      <c r="E275" t="s">
        <v>644</v>
      </c>
      <c r="F275">
        <v>1.69</v>
      </c>
      <c r="G275">
        <v>2.2200000000000002</v>
      </c>
      <c r="H275" t="s">
        <v>10</v>
      </c>
      <c r="J275">
        <v>1.7</v>
      </c>
      <c r="K275" t="s">
        <v>8</v>
      </c>
      <c r="M275" t="s">
        <v>368</v>
      </c>
      <c r="N275" t="s">
        <v>363</v>
      </c>
      <c r="O275">
        <v>5.05</v>
      </c>
      <c r="P275">
        <v>1.19</v>
      </c>
      <c r="Q275" t="s">
        <v>8</v>
      </c>
    </row>
    <row r="276" spans="1:17" x14ac:dyDescent="0.25">
      <c r="A276" t="s">
        <v>658</v>
      </c>
      <c r="B276" t="s">
        <v>659</v>
      </c>
      <c r="C276" t="s">
        <v>579</v>
      </c>
      <c r="D276" t="s">
        <v>581</v>
      </c>
      <c r="E276" t="s">
        <v>594</v>
      </c>
      <c r="F276">
        <v>4</v>
      </c>
      <c r="G276">
        <v>1.23</v>
      </c>
      <c r="H276" t="s">
        <v>10</v>
      </c>
      <c r="J276">
        <v>1.71</v>
      </c>
      <c r="K276" t="s">
        <v>8</v>
      </c>
      <c r="M276" t="s">
        <v>368</v>
      </c>
      <c r="N276" t="s">
        <v>363</v>
      </c>
      <c r="O276">
        <v>5.25</v>
      </c>
      <c r="P276">
        <v>1.17</v>
      </c>
      <c r="Q276" t="s">
        <v>8</v>
      </c>
    </row>
    <row r="277" spans="1:17" x14ac:dyDescent="0.25">
      <c r="A277" t="s">
        <v>658</v>
      </c>
      <c r="B277" t="s">
        <v>659</v>
      </c>
      <c r="C277" t="s">
        <v>579</v>
      </c>
      <c r="D277" t="s">
        <v>588</v>
      </c>
      <c r="E277" t="s">
        <v>642</v>
      </c>
      <c r="F277">
        <v>4</v>
      </c>
      <c r="G277">
        <v>1.25</v>
      </c>
      <c r="H277" t="s">
        <v>10</v>
      </c>
      <c r="J277">
        <v>1.7</v>
      </c>
      <c r="K277" t="s">
        <v>8</v>
      </c>
      <c r="M277" t="s">
        <v>368</v>
      </c>
      <c r="N277" t="s">
        <v>363</v>
      </c>
      <c r="O277">
        <v>5.05</v>
      </c>
      <c r="P277">
        <v>1.18</v>
      </c>
      <c r="Q277" t="s">
        <v>8</v>
      </c>
    </row>
    <row r="278" spans="1:17" x14ac:dyDescent="0.25">
      <c r="A278" t="s">
        <v>658</v>
      </c>
      <c r="B278" t="s">
        <v>659</v>
      </c>
      <c r="C278" t="s">
        <v>579</v>
      </c>
      <c r="D278" t="s">
        <v>586</v>
      </c>
      <c r="E278" t="s">
        <v>641</v>
      </c>
      <c r="F278">
        <v>4.3</v>
      </c>
      <c r="G278">
        <v>1.25</v>
      </c>
      <c r="H278" t="s">
        <v>10</v>
      </c>
      <c r="J278">
        <v>1.71</v>
      </c>
      <c r="K278" t="s">
        <v>8</v>
      </c>
      <c r="M278" t="s">
        <v>368</v>
      </c>
      <c r="N278" t="s">
        <v>363</v>
      </c>
      <c r="O278">
        <v>5.25</v>
      </c>
      <c r="P278">
        <v>1.18</v>
      </c>
      <c r="Q278" t="s">
        <v>8</v>
      </c>
    </row>
    <row r="279" spans="1:17" x14ac:dyDescent="0.25">
      <c r="A279" t="s">
        <v>658</v>
      </c>
      <c r="B279" t="s">
        <v>659</v>
      </c>
      <c r="C279" t="s">
        <v>579</v>
      </c>
      <c r="D279" t="s">
        <v>582</v>
      </c>
      <c r="E279" t="s">
        <v>620</v>
      </c>
      <c r="F279">
        <v>4.3</v>
      </c>
      <c r="G279">
        <v>1.25</v>
      </c>
      <c r="H279" t="s">
        <v>10</v>
      </c>
      <c r="J279">
        <v>1.71</v>
      </c>
      <c r="K279" t="s">
        <v>8</v>
      </c>
      <c r="M279" t="s">
        <v>369</v>
      </c>
      <c r="N279" t="s">
        <v>370</v>
      </c>
      <c r="O279">
        <v>1.89</v>
      </c>
      <c r="P279">
        <v>1.93</v>
      </c>
      <c r="Q279" t="s">
        <v>8</v>
      </c>
    </row>
    <row r="280" spans="1:17" x14ac:dyDescent="0.25">
      <c r="A280" t="s">
        <v>658</v>
      </c>
      <c r="B280" t="s">
        <v>659</v>
      </c>
      <c r="C280" t="s">
        <v>579</v>
      </c>
      <c r="D280" t="s">
        <v>585</v>
      </c>
      <c r="E280" t="s">
        <v>644</v>
      </c>
      <c r="F280">
        <v>4.0999999999999996</v>
      </c>
      <c r="G280">
        <v>1.25</v>
      </c>
      <c r="H280" t="s">
        <v>10</v>
      </c>
      <c r="J280">
        <v>1.71</v>
      </c>
      <c r="K280" t="s">
        <v>8</v>
      </c>
      <c r="M280" t="s">
        <v>369</v>
      </c>
      <c r="N280" t="s">
        <v>370</v>
      </c>
      <c r="O280">
        <v>1.87</v>
      </c>
      <c r="P280">
        <v>1.95</v>
      </c>
      <c r="Q280" t="s">
        <v>8</v>
      </c>
    </row>
    <row r="281" spans="1:17" x14ac:dyDescent="0.25">
      <c r="A281" t="s">
        <v>660</v>
      </c>
      <c r="B281" t="s">
        <v>661</v>
      </c>
      <c r="C281" t="s">
        <v>579</v>
      </c>
      <c r="D281" t="s">
        <v>586</v>
      </c>
      <c r="E281" t="s">
        <v>641</v>
      </c>
      <c r="F281">
        <v>1.68</v>
      </c>
      <c r="G281">
        <v>2.27</v>
      </c>
      <c r="H281" t="s">
        <v>10</v>
      </c>
      <c r="J281">
        <v>3.4</v>
      </c>
      <c r="K281" t="s">
        <v>8</v>
      </c>
      <c r="M281" t="s">
        <v>369</v>
      </c>
      <c r="N281" t="s">
        <v>370</v>
      </c>
      <c r="O281">
        <v>1.95</v>
      </c>
      <c r="P281">
        <v>1.87</v>
      </c>
      <c r="Q281" t="s">
        <v>8</v>
      </c>
    </row>
    <row r="282" spans="1:17" x14ac:dyDescent="0.25">
      <c r="A282" t="s">
        <v>660</v>
      </c>
      <c r="B282" t="s">
        <v>661</v>
      </c>
      <c r="C282" t="s">
        <v>579</v>
      </c>
      <c r="D282" t="s">
        <v>582</v>
      </c>
      <c r="E282" t="s">
        <v>620</v>
      </c>
      <c r="F282">
        <v>1.68</v>
      </c>
      <c r="G282">
        <v>2.27</v>
      </c>
      <c r="H282" t="s">
        <v>10</v>
      </c>
      <c r="J282">
        <v>3.45</v>
      </c>
      <c r="K282" t="s">
        <v>8</v>
      </c>
      <c r="M282" t="s">
        <v>369</v>
      </c>
      <c r="N282" t="s">
        <v>370</v>
      </c>
      <c r="O282">
        <v>1.91</v>
      </c>
      <c r="P282">
        <v>1.91</v>
      </c>
      <c r="Q282" t="s">
        <v>8</v>
      </c>
    </row>
    <row r="283" spans="1:17" x14ac:dyDescent="0.25">
      <c r="A283" t="s">
        <v>660</v>
      </c>
      <c r="B283" t="s">
        <v>661</v>
      </c>
      <c r="C283" t="s">
        <v>579</v>
      </c>
      <c r="D283" t="s">
        <v>580</v>
      </c>
      <c r="E283" t="s">
        <v>643</v>
      </c>
      <c r="F283">
        <v>1.68</v>
      </c>
      <c r="G283">
        <v>2.2400000000000002</v>
      </c>
      <c r="H283" t="s">
        <v>10</v>
      </c>
      <c r="J283">
        <v>3.4</v>
      </c>
      <c r="K283" t="s">
        <v>8</v>
      </c>
      <c r="M283" t="s">
        <v>369</v>
      </c>
      <c r="N283" t="s">
        <v>370</v>
      </c>
      <c r="O283">
        <v>1.88</v>
      </c>
      <c r="P283">
        <v>1.94</v>
      </c>
      <c r="Q283" t="s">
        <v>8</v>
      </c>
    </row>
    <row r="284" spans="1:17" x14ac:dyDescent="0.25">
      <c r="A284" t="s">
        <v>660</v>
      </c>
      <c r="B284" t="s">
        <v>661</v>
      </c>
      <c r="C284" t="s">
        <v>579</v>
      </c>
      <c r="D284" t="s">
        <v>581</v>
      </c>
      <c r="E284" t="s">
        <v>594</v>
      </c>
      <c r="F284">
        <v>1.65</v>
      </c>
      <c r="G284">
        <v>2.2000000000000002</v>
      </c>
      <c r="H284" t="s">
        <v>10</v>
      </c>
      <c r="J284">
        <v>3.4</v>
      </c>
      <c r="K284" t="s">
        <v>8</v>
      </c>
      <c r="M284" t="s">
        <v>369</v>
      </c>
      <c r="N284" t="s">
        <v>370</v>
      </c>
      <c r="O284">
        <v>1.87</v>
      </c>
      <c r="P284">
        <v>1.95</v>
      </c>
      <c r="Q284" t="s">
        <v>8</v>
      </c>
    </row>
    <row r="285" spans="1:17" x14ac:dyDescent="0.25">
      <c r="A285" t="s">
        <v>660</v>
      </c>
      <c r="B285" t="s">
        <v>661</v>
      </c>
      <c r="C285" t="s">
        <v>579</v>
      </c>
      <c r="D285" t="s">
        <v>588</v>
      </c>
      <c r="E285" t="s">
        <v>642</v>
      </c>
      <c r="F285">
        <v>1.69</v>
      </c>
      <c r="G285">
        <v>2.15</v>
      </c>
      <c r="H285" t="s">
        <v>10</v>
      </c>
      <c r="J285">
        <v>3.4</v>
      </c>
      <c r="K285" t="s">
        <v>8</v>
      </c>
      <c r="M285" t="s">
        <v>369</v>
      </c>
      <c r="N285" t="s">
        <v>370</v>
      </c>
      <c r="O285">
        <v>1.87</v>
      </c>
      <c r="P285">
        <v>1.95</v>
      </c>
      <c r="Q285" t="s">
        <v>8</v>
      </c>
    </row>
    <row r="286" spans="1:17" x14ac:dyDescent="0.25">
      <c r="A286" t="s">
        <v>660</v>
      </c>
      <c r="B286" t="s">
        <v>661</v>
      </c>
      <c r="C286" t="s">
        <v>579</v>
      </c>
      <c r="D286" t="s">
        <v>584</v>
      </c>
      <c r="E286" t="s">
        <v>622</v>
      </c>
      <c r="F286">
        <v>1.69</v>
      </c>
      <c r="G286">
        <v>2.2000000000000002</v>
      </c>
      <c r="H286" t="s">
        <v>10</v>
      </c>
      <c r="J286">
        <v>3.55</v>
      </c>
      <c r="K286" t="s">
        <v>8</v>
      </c>
      <c r="M286" t="s">
        <v>369</v>
      </c>
      <c r="N286" t="s">
        <v>370</v>
      </c>
      <c r="O286">
        <v>1.88</v>
      </c>
      <c r="P286">
        <v>1.94</v>
      </c>
      <c r="Q286" t="s">
        <v>8</v>
      </c>
    </row>
    <row r="287" spans="1:17" x14ac:dyDescent="0.25">
      <c r="A287" t="s">
        <v>660</v>
      </c>
      <c r="B287" t="s">
        <v>661</v>
      </c>
      <c r="C287" t="s">
        <v>579</v>
      </c>
      <c r="D287" t="s">
        <v>585</v>
      </c>
      <c r="E287" t="s">
        <v>644</v>
      </c>
      <c r="F287">
        <v>1.69</v>
      </c>
      <c r="G287">
        <v>2.2200000000000002</v>
      </c>
      <c r="H287" t="s">
        <v>10</v>
      </c>
      <c r="J287">
        <v>3.6</v>
      </c>
      <c r="K287" t="s">
        <v>8</v>
      </c>
      <c r="M287" t="s">
        <v>369</v>
      </c>
      <c r="N287" t="s">
        <v>370</v>
      </c>
      <c r="O287">
        <v>1.87</v>
      </c>
      <c r="P287">
        <v>1.95</v>
      </c>
      <c r="Q287" t="s">
        <v>8</v>
      </c>
    </row>
    <row r="288" spans="1:17" x14ac:dyDescent="0.25">
      <c r="A288" t="s">
        <v>660</v>
      </c>
      <c r="B288" t="s">
        <v>661</v>
      </c>
      <c r="C288" t="s">
        <v>579</v>
      </c>
      <c r="D288" t="s">
        <v>587</v>
      </c>
      <c r="E288" t="s">
        <v>641</v>
      </c>
      <c r="F288">
        <v>1.68</v>
      </c>
      <c r="G288">
        <v>2.2000000000000002</v>
      </c>
      <c r="H288" t="s">
        <v>10</v>
      </c>
      <c r="J288">
        <v>3.45</v>
      </c>
      <c r="K288" t="s">
        <v>8</v>
      </c>
      <c r="M288" t="s">
        <v>369</v>
      </c>
      <c r="N288" t="s">
        <v>370</v>
      </c>
      <c r="O288">
        <v>1.87</v>
      </c>
      <c r="P288">
        <v>1.95</v>
      </c>
      <c r="Q288" t="s">
        <v>8</v>
      </c>
    </row>
    <row r="289" spans="1:17" x14ac:dyDescent="0.25">
      <c r="A289" t="s">
        <v>660</v>
      </c>
      <c r="B289" t="s">
        <v>661</v>
      </c>
      <c r="C289" t="s">
        <v>579</v>
      </c>
      <c r="D289" t="s">
        <v>583</v>
      </c>
      <c r="E289" t="s">
        <v>621</v>
      </c>
      <c r="F289">
        <v>1.68</v>
      </c>
      <c r="G289">
        <v>2.2000000000000002</v>
      </c>
      <c r="H289" t="s">
        <v>10</v>
      </c>
      <c r="J289">
        <v>3.55</v>
      </c>
      <c r="K289" t="s">
        <v>8</v>
      </c>
      <c r="M289" t="s">
        <v>369</v>
      </c>
      <c r="N289" t="s">
        <v>370</v>
      </c>
      <c r="O289">
        <v>1.87</v>
      </c>
      <c r="P289">
        <v>1.95</v>
      </c>
      <c r="Q289" t="s">
        <v>8</v>
      </c>
    </row>
    <row r="290" spans="1:17" x14ac:dyDescent="0.25">
      <c r="A290" t="s">
        <v>662</v>
      </c>
      <c r="B290" t="s">
        <v>661</v>
      </c>
      <c r="C290" t="s">
        <v>579</v>
      </c>
      <c r="D290" t="s">
        <v>582</v>
      </c>
      <c r="E290" t="s">
        <v>620</v>
      </c>
      <c r="F290">
        <v>3.4</v>
      </c>
      <c r="G290">
        <v>1.36</v>
      </c>
      <c r="H290" t="s">
        <v>10</v>
      </c>
      <c r="J290">
        <v>3.4</v>
      </c>
      <c r="K290" t="s">
        <v>8</v>
      </c>
      <c r="M290" t="s">
        <v>369</v>
      </c>
      <c r="N290" t="s">
        <v>370</v>
      </c>
      <c r="O290">
        <v>1.93</v>
      </c>
      <c r="P290">
        <v>1.93</v>
      </c>
      <c r="Q290" t="s">
        <v>8</v>
      </c>
    </row>
    <row r="291" spans="1:17" x14ac:dyDescent="0.25">
      <c r="A291" t="s">
        <v>662</v>
      </c>
      <c r="B291" t="s">
        <v>661</v>
      </c>
      <c r="C291" t="s">
        <v>579</v>
      </c>
      <c r="D291" t="s">
        <v>588</v>
      </c>
      <c r="E291" t="s">
        <v>642</v>
      </c>
      <c r="F291">
        <v>3.2</v>
      </c>
      <c r="G291">
        <v>1.36</v>
      </c>
      <c r="H291" t="s">
        <v>10</v>
      </c>
      <c r="J291">
        <v>3.5</v>
      </c>
      <c r="K291" t="s">
        <v>8</v>
      </c>
      <c r="M291" t="s">
        <v>371</v>
      </c>
      <c r="N291" t="s">
        <v>370</v>
      </c>
      <c r="O291">
        <v>3.1</v>
      </c>
      <c r="P291">
        <v>1.39</v>
      </c>
      <c r="Q291" t="s">
        <v>8</v>
      </c>
    </row>
    <row r="292" spans="1:17" x14ac:dyDescent="0.25">
      <c r="A292" t="s">
        <v>662</v>
      </c>
      <c r="B292" t="s">
        <v>661</v>
      </c>
      <c r="C292" t="s">
        <v>579</v>
      </c>
      <c r="D292" t="s">
        <v>586</v>
      </c>
      <c r="E292" t="s">
        <v>641</v>
      </c>
      <c r="F292">
        <v>3.4</v>
      </c>
      <c r="G292">
        <v>1.36</v>
      </c>
      <c r="H292" t="s">
        <v>10</v>
      </c>
      <c r="J292">
        <v>3.4</v>
      </c>
      <c r="K292" t="s">
        <v>8</v>
      </c>
      <c r="M292" t="s">
        <v>371</v>
      </c>
      <c r="N292" t="s">
        <v>370</v>
      </c>
      <c r="O292">
        <v>3.05</v>
      </c>
      <c r="P292">
        <v>1.41</v>
      </c>
      <c r="Q292" t="s">
        <v>8</v>
      </c>
    </row>
    <row r="293" spans="1:17" x14ac:dyDescent="0.25">
      <c r="A293" t="s">
        <v>662</v>
      </c>
      <c r="B293" t="s">
        <v>661</v>
      </c>
      <c r="C293" t="s">
        <v>579</v>
      </c>
      <c r="D293" t="s">
        <v>584</v>
      </c>
      <c r="E293" t="s">
        <v>622</v>
      </c>
      <c r="F293">
        <v>3.4</v>
      </c>
      <c r="G293">
        <v>1.33</v>
      </c>
      <c r="H293" t="s">
        <v>10</v>
      </c>
      <c r="J293">
        <v>3.5</v>
      </c>
      <c r="K293" t="s">
        <v>8</v>
      </c>
      <c r="M293" t="s">
        <v>371</v>
      </c>
      <c r="N293" t="s">
        <v>370</v>
      </c>
      <c r="O293">
        <v>3.05</v>
      </c>
      <c r="P293">
        <v>1.41</v>
      </c>
      <c r="Q293" t="s">
        <v>8</v>
      </c>
    </row>
    <row r="294" spans="1:17" x14ac:dyDescent="0.25">
      <c r="A294" t="s">
        <v>662</v>
      </c>
      <c r="B294" t="s">
        <v>661</v>
      </c>
      <c r="C294" t="s">
        <v>579</v>
      </c>
      <c r="D294" t="s">
        <v>580</v>
      </c>
      <c r="E294" t="s">
        <v>643</v>
      </c>
      <c r="F294">
        <v>3.4</v>
      </c>
      <c r="G294">
        <v>1.34</v>
      </c>
      <c r="H294" t="s">
        <v>10</v>
      </c>
      <c r="J294">
        <v>3.6</v>
      </c>
      <c r="K294" t="s">
        <v>8</v>
      </c>
      <c r="M294" t="s">
        <v>371</v>
      </c>
      <c r="N294" t="s">
        <v>370</v>
      </c>
      <c r="O294">
        <v>3.05</v>
      </c>
      <c r="P294">
        <v>1.4</v>
      </c>
      <c r="Q294" t="s">
        <v>8</v>
      </c>
    </row>
    <row r="295" spans="1:17" x14ac:dyDescent="0.25">
      <c r="A295" t="s">
        <v>662</v>
      </c>
      <c r="B295" t="s">
        <v>661</v>
      </c>
      <c r="C295" t="s">
        <v>579</v>
      </c>
      <c r="D295" t="s">
        <v>585</v>
      </c>
      <c r="E295" t="s">
        <v>644</v>
      </c>
      <c r="F295">
        <v>3.3</v>
      </c>
      <c r="G295">
        <v>1.36</v>
      </c>
      <c r="H295" t="s">
        <v>10</v>
      </c>
      <c r="J295">
        <v>3.55</v>
      </c>
      <c r="K295" t="s">
        <v>8</v>
      </c>
      <c r="M295" t="s">
        <v>371</v>
      </c>
      <c r="N295" t="s">
        <v>370</v>
      </c>
      <c r="O295">
        <v>3.2</v>
      </c>
      <c r="P295">
        <v>1.36</v>
      </c>
      <c r="Q295" t="s">
        <v>8</v>
      </c>
    </row>
    <row r="296" spans="1:17" x14ac:dyDescent="0.25">
      <c r="A296" t="s">
        <v>662</v>
      </c>
      <c r="B296" t="s">
        <v>661</v>
      </c>
      <c r="C296" t="s">
        <v>579</v>
      </c>
      <c r="D296" t="s">
        <v>587</v>
      </c>
      <c r="E296" t="s">
        <v>641</v>
      </c>
      <c r="F296">
        <v>3.25</v>
      </c>
      <c r="G296">
        <v>1.34</v>
      </c>
      <c r="H296" t="s">
        <v>10</v>
      </c>
      <c r="J296">
        <v>3.6</v>
      </c>
      <c r="K296" t="s">
        <v>8</v>
      </c>
      <c r="M296" t="s">
        <v>371</v>
      </c>
      <c r="N296" t="s">
        <v>370</v>
      </c>
      <c r="O296">
        <v>3.1</v>
      </c>
      <c r="P296">
        <v>1.38</v>
      </c>
      <c r="Q296" t="s">
        <v>8</v>
      </c>
    </row>
    <row r="297" spans="1:17" x14ac:dyDescent="0.25">
      <c r="A297" t="s">
        <v>662</v>
      </c>
      <c r="B297" t="s">
        <v>661</v>
      </c>
      <c r="C297" t="s">
        <v>579</v>
      </c>
      <c r="D297" t="s">
        <v>583</v>
      </c>
      <c r="E297" t="s">
        <v>621</v>
      </c>
      <c r="F297">
        <v>3.25</v>
      </c>
      <c r="G297">
        <v>1.34</v>
      </c>
      <c r="H297" t="s">
        <v>10</v>
      </c>
      <c r="J297">
        <v>3.6</v>
      </c>
      <c r="K297" t="s">
        <v>8</v>
      </c>
      <c r="M297" t="s">
        <v>371</v>
      </c>
      <c r="N297" t="s">
        <v>370</v>
      </c>
      <c r="O297">
        <v>3.05</v>
      </c>
      <c r="P297">
        <v>1.41</v>
      </c>
      <c r="Q297" t="s">
        <v>8</v>
      </c>
    </row>
    <row r="298" spans="1:17" x14ac:dyDescent="0.25">
      <c r="A298" t="s">
        <v>662</v>
      </c>
      <c r="B298" t="s">
        <v>661</v>
      </c>
      <c r="C298" t="s">
        <v>579</v>
      </c>
      <c r="D298" t="s">
        <v>581</v>
      </c>
      <c r="E298" t="s">
        <v>594</v>
      </c>
      <c r="F298">
        <v>3.35</v>
      </c>
      <c r="G298">
        <v>1.31</v>
      </c>
      <c r="H298" t="s">
        <v>10</v>
      </c>
      <c r="J298">
        <v>3.65</v>
      </c>
      <c r="K298" t="s">
        <v>8</v>
      </c>
      <c r="M298" t="s">
        <v>371</v>
      </c>
      <c r="N298" t="s">
        <v>370</v>
      </c>
      <c r="O298">
        <v>3.1</v>
      </c>
      <c r="P298">
        <v>1.38</v>
      </c>
      <c r="Q298" t="s">
        <v>8</v>
      </c>
    </row>
    <row r="299" spans="1:17" x14ac:dyDescent="0.25">
      <c r="A299" t="s">
        <v>663</v>
      </c>
      <c r="B299" t="s">
        <v>664</v>
      </c>
      <c r="C299" t="s">
        <v>579</v>
      </c>
      <c r="D299" t="s">
        <v>586</v>
      </c>
      <c r="E299" t="s">
        <v>641</v>
      </c>
      <c r="F299">
        <v>2.1</v>
      </c>
      <c r="G299">
        <v>1.77</v>
      </c>
      <c r="H299" t="s">
        <v>10</v>
      </c>
      <c r="J299">
        <v>3.75</v>
      </c>
      <c r="K299" t="s">
        <v>8</v>
      </c>
      <c r="M299" t="s">
        <v>371</v>
      </c>
      <c r="N299" t="s">
        <v>370</v>
      </c>
      <c r="O299">
        <v>3.05</v>
      </c>
      <c r="P299">
        <v>1.4</v>
      </c>
      <c r="Q299" t="s">
        <v>8</v>
      </c>
    </row>
    <row r="300" spans="1:17" x14ac:dyDescent="0.25">
      <c r="A300" t="s">
        <v>663</v>
      </c>
      <c r="B300" t="s">
        <v>664</v>
      </c>
      <c r="C300" t="s">
        <v>579</v>
      </c>
      <c r="D300" t="s">
        <v>582</v>
      </c>
      <c r="E300" t="s">
        <v>620</v>
      </c>
      <c r="F300">
        <v>2.1</v>
      </c>
      <c r="G300">
        <v>1.77</v>
      </c>
      <c r="H300" t="s">
        <v>10</v>
      </c>
      <c r="J300">
        <v>3.6</v>
      </c>
      <c r="K300" t="s">
        <v>8</v>
      </c>
      <c r="M300" t="s">
        <v>371</v>
      </c>
      <c r="N300" t="s">
        <v>370</v>
      </c>
      <c r="O300">
        <v>3</v>
      </c>
      <c r="P300">
        <v>1.4</v>
      </c>
      <c r="Q300" t="s">
        <v>8</v>
      </c>
    </row>
    <row r="301" spans="1:17" x14ac:dyDescent="0.25">
      <c r="A301" t="s">
        <v>663</v>
      </c>
      <c r="B301" t="s">
        <v>664</v>
      </c>
      <c r="C301" t="s">
        <v>579</v>
      </c>
      <c r="D301" t="s">
        <v>580</v>
      </c>
      <c r="E301" t="s">
        <v>643</v>
      </c>
      <c r="F301">
        <v>2.0499999999999998</v>
      </c>
      <c r="G301">
        <v>1.8</v>
      </c>
      <c r="H301" t="s">
        <v>10</v>
      </c>
      <c r="J301">
        <v>3.65</v>
      </c>
      <c r="K301" t="s">
        <v>8</v>
      </c>
      <c r="M301" t="s">
        <v>371</v>
      </c>
      <c r="N301" t="s">
        <v>370</v>
      </c>
      <c r="O301">
        <v>3.2</v>
      </c>
      <c r="P301">
        <v>1.36</v>
      </c>
      <c r="Q301" t="s">
        <v>8</v>
      </c>
    </row>
    <row r="302" spans="1:17" x14ac:dyDescent="0.25">
      <c r="A302" t="s">
        <v>663</v>
      </c>
      <c r="B302" t="s">
        <v>664</v>
      </c>
      <c r="C302" t="s">
        <v>579</v>
      </c>
      <c r="D302" t="s">
        <v>584</v>
      </c>
      <c r="E302" t="s">
        <v>622</v>
      </c>
      <c r="F302">
        <v>2.0499999999999998</v>
      </c>
      <c r="G302">
        <v>1.8</v>
      </c>
      <c r="H302" t="s">
        <v>10</v>
      </c>
      <c r="J302">
        <v>3.56</v>
      </c>
      <c r="K302" t="s">
        <v>8</v>
      </c>
      <c r="M302" t="s">
        <v>371</v>
      </c>
      <c r="N302" t="s">
        <v>370</v>
      </c>
      <c r="O302">
        <v>3.05</v>
      </c>
      <c r="P302">
        <v>1.39</v>
      </c>
      <c r="Q302" t="s">
        <v>8</v>
      </c>
    </row>
    <row r="303" spans="1:17" x14ac:dyDescent="0.25">
      <c r="A303" t="s">
        <v>663</v>
      </c>
      <c r="B303" t="s">
        <v>664</v>
      </c>
      <c r="C303" t="s">
        <v>579</v>
      </c>
      <c r="D303" t="s">
        <v>581</v>
      </c>
      <c r="E303" t="s">
        <v>594</v>
      </c>
      <c r="F303">
        <v>2</v>
      </c>
      <c r="G303">
        <v>1.78</v>
      </c>
      <c r="H303" t="s">
        <v>10</v>
      </c>
      <c r="J303">
        <v>3.75</v>
      </c>
      <c r="K303" t="s">
        <v>8</v>
      </c>
      <c r="M303" t="s">
        <v>371</v>
      </c>
      <c r="N303" t="s">
        <v>370</v>
      </c>
      <c r="O303">
        <v>3.18</v>
      </c>
      <c r="P303">
        <v>1.39</v>
      </c>
      <c r="Q303" t="s">
        <v>8</v>
      </c>
    </row>
    <row r="304" spans="1:17" x14ac:dyDescent="0.25">
      <c r="A304" t="s">
        <v>663</v>
      </c>
      <c r="B304" t="s">
        <v>664</v>
      </c>
      <c r="C304" t="s">
        <v>579</v>
      </c>
      <c r="D304" t="s">
        <v>585</v>
      </c>
      <c r="E304" t="s">
        <v>644</v>
      </c>
      <c r="F304">
        <v>2.0499999999999998</v>
      </c>
      <c r="G304">
        <v>1.8</v>
      </c>
      <c r="H304" t="s">
        <v>10</v>
      </c>
      <c r="J304">
        <v>3.55</v>
      </c>
      <c r="K304" t="s">
        <v>8</v>
      </c>
      <c r="M304" t="s">
        <v>372</v>
      </c>
      <c r="N304" t="s">
        <v>373</v>
      </c>
      <c r="O304">
        <v>1.6</v>
      </c>
      <c r="P304">
        <v>2.4</v>
      </c>
      <c r="Q304" t="s">
        <v>8</v>
      </c>
    </row>
    <row r="305" spans="1:17" x14ac:dyDescent="0.25">
      <c r="A305" t="s">
        <v>663</v>
      </c>
      <c r="B305" t="s">
        <v>664</v>
      </c>
      <c r="C305" t="s">
        <v>579</v>
      </c>
      <c r="D305" t="s">
        <v>588</v>
      </c>
      <c r="E305" t="s">
        <v>642</v>
      </c>
      <c r="F305">
        <v>2</v>
      </c>
      <c r="G305">
        <v>1.77</v>
      </c>
      <c r="H305" t="s">
        <v>10</v>
      </c>
      <c r="J305">
        <v>1.1599999999999999</v>
      </c>
      <c r="K305" t="s">
        <v>8</v>
      </c>
      <c r="M305" t="s">
        <v>372</v>
      </c>
      <c r="N305" t="s">
        <v>373</v>
      </c>
      <c r="O305">
        <v>1.59</v>
      </c>
      <c r="P305">
        <v>2.5</v>
      </c>
      <c r="Q305" t="s">
        <v>8</v>
      </c>
    </row>
    <row r="306" spans="1:17" x14ac:dyDescent="0.25">
      <c r="A306" t="s">
        <v>663</v>
      </c>
      <c r="B306" t="s">
        <v>664</v>
      </c>
      <c r="C306" t="s">
        <v>579</v>
      </c>
      <c r="D306" t="s">
        <v>587</v>
      </c>
      <c r="E306" t="s">
        <v>641</v>
      </c>
      <c r="F306">
        <v>2.02</v>
      </c>
      <c r="G306">
        <v>1.79</v>
      </c>
      <c r="H306" t="s">
        <v>10</v>
      </c>
      <c r="J306">
        <v>1.18</v>
      </c>
      <c r="K306" t="s">
        <v>8</v>
      </c>
      <c r="M306" t="s">
        <v>372</v>
      </c>
      <c r="N306" t="s">
        <v>373</v>
      </c>
      <c r="O306">
        <v>1.56</v>
      </c>
      <c r="P306">
        <v>2.46</v>
      </c>
      <c r="Q306" t="s">
        <v>8</v>
      </c>
    </row>
    <row r="307" spans="1:17" x14ac:dyDescent="0.25">
      <c r="A307" t="s">
        <v>663</v>
      </c>
      <c r="B307" t="s">
        <v>664</v>
      </c>
      <c r="C307" t="s">
        <v>579</v>
      </c>
      <c r="D307" t="s">
        <v>583</v>
      </c>
      <c r="E307" t="s">
        <v>621</v>
      </c>
      <c r="F307">
        <v>2.02</v>
      </c>
      <c r="G307">
        <v>1.79</v>
      </c>
      <c r="H307" t="s">
        <v>10</v>
      </c>
      <c r="J307">
        <v>1.17</v>
      </c>
      <c r="K307" t="s">
        <v>8</v>
      </c>
      <c r="M307" t="s">
        <v>372</v>
      </c>
      <c r="N307" t="s">
        <v>373</v>
      </c>
      <c r="O307">
        <v>1.57</v>
      </c>
      <c r="P307">
        <v>2.5</v>
      </c>
      <c r="Q307" t="s">
        <v>8</v>
      </c>
    </row>
    <row r="308" spans="1:17" x14ac:dyDescent="0.25">
      <c r="A308" t="s">
        <v>665</v>
      </c>
      <c r="B308" t="s">
        <v>666</v>
      </c>
      <c r="C308" t="s">
        <v>579</v>
      </c>
      <c r="D308" t="s">
        <v>584</v>
      </c>
      <c r="E308" t="s">
        <v>622</v>
      </c>
      <c r="F308">
        <v>2.48</v>
      </c>
      <c r="G308">
        <v>1.56</v>
      </c>
      <c r="H308" t="s">
        <v>10</v>
      </c>
      <c r="J308">
        <v>1.18</v>
      </c>
      <c r="K308" t="s">
        <v>8</v>
      </c>
      <c r="M308" t="s">
        <v>372</v>
      </c>
      <c r="N308" t="s">
        <v>373</v>
      </c>
      <c r="O308">
        <v>1.59</v>
      </c>
      <c r="P308">
        <v>2.4300000000000002</v>
      </c>
      <c r="Q308" t="s">
        <v>8</v>
      </c>
    </row>
    <row r="309" spans="1:17" x14ac:dyDescent="0.25">
      <c r="A309" t="s">
        <v>665</v>
      </c>
      <c r="B309" t="s">
        <v>666</v>
      </c>
      <c r="C309" t="s">
        <v>579</v>
      </c>
      <c r="D309" t="s">
        <v>580</v>
      </c>
      <c r="E309" t="s">
        <v>643</v>
      </c>
      <c r="F309">
        <v>2.5</v>
      </c>
      <c r="G309">
        <v>1.56</v>
      </c>
      <c r="H309" t="s">
        <v>10</v>
      </c>
      <c r="J309">
        <v>1.18</v>
      </c>
      <c r="K309" t="s">
        <v>8</v>
      </c>
      <c r="M309" t="s">
        <v>372</v>
      </c>
      <c r="N309" t="s">
        <v>373</v>
      </c>
      <c r="O309">
        <v>1.6</v>
      </c>
      <c r="P309">
        <v>2.3199999999999998</v>
      </c>
      <c r="Q309" t="s">
        <v>8</v>
      </c>
    </row>
    <row r="310" spans="1:17" x14ac:dyDescent="0.25">
      <c r="A310" t="s">
        <v>665</v>
      </c>
      <c r="B310" t="s">
        <v>666</v>
      </c>
      <c r="C310" t="s">
        <v>579</v>
      </c>
      <c r="D310" t="s">
        <v>586</v>
      </c>
      <c r="E310" t="s">
        <v>641</v>
      </c>
      <c r="F310">
        <v>2.6</v>
      </c>
      <c r="G310">
        <v>1.54</v>
      </c>
      <c r="H310" t="s">
        <v>10</v>
      </c>
      <c r="J310">
        <v>1.1499999999999999</v>
      </c>
      <c r="K310" t="s">
        <v>8</v>
      </c>
      <c r="M310" t="s">
        <v>372</v>
      </c>
      <c r="N310" t="s">
        <v>373</v>
      </c>
      <c r="O310">
        <v>1.59</v>
      </c>
      <c r="P310">
        <v>2.5</v>
      </c>
      <c r="Q310" t="s">
        <v>8</v>
      </c>
    </row>
    <row r="311" spans="1:17" x14ac:dyDescent="0.25">
      <c r="A311" t="s">
        <v>665</v>
      </c>
      <c r="B311" t="s">
        <v>666</v>
      </c>
      <c r="C311" t="s">
        <v>579</v>
      </c>
      <c r="D311" t="s">
        <v>582</v>
      </c>
      <c r="E311" t="s">
        <v>620</v>
      </c>
      <c r="F311">
        <v>2.6</v>
      </c>
      <c r="G311">
        <v>1.54</v>
      </c>
      <c r="H311" t="s">
        <v>10</v>
      </c>
      <c r="J311">
        <v>1.1399999999999999</v>
      </c>
      <c r="K311" t="s">
        <v>8</v>
      </c>
      <c r="M311" t="s">
        <v>372</v>
      </c>
      <c r="N311" t="s">
        <v>373</v>
      </c>
      <c r="O311">
        <v>1.6</v>
      </c>
      <c r="P311">
        <v>2.3199999999999998</v>
      </c>
      <c r="Q311" t="s">
        <v>8</v>
      </c>
    </row>
    <row r="312" spans="1:17" x14ac:dyDescent="0.25">
      <c r="A312" t="s">
        <v>665</v>
      </c>
      <c r="B312" t="s">
        <v>666</v>
      </c>
      <c r="C312" t="s">
        <v>579</v>
      </c>
      <c r="D312" t="s">
        <v>581</v>
      </c>
      <c r="E312" t="s">
        <v>594</v>
      </c>
      <c r="F312">
        <v>2.42</v>
      </c>
      <c r="G312">
        <v>1.54</v>
      </c>
      <c r="H312" t="s">
        <v>10</v>
      </c>
      <c r="J312">
        <v>1.18</v>
      </c>
      <c r="K312" t="s">
        <v>8</v>
      </c>
      <c r="M312" t="s">
        <v>372</v>
      </c>
      <c r="N312" t="s">
        <v>373</v>
      </c>
      <c r="O312">
        <v>1.59</v>
      </c>
      <c r="P312">
        <v>2.48</v>
      </c>
      <c r="Q312" t="s">
        <v>8</v>
      </c>
    </row>
    <row r="313" spans="1:17" x14ac:dyDescent="0.25">
      <c r="A313" t="s">
        <v>665</v>
      </c>
      <c r="B313" t="s">
        <v>666</v>
      </c>
      <c r="C313" t="s">
        <v>579</v>
      </c>
      <c r="D313" t="s">
        <v>588</v>
      </c>
      <c r="E313" t="s">
        <v>642</v>
      </c>
      <c r="F313">
        <v>2.5499999999999998</v>
      </c>
      <c r="G313">
        <v>1.54</v>
      </c>
      <c r="H313" t="s">
        <v>10</v>
      </c>
      <c r="J313">
        <v>1.1499999999999999</v>
      </c>
      <c r="K313" t="s">
        <v>8</v>
      </c>
      <c r="M313" t="s">
        <v>372</v>
      </c>
      <c r="N313" t="s">
        <v>373</v>
      </c>
      <c r="O313">
        <v>1.59</v>
      </c>
      <c r="P313">
        <v>2.4500000000000002</v>
      </c>
      <c r="Q313" t="s">
        <v>8</v>
      </c>
    </row>
    <row r="314" spans="1:17" x14ac:dyDescent="0.25">
      <c r="A314" t="s">
        <v>665</v>
      </c>
      <c r="B314" t="s">
        <v>666</v>
      </c>
      <c r="C314" t="s">
        <v>579</v>
      </c>
      <c r="D314" t="s">
        <v>585</v>
      </c>
      <c r="E314" t="s">
        <v>644</v>
      </c>
      <c r="F314">
        <v>2.6</v>
      </c>
      <c r="G314">
        <v>1.53</v>
      </c>
      <c r="H314" t="s">
        <v>10</v>
      </c>
      <c r="J314">
        <v>1.18</v>
      </c>
      <c r="K314" t="s">
        <v>8</v>
      </c>
      <c r="M314" t="s">
        <v>372</v>
      </c>
      <c r="N314" t="s">
        <v>373</v>
      </c>
      <c r="O314">
        <v>1.54</v>
      </c>
      <c r="P314">
        <v>2.5</v>
      </c>
      <c r="Q314" t="s">
        <v>8</v>
      </c>
    </row>
    <row r="315" spans="1:17" x14ac:dyDescent="0.25">
      <c r="A315" t="s">
        <v>665</v>
      </c>
      <c r="B315" t="s">
        <v>666</v>
      </c>
      <c r="C315" t="s">
        <v>579</v>
      </c>
      <c r="D315" t="s">
        <v>587</v>
      </c>
      <c r="E315" t="s">
        <v>641</v>
      </c>
      <c r="F315">
        <v>2.38</v>
      </c>
      <c r="G315">
        <v>1.57</v>
      </c>
      <c r="H315" t="s">
        <v>10</v>
      </c>
      <c r="J315">
        <v>1.17</v>
      </c>
      <c r="K315" t="s">
        <v>8</v>
      </c>
      <c r="M315" t="s">
        <v>372</v>
      </c>
      <c r="N315" t="s">
        <v>373</v>
      </c>
      <c r="O315">
        <v>1.57</v>
      </c>
      <c r="P315">
        <v>2.4500000000000002</v>
      </c>
      <c r="Q315" t="s">
        <v>8</v>
      </c>
    </row>
    <row r="316" spans="1:17" x14ac:dyDescent="0.25">
      <c r="A316" t="s">
        <v>665</v>
      </c>
      <c r="B316" t="s">
        <v>666</v>
      </c>
      <c r="C316" t="s">
        <v>579</v>
      </c>
      <c r="D316" t="s">
        <v>583</v>
      </c>
      <c r="E316" t="s">
        <v>621</v>
      </c>
      <c r="F316">
        <v>2.38</v>
      </c>
      <c r="G316">
        <v>1.57</v>
      </c>
      <c r="H316" t="s">
        <v>10</v>
      </c>
      <c r="J316">
        <v>1.18</v>
      </c>
      <c r="K316" t="s">
        <v>8</v>
      </c>
      <c r="M316" t="s">
        <v>372</v>
      </c>
      <c r="N316" t="s">
        <v>373</v>
      </c>
      <c r="O316">
        <v>1.54</v>
      </c>
      <c r="P316">
        <v>2.58</v>
      </c>
      <c r="Q316" t="s">
        <v>8</v>
      </c>
    </row>
    <row r="317" spans="1:17" x14ac:dyDescent="0.25">
      <c r="A317" t="s">
        <v>667</v>
      </c>
      <c r="B317" t="s">
        <v>668</v>
      </c>
      <c r="C317" t="s">
        <v>579</v>
      </c>
      <c r="D317" t="s">
        <v>586</v>
      </c>
      <c r="E317" t="s">
        <v>641</v>
      </c>
      <c r="F317">
        <v>2.2599999999999998</v>
      </c>
      <c r="G317">
        <v>1.68</v>
      </c>
      <c r="H317" t="s">
        <v>10</v>
      </c>
      <c r="J317">
        <v>1.93</v>
      </c>
      <c r="K317" t="s">
        <v>8</v>
      </c>
      <c r="M317" t="s">
        <v>374</v>
      </c>
      <c r="N317" t="s">
        <v>373</v>
      </c>
      <c r="O317">
        <v>2.54</v>
      </c>
      <c r="P317">
        <v>1.54</v>
      </c>
      <c r="Q317" t="s">
        <v>8</v>
      </c>
    </row>
    <row r="318" spans="1:17" x14ac:dyDescent="0.25">
      <c r="A318" t="s">
        <v>667</v>
      </c>
      <c r="B318" t="s">
        <v>668</v>
      </c>
      <c r="C318" t="s">
        <v>579</v>
      </c>
      <c r="D318" t="s">
        <v>582</v>
      </c>
      <c r="E318" t="s">
        <v>620</v>
      </c>
      <c r="F318">
        <v>2.2599999999999998</v>
      </c>
      <c r="G318">
        <v>1.69</v>
      </c>
      <c r="H318" t="s">
        <v>10</v>
      </c>
      <c r="J318">
        <v>1.91</v>
      </c>
      <c r="K318" t="s">
        <v>8</v>
      </c>
      <c r="M318" t="s">
        <v>374</v>
      </c>
      <c r="N318" t="s">
        <v>373</v>
      </c>
      <c r="O318">
        <v>2.5</v>
      </c>
      <c r="P318">
        <v>1.59</v>
      </c>
      <c r="Q318" t="s">
        <v>8</v>
      </c>
    </row>
    <row r="319" spans="1:17" x14ac:dyDescent="0.25">
      <c r="A319" t="s">
        <v>667</v>
      </c>
      <c r="B319" t="s">
        <v>668</v>
      </c>
      <c r="C319" t="s">
        <v>579</v>
      </c>
      <c r="D319" t="s">
        <v>580</v>
      </c>
      <c r="E319" t="s">
        <v>643</v>
      </c>
      <c r="F319">
        <v>2.2000000000000002</v>
      </c>
      <c r="G319">
        <v>1.7</v>
      </c>
      <c r="H319" t="s">
        <v>10</v>
      </c>
      <c r="J319">
        <v>1.83</v>
      </c>
      <c r="K319" t="s">
        <v>8</v>
      </c>
      <c r="M319" t="s">
        <v>374</v>
      </c>
      <c r="N319" t="s">
        <v>373</v>
      </c>
      <c r="O319">
        <v>2.5</v>
      </c>
      <c r="P319">
        <v>1.57</v>
      </c>
      <c r="Q319" t="s">
        <v>8</v>
      </c>
    </row>
    <row r="320" spans="1:17" x14ac:dyDescent="0.25">
      <c r="A320" t="s">
        <v>667</v>
      </c>
      <c r="B320" t="s">
        <v>668</v>
      </c>
      <c r="C320" t="s">
        <v>579</v>
      </c>
      <c r="D320" t="s">
        <v>584</v>
      </c>
      <c r="E320" t="s">
        <v>622</v>
      </c>
      <c r="F320">
        <v>2.23</v>
      </c>
      <c r="G320">
        <v>1.67</v>
      </c>
      <c r="H320" t="s">
        <v>10</v>
      </c>
      <c r="J320">
        <v>1.87</v>
      </c>
      <c r="K320" t="s">
        <v>8</v>
      </c>
      <c r="M320" t="s">
        <v>374</v>
      </c>
      <c r="N320" t="s">
        <v>373</v>
      </c>
      <c r="O320">
        <v>2.5</v>
      </c>
      <c r="P320">
        <v>1.56</v>
      </c>
      <c r="Q320" t="s">
        <v>8</v>
      </c>
    </row>
    <row r="321" spans="1:17" x14ac:dyDescent="0.25">
      <c r="A321" t="s">
        <v>667</v>
      </c>
      <c r="B321" t="s">
        <v>668</v>
      </c>
      <c r="C321" t="s">
        <v>579</v>
      </c>
      <c r="D321" t="s">
        <v>581</v>
      </c>
      <c r="E321" t="s">
        <v>594</v>
      </c>
      <c r="F321">
        <v>2.2400000000000002</v>
      </c>
      <c r="G321">
        <v>1.63</v>
      </c>
      <c r="H321" t="s">
        <v>10</v>
      </c>
      <c r="J321">
        <v>1.91</v>
      </c>
      <c r="K321" t="s">
        <v>8</v>
      </c>
      <c r="M321" t="s">
        <v>374</v>
      </c>
      <c r="N321" t="s">
        <v>373</v>
      </c>
      <c r="O321">
        <v>2.4500000000000002</v>
      </c>
      <c r="P321">
        <v>1.56</v>
      </c>
      <c r="Q321" t="s">
        <v>8</v>
      </c>
    </row>
    <row r="322" spans="1:17" x14ac:dyDescent="0.25">
      <c r="A322" t="s">
        <v>667</v>
      </c>
      <c r="B322" t="s">
        <v>668</v>
      </c>
      <c r="C322" t="s">
        <v>579</v>
      </c>
      <c r="D322" t="s">
        <v>588</v>
      </c>
      <c r="E322" t="s">
        <v>642</v>
      </c>
      <c r="F322">
        <v>2.2000000000000002</v>
      </c>
      <c r="G322">
        <v>1.67</v>
      </c>
      <c r="H322" t="s">
        <v>10</v>
      </c>
      <c r="J322">
        <v>1.95</v>
      </c>
      <c r="K322" t="s">
        <v>8</v>
      </c>
      <c r="M322" t="s">
        <v>374</v>
      </c>
      <c r="N322" t="s">
        <v>373</v>
      </c>
      <c r="O322">
        <v>2.5499999999999998</v>
      </c>
      <c r="P322">
        <v>1.53</v>
      </c>
      <c r="Q322" t="s">
        <v>8</v>
      </c>
    </row>
    <row r="323" spans="1:17" x14ac:dyDescent="0.25">
      <c r="A323" t="s">
        <v>667</v>
      </c>
      <c r="B323" t="s">
        <v>668</v>
      </c>
      <c r="C323" t="s">
        <v>579</v>
      </c>
      <c r="D323" t="s">
        <v>585</v>
      </c>
      <c r="E323" t="s">
        <v>644</v>
      </c>
      <c r="F323">
        <v>2.2200000000000002</v>
      </c>
      <c r="G323">
        <v>1.69</v>
      </c>
      <c r="H323" t="s">
        <v>10</v>
      </c>
      <c r="J323">
        <v>1.91</v>
      </c>
      <c r="K323" t="s">
        <v>8</v>
      </c>
      <c r="M323" t="s">
        <v>374</v>
      </c>
      <c r="N323" t="s">
        <v>373</v>
      </c>
      <c r="O323">
        <v>2.5</v>
      </c>
      <c r="P323">
        <v>1.59</v>
      </c>
      <c r="Q323" t="s">
        <v>8</v>
      </c>
    </row>
    <row r="324" spans="1:17" x14ac:dyDescent="0.25">
      <c r="A324" t="s">
        <v>667</v>
      </c>
      <c r="B324" t="s">
        <v>668</v>
      </c>
      <c r="C324" t="s">
        <v>579</v>
      </c>
      <c r="D324" t="s">
        <v>587</v>
      </c>
      <c r="E324" t="s">
        <v>641</v>
      </c>
      <c r="F324">
        <v>2.2000000000000002</v>
      </c>
      <c r="G324">
        <v>1.67</v>
      </c>
      <c r="H324" t="s">
        <v>10</v>
      </c>
      <c r="J324">
        <v>1.91</v>
      </c>
      <c r="K324" t="s">
        <v>8</v>
      </c>
      <c r="M324" t="s">
        <v>374</v>
      </c>
      <c r="N324" t="s">
        <v>373</v>
      </c>
      <c r="O324">
        <v>2.4500000000000002</v>
      </c>
      <c r="P324">
        <v>1.56</v>
      </c>
      <c r="Q324" t="s">
        <v>8</v>
      </c>
    </row>
    <row r="325" spans="1:17" x14ac:dyDescent="0.25">
      <c r="A325" t="s">
        <v>667</v>
      </c>
      <c r="B325" t="s">
        <v>668</v>
      </c>
      <c r="C325" t="s">
        <v>579</v>
      </c>
      <c r="D325" t="s">
        <v>583</v>
      </c>
      <c r="E325" t="s">
        <v>621</v>
      </c>
      <c r="F325">
        <v>2.2000000000000002</v>
      </c>
      <c r="G325">
        <v>1.67</v>
      </c>
      <c r="H325" t="s">
        <v>10</v>
      </c>
      <c r="J325">
        <v>1.91</v>
      </c>
      <c r="K325" t="s">
        <v>8</v>
      </c>
      <c r="M325" t="s">
        <v>374</v>
      </c>
      <c r="N325" t="s">
        <v>373</v>
      </c>
      <c r="O325">
        <v>2.48</v>
      </c>
      <c r="P325">
        <v>1.59</v>
      </c>
      <c r="Q325" t="s">
        <v>8</v>
      </c>
    </row>
    <row r="326" spans="1:17" x14ac:dyDescent="0.25">
      <c r="A326" t="s">
        <v>669</v>
      </c>
      <c r="B326" t="s">
        <v>670</v>
      </c>
      <c r="C326" t="s">
        <v>579</v>
      </c>
      <c r="D326" t="s">
        <v>586</v>
      </c>
      <c r="E326" t="s">
        <v>641</v>
      </c>
      <c r="F326">
        <v>1.53</v>
      </c>
      <c r="G326">
        <v>2.65</v>
      </c>
      <c r="H326" t="s">
        <v>10</v>
      </c>
      <c r="J326">
        <v>1.38</v>
      </c>
      <c r="K326" t="s">
        <v>8</v>
      </c>
      <c r="M326" t="s">
        <v>374</v>
      </c>
      <c r="N326" t="s">
        <v>373</v>
      </c>
      <c r="O326">
        <v>2.5</v>
      </c>
      <c r="P326">
        <v>1.54</v>
      </c>
      <c r="Q326" t="s">
        <v>8</v>
      </c>
    </row>
    <row r="327" spans="1:17" x14ac:dyDescent="0.25">
      <c r="A327" t="s">
        <v>669</v>
      </c>
      <c r="B327" t="s">
        <v>670</v>
      </c>
      <c r="C327" t="s">
        <v>579</v>
      </c>
      <c r="D327" t="s">
        <v>582</v>
      </c>
      <c r="E327" t="s">
        <v>620</v>
      </c>
      <c r="F327">
        <v>1.53</v>
      </c>
      <c r="G327">
        <v>2.65</v>
      </c>
      <c r="H327" t="s">
        <v>10</v>
      </c>
      <c r="J327">
        <v>1.4</v>
      </c>
      <c r="K327" t="s">
        <v>8</v>
      </c>
      <c r="M327" t="s">
        <v>374</v>
      </c>
      <c r="N327" t="s">
        <v>373</v>
      </c>
      <c r="O327">
        <v>2.4500000000000002</v>
      </c>
      <c r="P327">
        <v>1.59</v>
      </c>
      <c r="Q327" t="s">
        <v>8</v>
      </c>
    </row>
    <row r="328" spans="1:17" x14ac:dyDescent="0.25">
      <c r="A328" t="s">
        <v>669</v>
      </c>
      <c r="B328" t="s">
        <v>670</v>
      </c>
      <c r="C328" t="s">
        <v>579</v>
      </c>
      <c r="D328" t="s">
        <v>580</v>
      </c>
      <c r="E328" t="s">
        <v>643</v>
      </c>
      <c r="F328">
        <v>1.56</v>
      </c>
      <c r="G328">
        <v>2.5</v>
      </c>
      <c r="H328" t="s">
        <v>10</v>
      </c>
      <c r="J328">
        <v>1.41</v>
      </c>
      <c r="K328" t="s">
        <v>8</v>
      </c>
      <c r="M328" t="s">
        <v>374</v>
      </c>
      <c r="N328" t="s">
        <v>373</v>
      </c>
      <c r="O328">
        <v>2.5</v>
      </c>
      <c r="P328">
        <v>1.56</v>
      </c>
      <c r="Q328" t="s">
        <v>8</v>
      </c>
    </row>
    <row r="329" spans="1:17" x14ac:dyDescent="0.25">
      <c r="A329" t="s">
        <v>669</v>
      </c>
      <c r="B329" t="s">
        <v>670</v>
      </c>
      <c r="C329" t="s">
        <v>579</v>
      </c>
      <c r="D329" t="s">
        <v>584</v>
      </c>
      <c r="E329" t="s">
        <v>622</v>
      </c>
      <c r="F329">
        <v>1.51</v>
      </c>
      <c r="G329">
        <v>2.6</v>
      </c>
      <c r="H329" t="s">
        <v>10</v>
      </c>
      <c r="J329">
        <v>1.4</v>
      </c>
      <c r="K329" t="s">
        <v>8</v>
      </c>
      <c r="M329" t="s">
        <v>374</v>
      </c>
      <c r="N329" t="s">
        <v>373</v>
      </c>
      <c r="O329">
        <v>2.5299999999999998</v>
      </c>
      <c r="P329">
        <v>1.56</v>
      </c>
      <c r="Q329" t="s">
        <v>8</v>
      </c>
    </row>
    <row r="330" spans="1:17" x14ac:dyDescent="0.25">
      <c r="A330" t="s">
        <v>669</v>
      </c>
      <c r="B330" t="s">
        <v>670</v>
      </c>
      <c r="C330" t="s">
        <v>579</v>
      </c>
      <c r="D330" t="s">
        <v>581</v>
      </c>
      <c r="E330" t="s">
        <v>594</v>
      </c>
      <c r="F330">
        <v>1.53</v>
      </c>
      <c r="G330">
        <v>2.46</v>
      </c>
      <c r="H330" t="s">
        <v>10</v>
      </c>
      <c r="J330">
        <v>1.41</v>
      </c>
      <c r="K330" t="s">
        <v>8</v>
      </c>
      <c r="M330" t="s">
        <v>375</v>
      </c>
      <c r="N330" t="s">
        <v>373</v>
      </c>
      <c r="O330">
        <v>1.74</v>
      </c>
      <c r="P330">
        <v>2.14</v>
      </c>
      <c r="Q330" t="s">
        <v>8</v>
      </c>
    </row>
    <row r="331" spans="1:17" x14ac:dyDescent="0.25">
      <c r="A331" t="s">
        <v>669</v>
      </c>
      <c r="B331" t="s">
        <v>670</v>
      </c>
      <c r="C331" t="s">
        <v>579</v>
      </c>
      <c r="D331" t="s">
        <v>588</v>
      </c>
      <c r="E331" t="s">
        <v>642</v>
      </c>
      <c r="F331">
        <v>1.53</v>
      </c>
      <c r="G331">
        <v>2.6</v>
      </c>
      <c r="H331" t="s">
        <v>10</v>
      </c>
      <c r="J331">
        <v>1.38</v>
      </c>
      <c r="K331" t="s">
        <v>8</v>
      </c>
      <c r="M331" t="s">
        <v>375</v>
      </c>
      <c r="N331" t="s">
        <v>373</v>
      </c>
      <c r="O331">
        <v>1.77</v>
      </c>
      <c r="P331">
        <v>2.1</v>
      </c>
      <c r="Q331" t="s">
        <v>8</v>
      </c>
    </row>
    <row r="332" spans="1:17" x14ac:dyDescent="0.25">
      <c r="A332" t="s">
        <v>669</v>
      </c>
      <c r="B332" t="s">
        <v>670</v>
      </c>
      <c r="C332" t="s">
        <v>579</v>
      </c>
      <c r="D332" t="s">
        <v>585</v>
      </c>
      <c r="E332" t="s">
        <v>644</v>
      </c>
      <c r="F332">
        <v>1.51</v>
      </c>
      <c r="G332">
        <v>2.65</v>
      </c>
      <c r="H332" t="s">
        <v>10</v>
      </c>
      <c r="J332">
        <v>1.4</v>
      </c>
      <c r="K332" t="s">
        <v>8</v>
      </c>
      <c r="M332" t="s">
        <v>375</v>
      </c>
      <c r="N332" t="s">
        <v>373</v>
      </c>
      <c r="O332">
        <v>1.83</v>
      </c>
      <c r="P332">
        <v>2</v>
      </c>
      <c r="Q332" t="s">
        <v>8</v>
      </c>
    </row>
    <row r="333" spans="1:17" x14ac:dyDescent="0.25">
      <c r="A333" t="s">
        <v>669</v>
      </c>
      <c r="B333" t="s">
        <v>670</v>
      </c>
      <c r="C333" t="s">
        <v>579</v>
      </c>
      <c r="D333" t="s">
        <v>587</v>
      </c>
      <c r="E333" t="s">
        <v>641</v>
      </c>
      <c r="F333">
        <v>1.53</v>
      </c>
      <c r="G333">
        <v>2.5</v>
      </c>
      <c r="H333" t="s">
        <v>10</v>
      </c>
      <c r="J333">
        <v>1.38</v>
      </c>
      <c r="K333" t="s">
        <v>8</v>
      </c>
      <c r="M333" t="s">
        <v>375</v>
      </c>
      <c r="N333" t="s">
        <v>373</v>
      </c>
      <c r="O333">
        <v>1.77</v>
      </c>
      <c r="P333">
        <v>2.1</v>
      </c>
      <c r="Q333" t="s">
        <v>8</v>
      </c>
    </row>
    <row r="334" spans="1:17" x14ac:dyDescent="0.25">
      <c r="A334" t="s">
        <v>669</v>
      </c>
      <c r="B334" t="s">
        <v>670</v>
      </c>
      <c r="C334" t="s">
        <v>579</v>
      </c>
      <c r="D334" t="s">
        <v>583</v>
      </c>
      <c r="E334" t="s">
        <v>621</v>
      </c>
      <c r="F334">
        <v>1.53</v>
      </c>
      <c r="G334">
        <v>2.5</v>
      </c>
      <c r="H334" t="s">
        <v>10</v>
      </c>
      <c r="J334">
        <v>1.4</v>
      </c>
      <c r="K334" t="s">
        <v>8</v>
      </c>
      <c r="M334" t="s">
        <v>375</v>
      </c>
      <c r="N334" t="s">
        <v>373</v>
      </c>
      <c r="O334">
        <v>1.74</v>
      </c>
      <c r="P334">
        <v>2.1</v>
      </c>
      <c r="Q334" t="s">
        <v>8</v>
      </c>
    </row>
    <row r="335" spans="1:17" x14ac:dyDescent="0.25">
      <c r="A335" t="s">
        <v>671</v>
      </c>
      <c r="B335" t="s">
        <v>672</v>
      </c>
      <c r="C335" t="s">
        <v>579</v>
      </c>
      <c r="D335" t="s">
        <v>580</v>
      </c>
      <c r="E335" t="s">
        <v>643</v>
      </c>
      <c r="F335">
        <v>1.57</v>
      </c>
      <c r="G335">
        <v>2.4500000000000002</v>
      </c>
      <c r="H335" t="s">
        <v>10</v>
      </c>
      <c r="J335">
        <v>1.4</v>
      </c>
      <c r="K335" t="s">
        <v>8</v>
      </c>
      <c r="M335" t="s">
        <v>375</v>
      </c>
      <c r="N335" t="s">
        <v>373</v>
      </c>
      <c r="O335">
        <v>1.75</v>
      </c>
      <c r="P335">
        <v>2.12</v>
      </c>
      <c r="Q335" t="s">
        <v>8</v>
      </c>
    </row>
    <row r="336" spans="1:17" x14ac:dyDescent="0.25">
      <c r="A336" t="s">
        <v>671</v>
      </c>
      <c r="B336" t="s">
        <v>672</v>
      </c>
      <c r="C336" t="s">
        <v>579</v>
      </c>
      <c r="D336" t="s">
        <v>582</v>
      </c>
      <c r="E336" t="s">
        <v>620</v>
      </c>
      <c r="F336">
        <v>1.57</v>
      </c>
      <c r="G336">
        <v>2.5</v>
      </c>
      <c r="H336" t="s">
        <v>10</v>
      </c>
      <c r="J336">
        <v>1.36</v>
      </c>
      <c r="K336" t="s">
        <v>8</v>
      </c>
      <c r="M336" t="s">
        <v>375</v>
      </c>
      <c r="N336" t="s">
        <v>373</v>
      </c>
      <c r="O336">
        <v>1.77</v>
      </c>
      <c r="P336">
        <v>2.1</v>
      </c>
      <c r="Q336" t="s">
        <v>8</v>
      </c>
    </row>
    <row r="337" spans="1:17" x14ac:dyDescent="0.25">
      <c r="A337" t="s">
        <v>671</v>
      </c>
      <c r="B337" t="s">
        <v>672</v>
      </c>
      <c r="C337" t="s">
        <v>579</v>
      </c>
      <c r="D337" t="s">
        <v>581</v>
      </c>
      <c r="E337" t="s">
        <v>594</v>
      </c>
      <c r="F337">
        <v>1.52</v>
      </c>
      <c r="G337">
        <v>2.48</v>
      </c>
      <c r="H337" t="s">
        <v>10</v>
      </c>
      <c r="J337">
        <v>1.39</v>
      </c>
      <c r="K337" t="s">
        <v>8</v>
      </c>
      <c r="M337" t="s">
        <v>375</v>
      </c>
      <c r="N337" t="s">
        <v>373</v>
      </c>
      <c r="O337">
        <v>1.74</v>
      </c>
      <c r="P337">
        <v>2.1</v>
      </c>
      <c r="Q337" t="s">
        <v>8</v>
      </c>
    </row>
    <row r="338" spans="1:17" x14ac:dyDescent="0.25">
      <c r="A338" t="s">
        <v>671</v>
      </c>
      <c r="B338" t="s">
        <v>672</v>
      </c>
      <c r="C338" t="s">
        <v>579</v>
      </c>
      <c r="D338" t="s">
        <v>586</v>
      </c>
      <c r="E338" t="s">
        <v>641</v>
      </c>
      <c r="F338">
        <v>1.57</v>
      </c>
      <c r="G338">
        <v>2.5</v>
      </c>
      <c r="H338" t="s">
        <v>10</v>
      </c>
      <c r="J338">
        <v>2.54</v>
      </c>
      <c r="K338" t="s">
        <v>8</v>
      </c>
      <c r="M338" t="s">
        <v>375</v>
      </c>
      <c r="N338" t="s">
        <v>373</v>
      </c>
      <c r="O338">
        <v>1.83</v>
      </c>
      <c r="P338">
        <v>2</v>
      </c>
      <c r="Q338" t="s">
        <v>8</v>
      </c>
    </row>
    <row r="339" spans="1:17" x14ac:dyDescent="0.25">
      <c r="A339" t="s">
        <v>673</v>
      </c>
      <c r="B339" t="s">
        <v>674</v>
      </c>
      <c r="C339" t="s">
        <v>579</v>
      </c>
      <c r="D339" t="s">
        <v>580</v>
      </c>
      <c r="E339" t="s">
        <v>643</v>
      </c>
      <c r="F339">
        <v>2.8</v>
      </c>
      <c r="G339">
        <v>1.46</v>
      </c>
      <c r="H339" t="s">
        <v>10</v>
      </c>
      <c r="J339">
        <v>2.5</v>
      </c>
      <c r="K339" t="s">
        <v>8</v>
      </c>
      <c r="M339" t="s">
        <v>375</v>
      </c>
      <c r="N339" t="s">
        <v>373</v>
      </c>
      <c r="O339">
        <v>1.74</v>
      </c>
      <c r="P339">
        <v>2.1</v>
      </c>
      <c r="Q339" t="s">
        <v>8</v>
      </c>
    </row>
    <row r="340" spans="1:17" x14ac:dyDescent="0.25">
      <c r="A340" t="s">
        <v>673</v>
      </c>
      <c r="B340" t="s">
        <v>674</v>
      </c>
      <c r="C340" t="s">
        <v>579</v>
      </c>
      <c r="D340" t="s">
        <v>582</v>
      </c>
      <c r="E340" t="s">
        <v>620</v>
      </c>
      <c r="F340">
        <v>2.85</v>
      </c>
      <c r="G340">
        <v>1.46</v>
      </c>
      <c r="H340" t="s">
        <v>10</v>
      </c>
      <c r="J340">
        <v>2.58</v>
      </c>
      <c r="K340" t="s">
        <v>8</v>
      </c>
      <c r="M340" t="s">
        <v>375</v>
      </c>
      <c r="N340" t="s">
        <v>373</v>
      </c>
      <c r="O340">
        <v>1.77</v>
      </c>
      <c r="P340">
        <v>2.1</v>
      </c>
      <c r="Q340" t="s">
        <v>8</v>
      </c>
    </row>
    <row r="341" spans="1:17" x14ac:dyDescent="0.25">
      <c r="A341" t="s">
        <v>673</v>
      </c>
      <c r="B341" t="s">
        <v>674</v>
      </c>
      <c r="C341" t="s">
        <v>579</v>
      </c>
      <c r="D341" t="s">
        <v>581</v>
      </c>
      <c r="E341" t="s">
        <v>594</v>
      </c>
      <c r="F341">
        <v>2.8</v>
      </c>
      <c r="G341">
        <v>1.43</v>
      </c>
      <c r="H341" t="s">
        <v>10</v>
      </c>
      <c r="J341">
        <v>2.5499999999999998</v>
      </c>
      <c r="K341" t="s">
        <v>8</v>
      </c>
      <c r="M341" t="s">
        <v>375</v>
      </c>
      <c r="N341" t="s">
        <v>373</v>
      </c>
      <c r="O341">
        <v>1.76</v>
      </c>
      <c r="P341">
        <v>2.1</v>
      </c>
      <c r="Q341" t="s">
        <v>8</v>
      </c>
    </row>
    <row r="342" spans="1:17" x14ac:dyDescent="0.25">
      <c r="A342" t="s">
        <v>673</v>
      </c>
      <c r="B342" t="s">
        <v>674</v>
      </c>
      <c r="C342" t="s">
        <v>579</v>
      </c>
      <c r="D342" t="s">
        <v>586</v>
      </c>
      <c r="E342" t="s">
        <v>641</v>
      </c>
      <c r="F342">
        <v>2.85</v>
      </c>
      <c r="G342">
        <v>1.46</v>
      </c>
      <c r="H342" t="s">
        <v>10</v>
      </c>
      <c r="J342">
        <v>2.58</v>
      </c>
      <c r="K342" t="s">
        <v>8</v>
      </c>
      <c r="M342" t="s">
        <v>375</v>
      </c>
      <c r="N342" t="s">
        <v>373</v>
      </c>
      <c r="O342">
        <v>1.74</v>
      </c>
      <c r="P342">
        <v>2.17</v>
      </c>
      <c r="Q342" t="s">
        <v>8</v>
      </c>
    </row>
    <row r="343" spans="1:17" x14ac:dyDescent="0.25">
      <c r="A343" t="s">
        <v>675</v>
      </c>
      <c r="B343" t="s">
        <v>676</v>
      </c>
      <c r="C343" t="s">
        <v>579</v>
      </c>
      <c r="D343" t="s">
        <v>580</v>
      </c>
      <c r="E343" t="s">
        <v>643</v>
      </c>
      <c r="F343">
        <v>2.5</v>
      </c>
      <c r="G343">
        <v>1.56</v>
      </c>
      <c r="H343" t="s">
        <v>10</v>
      </c>
      <c r="J343">
        <v>2.4500000000000002</v>
      </c>
      <c r="K343" t="s">
        <v>8</v>
      </c>
      <c r="M343" t="s">
        <v>376</v>
      </c>
      <c r="N343" t="s">
        <v>373</v>
      </c>
      <c r="O343">
        <v>3.25</v>
      </c>
      <c r="P343">
        <v>1.36</v>
      </c>
      <c r="Q343" t="s">
        <v>8</v>
      </c>
    </row>
    <row r="344" spans="1:17" x14ac:dyDescent="0.25">
      <c r="A344" t="s">
        <v>675</v>
      </c>
      <c r="B344" t="s">
        <v>676</v>
      </c>
      <c r="C344" t="s">
        <v>579</v>
      </c>
      <c r="D344" t="s">
        <v>582</v>
      </c>
      <c r="E344" t="s">
        <v>620</v>
      </c>
      <c r="F344">
        <v>2.5499999999999998</v>
      </c>
      <c r="G344">
        <v>1.56</v>
      </c>
      <c r="H344" t="s">
        <v>10</v>
      </c>
      <c r="J344">
        <v>2.5</v>
      </c>
      <c r="K344" t="s">
        <v>8</v>
      </c>
      <c r="M344" t="s">
        <v>376</v>
      </c>
      <c r="N344" t="s">
        <v>373</v>
      </c>
      <c r="O344">
        <v>3.35</v>
      </c>
      <c r="P344">
        <v>1.36</v>
      </c>
      <c r="Q344" t="s">
        <v>8</v>
      </c>
    </row>
    <row r="345" spans="1:17" x14ac:dyDescent="0.25">
      <c r="A345" t="s">
        <v>675</v>
      </c>
      <c r="B345" t="s">
        <v>676</v>
      </c>
      <c r="C345" t="s">
        <v>579</v>
      </c>
      <c r="D345" t="s">
        <v>581</v>
      </c>
      <c r="E345" t="s">
        <v>594</v>
      </c>
      <c r="F345">
        <v>2.48</v>
      </c>
      <c r="G345">
        <v>1.52</v>
      </c>
      <c r="H345" t="s">
        <v>10</v>
      </c>
      <c r="J345">
        <v>2.4500000000000002</v>
      </c>
      <c r="K345" t="s">
        <v>8</v>
      </c>
      <c r="M345" t="s">
        <v>376</v>
      </c>
      <c r="N345" t="s">
        <v>373</v>
      </c>
      <c r="O345">
        <v>3.4</v>
      </c>
      <c r="P345">
        <v>1.34</v>
      </c>
      <c r="Q345" t="s">
        <v>8</v>
      </c>
    </row>
    <row r="346" spans="1:17" x14ac:dyDescent="0.25">
      <c r="A346" t="s">
        <v>675</v>
      </c>
      <c r="B346" t="s">
        <v>676</v>
      </c>
      <c r="C346" t="s">
        <v>579</v>
      </c>
      <c r="D346" t="s">
        <v>586</v>
      </c>
      <c r="E346" t="s">
        <v>641</v>
      </c>
      <c r="F346">
        <v>2.5499999999999998</v>
      </c>
      <c r="G346">
        <v>1.56</v>
      </c>
      <c r="H346" t="s">
        <v>10</v>
      </c>
      <c r="J346">
        <v>2.48</v>
      </c>
      <c r="K346" t="s">
        <v>8</v>
      </c>
      <c r="M346" t="s">
        <v>376</v>
      </c>
      <c r="N346" t="s">
        <v>373</v>
      </c>
      <c r="O346">
        <v>3.28</v>
      </c>
      <c r="P346">
        <v>1.35</v>
      </c>
      <c r="Q346" t="s">
        <v>8</v>
      </c>
    </row>
    <row r="347" spans="1:17" x14ac:dyDescent="0.25">
      <c r="A347" t="s">
        <v>677</v>
      </c>
      <c r="B347" t="s">
        <v>678</v>
      </c>
      <c r="C347" t="s">
        <v>579</v>
      </c>
      <c r="D347" t="s">
        <v>580</v>
      </c>
      <c r="E347" t="s">
        <v>643</v>
      </c>
      <c r="F347">
        <v>1.6</v>
      </c>
      <c r="G347">
        <v>2.4</v>
      </c>
      <c r="H347" t="s">
        <v>10</v>
      </c>
      <c r="J347">
        <v>2.5499999999999998</v>
      </c>
      <c r="K347" t="s">
        <v>8</v>
      </c>
      <c r="M347" t="s">
        <v>376</v>
      </c>
      <c r="N347" t="s">
        <v>373</v>
      </c>
      <c r="O347">
        <v>3.3</v>
      </c>
      <c r="P347">
        <v>1.34</v>
      </c>
      <c r="Q347" t="s">
        <v>8</v>
      </c>
    </row>
    <row r="348" spans="1:17" x14ac:dyDescent="0.25">
      <c r="A348" t="s">
        <v>677</v>
      </c>
      <c r="B348" t="s">
        <v>678</v>
      </c>
      <c r="C348" t="s">
        <v>579</v>
      </c>
      <c r="D348" t="s">
        <v>582</v>
      </c>
      <c r="E348" t="s">
        <v>620</v>
      </c>
      <c r="F348">
        <v>1.58</v>
      </c>
      <c r="G348">
        <v>2.48</v>
      </c>
      <c r="H348" t="s">
        <v>10</v>
      </c>
      <c r="J348">
        <v>2.6</v>
      </c>
      <c r="K348" t="s">
        <v>8</v>
      </c>
      <c r="M348" t="s">
        <v>376</v>
      </c>
      <c r="N348" t="s">
        <v>373</v>
      </c>
      <c r="O348">
        <v>3.25</v>
      </c>
      <c r="P348">
        <v>1.36</v>
      </c>
      <c r="Q348" t="s">
        <v>8</v>
      </c>
    </row>
    <row r="349" spans="1:17" x14ac:dyDescent="0.25">
      <c r="A349" t="s">
        <v>677</v>
      </c>
      <c r="B349" t="s">
        <v>678</v>
      </c>
      <c r="C349" t="s">
        <v>579</v>
      </c>
      <c r="D349" t="s">
        <v>581</v>
      </c>
      <c r="E349" t="s">
        <v>594</v>
      </c>
      <c r="F349">
        <v>1.56</v>
      </c>
      <c r="G349">
        <v>2.4</v>
      </c>
      <c r="H349" t="s">
        <v>10</v>
      </c>
      <c r="J349">
        <v>2.5499999999999998</v>
      </c>
      <c r="K349" t="s">
        <v>8</v>
      </c>
      <c r="M349" t="s">
        <v>376</v>
      </c>
      <c r="N349" t="s">
        <v>373</v>
      </c>
      <c r="O349">
        <v>3.35</v>
      </c>
      <c r="P349">
        <v>1.36</v>
      </c>
      <c r="Q349" t="s">
        <v>8</v>
      </c>
    </row>
    <row r="350" spans="1:17" x14ac:dyDescent="0.25">
      <c r="A350" t="s">
        <v>677</v>
      </c>
      <c r="B350" t="s">
        <v>678</v>
      </c>
      <c r="C350" t="s">
        <v>579</v>
      </c>
      <c r="D350" t="s">
        <v>586</v>
      </c>
      <c r="E350" t="s">
        <v>641</v>
      </c>
      <c r="F350">
        <v>1.58</v>
      </c>
      <c r="G350">
        <v>2.48</v>
      </c>
      <c r="H350" t="s">
        <v>10</v>
      </c>
      <c r="J350">
        <v>1.54</v>
      </c>
      <c r="K350" t="s">
        <v>8</v>
      </c>
      <c r="M350" t="s">
        <v>376</v>
      </c>
      <c r="N350" t="s">
        <v>373</v>
      </c>
      <c r="O350">
        <v>3.3</v>
      </c>
      <c r="P350">
        <v>1.34</v>
      </c>
      <c r="Q350" t="s">
        <v>8</v>
      </c>
    </row>
    <row r="351" spans="1:17" x14ac:dyDescent="0.25">
      <c r="A351" t="s">
        <v>679</v>
      </c>
      <c r="B351" t="s">
        <v>680</v>
      </c>
      <c r="C351" t="s">
        <v>579</v>
      </c>
      <c r="D351" t="s">
        <v>580</v>
      </c>
      <c r="E351" t="s">
        <v>643</v>
      </c>
      <c r="F351">
        <v>1.39</v>
      </c>
      <c r="G351">
        <v>3.1</v>
      </c>
      <c r="H351" t="s">
        <v>10</v>
      </c>
      <c r="J351">
        <v>1.59</v>
      </c>
      <c r="K351" t="s">
        <v>8</v>
      </c>
      <c r="M351" t="s">
        <v>376</v>
      </c>
      <c r="N351" t="s">
        <v>373</v>
      </c>
      <c r="O351">
        <v>3.3</v>
      </c>
      <c r="P351">
        <v>1.36</v>
      </c>
      <c r="Q351" t="s">
        <v>8</v>
      </c>
    </row>
    <row r="352" spans="1:17" x14ac:dyDescent="0.25">
      <c r="A352" t="s">
        <v>679</v>
      </c>
      <c r="B352" t="s">
        <v>680</v>
      </c>
      <c r="C352" t="s">
        <v>579</v>
      </c>
      <c r="D352" t="s">
        <v>582</v>
      </c>
      <c r="E352" t="s">
        <v>620</v>
      </c>
      <c r="F352">
        <v>1.43</v>
      </c>
      <c r="G352">
        <v>3</v>
      </c>
      <c r="H352" t="s">
        <v>10</v>
      </c>
      <c r="J352">
        <v>1.57</v>
      </c>
      <c r="K352" t="s">
        <v>8</v>
      </c>
      <c r="M352" t="s">
        <v>376</v>
      </c>
      <c r="N352" t="s">
        <v>373</v>
      </c>
      <c r="O352">
        <v>3.4</v>
      </c>
      <c r="P352">
        <v>1.33</v>
      </c>
      <c r="Q352" t="s">
        <v>8</v>
      </c>
    </row>
    <row r="353" spans="1:17" x14ac:dyDescent="0.25">
      <c r="A353" t="s">
        <v>679</v>
      </c>
      <c r="B353" t="s">
        <v>680</v>
      </c>
      <c r="C353" t="s">
        <v>579</v>
      </c>
      <c r="D353" t="s">
        <v>581</v>
      </c>
      <c r="E353" t="s">
        <v>594</v>
      </c>
      <c r="F353">
        <v>1.36</v>
      </c>
      <c r="G353">
        <v>3.1</v>
      </c>
      <c r="H353" t="s">
        <v>10</v>
      </c>
      <c r="J353">
        <v>1.59</v>
      </c>
      <c r="K353" t="s">
        <v>8</v>
      </c>
      <c r="M353" t="s">
        <v>376</v>
      </c>
      <c r="N353" t="s">
        <v>373</v>
      </c>
      <c r="O353">
        <v>3.3</v>
      </c>
      <c r="P353">
        <v>1.36</v>
      </c>
      <c r="Q353" t="s">
        <v>8</v>
      </c>
    </row>
    <row r="354" spans="1:17" x14ac:dyDescent="0.25">
      <c r="A354" t="s">
        <v>679</v>
      </c>
      <c r="B354" t="s">
        <v>680</v>
      </c>
      <c r="C354" t="s">
        <v>579</v>
      </c>
      <c r="D354" t="s">
        <v>586</v>
      </c>
      <c r="E354" t="s">
        <v>641</v>
      </c>
      <c r="F354">
        <v>1.43</v>
      </c>
      <c r="G354">
        <v>3</v>
      </c>
      <c r="H354" t="s">
        <v>10</v>
      </c>
      <c r="J354">
        <v>1.56</v>
      </c>
      <c r="K354" t="s">
        <v>8</v>
      </c>
      <c r="M354" t="s">
        <v>376</v>
      </c>
      <c r="N354" t="s">
        <v>373</v>
      </c>
      <c r="O354">
        <v>3.3</v>
      </c>
      <c r="P354">
        <v>1.34</v>
      </c>
      <c r="Q354" t="s">
        <v>8</v>
      </c>
    </row>
    <row r="355" spans="1:17" x14ac:dyDescent="0.25">
      <c r="A355" t="s">
        <v>681</v>
      </c>
      <c r="B355" t="s">
        <v>682</v>
      </c>
      <c r="C355" t="s">
        <v>579</v>
      </c>
      <c r="D355" t="s">
        <v>582</v>
      </c>
      <c r="E355" t="s">
        <v>620</v>
      </c>
      <c r="F355">
        <v>1.4</v>
      </c>
      <c r="G355">
        <v>3.1</v>
      </c>
      <c r="H355" t="s">
        <v>10</v>
      </c>
      <c r="J355">
        <v>1.52</v>
      </c>
      <c r="K355" t="s">
        <v>8</v>
      </c>
      <c r="M355" t="s">
        <v>376</v>
      </c>
      <c r="N355" t="s">
        <v>373</v>
      </c>
      <c r="O355">
        <v>3.5</v>
      </c>
      <c r="P355">
        <v>1.33</v>
      </c>
      <c r="Q355" t="s">
        <v>8</v>
      </c>
    </row>
    <row r="356" spans="1:17" x14ac:dyDescent="0.25">
      <c r="A356" t="s">
        <v>681</v>
      </c>
      <c r="B356" t="s">
        <v>682</v>
      </c>
      <c r="C356" t="s">
        <v>579</v>
      </c>
      <c r="D356" t="s">
        <v>586</v>
      </c>
      <c r="E356" t="s">
        <v>641</v>
      </c>
      <c r="F356">
        <v>1.4</v>
      </c>
      <c r="G356">
        <v>3.1</v>
      </c>
      <c r="H356" t="s">
        <v>10</v>
      </c>
      <c r="J356">
        <v>1.59</v>
      </c>
      <c r="K356" t="s">
        <v>8</v>
      </c>
      <c r="M356" t="s">
        <v>377</v>
      </c>
      <c r="N356" t="s">
        <v>373</v>
      </c>
      <c r="O356">
        <v>1.21</v>
      </c>
      <c r="P356">
        <v>4.5999999999999996</v>
      </c>
      <c r="Q356" t="s">
        <v>8</v>
      </c>
    </row>
    <row r="357" spans="1:17" x14ac:dyDescent="0.25">
      <c r="A357" t="s">
        <v>681</v>
      </c>
      <c r="B357" t="s">
        <v>682</v>
      </c>
      <c r="C357" t="s">
        <v>579</v>
      </c>
      <c r="D357" t="s">
        <v>581</v>
      </c>
      <c r="E357" t="s">
        <v>594</v>
      </c>
      <c r="F357">
        <v>1.31</v>
      </c>
      <c r="G357">
        <v>3.35</v>
      </c>
      <c r="H357" t="s">
        <v>10</v>
      </c>
      <c r="J357">
        <v>1.56</v>
      </c>
      <c r="K357" t="s">
        <v>8</v>
      </c>
      <c r="M357" t="s">
        <v>377</v>
      </c>
      <c r="N357" t="s">
        <v>373</v>
      </c>
      <c r="O357">
        <v>1.22</v>
      </c>
      <c r="P357">
        <v>4.7</v>
      </c>
      <c r="Q357" t="s">
        <v>8</v>
      </c>
    </row>
    <row r="358" spans="1:17" x14ac:dyDescent="0.25">
      <c r="A358" t="s">
        <v>681</v>
      </c>
      <c r="B358" t="s">
        <v>682</v>
      </c>
      <c r="C358" t="s">
        <v>579</v>
      </c>
      <c r="D358" t="s">
        <v>584</v>
      </c>
      <c r="E358" t="s">
        <v>622</v>
      </c>
      <c r="F358">
        <v>1.31</v>
      </c>
      <c r="G358">
        <v>3.6</v>
      </c>
      <c r="H358" t="s">
        <v>10</v>
      </c>
      <c r="J358">
        <v>1.59</v>
      </c>
      <c r="K358" t="s">
        <v>8</v>
      </c>
      <c r="M358" t="s">
        <v>377</v>
      </c>
      <c r="N358" t="s">
        <v>373</v>
      </c>
      <c r="O358">
        <v>1.21</v>
      </c>
      <c r="P358">
        <v>4.5</v>
      </c>
      <c r="Q358" t="s">
        <v>8</v>
      </c>
    </row>
    <row r="359" spans="1:17" x14ac:dyDescent="0.25">
      <c r="A359" t="s">
        <v>681</v>
      </c>
      <c r="B359" t="s">
        <v>682</v>
      </c>
      <c r="C359" t="s">
        <v>579</v>
      </c>
      <c r="D359" t="s">
        <v>580</v>
      </c>
      <c r="E359" t="s">
        <v>643</v>
      </c>
      <c r="F359">
        <v>1.34</v>
      </c>
      <c r="G359">
        <v>3.4</v>
      </c>
      <c r="H359" t="s">
        <v>10</v>
      </c>
      <c r="J359">
        <v>1.54</v>
      </c>
      <c r="K359" t="s">
        <v>8</v>
      </c>
      <c r="M359" t="s">
        <v>377</v>
      </c>
      <c r="N359" t="s">
        <v>373</v>
      </c>
      <c r="O359">
        <v>1.2</v>
      </c>
      <c r="P359">
        <v>4.75</v>
      </c>
      <c r="Q359" t="s">
        <v>8</v>
      </c>
    </row>
    <row r="360" spans="1:17" x14ac:dyDescent="0.25">
      <c r="A360" t="s">
        <v>681</v>
      </c>
      <c r="B360" t="s">
        <v>682</v>
      </c>
      <c r="C360" t="s">
        <v>579</v>
      </c>
      <c r="D360" t="s">
        <v>587</v>
      </c>
      <c r="E360" t="s">
        <v>641</v>
      </c>
      <c r="F360">
        <v>1.3</v>
      </c>
      <c r="G360">
        <v>3.5</v>
      </c>
      <c r="H360" t="s">
        <v>10</v>
      </c>
      <c r="J360">
        <v>1.59</v>
      </c>
      <c r="K360" t="s">
        <v>8</v>
      </c>
      <c r="M360" t="s">
        <v>377</v>
      </c>
      <c r="N360" t="s">
        <v>373</v>
      </c>
      <c r="O360">
        <v>1.18</v>
      </c>
      <c r="P360">
        <v>5</v>
      </c>
      <c r="Q360" t="s">
        <v>8</v>
      </c>
    </row>
    <row r="361" spans="1:17" x14ac:dyDescent="0.25">
      <c r="A361" t="s">
        <v>681</v>
      </c>
      <c r="B361" t="s">
        <v>682</v>
      </c>
      <c r="C361" t="s">
        <v>579</v>
      </c>
      <c r="D361" t="s">
        <v>583</v>
      </c>
      <c r="E361" t="s">
        <v>621</v>
      </c>
      <c r="F361">
        <v>1.3</v>
      </c>
      <c r="G361">
        <v>3.5</v>
      </c>
      <c r="H361" t="s">
        <v>10</v>
      </c>
      <c r="J361">
        <v>1.57</v>
      </c>
      <c r="K361" t="s">
        <v>8</v>
      </c>
      <c r="M361" t="s">
        <v>377</v>
      </c>
      <c r="N361" t="s">
        <v>373</v>
      </c>
      <c r="O361">
        <v>1.19</v>
      </c>
      <c r="P361">
        <v>4.9000000000000004</v>
      </c>
      <c r="Q361" t="s">
        <v>8</v>
      </c>
    </row>
    <row r="362" spans="1:17" x14ac:dyDescent="0.25">
      <c r="A362" t="s">
        <v>681</v>
      </c>
      <c r="B362" t="s">
        <v>682</v>
      </c>
      <c r="C362" t="s">
        <v>579</v>
      </c>
      <c r="D362" t="s">
        <v>589</v>
      </c>
      <c r="E362" t="s">
        <v>623</v>
      </c>
      <c r="F362">
        <v>1.4</v>
      </c>
      <c r="G362">
        <v>3</v>
      </c>
      <c r="H362" t="s">
        <v>10</v>
      </c>
      <c r="J362">
        <v>2.0499999999999998</v>
      </c>
      <c r="K362" t="s">
        <v>8</v>
      </c>
      <c r="M362" t="s">
        <v>377</v>
      </c>
      <c r="N362" t="s">
        <v>373</v>
      </c>
      <c r="O362">
        <v>1.19</v>
      </c>
      <c r="P362">
        <v>4.9000000000000004</v>
      </c>
      <c r="Q362" t="s">
        <v>8</v>
      </c>
    </row>
    <row r="363" spans="1:17" x14ac:dyDescent="0.25">
      <c r="A363" t="s">
        <v>683</v>
      </c>
      <c r="B363" t="s">
        <v>684</v>
      </c>
      <c r="C363" t="s">
        <v>579</v>
      </c>
      <c r="D363" t="s">
        <v>582</v>
      </c>
      <c r="E363" t="s">
        <v>620</v>
      </c>
      <c r="F363">
        <v>1.18</v>
      </c>
      <c r="G363">
        <v>4.8499999999999996</v>
      </c>
      <c r="H363" t="s">
        <v>10</v>
      </c>
      <c r="J363">
        <v>2.2000000000000002</v>
      </c>
      <c r="K363" t="s">
        <v>8</v>
      </c>
      <c r="M363" t="s">
        <v>377</v>
      </c>
      <c r="N363" t="s">
        <v>373</v>
      </c>
      <c r="O363">
        <v>1.22</v>
      </c>
      <c r="P363">
        <v>4.7</v>
      </c>
      <c r="Q363" t="s">
        <v>8</v>
      </c>
    </row>
    <row r="364" spans="1:17" x14ac:dyDescent="0.25">
      <c r="A364" t="s">
        <v>683</v>
      </c>
      <c r="B364" t="s">
        <v>684</v>
      </c>
      <c r="C364" t="s">
        <v>579</v>
      </c>
      <c r="D364" t="s">
        <v>586</v>
      </c>
      <c r="E364" t="s">
        <v>641</v>
      </c>
      <c r="F364">
        <v>1.18</v>
      </c>
      <c r="G364">
        <v>4.8499999999999996</v>
      </c>
      <c r="H364" t="s">
        <v>10</v>
      </c>
      <c r="J364">
        <v>2.15</v>
      </c>
      <c r="K364" t="s">
        <v>8</v>
      </c>
      <c r="M364" t="s">
        <v>377</v>
      </c>
      <c r="N364" t="s">
        <v>373</v>
      </c>
      <c r="O364">
        <v>1.19</v>
      </c>
      <c r="P364">
        <v>4.9000000000000004</v>
      </c>
      <c r="Q364" t="s">
        <v>8</v>
      </c>
    </row>
    <row r="365" spans="1:17" x14ac:dyDescent="0.25">
      <c r="A365" t="s">
        <v>683</v>
      </c>
      <c r="B365" t="s">
        <v>684</v>
      </c>
      <c r="C365" t="s">
        <v>579</v>
      </c>
      <c r="D365" t="s">
        <v>581</v>
      </c>
      <c r="E365" t="s">
        <v>594</v>
      </c>
      <c r="F365">
        <v>1.19</v>
      </c>
      <c r="G365">
        <v>4.5</v>
      </c>
      <c r="H365" t="s">
        <v>10</v>
      </c>
      <c r="J365">
        <v>2.15</v>
      </c>
      <c r="K365" t="s">
        <v>8</v>
      </c>
      <c r="M365" t="s">
        <v>377</v>
      </c>
      <c r="N365" t="s">
        <v>373</v>
      </c>
      <c r="O365">
        <v>1.21</v>
      </c>
      <c r="P365">
        <v>4.5999999999999996</v>
      </c>
      <c r="Q365" t="s">
        <v>8</v>
      </c>
    </row>
    <row r="366" spans="1:17" x14ac:dyDescent="0.25">
      <c r="A366" t="s">
        <v>683</v>
      </c>
      <c r="B366" t="s">
        <v>684</v>
      </c>
      <c r="C366" t="s">
        <v>579</v>
      </c>
      <c r="D366" t="s">
        <v>580</v>
      </c>
      <c r="E366" t="s">
        <v>643</v>
      </c>
      <c r="F366">
        <v>1.2</v>
      </c>
      <c r="G366">
        <v>4.8</v>
      </c>
      <c r="H366" t="s">
        <v>10</v>
      </c>
      <c r="J366">
        <v>2.08</v>
      </c>
      <c r="K366" t="s">
        <v>8</v>
      </c>
      <c r="M366" t="s">
        <v>377</v>
      </c>
      <c r="N366" t="s">
        <v>373</v>
      </c>
      <c r="O366">
        <v>1.22</v>
      </c>
      <c r="P366">
        <v>4.5</v>
      </c>
      <c r="Q366" t="s">
        <v>8</v>
      </c>
    </row>
    <row r="367" spans="1:17" x14ac:dyDescent="0.25">
      <c r="A367" t="s">
        <v>683</v>
      </c>
      <c r="B367" t="s">
        <v>684</v>
      </c>
      <c r="C367" t="s">
        <v>579</v>
      </c>
      <c r="D367" t="s">
        <v>584</v>
      </c>
      <c r="E367" t="s">
        <v>622</v>
      </c>
      <c r="F367">
        <v>1.22</v>
      </c>
      <c r="G367">
        <v>4.5</v>
      </c>
      <c r="H367" t="s">
        <v>10</v>
      </c>
      <c r="J367">
        <v>2.16</v>
      </c>
      <c r="K367" t="s">
        <v>8</v>
      </c>
      <c r="M367" t="s">
        <v>377</v>
      </c>
      <c r="N367" t="s">
        <v>373</v>
      </c>
      <c r="O367">
        <v>1.2</v>
      </c>
      <c r="P367">
        <v>4.7</v>
      </c>
      <c r="Q367" t="s">
        <v>8</v>
      </c>
    </row>
    <row r="368" spans="1:17" x14ac:dyDescent="0.25">
      <c r="A368" t="s">
        <v>683</v>
      </c>
      <c r="B368" t="s">
        <v>684</v>
      </c>
      <c r="C368" t="s">
        <v>579</v>
      </c>
      <c r="D368" t="s">
        <v>583</v>
      </c>
      <c r="E368" t="s">
        <v>621</v>
      </c>
      <c r="F368">
        <v>1.19</v>
      </c>
      <c r="G368">
        <v>4.8</v>
      </c>
      <c r="H368" t="s">
        <v>10</v>
      </c>
      <c r="J368">
        <v>2.2000000000000002</v>
      </c>
      <c r="K368" t="s">
        <v>8</v>
      </c>
      <c r="M368" t="s">
        <v>377</v>
      </c>
      <c r="N368" t="s">
        <v>373</v>
      </c>
      <c r="O368">
        <v>1.24</v>
      </c>
      <c r="P368">
        <v>4.4000000000000004</v>
      </c>
      <c r="Q368" t="s">
        <v>8</v>
      </c>
    </row>
    <row r="369" spans="1:17" x14ac:dyDescent="0.25">
      <c r="A369" t="s">
        <v>683</v>
      </c>
      <c r="B369" t="s">
        <v>684</v>
      </c>
      <c r="C369" t="s">
        <v>579</v>
      </c>
      <c r="D369" t="s">
        <v>587</v>
      </c>
      <c r="E369" t="s">
        <v>641</v>
      </c>
      <c r="F369">
        <v>1.19</v>
      </c>
      <c r="G369">
        <v>4.8</v>
      </c>
      <c r="H369" t="s">
        <v>10</v>
      </c>
      <c r="J369">
        <v>2.08</v>
      </c>
      <c r="K369" t="s">
        <v>8</v>
      </c>
      <c r="M369" t="s">
        <v>42</v>
      </c>
      <c r="N369" t="s">
        <v>110</v>
      </c>
      <c r="O369">
        <v>1.25</v>
      </c>
      <c r="P369">
        <v>4</v>
      </c>
      <c r="Q369" t="s">
        <v>8</v>
      </c>
    </row>
    <row r="370" spans="1:17" x14ac:dyDescent="0.25">
      <c r="A370" t="s">
        <v>683</v>
      </c>
      <c r="B370" t="s">
        <v>684</v>
      </c>
      <c r="C370" t="s">
        <v>579</v>
      </c>
      <c r="D370" t="s">
        <v>589</v>
      </c>
      <c r="E370" t="s">
        <v>623</v>
      </c>
      <c r="F370">
        <v>1.2</v>
      </c>
      <c r="G370">
        <v>4.8</v>
      </c>
      <c r="H370" t="s">
        <v>10</v>
      </c>
      <c r="J370">
        <v>2.15</v>
      </c>
      <c r="K370" t="s">
        <v>8</v>
      </c>
      <c r="M370" t="s">
        <v>42</v>
      </c>
      <c r="N370" t="s">
        <v>110</v>
      </c>
      <c r="O370">
        <v>1.22</v>
      </c>
      <c r="P370">
        <v>4.5</v>
      </c>
      <c r="Q370" t="s">
        <v>8</v>
      </c>
    </row>
    <row r="371" spans="1:17" x14ac:dyDescent="0.25">
      <c r="A371" t="s">
        <v>685</v>
      </c>
      <c r="B371" t="s">
        <v>686</v>
      </c>
      <c r="C371" t="s">
        <v>579</v>
      </c>
      <c r="D371" t="s">
        <v>586</v>
      </c>
      <c r="E371" t="s">
        <v>641</v>
      </c>
      <c r="F371">
        <v>2.13</v>
      </c>
      <c r="G371">
        <v>1.75</v>
      </c>
      <c r="H371" t="s">
        <v>10</v>
      </c>
      <c r="J371">
        <v>2.1</v>
      </c>
      <c r="K371" t="s">
        <v>8</v>
      </c>
      <c r="M371" t="s">
        <v>42</v>
      </c>
      <c r="N371" t="s">
        <v>110</v>
      </c>
      <c r="O371">
        <v>1.25</v>
      </c>
      <c r="P371">
        <v>4</v>
      </c>
      <c r="Q371" t="s">
        <v>8</v>
      </c>
    </row>
    <row r="372" spans="1:17" x14ac:dyDescent="0.25">
      <c r="A372" t="s">
        <v>685</v>
      </c>
      <c r="B372" t="s">
        <v>686</v>
      </c>
      <c r="C372" t="s">
        <v>579</v>
      </c>
      <c r="D372" t="s">
        <v>580</v>
      </c>
      <c r="E372" t="s">
        <v>643</v>
      </c>
      <c r="F372">
        <v>2.0499999999999998</v>
      </c>
      <c r="G372">
        <v>1.8</v>
      </c>
      <c r="H372" t="s">
        <v>10</v>
      </c>
      <c r="J372">
        <v>2.15</v>
      </c>
      <c r="K372" t="s">
        <v>8</v>
      </c>
      <c r="M372" t="s">
        <v>42</v>
      </c>
      <c r="N372" t="s">
        <v>110</v>
      </c>
      <c r="O372">
        <v>1.25</v>
      </c>
      <c r="P372">
        <v>4.25</v>
      </c>
      <c r="Q372" t="s">
        <v>8</v>
      </c>
    </row>
    <row r="373" spans="1:17" x14ac:dyDescent="0.25">
      <c r="A373" t="s">
        <v>685</v>
      </c>
      <c r="B373" t="s">
        <v>686</v>
      </c>
      <c r="C373" t="s">
        <v>579</v>
      </c>
      <c r="D373" t="s">
        <v>582</v>
      </c>
      <c r="E373" t="s">
        <v>620</v>
      </c>
      <c r="F373">
        <v>2.13</v>
      </c>
      <c r="G373">
        <v>1.75</v>
      </c>
      <c r="H373" t="s">
        <v>10</v>
      </c>
      <c r="J373">
        <v>2.15</v>
      </c>
      <c r="K373" t="s">
        <v>8</v>
      </c>
      <c r="M373" t="s">
        <v>42</v>
      </c>
      <c r="N373" t="s">
        <v>110</v>
      </c>
      <c r="O373">
        <v>1.25</v>
      </c>
      <c r="P373">
        <v>4.25</v>
      </c>
      <c r="Q373" t="s">
        <v>8</v>
      </c>
    </row>
    <row r="374" spans="1:17" x14ac:dyDescent="0.25">
      <c r="A374" t="s">
        <v>685</v>
      </c>
      <c r="B374" t="s">
        <v>686</v>
      </c>
      <c r="C374" t="s">
        <v>579</v>
      </c>
      <c r="D374" t="s">
        <v>584</v>
      </c>
      <c r="E374" t="s">
        <v>622</v>
      </c>
      <c r="F374">
        <v>2.0499999999999998</v>
      </c>
      <c r="G374">
        <v>1.8</v>
      </c>
      <c r="H374" t="s">
        <v>10</v>
      </c>
      <c r="J374">
        <v>1.33</v>
      </c>
      <c r="K374" t="s">
        <v>8</v>
      </c>
      <c r="M374" t="s">
        <v>42</v>
      </c>
      <c r="N374" t="s">
        <v>110</v>
      </c>
      <c r="O374">
        <v>1.24</v>
      </c>
      <c r="P374">
        <v>4.2</v>
      </c>
      <c r="Q374" t="s">
        <v>8</v>
      </c>
    </row>
    <row r="375" spans="1:17" x14ac:dyDescent="0.25">
      <c r="A375" t="s">
        <v>685</v>
      </c>
      <c r="B375" t="s">
        <v>686</v>
      </c>
      <c r="C375" t="s">
        <v>579</v>
      </c>
      <c r="D375" t="s">
        <v>581</v>
      </c>
      <c r="E375" t="s">
        <v>594</v>
      </c>
      <c r="F375">
        <v>2.02</v>
      </c>
      <c r="G375">
        <v>1.77</v>
      </c>
      <c r="H375" t="s">
        <v>10</v>
      </c>
      <c r="J375">
        <v>1.33</v>
      </c>
      <c r="K375" t="s">
        <v>8</v>
      </c>
      <c r="M375" t="s">
        <v>42</v>
      </c>
      <c r="N375" t="s">
        <v>110</v>
      </c>
      <c r="O375">
        <v>1.25</v>
      </c>
      <c r="P375">
        <v>4</v>
      </c>
      <c r="Q375" t="s">
        <v>8</v>
      </c>
    </row>
    <row r="376" spans="1:17" x14ac:dyDescent="0.25">
      <c r="A376" t="s">
        <v>685</v>
      </c>
      <c r="B376" t="s">
        <v>686</v>
      </c>
      <c r="C376" t="s">
        <v>579</v>
      </c>
      <c r="D376" t="s">
        <v>583</v>
      </c>
      <c r="E376" t="s">
        <v>621</v>
      </c>
      <c r="F376">
        <v>2.04</v>
      </c>
      <c r="G376">
        <v>1.78</v>
      </c>
      <c r="H376" t="s">
        <v>10</v>
      </c>
      <c r="J376">
        <v>1.34</v>
      </c>
      <c r="K376" t="s">
        <v>8</v>
      </c>
      <c r="M376" t="s">
        <v>42</v>
      </c>
      <c r="N376" t="s">
        <v>110</v>
      </c>
      <c r="O376">
        <v>1.24</v>
      </c>
      <c r="P376">
        <v>4.2</v>
      </c>
      <c r="Q376" t="s">
        <v>8</v>
      </c>
    </row>
    <row r="377" spans="1:17" x14ac:dyDescent="0.25">
      <c r="A377" t="s">
        <v>685</v>
      </c>
      <c r="B377" t="s">
        <v>686</v>
      </c>
      <c r="C377" t="s">
        <v>579</v>
      </c>
      <c r="D377" t="s">
        <v>587</v>
      </c>
      <c r="E377" t="s">
        <v>641</v>
      </c>
      <c r="F377">
        <v>2.04</v>
      </c>
      <c r="G377">
        <v>1.78</v>
      </c>
      <c r="H377" t="s">
        <v>10</v>
      </c>
      <c r="J377">
        <v>1.33</v>
      </c>
      <c r="K377" t="s">
        <v>8</v>
      </c>
      <c r="M377" t="s">
        <v>42</v>
      </c>
      <c r="N377" t="s">
        <v>110</v>
      </c>
      <c r="O377">
        <v>1.25</v>
      </c>
      <c r="P377">
        <v>4.25</v>
      </c>
      <c r="Q377" t="s">
        <v>8</v>
      </c>
    </row>
    <row r="378" spans="1:17" x14ac:dyDescent="0.25">
      <c r="A378" t="s">
        <v>685</v>
      </c>
      <c r="B378" t="s">
        <v>686</v>
      </c>
      <c r="C378" t="s">
        <v>579</v>
      </c>
      <c r="D378" t="s">
        <v>589</v>
      </c>
      <c r="E378" t="s">
        <v>623</v>
      </c>
      <c r="F378">
        <v>2</v>
      </c>
      <c r="G378">
        <v>1.83</v>
      </c>
      <c r="H378" t="s">
        <v>10</v>
      </c>
      <c r="J378">
        <v>1.34</v>
      </c>
      <c r="K378" t="s">
        <v>8</v>
      </c>
      <c r="M378" t="s">
        <v>42</v>
      </c>
      <c r="N378" t="s">
        <v>110</v>
      </c>
      <c r="O378">
        <v>1.25</v>
      </c>
      <c r="P378">
        <v>4</v>
      </c>
      <c r="Q378" t="s">
        <v>8</v>
      </c>
    </row>
    <row r="379" spans="1:17" x14ac:dyDescent="0.25">
      <c r="A379" t="s">
        <v>687</v>
      </c>
      <c r="B379" t="s">
        <v>686</v>
      </c>
      <c r="C379" t="s">
        <v>579</v>
      </c>
      <c r="D379" t="s">
        <v>587</v>
      </c>
      <c r="E379" t="s">
        <v>641</v>
      </c>
      <c r="F379">
        <v>1.41</v>
      </c>
      <c r="G379">
        <v>2.9</v>
      </c>
      <c r="H379" t="s">
        <v>10</v>
      </c>
      <c r="J379">
        <v>1.32</v>
      </c>
      <c r="K379" t="s">
        <v>8</v>
      </c>
      <c r="M379" t="s">
        <v>42</v>
      </c>
      <c r="N379" t="s">
        <v>110</v>
      </c>
      <c r="O379">
        <v>1.24</v>
      </c>
      <c r="P379">
        <v>4.1500000000000004</v>
      </c>
      <c r="Q379" t="s">
        <v>8</v>
      </c>
    </row>
    <row r="380" spans="1:17" x14ac:dyDescent="0.25">
      <c r="A380" t="s">
        <v>687</v>
      </c>
      <c r="B380" t="s">
        <v>686</v>
      </c>
      <c r="C380" t="s">
        <v>579</v>
      </c>
      <c r="D380" t="s">
        <v>582</v>
      </c>
      <c r="E380" t="s">
        <v>620</v>
      </c>
      <c r="F380">
        <v>1.46</v>
      </c>
      <c r="G380">
        <v>2.7</v>
      </c>
      <c r="H380" t="s">
        <v>10</v>
      </c>
      <c r="J380">
        <v>1.33</v>
      </c>
      <c r="K380" t="s">
        <v>8</v>
      </c>
      <c r="M380" t="s">
        <v>42</v>
      </c>
      <c r="N380" t="s">
        <v>110</v>
      </c>
      <c r="O380">
        <v>1.25</v>
      </c>
      <c r="P380">
        <v>4.0999999999999996</v>
      </c>
      <c r="Q380" t="s">
        <v>8</v>
      </c>
    </row>
    <row r="381" spans="1:17" x14ac:dyDescent="0.25">
      <c r="A381" t="s">
        <v>687</v>
      </c>
      <c r="B381" t="s">
        <v>686</v>
      </c>
      <c r="C381" t="s">
        <v>579</v>
      </c>
      <c r="D381" t="s">
        <v>580</v>
      </c>
      <c r="E381" t="s">
        <v>643</v>
      </c>
      <c r="F381">
        <v>1.46</v>
      </c>
      <c r="G381">
        <v>2.8</v>
      </c>
      <c r="H381" t="s">
        <v>10</v>
      </c>
      <c r="J381">
        <v>1.34</v>
      </c>
      <c r="K381" t="s">
        <v>8</v>
      </c>
      <c r="M381" t="s">
        <v>42</v>
      </c>
      <c r="N381" t="s">
        <v>110</v>
      </c>
      <c r="O381">
        <v>1.26</v>
      </c>
      <c r="P381">
        <v>4.1500000000000004</v>
      </c>
      <c r="Q381" t="s">
        <v>8</v>
      </c>
    </row>
    <row r="382" spans="1:17" x14ac:dyDescent="0.25">
      <c r="A382" t="s">
        <v>687</v>
      </c>
      <c r="B382" t="s">
        <v>686</v>
      </c>
      <c r="C382" t="s">
        <v>579</v>
      </c>
      <c r="D382" t="s">
        <v>583</v>
      </c>
      <c r="E382" t="s">
        <v>621</v>
      </c>
      <c r="F382">
        <v>1.41</v>
      </c>
      <c r="G382">
        <v>2.9</v>
      </c>
      <c r="H382" t="s">
        <v>10</v>
      </c>
      <c r="J382">
        <v>1.33</v>
      </c>
      <c r="K382" t="s">
        <v>8</v>
      </c>
      <c r="M382" t="s">
        <v>378</v>
      </c>
      <c r="N382" t="s">
        <v>110</v>
      </c>
      <c r="O382">
        <v>1.31</v>
      </c>
      <c r="P382">
        <v>3.6</v>
      </c>
      <c r="Q382" t="s">
        <v>8</v>
      </c>
    </row>
    <row r="383" spans="1:17" x14ac:dyDescent="0.25">
      <c r="A383" t="s">
        <v>687</v>
      </c>
      <c r="B383" t="s">
        <v>686</v>
      </c>
      <c r="C383" t="s">
        <v>579</v>
      </c>
      <c r="D383" t="s">
        <v>586</v>
      </c>
      <c r="E383" t="s">
        <v>641</v>
      </c>
      <c r="F383">
        <v>1.46</v>
      </c>
      <c r="G383">
        <v>2.7</v>
      </c>
      <c r="H383" t="s">
        <v>10</v>
      </c>
      <c r="J383">
        <v>1.33</v>
      </c>
      <c r="K383" t="s">
        <v>8</v>
      </c>
      <c r="M383" t="s">
        <v>378</v>
      </c>
      <c r="N383" t="s">
        <v>110</v>
      </c>
      <c r="O383">
        <v>1.31</v>
      </c>
      <c r="P383">
        <v>3.55</v>
      </c>
      <c r="Q383" t="s">
        <v>8</v>
      </c>
    </row>
    <row r="384" spans="1:17" x14ac:dyDescent="0.25">
      <c r="A384" t="s">
        <v>687</v>
      </c>
      <c r="B384" t="s">
        <v>686</v>
      </c>
      <c r="C384" t="s">
        <v>579</v>
      </c>
      <c r="D384" t="s">
        <v>581</v>
      </c>
      <c r="E384" t="s">
        <v>594</v>
      </c>
      <c r="F384">
        <v>1.41</v>
      </c>
      <c r="G384">
        <v>2.86</v>
      </c>
      <c r="H384" t="s">
        <v>10</v>
      </c>
      <c r="J384">
        <v>1.33</v>
      </c>
      <c r="K384" t="s">
        <v>8</v>
      </c>
      <c r="M384" t="s">
        <v>378</v>
      </c>
      <c r="N384" t="s">
        <v>110</v>
      </c>
      <c r="O384">
        <v>1.33</v>
      </c>
      <c r="P384">
        <v>3.5</v>
      </c>
      <c r="Q384" t="s">
        <v>8</v>
      </c>
    </row>
    <row r="385" spans="1:17" x14ac:dyDescent="0.25">
      <c r="A385" t="s">
        <v>687</v>
      </c>
      <c r="B385" t="s">
        <v>686</v>
      </c>
      <c r="C385" t="s">
        <v>579</v>
      </c>
      <c r="D385" t="s">
        <v>589</v>
      </c>
      <c r="E385" t="s">
        <v>623</v>
      </c>
      <c r="F385">
        <v>1.44</v>
      </c>
      <c r="G385">
        <v>2.85</v>
      </c>
      <c r="H385" t="s">
        <v>10</v>
      </c>
      <c r="J385">
        <v>1.33</v>
      </c>
      <c r="K385" t="s">
        <v>8</v>
      </c>
      <c r="M385" t="s">
        <v>378</v>
      </c>
      <c r="N385" t="s">
        <v>110</v>
      </c>
      <c r="O385">
        <v>1.33</v>
      </c>
      <c r="P385">
        <v>3.5</v>
      </c>
      <c r="Q385" t="s">
        <v>8</v>
      </c>
    </row>
    <row r="386" spans="1:17" x14ac:dyDescent="0.25">
      <c r="A386" t="s">
        <v>688</v>
      </c>
      <c r="B386" t="s">
        <v>689</v>
      </c>
      <c r="C386" t="s">
        <v>579</v>
      </c>
      <c r="D386" t="s">
        <v>586</v>
      </c>
      <c r="E386" t="s">
        <v>641</v>
      </c>
      <c r="F386">
        <v>2.25</v>
      </c>
      <c r="G386">
        <v>1.69</v>
      </c>
      <c r="H386" t="s">
        <v>10</v>
      </c>
      <c r="J386">
        <v>4.5</v>
      </c>
      <c r="K386" t="s">
        <v>8</v>
      </c>
      <c r="M386" t="s">
        <v>378</v>
      </c>
      <c r="N386" t="s">
        <v>110</v>
      </c>
      <c r="O386">
        <v>1.35</v>
      </c>
      <c r="P386">
        <v>3.2</v>
      </c>
      <c r="Q386" t="s">
        <v>8</v>
      </c>
    </row>
    <row r="387" spans="1:17" x14ac:dyDescent="0.25">
      <c r="A387" t="s">
        <v>688</v>
      </c>
      <c r="B387" t="s">
        <v>689</v>
      </c>
      <c r="C387" t="s">
        <v>579</v>
      </c>
      <c r="D387" t="s">
        <v>582</v>
      </c>
      <c r="E387" t="s">
        <v>620</v>
      </c>
      <c r="F387">
        <v>2.25</v>
      </c>
      <c r="G387">
        <v>1.69</v>
      </c>
      <c r="H387" t="s">
        <v>10</v>
      </c>
      <c r="J387">
        <v>4.8</v>
      </c>
      <c r="K387" t="s">
        <v>8</v>
      </c>
      <c r="M387" t="s">
        <v>378</v>
      </c>
      <c r="N387" t="s">
        <v>110</v>
      </c>
      <c r="O387">
        <v>1.33</v>
      </c>
      <c r="P387">
        <v>3.4</v>
      </c>
      <c r="Q387" t="s">
        <v>8</v>
      </c>
    </row>
    <row r="388" spans="1:17" x14ac:dyDescent="0.25">
      <c r="A388" t="s">
        <v>688</v>
      </c>
      <c r="B388" t="s">
        <v>689</v>
      </c>
      <c r="C388" t="s">
        <v>579</v>
      </c>
      <c r="D388" t="s">
        <v>584</v>
      </c>
      <c r="E388" t="s">
        <v>622</v>
      </c>
      <c r="F388">
        <v>2.25</v>
      </c>
      <c r="G388">
        <v>1.67</v>
      </c>
      <c r="H388" t="s">
        <v>10</v>
      </c>
      <c r="J388">
        <v>4.5999999999999996</v>
      </c>
      <c r="K388" t="s">
        <v>8</v>
      </c>
      <c r="M388" t="s">
        <v>378</v>
      </c>
      <c r="N388" t="s">
        <v>110</v>
      </c>
      <c r="O388">
        <v>1.33</v>
      </c>
      <c r="P388">
        <v>3.5</v>
      </c>
      <c r="Q388" t="s">
        <v>8</v>
      </c>
    </row>
    <row r="389" spans="1:17" x14ac:dyDescent="0.25">
      <c r="A389" t="s">
        <v>688</v>
      </c>
      <c r="B389" t="s">
        <v>689</v>
      </c>
      <c r="C389" t="s">
        <v>579</v>
      </c>
      <c r="D389" t="s">
        <v>581</v>
      </c>
      <c r="E389" t="s">
        <v>594</v>
      </c>
      <c r="F389">
        <v>2.3199999999999998</v>
      </c>
      <c r="G389">
        <v>1.59</v>
      </c>
      <c r="H389" t="s">
        <v>10</v>
      </c>
      <c r="J389">
        <v>4.25</v>
      </c>
      <c r="K389" t="s">
        <v>8</v>
      </c>
      <c r="M389" t="s">
        <v>378</v>
      </c>
      <c r="N389" t="s">
        <v>110</v>
      </c>
      <c r="O389">
        <v>1.35</v>
      </c>
      <c r="P389">
        <v>3.2</v>
      </c>
      <c r="Q389" t="s">
        <v>8</v>
      </c>
    </row>
    <row r="390" spans="1:17" x14ac:dyDescent="0.25">
      <c r="A390" t="s">
        <v>688</v>
      </c>
      <c r="B390" t="s">
        <v>689</v>
      </c>
      <c r="C390" t="s">
        <v>579</v>
      </c>
      <c r="D390" t="s">
        <v>583</v>
      </c>
      <c r="E390" t="s">
        <v>621</v>
      </c>
      <c r="F390">
        <v>2.3199999999999998</v>
      </c>
      <c r="G390">
        <v>1.61</v>
      </c>
      <c r="H390" t="s">
        <v>10</v>
      </c>
      <c r="J390">
        <v>4.45</v>
      </c>
      <c r="K390" t="s">
        <v>8</v>
      </c>
      <c r="M390" t="s">
        <v>378</v>
      </c>
      <c r="N390" t="s">
        <v>110</v>
      </c>
      <c r="O390">
        <v>1.33</v>
      </c>
      <c r="P390">
        <v>3.5</v>
      </c>
      <c r="Q390" t="s">
        <v>8</v>
      </c>
    </row>
    <row r="391" spans="1:17" x14ac:dyDescent="0.25">
      <c r="A391" t="s">
        <v>688</v>
      </c>
      <c r="B391" t="s">
        <v>689</v>
      </c>
      <c r="C391" t="s">
        <v>579</v>
      </c>
      <c r="D391" t="s">
        <v>587</v>
      </c>
      <c r="E391" t="s">
        <v>641</v>
      </c>
      <c r="F391">
        <v>2.3199999999999998</v>
      </c>
      <c r="G391">
        <v>1.61</v>
      </c>
      <c r="H391" t="s">
        <v>10</v>
      </c>
      <c r="J391">
        <v>4.5999999999999996</v>
      </c>
      <c r="K391" t="s">
        <v>8</v>
      </c>
      <c r="M391" t="s">
        <v>378</v>
      </c>
      <c r="N391" t="s">
        <v>110</v>
      </c>
      <c r="O391">
        <v>1.34</v>
      </c>
      <c r="P391">
        <v>3.35</v>
      </c>
      <c r="Q391" t="s">
        <v>8</v>
      </c>
    </row>
    <row r="392" spans="1:17" x14ac:dyDescent="0.25">
      <c r="H392" t="s">
        <v>10</v>
      </c>
      <c r="J392">
        <v>4.6500000000000004</v>
      </c>
      <c r="K392" t="s">
        <v>8</v>
      </c>
      <c r="M392" t="s">
        <v>378</v>
      </c>
      <c r="N392" t="s">
        <v>110</v>
      </c>
      <c r="O392">
        <v>1.36</v>
      </c>
      <c r="P392">
        <v>3.2</v>
      </c>
      <c r="Q392" t="s">
        <v>8</v>
      </c>
    </row>
    <row r="393" spans="1:17" x14ac:dyDescent="0.25">
      <c r="H393" t="s">
        <v>10</v>
      </c>
      <c r="J393">
        <v>4.8</v>
      </c>
      <c r="K393" t="s">
        <v>8</v>
      </c>
      <c r="M393" t="s">
        <v>378</v>
      </c>
      <c r="N393" t="s">
        <v>110</v>
      </c>
      <c r="O393">
        <v>1.32</v>
      </c>
      <c r="P393">
        <v>3.45</v>
      </c>
      <c r="Q393" t="s">
        <v>8</v>
      </c>
    </row>
    <row r="394" spans="1:17" x14ac:dyDescent="0.25">
      <c r="H394" t="s">
        <v>10</v>
      </c>
      <c r="J394">
        <v>4.5999999999999996</v>
      </c>
      <c r="K394" t="s">
        <v>8</v>
      </c>
      <c r="M394" t="s">
        <v>378</v>
      </c>
      <c r="N394" t="s">
        <v>110</v>
      </c>
      <c r="O394">
        <v>1.37</v>
      </c>
      <c r="P394">
        <v>3.25</v>
      </c>
      <c r="Q394" t="s">
        <v>8</v>
      </c>
    </row>
    <row r="395" spans="1:17" x14ac:dyDescent="0.25">
      <c r="H395" t="s">
        <v>10</v>
      </c>
      <c r="J395">
        <v>4.4000000000000004</v>
      </c>
      <c r="K395" t="s">
        <v>8</v>
      </c>
      <c r="M395" t="s">
        <v>379</v>
      </c>
      <c r="N395" t="s">
        <v>110</v>
      </c>
      <c r="O395">
        <v>1.65</v>
      </c>
      <c r="P395">
        <v>2.2999999999999998</v>
      </c>
      <c r="Q395" t="s">
        <v>8</v>
      </c>
    </row>
    <row r="396" spans="1:17" x14ac:dyDescent="0.25">
      <c r="H396" t="s">
        <v>10</v>
      </c>
      <c r="J396">
        <v>4.25</v>
      </c>
      <c r="K396" t="s">
        <v>8</v>
      </c>
      <c r="M396" t="s">
        <v>379</v>
      </c>
      <c r="N396" t="s">
        <v>110</v>
      </c>
      <c r="O396">
        <v>1.65</v>
      </c>
      <c r="P396">
        <v>2.35</v>
      </c>
      <c r="Q396" t="s">
        <v>8</v>
      </c>
    </row>
    <row r="397" spans="1:17" x14ac:dyDescent="0.25">
      <c r="H397" t="s">
        <v>10</v>
      </c>
      <c r="J397">
        <v>4.4000000000000004</v>
      </c>
      <c r="K397" t="s">
        <v>8</v>
      </c>
      <c r="M397" t="s">
        <v>379</v>
      </c>
      <c r="N397" t="s">
        <v>110</v>
      </c>
      <c r="O397">
        <v>1.67</v>
      </c>
      <c r="P397">
        <v>2.2999999999999998</v>
      </c>
      <c r="Q397" t="s">
        <v>8</v>
      </c>
    </row>
    <row r="398" spans="1:17" x14ac:dyDescent="0.25">
      <c r="H398" t="s">
        <v>10</v>
      </c>
      <c r="J398">
        <v>3.95</v>
      </c>
      <c r="K398" t="s">
        <v>8</v>
      </c>
      <c r="M398" t="s">
        <v>379</v>
      </c>
      <c r="N398" t="s">
        <v>110</v>
      </c>
      <c r="O398">
        <v>1.65</v>
      </c>
      <c r="P398">
        <v>2.25</v>
      </c>
      <c r="Q398" t="s">
        <v>8</v>
      </c>
    </row>
    <row r="399" spans="1:17" x14ac:dyDescent="0.25">
      <c r="H399" t="s">
        <v>10</v>
      </c>
      <c r="J399">
        <v>4.5</v>
      </c>
      <c r="K399" t="s">
        <v>8</v>
      </c>
      <c r="M399" t="s">
        <v>379</v>
      </c>
      <c r="N399" t="s">
        <v>110</v>
      </c>
      <c r="O399">
        <v>1.62</v>
      </c>
      <c r="P399">
        <v>2.35</v>
      </c>
      <c r="Q399" t="s">
        <v>8</v>
      </c>
    </row>
    <row r="400" spans="1:17" x14ac:dyDescent="0.25">
      <c r="H400" t="s">
        <v>10</v>
      </c>
      <c r="J400">
        <v>3.95</v>
      </c>
      <c r="K400" t="s">
        <v>8</v>
      </c>
      <c r="M400" t="s">
        <v>379</v>
      </c>
      <c r="N400" t="s">
        <v>110</v>
      </c>
      <c r="O400">
        <v>1.64</v>
      </c>
      <c r="P400">
        <v>2.2999999999999998</v>
      </c>
      <c r="Q400" t="s">
        <v>8</v>
      </c>
    </row>
    <row r="401" spans="8:17" x14ac:dyDescent="0.25">
      <c r="H401" t="s">
        <v>10</v>
      </c>
      <c r="J401">
        <v>4.25</v>
      </c>
      <c r="K401" t="s">
        <v>8</v>
      </c>
      <c r="M401" t="s">
        <v>379</v>
      </c>
      <c r="N401" t="s">
        <v>110</v>
      </c>
      <c r="O401">
        <v>1.64</v>
      </c>
      <c r="P401">
        <v>2.35</v>
      </c>
      <c r="Q401" t="s">
        <v>8</v>
      </c>
    </row>
    <row r="402" spans="8:17" x14ac:dyDescent="0.25">
      <c r="H402" t="s">
        <v>10</v>
      </c>
      <c r="J402">
        <v>4.25</v>
      </c>
      <c r="K402" t="s">
        <v>8</v>
      </c>
      <c r="M402" t="s">
        <v>379</v>
      </c>
      <c r="N402" t="s">
        <v>110</v>
      </c>
      <c r="O402">
        <v>1.65</v>
      </c>
      <c r="P402">
        <v>2.25</v>
      </c>
      <c r="Q402" t="s">
        <v>8</v>
      </c>
    </row>
    <row r="403" spans="8:17" x14ac:dyDescent="0.25">
      <c r="H403" t="s">
        <v>10</v>
      </c>
      <c r="J403">
        <v>4.2</v>
      </c>
      <c r="K403" t="s">
        <v>8</v>
      </c>
      <c r="M403" t="s">
        <v>379</v>
      </c>
      <c r="N403" t="s">
        <v>110</v>
      </c>
      <c r="O403">
        <v>1.65</v>
      </c>
      <c r="P403">
        <v>2.35</v>
      </c>
      <c r="Q403" t="s">
        <v>8</v>
      </c>
    </row>
    <row r="404" spans="8:17" x14ac:dyDescent="0.25">
      <c r="H404" t="s">
        <v>10</v>
      </c>
      <c r="J404">
        <v>4</v>
      </c>
      <c r="K404" t="s">
        <v>8</v>
      </c>
      <c r="M404" t="s">
        <v>379</v>
      </c>
      <c r="N404" t="s">
        <v>110</v>
      </c>
      <c r="O404">
        <v>1.65</v>
      </c>
      <c r="P404">
        <v>2.2999999999999998</v>
      </c>
      <c r="Q404" t="s">
        <v>8</v>
      </c>
    </row>
    <row r="405" spans="8:17" x14ac:dyDescent="0.25">
      <c r="H405" t="s">
        <v>10</v>
      </c>
      <c r="J405">
        <v>4.2</v>
      </c>
      <c r="K405" t="s">
        <v>8</v>
      </c>
      <c r="M405" t="s">
        <v>379</v>
      </c>
      <c r="N405" t="s">
        <v>110</v>
      </c>
      <c r="O405">
        <v>1.62</v>
      </c>
      <c r="P405">
        <v>2.4</v>
      </c>
      <c r="Q405" t="s">
        <v>8</v>
      </c>
    </row>
    <row r="406" spans="8:17" x14ac:dyDescent="0.25">
      <c r="H406" t="s">
        <v>10</v>
      </c>
      <c r="J406">
        <v>4.25</v>
      </c>
      <c r="K406" t="s">
        <v>8</v>
      </c>
      <c r="M406" t="s">
        <v>379</v>
      </c>
      <c r="N406" t="s">
        <v>110</v>
      </c>
      <c r="O406">
        <v>1.62</v>
      </c>
      <c r="P406">
        <v>2.35</v>
      </c>
      <c r="Q406" t="s">
        <v>8</v>
      </c>
    </row>
    <row r="407" spans="8:17" x14ac:dyDescent="0.25">
      <c r="H407" t="s">
        <v>10</v>
      </c>
      <c r="J407">
        <v>4</v>
      </c>
      <c r="K407" t="s">
        <v>8</v>
      </c>
      <c r="M407" t="s">
        <v>379</v>
      </c>
      <c r="N407" t="s">
        <v>110</v>
      </c>
      <c r="O407">
        <v>1.62</v>
      </c>
      <c r="P407">
        <v>2.38</v>
      </c>
      <c r="Q407" t="s">
        <v>8</v>
      </c>
    </row>
    <row r="408" spans="8:17" x14ac:dyDescent="0.25">
      <c r="H408" t="s">
        <v>10</v>
      </c>
      <c r="J408">
        <v>4.1500000000000004</v>
      </c>
      <c r="K408" t="s">
        <v>8</v>
      </c>
      <c r="M408" t="s">
        <v>380</v>
      </c>
      <c r="N408" t="s">
        <v>110</v>
      </c>
      <c r="O408">
        <v>3.1</v>
      </c>
      <c r="P408">
        <v>1.39</v>
      </c>
      <c r="Q408" t="s">
        <v>8</v>
      </c>
    </row>
    <row r="409" spans="8:17" x14ac:dyDescent="0.25">
      <c r="H409" t="s">
        <v>10</v>
      </c>
      <c r="J409">
        <v>4.0999999999999996</v>
      </c>
      <c r="K409" t="s">
        <v>8</v>
      </c>
      <c r="M409" t="s">
        <v>380</v>
      </c>
      <c r="N409" t="s">
        <v>110</v>
      </c>
      <c r="O409">
        <v>3.05</v>
      </c>
      <c r="P409">
        <v>1.39</v>
      </c>
      <c r="Q409" t="s">
        <v>8</v>
      </c>
    </row>
    <row r="410" spans="8:17" x14ac:dyDescent="0.25">
      <c r="H410" t="s">
        <v>10</v>
      </c>
      <c r="J410">
        <v>3.2</v>
      </c>
      <c r="K410" t="s">
        <v>8</v>
      </c>
      <c r="M410" t="s">
        <v>380</v>
      </c>
      <c r="N410" t="s">
        <v>110</v>
      </c>
      <c r="O410">
        <v>3</v>
      </c>
      <c r="P410">
        <v>1.42</v>
      </c>
      <c r="Q410" t="s">
        <v>8</v>
      </c>
    </row>
    <row r="411" spans="8:17" x14ac:dyDescent="0.25">
      <c r="H411" t="s">
        <v>10</v>
      </c>
      <c r="J411">
        <v>3.1</v>
      </c>
      <c r="K411" t="s">
        <v>8</v>
      </c>
      <c r="M411" t="s">
        <v>380</v>
      </c>
      <c r="N411" t="s">
        <v>110</v>
      </c>
      <c r="O411">
        <v>3.1</v>
      </c>
      <c r="P411">
        <v>1.38</v>
      </c>
      <c r="Q411" t="s">
        <v>8</v>
      </c>
    </row>
    <row r="412" spans="8:17" x14ac:dyDescent="0.25">
      <c r="H412" t="s">
        <v>10</v>
      </c>
      <c r="J412">
        <v>3.15</v>
      </c>
      <c r="K412" t="s">
        <v>8</v>
      </c>
      <c r="M412" t="s">
        <v>380</v>
      </c>
      <c r="N412" t="s">
        <v>110</v>
      </c>
      <c r="O412">
        <v>3.1</v>
      </c>
      <c r="P412">
        <v>1.4</v>
      </c>
      <c r="Q412" t="s">
        <v>8</v>
      </c>
    </row>
    <row r="413" spans="8:17" x14ac:dyDescent="0.25">
      <c r="H413" t="s">
        <v>10</v>
      </c>
      <c r="J413">
        <v>3.05</v>
      </c>
      <c r="K413" t="s">
        <v>8</v>
      </c>
      <c r="M413" t="s">
        <v>380</v>
      </c>
      <c r="N413" t="s">
        <v>110</v>
      </c>
      <c r="O413">
        <v>3.05</v>
      </c>
      <c r="P413">
        <v>1.4</v>
      </c>
      <c r="Q413" t="s">
        <v>8</v>
      </c>
    </row>
    <row r="414" spans="8:17" x14ac:dyDescent="0.25">
      <c r="H414" t="s">
        <v>10</v>
      </c>
      <c r="J414">
        <v>2.95</v>
      </c>
      <c r="K414" t="s">
        <v>8</v>
      </c>
      <c r="M414" t="s">
        <v>380</v>
      </c>
      <c r="N414" t="s">
        <v>110</v>
      </c>
      <c r="O414">
        <v>3</v>
      </c>
      <c r="P414">
        <v>1.42</v>
      </c>
      <c r="Q414" t="s">
        <v>8</v>
      </c>
    </row>
    <row r="415" spans="8:17" x14ac:dyDescent="0.25">
      <c r="H415" t="s">
        <v>10</v>
      </c>
      <c r="J415">
        <v>3.15</v>
      </c>
      <c r="K415" t="s">
        <v>8</v>
      </c>
      <c r="M415" t="s">
        <v>380</v>
      </c>
      <c r="N415" t="s">
        <v>110</v>
      </c>
      <c r="O415">
        <v>3.1</v>
      </c>
      <c r="P415">
        <v>1.38</v>
      </c>
      <c r="Q415" t="s">
        <v>8</v>
      </c>
    </row>
    <row r="416" spans="8:17" x14ac:dyDescent="0.25">
      <c r="H416" t="s">
        <v>10</v>
      </c>
      <c r="J416">
        <v>3.15</v>
      </c>
      <c r="K416" t="s">
        <v>8</v>
      </c>
      <c r="M416" t="s">
        <v>380</v>
      </c>
      <c r="N416" t="s">
        <v>110</v>
      </c>
      <c r="O416">
        <v>3.05</v>
      </c>
      <c r="P416">
        <v>1.4</v>
      </c>
      <c r="Q416" t="s">
        <v>8</v>
      </c>
    </row>
    <row r="417" spans="8:17" x14ac:dyDescent="0.25">
      <c r="H417" t="s">
        <v>10</v>
      </c>
      <c r="J417">
        <v>2.95</v>
      </c>
      <c r="K417" t="s">
        <v>8</v>
      </c>
      <c r="M417" t="s">
        <v>380</v>
      </c>
      <c r="N417" t="s">
        <v>110</v>
      </c>
      <c r="O417">
        <v>3</v>
      </c>
      <c r="P417">
        <v>1.4</v>
      </c>
      <c r="Q417" t="s">
        <v>8</v>
      </c>
    </row>
    <row r="418" spans="8:17" x14ac:dyDescent="0.25">
      <c r="H418" t="s">
        <v>10</v>
      </c>
      <c r="J418">
        <v>3.08</v>
      </c>
      <c r="K418" t="s">
        <v>8</v>
      </c>
      <c r="M418" t="s">
        <v>380</v>
      </c>
      <c r="N418" t="s">
        <v>110</v>
      </c>
      <c r="O418">
        <v>3.1</v>
      </c>
      <c r="P418">
        <v>1.36</v>
      </c>
      <c r="Q418" t="s">
        <v>8</v>
      </c>
    </row>
    <row r="419" spans="8:17" x14ac:dyDescent="0.25">
      <c r="H419" t="s">
        <v>10</v>
      </c>
      <c r="J419">
        <v>3.2</v>
      </c>
      <c r="K419" t="s">
        <v>8</v>
      </c>
      <c r="M419" t="s">
        <v>380</v>
      </c>
      <c r="N419" t="s">
        <v>110</v>
      </c>
      <c r="O419">
        <v>3.05</v>
      </c>
      <c r="P419">
        <v>1.39</v>
      </c>
      <c r="Q419" t="s">
        <v>8</v>
      </c>
    </row>
    <row r="420" spans="8:17" x14ac:dyDescent="0.25">
      <c r="H420" t="s">
        <v>10</v>
      </c>
      <c r="J420">
        <v>3.2</v>
      </c>
      <c r="K420" t="s">
        <v>8</v>
      </c>
      <c r="M420" t="s">
        <v>380</v>
      </c>
      <c r="N420" t="s">
        <v>110</v>
      </c>
      <c r="O420">
        <v>3.1</v>
      </c>
      <c r="P420">
        <v>1.4</v>
      </c>
      <c r="Q420" t="s">
        <v>8</v>
      </c>
    </row>
    <row r="421" spans="8:17" x14ac:dyDescent="0.25">
      <c r="H421" t="s">
        <v>10</v>
      </c>
      <c r="J421">
        <v>3.15</v>
      </c>
      <c r="K421" t="s">
        <v>8</v>
      </c>
      <c r="M421" t="s">
        <v>381</v>
      </c>
      <c r="N421" t="s">
        <v>110</v>
      </c>
      <c r="O421">
        <v>2.2000000000000002</v>
      </c>
      <c r="P421">
        <v>1.7</v>
      </c>
      <c r="Q421" t="s">
        <v>8</v>
      </c>
    </row>
    <row r="422" spans="8:17" x14ac:dyDescent="0.25">
      <c r="H422" t="s">
        <v>10</v>
      </c>
      <c r="J422">
        <v>2.2999999999999998</v>
      </c>
      <c r="K422" t="s">
        <v>8</v>
      </c>
      <c r="M422" t="s">
        <v>381</v>
      </c>
      <c r="N422" t="s">
        <v>110</v>
      </c>
      <c r="O422">
        <v>2.2999999999999998</v>
      </c>
      <c r="P422">
        <v>1.64</v>
      </c>
      <c r="Q422" t="s">
        <v>8</v>
      </c>
    </row>
    <row r="423" spans="8:17" x14ac:dyDescent="0.25">
      <c r="H423" t="s">
        <v>10</v>
      </c>
      <c r="J423">
        <v>2.4</v>
      </c>
      <c r="K423" t="s">
        <v>8</v>
      </c>
      <c r="M423" t="s">
        <v>381</v>
      </c>
      <c r="N423" t="s">
        <v>110</v>
      </c>
      <c r="O423">
        <v>2.2999999999999998</v>
      </c>
      <c r="P423">
        <v>1.67</v>
      </c>
      <c r="Q423" t="s">
        <v>8</v>
      </c>
    </row>
    <row r="424" spans="8:17" x14ac:dyDescent="0.25">
      <c r="H424" t="s">
        <v>10</v>
      </c>
      <c r="J424">
        <v>2.4</v>
      </c>
      <c r="K424" t="s">
        <v>8</v>
      </c>
      <c r="M424" t="s">
        <v>381</v>
      </c>
      <c r="N424" t="s">
        <v>110</v>
      </c>
      <c r="O424">
        <v>2.25</v>
      </c>
      <c r="P424">
        <v>1.69</v>
      </c>
      <c r="Q424" t="s">
        <v>8</v>
      </c>
    </row>
    <row r="425" spans="8:17" x14ac:dyDescent="0.25">
      <c r="H425" t="s">
        <v>10</v>
      </c>
      <c r="J425">
        <v>2.25</v>
      </c>
      <c r="K425" t="s">
        <v>8</v>
      </c>
      <c r="M425" t="s">
        <v>381</v>
      </c>
      <c r="N425" t="s">
        <v>110</v>
      </c>
      <c r="O425">
        <v>2.38</v>
      </c>
      <c r="P425">
        <v>1.6</v>
      </c>
      <c r="Q425" t="s">
        <v>8</v>
      </c>
    </row>
    <row r="426" spans="8:17" x14ac:dyDescent="0.25">
      <c r="H426" t="s">
        <v>10</v>
      </c>
      <c r="J426">
        <v>2.4</v>
      </c>
      <c r="K426" t="s">
        <v>8</v>
      </c>
      <c r="M426" t="s">
        <v>381</v>
      </c>
      <c r="N426" t="s">
        <v>110</v>
      </c>
      <c r="O426">
        <v>2.2999999999999998</v>
      </c>
      <c r="P426">
        <v>1.65</v>
      </c>
      <c r="Q426" t="s">
        <v>8</v>
      </c>
    </row>
    <row r="427" spans="8:17" x14ac:dyDescent="0.25">
      <c r="H427" t="s">
        <v>10</v>
      </c>
      <c r="J427">
        <v>2.34</v>
      </c>
      <c r="K427" t="s">
        <v>8</v>
      </c>
      <c r="M427" t="s">
        <v>381</v>
      </c>
      <c r="N427" t="s">
        <v>110</v>
      </c>
      <c r="O427">
        <v>2.2999999999999998</v>
      </c>
      <c r="P427">
        <v>1.67</v>
      </c>
      <c r="Q427" t="s">
        <v>8</v>
      </c>
    </row>
    <row r="428" spans="8:17" x14ac:dyDescent="0.25">
      <c r="H428" t="s">
        <v>10</v>
      </c>
      <c r="J428">
        <v>2.4</v>
      </c>
      <c r="K428" t="s">
        <v>8</v>
      </c>
      <c r="M428" t="s">
        <v>381</v>
      </c>
      <c r="N428" t="s">
        <v>110</v>
      </c>
      <c r="O428">
        <v>2.38</v>
      </c>
      <c r="P428">
        <v>1.6</v>
      </c>
      <c r="Q428" t="s">
        <v>8</v>
      </c>
    </row>
    <row r="429" spans="8:17" x14ac:dyDescent="0.25">
      <c r="H429" t="s">
        <v>10</v>
      </c>
      <c r="J429">
        <v>2.25</v>
      </c>
      <c r="K429" t="s">
        <v>8</v>
      </c>
      <c r="M429" t="s">
        <v>381</v>
      </c>
      <c r="N429" t="s">
        <v>110</v>
      </c>
      <c r="O429">
        <v>2.2999999999999998</v>
      </c>
      <c r="P429">
        <v>1.67</v>
      </c>
      <c r="Q429" t="s">
        <v>8</v>
      </c>
    </row>
    <row r="430" spans="8:17" x14ac:dyDescent="0.25">
      <c r="H430" t="s">
        <v>10</v>
      </c>
      <c r="J430">
        <v>2.4</v>
      </c>
      <c r="K430" t="s">
        <v>8</v>
      </c>
      <c r="M430" t="s">
        <v>381</v>
      </c>
      <c r="N430" t="s">
        <v>110</v>
      </c>
      <c r="O430">
        <v>2.2999999999999998</v>
      </c>
      <c r="P430">
        <v>1.65</v>
      </c>
      <c r="Q430" t="s">
        <v>8</v>
      </c>
    </row>
    <row r="431" spans="8:17" x14ac:dyDescent="0.25">
      <c r="H431" t="s">
        <v>10</v>
      </c>
      <c r="J431">
        <v>2.35</v>
      </c>
      <c r="K431" t="s">
        <v>8</v>
      </c>
      <c r="M431" t="s">
        <v>381</v>
      </c>
      <c r="N431" t="s">
        <v>110</v>
      </c>
      <c r="O431">
        <v>2.35</v>
      </c>
      <c r="P431">
        <v>1.65</v>
      </c>
      <c r="Q431" t="s">
        <v>8</v>
      </c>
    </row>
    <row r="432" spans="8:17" x14ac:dyDescent="0.25">
      <c r="H432" t="s">
        <v>10</v>
      </c>
      <c r="J432">
        <v>2.4</v>
      </c>
      <c r="K432" t="s">
        <v>8</v>
      </c>
      <c r="M432" t="s">
        <v>381</v>
      </c>
      <c r="N432" t="s">
        <v>110</v>
      </c>
      <c r="O432">
        <v>2.2999999999999998</v>
      </c>
      <c r="P432">
        <v>1.65</v>
      </c>
      <c r="Q432" t="s">
        <v>8</v>
      </c>
    </row>
    <row r="433" spans="8:17" x14ac:dyDescent="0.25">
      <c r="H433" t="s">
        <v>10</v>
      </c>
      <c r="J433">
        <v>2.4</v>
      </c>
      <c r="K433" t="s">
        <v>8</v>
      </c>
      <c r="M433" t="s">
        <v>381</v>
      </c>
      <c r="N433" t="s">
        <v>110</v>
      </c>
      <c r="O433">
        <v>2.33</v>
      </c>
      <c r="P433">
        <v>1.65</v>
      </c>
      <c r="Q433" t="s">
        <v>8</v>
      </c>
    </row>
    <row r="434" spans="8:17" x14ac:dyDescent="0.25">
      <c r="H434" t="s">
        <v>10</v>
      </c>
      <c r="J434">
        <v>1.34</v>
      </c>
      <c r="K434" t="s">
        <v>8</v>
      </c>
      <c r="M434" t="s">
        <v>382</v>
      </c>
      <c r="N434" t="s">
        <v>110</v>
      </c>
      <c r="O434">
        <v>1.04</v>
      </c>
      <c r="P434">
        <v>13</v>
      </c>
      <c r="Q434" t="s">
        <v>8</v>
      </c>
    </row>
    <row r="435" spans="8:17" x14ac:dyDescent="0.25">
      <c r="H435" t="s">
        <v>10</v>
      </c>
      <c r="J435">
        <v>1.4</v>
      </c>
      <c r="K435" t="s">
        <v>8</v>
      </c>
      <c r="M435" t="s">
        <v>382</v>
      </c>
      <c r="N435" t="s">
        <v>110</v>
      </c>
      <c r="O435">
        <v>1.03</v>
      </c>
      <c r="P435">
        <v>13.8</v>
      </c>
      <c r="Q435" t="s">
        <v>8</v>
      </c>
    </row>
    <row r="436" spans="8:17" x14ac:dyDescent="0.25">
      <c r="H436" t="s">
        <v>10</v>
      </c>
      <c r="J436">
        <v>1.4</v>
      </c>
      <c r="K436" t="s">
        <v>8</v>
      </c>
      <c r="M436" t="s">
        <v>382</v>
      </c>
      <c r="N436" t="s">
        <v>110</v>
      </c>
      <c r="O436">
        <v>1.03</v>
      </c>
      <c r="P436">
        <v>13.5</v>
      </c>
      <c r="Q436" t="s">
        <v>8</v>
      </c>
    </row>
    <row r="437" spans="8:17" x14ac:dyDescent="0.25">
      <c r="H437" t="s">
        <v>10</v>
      </c>
      <c r="J437">
        <v>1.38</v>
      </c>
      <c r="K437" t="s">
        <v>8</v>
      </c>
      <c r="M437" t="s">
        <v>382</v>
      </c>
      <c r="N437" t="s">
        <v>110</v>
      </c>
      <c r="O437">
        <v>1.03</v>
      </c>
      <c r="P437">
        <v>12</v>
      </c>
      <c r="Q437" t="s">
        <v>8</v>
      </c>
    </row>
    <row r="438" spans="8:17" x14ac:dyDescent="0.25">
      <c r="H438" t="s">
        <v>10</v>
      </c>
      <c r="J438">
        <v>1.42</v>
      </c>
      <c r="K438" t="s">
        <v>8</v>
      </c>
      <c r="M438" t="s">
        <v>382</v>
      </c>
      <c r="N438" t="s">
        <v>110</v>
      </c>
      <c r="O438">
        <v>1.02</v>
      </c>
      <c r="P438">
        <v>16.5</v>
      </c>
      <c r="Q438" t="s">
        <v>8</v>
      </c>
    </row>
    <row r="439" spans="8:17" x14ac:dyDescent="0.25">
      <c r="H439" t="s">
        <v>10</v>
      </c>
      <c r="J439">
        <v>1.4</v>
      </c>
      <c r="K439" t="s">
        <v>8</v>
      </c>
      <c r="M439" t="s">
        <v>382</v>
      </c>
      <c r="N439" t="s">
        <v>110</v>
      </c>
      <c r="O439">
        <v>1.03</v>
      </c>
      <c r="P439">
        <v>13.5</v>
      </c>
      <c r="Q439" t="s">
        <v>8</v>
      </c>
    </row>
    <row r="440" spans="8:17" x14ac:dyDescent="0.25">
      <c r="H440" t="s">
        <v>10</v>
      </c>
      <c r="J440">
        <v>1.4</v>
      </c>
      <c r="K440" t="s">
        <v>8</v>
      </c>
      <c r="M440" t="s">
        <v>382</v>
      </c>
      <c r="N440" t="s">
        <v>110</v>
      </c>
      <c r="O440">
        <v>1.03</v>
      </c>
      <c r="P440">
        <v>14.5</v>
      </c>
      <c r="Q440" t="s">
        <v>8</v>
      </c>
    </row>
    <row r="441" spans="8:17" x14ac:dyDescent="0.25">
      <c r="H441" t="s">
        <v>10</v>
      </c>
      <c r="J441">
        <v>1.38</v>
      </c>
      <c r="K441" t="s">
        <v>8</v>
      </c>
      <c r="M441" t="s">
        <v>382</v>
      </c>
      <c r="N441" t="s">
        <v>110</v>
      </c>
      <c r="O441">
        <v>1.03</v>
      </c>
      <c r="P441">
        <v>13</v>
      </c>
      <c r="Q441" t="s">
        <v>8</v>
      </c>
    </row>
    <row r="442" spans="8:17" x14ac:dyDescent="0.25">
      <c r="H442" t="s">
        <v>10</v>
      </c>
      <c r="J442">
        <v>1.4</v>
      </c>
      <c r="K442" t="s">
        <v>8</v>
      </c>
      <c r="M442" t="s">
        <v>382</v>
      </c>
      <c r="N442" t="s">
        <v>110</v>
      </c>
      <c r="O442">
        <v>1.02</v>
      </c>
      <c r="P442">
        <v>16</v>
      </c>
      <c r="Q442" t="s">
        <v>8</v>
      </c>
    </row>
    <row r="443" spans="8:17" x14ac:dyDescent="0.25">
      <c r="H443" t="s">
        <v>10</v>
      </c>
      <c r="J443">
        <v>1.4</v>
      </c>
      <c r="K443" t="s">
        <v>8</v>
      </c>
      <c r="M443" t="s">
        <v>382</v>
      </c>
      <c r="N443" t="s">
        <v>110</v>
      </c>
      <c r="O443">
        <v>1.02</v>
      </c>
      <c r="P443">
        <v>15.8</v>
      </c>
      <c r="Q443" t="s">
        <v>8</v>
      </c>
    </row>
    <row r="444" spans="8:17" x14ac:dyDescent="0.25">
      <c r="H444" t="s">
        <v>10</v>
      </c>
      <c r="J444">
        <v>1.4</v>
      </c>
      <c r="K444" t="s">
        <v>8</v>
      </c>
      <c r="M444" t="s">
        <v>382</v>
      </c>
      <c r="N444" t="s">
        <v>110</v>
      </c>
      <c r="O444">
        <v>1.03</v>
      </c>
      <c r="P444">
        <v>14.5</v>
      </c>
      <c r="Q444" t="s">
        <v>8</v>
      </c>
    </row>
    <row r="445" spans="8:17" x14ac:dyDescent="0.25">
      <c r="H445" t="s">
        <v>10</v>
      </c>
      <c r="J445">
        <v>1.38</v>
      </c>
      <c r="K445" t="s">
        <v>8</v>
      </c>
      <c r="M445" t="s">
        <v>383</v>
      </c>
      <c r="N445" t="s">
        <v>110</v>
      </c>
      <c r="O445">
        <v>2.2000000000000002</v>
      </c>
      <c r="P445">
        <v>1.7</v>
      </c>
      <c r="Q445" t="s">
        <v>8</v>
      </c>
    </row>
    <row r="446" spans="8:17" x14ac:dyDescent="0.25">
      <c r="H446" t="s">
        <v>10</v>
      </c>
      <c r="J446">
        <v>1.65</v>
      </c>
      <c r="K446" t="s">
        <v>8</v>
      </c>
      <c r="M446" t="s">
        <v>383</v>
      </c>
      <c r="N446" t="s">
        <v>110</v>
      </c>
      <c r="O446">
        <v>2.2000000000000002</v>
      </c>
      <c r="P446">
        <v>1.71</v>
      </c>
      <c r="Q446" t="s">
        <v>8</v>
      </c>
    </row>
    <row r="447" spans="8:17" x14ac:dyDescent="0.25">
      <c r="H447" t="s">
        <v>10</v>
      </c>
      <c r="J447">
        <v>1.62</v>
      </c>
      <c r="K447" t="s">
        <v>8</v>
      </c>
      <c r="M447" t="s">
        <v>383</v>
      </c>
      <c r="N447" t="s">
        <v>110</v>
      </c>
      <c r="O447">
        <v>2.2000000000000002</v>
      </c>
      <c r="P447">
        <v>1.71</v>
      </c>
      <c r="Q447" t="s">
        <v>8</v>
      </c>
    </row>
    <row r="448" spans="8:17" x14ac:dyDescent="0.25">
      <c r="H448" t="s">
        <v>10</v>
      </c>
      <c r="J448">
        <v>1.65</v>
      </c>
      <c r="K448" t="s">
        <v>8</v>
      </c>
      <c r="M448" t="s">
        <v>383</v>
      </c>
      <c r="N448" t="s">
        <v>110</v>
      </c>
      <c r="O448">
        <v>2.2799999999999998</v>
      </c>
      <c r="P448">
        <v>1.64</v>
      </c>
      <c r="Q448" t="s">
        <v>8</v>
      </c>
    </row>
    <row r="449" spans="8:17" x14ac:dyDescent="0.25">
      <c r="H449" t="s">
        <v>10</v>
      </c>
      <c r="J449">
        <v>1.62</v>
      </c>
      <c r="K449" t="s">
        <v>8</v>
      </c>
      <c r="M449" t="s">
        <v>383</v>
      </c>
      <c r="N449" t="s">
        <v>110</v>
      </c>
      <c r="O449">
        <v>2.2000000000000002</v>
      </c>
      <c r="P449">
        <v>1.71</v>
      </c>
      <c r="Q449" t="s">
        <v>8</v>
      </c>
    </row>
    <row r="450" spans="8:17" x14ac:dyDescent="0.25">
      <c r="H450" t="s">
        <v>10</v>
      </c>
      <c r="J450">
        <v>1.56</v>
      </c>
      <c r="K450" t="s">
        <v>8</v>
      </c>
      <c r="M450" t="s">
        <v>383</v>
      </c>
      <c r="N450" t="s">
        <v>110</v>
      </c>
      <c r="O450">
        <v>2.1800000000000002</v>
      </c>
      <c r="P450">
        <v>1.71</v>
      </c>
      <c r="Q450" t="s">
        <v>8</v>
      </c>
    </row>
    <row r="451" spans="8:17" x14ac:dyDescent="0.25">
      <c r="H451" t="s">
        <v>10</v>
      </c>
      <c r="J451">
        <v>1.61</v>
      </c>
      <c r="K451" t="s">
        <v>8</v>
      </c>
      <c r="M451" t="s">
        <v>383</v>
      </c>
      <c r="N451" t="s">
        <v>110</v>
      </c>
      <c r="O451">
        <v>2.2000000000000002</v>
      </c>
      <c r="P451">
        <v>1.71</v>
      </c>
      <c r="Q451" t="s">
        <v>8</v>
      </c>
    </row>
    <row r="452" spans="8:17" x14ac:dyDescent="0.25">
      <c r="H452" t="s">
        <v>10</v>
      </c>
      <c r="J452">
        <v>1.64</v>
      </c>
      <c r="K452" t="s">
        <v>8</v>
      </c>
      <c r="M452" t="s">
        <v>383</v>
      </c>
      <c r="N452" t="s">
        <v>110</v>
      </c>
      <c r="O452">
        <v>2.2799999999999998</v>
      </c>
      <c r="P452">
        <v>1.64</v>
      </c>
      <c r="Q452" t="s">
        <v>8</v>
      </c>
    </row>
    <row r="453" spans="8:17" x14ac:dyDescent="0.25">
      <c r="H453" t="s">
        <v>10</v>
      </c>
      <c r="J453">
        <v>1.56</v>
      </c>
      <c r="K453" t="s">
        <v>8</v>
      </c>
      <c r="M453" t="s">
        <v>383</v>
      </c>
      <c r="N453" t="s">
        <v>110</v>
      </c>
      <c r="O453">
        <v>2.2000000000000002</v>
      </c>
      <c r="P453">
        <v>1.71</v>
      </c>
      <c r="Q453" t="s">
        <v>8</v>
      </c>
    </row>
    <row r="454" spans="8:17" x14ac:dyDescent="0.25">
      <c r="H454" t="s">
        <v>10</v>
      </c>
      <c r="J454">
        <v>1.62</v>
      </c>
      <c r="K454" t="s">
        <v>8</v>
      </c>
      <c r="M454" t="s">
        <v>383</v>
      </c>
      <c r="N454" t="s">
        <v>110</v>
      </c>
      <c r="O454">
        <v>2.2000000000000002</v>
      </c>
      <c r="P454">
        <v>1.69</v>
      </c>
      <c r="Q454" t="s">
        <v>8</v>
      </c>
    </row>
    <row r="455" spans="8:17" x14ac:dyDescent="0.25">
      <c r="H455" t="s">
        <v>10</v>
      </c>
      <c r="J455">
        <v>1.62</v>
      </c>
      <c r="K455" t="s">
        <v>8</v>
      </c>
      <c r="M455" t="s">
        <v>383</v>
      </c>
      <c r="N455" t="s">
        <v>110</v>
      </c>
      <c r="O455">
        <v>2.2000000000000002</v>
      </c>
      <c r="P455">
        <v>1.71</v>
      </c>
      <c r="Q455" t="s">
        <v>8</v>
      </c>
    </row>
    <row r="456" spans="8:17" x14ac:dyDescent="0.25">
      <c r="H456" t="s">
        <v>10</v>
      </c>
      <c r="J456">
        <v>1.61</v>
      </c>
      <c r="K456" t="s">
        <v>8</v>
      </c>
      <c r="M456" t="s">
        <v>383</v>
      </c>
      <c r="N456" t="s">
        <v>110</v>
      </c>
      <c r="O456">
        <v>2.33</v>
      </c>
      <c r="P456">
        <v>1.65</v>
      </c>
      <c r="Q456" t="s">
        <v>8</v>
      </c>
    </row>
    <row r="457" spans="8:17" x14ac:dyDescent="0.25">
      <c r="H457" t="s">
        <v>10</v>
      </c>
      <c r="J457">
        <v>1.61</v>
      </c>
      <c r="K457" t="s">
        <v>8</v>
      </c>
      <c r="M457" t="s">
        <v>384</v>
      </c>
      <c r="N457" t="s">
        <v>110</v>
      </c>
      <c r="O457">
        <v>4.7</v>
      </c>
      <c r="P457">
        <v>1.21</v>
      </c>
      <c r="Q457" t="s">
        <v>8</v>
      </c>
    </row>
    <row r="458" spans="8:17" x14ac:dyDescent="0.25">
      <c r="H458" t="s">
        <v>10</v>
      </c>
      <c r="J458">
        <v>13</v>
      </c>
      <c r="K458" t="s">
        <v>8</v>
      </c>
      <c r="M458" t="s">
        <v>384</v>
      </c>
      <c r="N458" t="s">
        <v>110</v>
      </c>
      <c r="O458">
        <v>4.5999999999999996</v>
      </c>
      <c r="P458">
        <v>1.22</v>
      </c>
      <c r="Q458" t="s">
        <v>8</v>
      </c>
    </row>
    <row r="459" spans="8:17" x14ac:dyDescent="0.25">
      <c r="H459" t="s">
        <v>10</v>
      </c>
      <c r="J459">
        <v>13.8</v>
      </c>
      <c r="K459" t="s">
        <v>8</v>
      </c>
      <c r="M459" t="s">
        <v>384</v>
      </c>
      <c r="N459" t="s">
        <v>110</v>
      </c>
      <c r="O459">
        <v>5.2</v>
      </c>
      <c r="P459">
        <v>1.17</v>
      </c>
      <c r="Q459" t="s">
        <v>8</v>
      </c>
    </row>
    <row r="460" spans="8:17" x14ac:dyDescent="0.25">
      <c r="H460" t="s">
        <v>10</v>
      </c>
      <c r="J460">
        <v>12</v>
      </c>
      <c r="K460" t="s">
        <v>8</v>
      </c>
      <c r="M460" t="s">
        <v>384</v>
      </c>
      <c r="N460" t="s">
        <v>110</v>
      </c>
      <c r="O460">
        <v>4.75</v>
      </c>
      <c r="P460">
        <v>1.19</v>
      </c>
      <c r="Q460" t="s">
        <v>8</v>
      </c>
    </row>
    <row r="461" spans="8:17" x14ac:dyDescent="0.25">
      <c r="H461" t="s">
        <v>10</v>
      </c>
      <c r="J461">
        <v>16.5</v>
      </c>
      <c r="K461" t="s">
        <v>8</v>
      </c>
      <c r="M461" t="s">
        <v>384</v>
      </c>
      <c r="N461" t="s">
        <v>110</v>
      </c>
      <c r="O461">
        <v>4.5999999999999996</v>
      </c>
      <c r="P461">
        <v>1.21</v>
      </c>
      <c r="Q461" t="s">
        <v>8</v>
      </c>
    </row>
    <row r="462" spans="8:17" x14ac:dyDescent="0.25">
      <c r="H462" t="s">
        <v>10</v>
      </c>
      <c r="J462">
        <v>13</v>
      </c>
      <c r="K462" t="s">
        <v>8</v>
      </c>
      <c r="M462" t="s">
        <v>384</v>
      </c>
      <c r="N462" t="s">
        <v>110</v>
      </c>
      <c r="O462">
        <v>5</v>
      </c>
      <c r="P462">
        <v>1.18</v>
      </c>
      <c r="Q462" t="s">
        <v>8</v>
      </c>
    </row>
    <row r="463" spans="8:17" x14ac:dyDescent="0.25">
      <c r="H463" t="s">
        <v>10</v>
      </c>
      <c r="J463">
        <v>16</v>
      </c>
      <c r="K463" t="s">
        <v>8</v>
      </c>
      <c r="M463" t="s">
        <v>384</v>
      </c>
      <c r="N463" t="s">
        <v>110</v>
      </c>
      <c r="O463">
        <v>4.5999999999999996</v>
      </c>
      <c r="P463">
        <v>1.22</v>
      </c>
      <c r="Q463" t="s">
        <v>8</v>
      </c>
    </row>
    <row r="464" spans="8:17" x14ac:dyDescent="0.25">
      <c r="H464" t="s">
        <v>10</v>
      </c>
      <c r="J464">
        <v>1.74</v>
      </c>
      <c r="K464" t="s">
        <v>8</v>
      </c>
      <c r="M464" t="s">
        <v>384</v>
      </c>
      <c r="N464" t="s">
        <v>110</v>
      </c>
      <c r="O464">
        <v>5.2</v>
      </c>
      <c r="P464">
        <v>1.17</v>
      </c>
      <c r="Q464" t="s">
        <v>8</v>
      </c>
    </row>
    <row r="465" spans="8:17" x14ac:dyDescent="0.25">
      <c r="H465" t="s">
        <v>10</v>
      </c>
      <c r="J465">
        <v>1.71</v>
      </c>
      <c r="K465" t="s">
        <v>8</v>
      </c>
      <c r="M465" t="s">
        <v>384</v>
      </c>
      <c r="N465" t="s">
        <v>110</v>
      </c>
      <c r="O465">
        <v>4.5999999999999996</v>
      </c>
      <c r="P465">
        <v>1.21</v>
      </c>
      <c r="Q465" t="s">
        <v>8</v>
      </c>
    </row>
    <row r="466" spans="8:17" x14ac:dyDescent="0.25">
      <c r="H466" t="s">
        <v>10</v>
      </c>
      <c r="J466">
        <v>1.71</v>
      </c>
      <c r="K466" t="s">
        <v>8</v>
      </c>
      <c r="M466" t="s">
        <v>384</v>
      </c>
      <c r="N466" t="s">
        <v>110</v>
      </c>
      <c r="O466">
        <v>4.5</v>
      </c>
      <c r="P466">
        <v>1.22</v>
      </c>
      <c r="Q466" t="s">
        <v>8</v>
      </c>
    </row>
    <row r="467" spans="8:17" x14ac:dyDescent="0.25">
      <c r="H467" t="s">
        <v>10</v>
      </c>
      <c r="J467">
        <v>1.63</v>
      </c>
      <c r="K467" t="s">
        <v>8</v>
      </c>
      <c r="M467" t="s">
        <v>384</v>
      </c>
      <c r="N467" t="s">
        <v>110</v>
      </c>
      <c r="O467">
        <v>4.75</v>
      </c>
      <c r="P467">
        <v>1.2</v>
      </c>
      <c r="Q467" t="s">
        <v>8</v>
      </c>
    </row>
    <row r="468" spans="8:17" x14ac:dyDescent="0.25">
      <c r="H468" t="s">
        <v>10</v>
      </c>
      <c r="J468">
        <v>1.71</v>
      </c>
      <c r="K468" t="s">
        <v>8</v>
      </c>
      <c r="M468" t="s">
        <v>384</v>
      </c>
      <c r="N468" t="s">
        <v>110</v>
      </c>
      <c r="O468">
        <v>4.6500000000000004</v>
      </c>
      <c r="P468">
        <v>1.2</v>
      </c>
      <c r="Q468" t="s">
        <v>8</v>
      </c>
    </row>
    <row r="469" spans="8:17" x14ac:dyDescent="0.25">
      <c r="H469" t="s">
        <v>10</v>
      </c>
      <c r="J469">
        <v>1.73</v>
      </c>
      <c r="K469" t="s">
        <v>8</v>
      </c>
      <c r="M469" t="s">
        <v>384</v>
      </c>
      <c r="N469" t="s">
        <v>110</v>
      </c>
      <c r="O469">
        <v>4.5999999999999996</v>
      </c>
      <c r="P469">
        <v>1.22</v>
      </c>
      <c r="Q469" t="s">
        <v>8</v>
      </c>
    </row>
    <row r="470" spans="8:17" x14ac:dyDescent="0.25">
      <c r="H470" t="s">
        <v>10</v>
      </c>
      <c r="J470">
        <v>1.71</v>
      </c>
      <c r="K470" t="s">
        <v>8</v>
      </c>
      <c r="M470" t="s">
        <v>385</v>
      </c>
      <c r="N470" t="s">
        <v>110</v>
      </c>
      <c r="O470">
        <v>5.0999999999999996</v>
      </c>
      <c r="P470">
        <v>1.18</v>
      </c>
      <c r="Q470" t="s">
        <v>8</v>
      </c>
    </row>
    <row r="471" spans="8:17" x14ac:dyDescent="0.25">
      <c r="H471" t="s">
        <v>10</v>
      </c>
      <c r="J471">
        <v>1.71</v>
      </c>
      <c r="K471" t="s">
        <v>8</v>
      </c>
      <c r="M471" t="s">
        <v>385</v>
      </c>
      <c r="N471" t="s">
        <v>110</v>
      </c>
      <c r="O471">
        <v>4.95</v>
      </c>
      <c r="P471">
        <v>1.2</v>
      </c>
      <c r="Q471" t="s">
        <v>8</v>
      </c>
    </row>
    <row r="472" spans="8:17" x14ac:dyDescent="0.25">
      <c r="H472" t="s">
        <v>10</v>
      </c>
      <c r="J472">
        <v>1.63</v>
      </c>
      <c r="K472" t="s">
        <v>8</v>
      </c>
      <c r="M472" t="s">
        <v>385</v>
      </c>
      <c r="N472" t="s">
        <v>110</v>
      </c>
      <c r="O472">
        <v>4.9000000000000004</v>
      </c>
      <c r="P472">
        <v>1.19</v>
      </c>
      <c r="Q472" t="s">
        <v>8</v>
      </c>
    </row>
    <row r="473" spans="8:17" x14ac:dyDescent="0.25">
      <c r="H473" t="s">
        <v>10</v>
      </c>
      <c r="J473">
        <v>1.71</v>
      </c>
      <c r="K473" t="s">
        <v>8</v>
      </c>
      <c r="M473" t="s">
        <v>385</v>
      </c>
      <c r="N473" t="s">
        <v>110</v>
      </c>
      <c r="O473">
        <v>5</v>
      </c>
      <c r="P473">
        <v>1.17</v>
      </c>
      <c r="Q473" t="s">
        <v>8</v>
      </c>
    </row>
    <row r="474" spans="8:17" x14ac:dyDescent="0.25">
      <c r="H474" t="s">
        <v>10</v>
      </c>
      <c r="J474">
        <v>1.69</v>
      </c>
      <c r="K474" t="s">
        <v>8</v>
      </c>
      <c r="M474" t="s">
        <v>385</v>
      </c>
      <c r="N474" t="s">
        <v>110</v>
      </c>
      <c r="O474">
        <v>5</v>
      </c>
      <c r="P474">
        <v>1.17</v>
      </c>
      <c r="Q474" t="s">
        <v>8</v>
      </c>
    </row>
    <row r="475" spans="8:17" x14ac:dyDescent="0.25">
      <c r="H475" t="s">
        <v>10</v>
      </c>
      <c r="J475">
        <v>1.71</v>
      </c>
      <c r="K475" t="s">
        <v>8</v>
      </c>
      <c r="M475" t="s">
        <v>385</v>
      </c>
      <c r="N475" t="s">
        <v>110</v>
      </c>
      <c r="O475">
        <v>5</v>
      </c>
      <c r="P475">
        <v>1.18</v>
      </c>
      <c r="Q475" t="s">
        <v>8</v>
      </c>
    </row>
    <row r="476" spans="8:17" x14ac:dyDescent="0.25">
      <c r="H476" t="s">
        <v>10</v>
      </c>
      <c r="J476">
        <v>1.21</v>
      </c>
      <c r="K476" t="s">
        <v>8</v>
      </c>
      <c r="M476" t="s">
        <v>385</v>
      </c>
      <c r="N476" t="s">
        <v>110</v>
      </c>
      <c r="O476">
        <v>4.95</v>
      </c>
      <c r="P476">
        <v>1.2</v>
      </c>
      <c r="Q476" t="s">
        <v>8</v>
      </c>
    </row>
    <row r="477" spans="8:17" x14ac:dyDescent="0.25">
      <c r="H477" t="s">
        <v>10</v>
      </c>
      <c r="J477">
        <v>1.22</v>
      </c>
      <c r="K477" t="s">
        <v>8</v>
      </c>
      <c r="M477" t="s">
        <v>385</v>
      </c>
      <c r="N477" t="s">
        <v>110</v>
      </c>
      <c r="O477">
        <v>5</v>
      </c>
      <c r="P477">
        <v>1.17</v>
      </c>
      <c r="Q477" t="s">
        <v>8</v>
      </c>
    </row>
    <row r="478" spans="8:17" x14ac:dyDescent="0.25">
      <c r="H478" t="s">
        <v>10</v>
      </c>
      <c r="J478">
        <v>1.18</v>
      </c>
      <c r="K478" t="s">
        <v>8</v>
      </c>
      <c r="M478" t="s">
        <v>385</v>
      </c>
      <c r="N478" t="s">
        <v>110</v>
      </c>
      <c r="O478">
        <v>4.8499999999999996</v>
      </c>
      <c r="P478">
        <v>1.2</v>
      </c>
      <c r="Q478" t="s">
        <v>8</v>
      </c>
    </row>
    <row r="479" spans="8:17" x14ac:dyDescent="0.25">
      <c r="H479" t="s">
        <v>10</v>
      </c>
      <c r="J479">
        <v>1.19</v>
      </c>
      <c r="K479" t="s">
        <v>8</v>
      </c>
      <c r="M479" t="s">
        <v>385</v>
      </c>
      <c r="N479" t="s">
        <v>110</v>
      </c>
      <c r="O479">
        <v>5</v>
      </c>
      <c r="P479">
        <v>1.18</v>
      </c>
      <c r="Q479" t="s">
        <v>8</v>
      </c>
    </row>
    <row r="480" spans="8:17" x14ac:dyDescent="0.25">
      <c r="H480" t="s">
        <v>10</v>
      </c>
      <c r="J480">
        <v>1.21</v>
      </c>
      <c r="K480" t="s">
        <v>8</v>
      </c>
      <c r="M480" t="s">
        <v>385</v>
      </c>
      <c r="N480" t="s">
        <v>110</v>
      </c>
      <c r="O480">
        <v>5</v>
      </c>
      <c r="P480">
        <v>1.18</v>
      </c>
      <c r="Q480" t="s">
        <v>8</v>
      </c>
    </row>
    <row r="481" spans="8:17" x14ac:dyDescent="0.25">
      <c r="H481" t="s">
        <v>10</v>
      </c>
      <c r="J481">
        <v>1.18</v>
      </c>
      <c r="K481" t="s">
        <v>8</v>
      </c>
      <c r="M481" t="s">
        <v>385</v>
      </c>
      <c r="N481" t="s">
        <v>110</v>
      </c>
      <c r="O481">
        <v>5</v>
      </c>
      <c r="P481">
        <v>1.18</v>
      </c>
      <c r="Q481" t="s">
        <v>8</v>
      </c>
    </row>
    <row r="482" spans="8:17" x14ac:dyDescent="0.25">
      <c r="H482" t="s">
        <v>10</v>
      </c>
      <c r="J482">
        <v>1.22</v>
      </c>
      <c r="K482" t="s">
        <v>8</v>
      </c>
      <c r="M482" t="s">
        <v>385</v>
      </c>
      <c r="N482" t="s">
        <v>110</v>
      </c>
      <c r="O482">
        <v>4.8</v>
      </c>
      <c r="P482">
        <v>1.21</v>
      </c>
      <c r="Q482" t="s">
        <v>8</v>
      </c>
    </row>
    <row r="483" spans="8:17" x14ac:dyDescent="0.25">
      <c r="H483" t="s">
        <v>10</v>
      </c>
      <c r="J483">
        <v>1.18</v>
      </c>
      <c r="K483" t="s">
        <v>8</v>
      </c>
      <c r="M483" t="s">
        <v>386</v>
      </c>
      <c r="N483" t="s">
        <v>110</v>
      </c>
      <c r="O483">
        <v>6.25</v>
      </c>
      <c r="P483">
        <v>1.1299999999999999</v>
      </c>
      <c r="Q483" t="s">
        <v>8</v>
      </c>
    </row>
    <row r="484" spans="8:17" x14ac:dyDescent="0.25">
      <c r="H484" t="s">
        <v>10</v>
      </c>
      <c r="J484">
        <v>1.22</v>
      </c>
      <c r="K484" t="s">
        <v>8</v>
      </c>
      <c r="M484" t="s">
        <v>386</v>
      </c>
      <c r="N484" t="s">
        <v>110</v>
      </c>
      <c r="O484">
        <v>6.2</v>
      </c>
      <c r="P484">
        <v>1.1399999999999999</v>
      </c>
      <c r="Q484" t="s">
        <v>8</v>
      </c>
    </row>
    <row r="485" spans="8:17" x14ac:dyDescent="0.25">
      <c r="H485" t="s">
        <v>10</v>
      </c>
      <c r="J485">
        <v>1.22</v>
      </c>
      <c r="K485" t="s">
        <v>8</v>
      </c>
      <c r="M485" t="s">
        <v>386</v>
      </c>
      <c r="N485" t="s">
        <v>110</v>
      </c>
      <c r="O485">
        <v>6.75</v>
      </c>
      <c r="P485">
        <v>1.1100000000000001</v>
      </c>
      <c r="Q485" t="s">
        <v>8</v>
      </c>
    </row>
    <row r="486" spans="8:17" x14ac:dyDescent="0.25">
      <c r="H486" t="s">
        <v>10</v>
      </c>
      <c r="J486">
        <v>1.22</v>
      </c>
      <c r="K486" t="s">
        <v>8</v>
      </c>
      <c r="M486" t="s">
        <v>386</v>
      </c>
      <c r="N486" t="s">
        <v>110</v>
      </c>
      <c r="O486">
        <v>6.25</v>
      </c>
      <c r="P486">
        <v>1.1200000000000001</v>
      </c>
      <c r="Q486" t="s">
        <v>8</v>
      </c>
    </row>
    <row r="487" spans="8:17" x14ac:dyDescent="0.25">
      <c r="H487" t="s">
        <v>10</v>
      </c>
      <c r="J487">
        <v>1.21</v>
      </c>
      <c r="K487" t="s">
        <v>8</v>
      </c>
      <c r="M487" t="s">
        <v>386</v>
      </c>
      <c r="N487" t="s">
        <v>110</v>
      </c>
      <c r="O487">
        <v>6</v>
      </c>
      <c r="P487">
        <v>1.1399999999999999</v>
      </c>
      <c r="Q487" t="s">
        <v>8</v>
      </c>
    </row>
    <row r="488" spans="8:17" x14ac:dyDescent="0.25">
      <c r="H488" t="s">
        <v>10</v>
      </c>
      <c r="J488">
        <v>1.19</v>
      </c>
      <c r="K488" t="s">
        <v>8</v>
      </c>
      <c r="M488" t="s">
        <v>386</v>
      </c>
      <c r="N488" t="s">
        <v>110</v>
      </c>
      <c r="O488">
        <v>6.2</v>
      </c>
      <c r="P488">
        <v>1.1399999999999999</v>
      </c>
      <c r="Q488" t="s">
        <v>8</v>
      </c>
    </row>
    <row r="489" spans="8:17" x14ac:dyDescent="0.25">
      <c r="H489" t="s">
        <v>10</v>
      </c>
      <c r="J489">
        <v>1.2</v>
      </c>
      <c r="K489" t="s">
        <v>8</v>
      </c>
      <c r="M489" t="s">
        <v>386</v>
      </c>
      <c r="N489" t="s">
        <v>110</v>
      </c>
      <c r="O489">
        <v>6.75</v>
      </c>
      <c r="P489">
        <v>1.1100000000000001</v>
      </c>
      <c r="Q489" t="s">
        <v>8</v>
      </c>
    </row>
    <row r="490" spans="8:17" x14ac:dyDescent="0.25">
      <c r="H490" t="s">
        <v>10</v>
      </c>
      <c r="J490">
        <v>1.19</v>
      </c>
      <c r="K490" t="s">
        <v>8</v>
      </c>
      <c r="M490" t="s">
        <v>386</v>
      </c>
      <c r="N490" t="s">
        <v>110</v>
      </c>
      <c r="O490">
        <v>6.2</v>
      </c>
      <c r="P490">
        <v>1.1299999999999999</v>
      </c>
      <c r="Q490" t="s">
        <v>8</v>
      </c>
    </row>
    <row r="491" spans="8:17" x14ac:dyDescent="0.25">
      <c r="H491" t="s">
        <v>10</v>
      </c>
      <c r="J491">
        <v>1.17</v>
      </c>
      <c r="K491" t="s">
        <v>8</v>
      </c>
      <c r="M491" t="s">
        <v>386</v>
      </c>
      <c r="N491" t="s">
        <v>110</v>
      </c>
      <c r="O491">
        <v>6.5</v>
      </c>
      <c r="P491">
        <v>1.1200000000000001</v>
      </c>
      <c r="Q491" t="s">
        <v>8</v>
      </c>
    </row>
    <row r="492" spans="8:17" x14ac:dyDescent="0.25">
      <c r="H492" t="s">
        <v>10</v>
      </c>
      <c r="J492">
        <v>1.18</v>
      </c>
      <c r="K492" t="s">
        <v>8</v>
      </c>
      <c r="M492" t="s">
        <v>386</v>
      </c>
      <c r="N492" t="s">
        <v>110</v>
      </c>
      <c r="O492">
        <v>6</v>
      </c>
      <c r="P492">
        <v>1.1299999999999999</v>
      </c>
      <c r="Q492" t="s">
        <v>8</v>
      </c>
    </row>
    <row r="493" spans="8:17" x14ac:dyDescent="0.25">
      <c r="H493" t="s">
        <v>10</v>
      </c>
      <c r="J493">
        <v>1.18</v>
      </c>
      <c r="K493" t="s">
        <v>8</v>
      </c>
      <c r="M493" t="s">
        <v>386</v>
      </c>
      <c r="N493" t="s">
        <v>110</v>
      </c>
      <c r="O493">
        <v>6.15</v>
      </c>
      <c r="P493">
        <v>1.1299999999999999</v>
      </c>
      <c r="Q493" t="s">
        <v>8</v>
      </c>
    </row>
    <row r="494" spans="8:17" x14ac:dyDescent="0.25">
      <c r="H494" t="s">
        <v>10</v>
      </c>
      <c r="J494">
        <v>1.2</v>
      </c>
      <c r="K494" t="s">
        <v>8</v>
      </c>
      <c r="M494" t="s">
        <v>386</v>
      </c>
      <c r="N494" t="s">
        <v>110</v>
      </c>
      <c r="O494">
        <v>6.75</v>
      </c>
      <c r="P494">
        <v>1.1200000000000001</v>
      </c>
      <c r="Q494" t="s">
        <v>8</v>
      </c>
    </row>
    <row r="495" spans="8:17" x14ac:dyDescent="0.25">
      <c r="H495" t="s">
        <v>10</v>
      </c>
      <c r="J495">
        <v>1.17</v>
      </c>
      <c r="K495" t="s">
        <v>8</v>
      </c>
      <c r="M495" t="s">
        <v>387</v>
      </c>
      <c r="N495" t="s">
        <v>388</v>
      </c>
      <c r="O495">
        <v>15</v>
      </c>
      <c r="P495">
        <v>1.03</v>
      </c>
      <c r="Q495" t="s">
        <v>8</v>
      </c>
    </row>
    <row r="496" spans="8:17" x14ac:dyDescent="0.25">
      <c r="H496" t="s">
        <v>10</v>
      </c>
      <c r="J496">
        <v>1.2</v>
      </c>
      <c r="K496" t="s">
        <v>8</v>
      </c>
      <c r="M496" t="s">
        <v>387</v>
      </c>
      <c r="N496" t="s">
        <v>388</v>
      </c>
      <c r="O496">
        <v>15</v>
      </c>
      <c r="P496">
        <v>1.02</v>
      </c>
      <c r="Q496" t="s">
        <v>8</v>
      </c>
    </row>
    <row r="497" spans="8:17" x14ac:dyDescent="0.25">
      <c r="H497" t="s">
        <v>10</v>
      </c>
      <c r="J497">
        <v>1.18</v>
      </c>
      <c r="K497" t="s">
        <v>8</v>
      </c>
      <c r="M497" t="s">
        <v>387</v>
      </c>
      <c r="N497" t="s">
        <v>388</v>
      </c>
      <c r="O497">
        <v>19</v>
      </c>
      <c r="P497">
        <v>1.01</v>
      </c>
      <c r="Q497" t="s">
        <v>8</v>
      </c>
    </row>
    <row r="498" spans="8:17" x14ac:dyDescent="0.25">
      <c r="H498" t="s">
        <v>10</v>
      </c>
      <c r="J498">
        <v>1.18</v>
      </c>
      <c r="K498" t="s">
        <v>8</v>
      </c>
      <c r="M498" t="s">
        <v>387</v>
      </c>
      <c r="N498" t="s">
        <v>388</v>
      </c>
      <c r="O498">
        <v>17</v>
      </c>
      <c r="P498">
        <v>1.01</v>
      </c>
      <c r="Q498" t="s">
        <v>8</v>
      </c>
    </row>
    <row r="499" spans="8:17" x14ac:dyDescent="0.25">
      <c r="H499" t="s">
        <v>10</v>
      </c>
      <c r="J499">
        <v>1.18</v>
      </c>
      <c r="K499" t="s">
        <v>8</v>
      </c>
      <c r="M499" t="s">
        <v>387</v>
      </c>
      <c r="N499" t="s">
        <v>388</v>
      </c>
      <c r="O499">
        <v>19</v>
      </c>
      <c r="P499">
        <v>1.01</v>
      </c>
      <c r="Q499" t="s">
        <v>8</v>
      </c>
    </row>
    <row r="500" spans="8:17" x14ac:dyDescent="0.25">
      <c r="H500" t="s">
        <v>10</v>
      </c>
      <c r="J500">
        <v>1.1299999999999999</v>
      </c>
      <c r="K500" t="s">
        <v>8</v>
      </c>
      <c r="M500" t="s">
        <v>387</v>
      </c>
      <c r="N500" t="s">
        <v>388</v>
      </c>
      <c r="O500">
        <v>15</v>
      </c>
      <c r="P500">
        <v>1.02</v>
      </c>
      <c r="Q500" t="s">
        <v>8</v>
      </c>
    </row>
    <row r="501" spans="8:17" x14ac:dyDescent="0.25">
      <c r="H501" t="s">
        <v>10</v>
      </c>
      <c r="J501">
        <v>1.1299999999999999</v>
      </c>
      <c r="K501" t="s">
        <v>8</v>
      </c>
      <c r="M501" t="s">
        <v>387</v>
      </c>
      <c r="N501" t="s">
        <v>388</v>
      </c>
      <c r="O501">
        <v>21</v>
      </c>
      <c r="P501">
        <v>1.01</v>
      </c>
      <c r="Q501" t="s">
        <v>8</v>
      </c>
    </row>
    <row r="502" spans="8:17" x14ac:dyDescent="0.25">
      <c r="H502" t="s">
        <v>10</v>
      </c>
      <c r="J502">
        <v>1.1100000000000001</v>
      </c>
      <c r="K502" t="s">
        <v>8</v>
      </c>
      <c r="M502" t="s">
        <v>389</v>
      </c>
      <c r="N502" t="s">
        <v>388</v>
      </c>
      <c r="O502">
        <v>12</v>
      </c>
      <c r="P502">
        <v>1.05</v>
      </c>
      <c r="Q502" t="s">
        <v>8</v>
      </c>
    </row>
    <row r="503" spans="8:17" x14ac:dyDescent="0.25">
      <c r="H503" t="s">
        <v>10</v>
      </c>
      <c r="J503">
        <v>1.1200000000000001</v>
      </c>
      <c r="K503" t="s">
        <v>8</v>
      </c>
      <c r="M503" t="s">
        <v>389</v>
      </c>
      <c r="N503" t="s">
        <v>388</v>
      </c>
      <c r="O503">
        <v>13</v>
      </c>
      <c r="P503">
        <v>1.03</v>
      </c>
      <c r="Q503" t="s">
        <v>8</v>
      </c>
    </row>
    <row r="504" spans="8:17" x14ac:dyDescent="0.25">
      <c r="H504" t="s">
        <v>10</v>
      </c>
      <c r="J504">
        <v>1.1200000000000001</v>
      </c>
      <c r="K504" t="s">
        <v>8</v>
      </c>
      <c r="M504" t="s">
        <v>389</v>
      </c>
      <c r="N504" t="s">
        <v>388</v>
      </c>
      <c r="O504">
        <v>14</v>
      </c>
      <c r="P504">
        <v>1.02</v>
      </c>
      <c r="Q504" t="s">
        <v>8</v>
      </c>
    </row>
    <row r="505" spans="8:17" x14ac:dyDescent="0.25">
      <c r="H505" t="s">
        <v>10</v>
      </c>
      <c r="J505">
        <v>1.1100000000000001</v>
      </c>
      <c r="K505" t="s">
        <v>8</v>
      </c>
      <c r="M505" t="s">
        <v>389</v>
      </c>
      <c r="N505" t="s">
        <v>388</v>
      </c>
      <c r="O505">
        <v>11</v>
      </c>
      <c r="P505">
        <v>1.04</v>
      </c>
      <c r="Q505" t="s">
        <v>8</v>
      </c>
    </row>
    <row r="506" spans="8:17" x14ac:dyDescent="0.25">
      <c r="H506" t="s">
        <v>10</v>
      </c>
      <c r="J506">
        <v>1.1299999999999999</v>
      </c>
      <c r="K506" t="s">
        <v>8</v>
      </c>
      <c r="M506" t="s">
        <v>389</v>
      </c>
      <c r="N506" t="s">
        <v>388</v>
      </c>
      <c r="O506">
        <v>13</v>
      </c>
      <c r="P506">
        <v>1.03</v>
      </c>
      <c r="Q506" t="s">
        <v>8</v>
      </c>
    </row>
    <row r="507" spans="8:17" x14ac:dyDescent="0.25">
      <c r="H507" t="s">
        <v>10</v>
      </c>
      <c r="J507">
        <v>1.1100000000000001</v>
      </c>
      <c r="K507" t="s">
        <v>8</v>
      </c>
      <c r="M507" t="s">
        <v>389</v>
      </c>
      <c r="N507" t="s">
        <v>388</v>
      </c>
      <c r="O507">
        <v>12.5</v>
      </c>
      <c r="P507">
        <v>1.04</v>
      </c>
      <c r="Q507" t="s">
        <v>8</v>
      </c>
    </row>
    <row r="508" spans="8:17" x14ac:dyDescent="0.25">
      <c r="H508" t="s">
        <v>10</v>
      </c>
      <c r="J508">
        <v>1.1299999999999999</v>
      </c>
      <c r="K508" t="s">
        <v>8</v>
      </c>
      <c r="M508" t="s">
        <v>389</v>
      </c>
      <c r="N508" t="s">
        <v>388</v>
      </c>
      <c r="O508">
        <v>12.6</v>
      </c>
      <c r="P508">
        <v>1.04</v>
      </c>
      <c r="Q508" t="s">
        <v>8</v>
      </c>
    </row>
    <row r="509" spans="8:17" x14ac:dyDescent="0.25">
      <c r="H509" t="s">
        <v>10</v>
      </c>
      <c r="J509">
        <v>1.1200000000000001</v>
      </c>
      <c r="K509" t="s">
        <v>8</v>
      </c>
      <c r="M509" t="s">
        <v>389</v>
      </c>
      <c r="N509" t="s">
        <v>388</v>
      </c>
      <c r="O509">
        <v>13</v>
      </c>
      <c r="P509">
        <v>1.03</v>
      </c>
      <c r="Q509" t="s">
        <v>8</v>
      </c>
    </row>
    <row r="510" spans="8:17" x14ac:dyDescent="0.25">
      <c r="H510" t="s">
        <v>10</v>
      </c>
      <c r="J510">
        <v>1.1299999999999999</v>
      </c>
      <c r="K510" t="s">
        <v>8</v>
      </c>
      <c r="M510" t="s">
        <v>389</v>
      </c>
      <c r="N510" t="s">
        <v>388</v>
      </c>
      <c r="O510">
        <v>14</v>
      </c>
      <c r="P510">
        <v>1.02</v>
      </c>
      <c r="Q510" t="s">
        <v>8</v>
      </c>
    </row>
    <row r="511" spans="8:17" x14ac:dyDescent="0.25">
      <c r="H511" t="s">
        <v>10</v>
      </c>
      <c r="J511">
        <v>1.1299999999999999</v>
      </c>
      <c r="K511" t="s">
        <v>8</v>
      </c>
      <c r="M511" t="s">
        <v>389</v>
      </c>
      <c r="N511" t="s">
        <v>388</v>
      </c>
      <c r="O511">
        <v>13.25</v>
      </c>
      <c r="P511">
        <v>1.04</v>
      </c>
      <c r="Q511" t="s">
        <v>8</v>
      </c>
    </row>
    <row r="512" spans="8:17" x14ac:dyDescent="0.25">
      <c r="H512" t="s">
        <v>10</v>
      </c>
      <c r="J512">
        <v>1.03</v>
      </c>
      <c r="K512" t="s">
        <v>8</v>
      </c>
      <c r="M512" t="s">
        <v>389</v>
      </c>
      <c r="N512" t="s">
        <v>388</v>
      </c>
      <c r="O512">
        <v>13</v>
      </c>
      <c r="P512">
        <v>1.03</v>
      </c>
      <c r="Q512" t="s">
        <v>8</v>
      </c>
    </row>
    <row r="513" spans="8:17" x14ac:dyDescent="0.25">
      <c r="H513" t="s">
        <v>10</v>
      </c>
      <c r="J513">
        <v>1.02</v>
      </c>
      <c r="K513" t="s">
        <v>8</v>
      </c>
      <c r="M513" t="s">
        <v>389</v>
      </c>
      <c r="N513" t="s">
        <v>388</v>
      </c>
      <c r="O513">
        <v>13.25</v>
      </c>
      <c r="P513">
        <v>1.03</v>
      </c>
      <c r="Q513" t="s">
        <v>8</v>
      </c>
    </row>
    <row r="514" spans="8:17" x14ac:dyDescent="0.25">
      <c r="H514" t="s">
        <v>10</v>
      </c>
      <c r="J514">
        <v>1.01</v>
      </c>
      <c r="K514" t="s">
        <v>8</v>
      </c>
      <c r="M514" t="s">
        <v>389</v>
      </c>
      <c r="N514" t="s">
        <v>388</v>
      </c>
      <c r="O514">
        <v>11</v>
      </c>
      <c r="P514">
        <v>1.06</v>
      </c>
      <c r="Q514" t="s">
        <v>8</v>
      </c>
    </row>
    <row r="515" spans="8:17" x14ac:dyDescent="0.25">
      <c r="H515" t="s">
        <v>10</v>
      </c>
      <c r="J515">
        <v>1.01</v>
      </c>
      <c r="K515" t="s">
        <v>8</v>
      </c>
      <c r="M515" t="s">
        <v>390</v>
      </c>
      <c r="N515" t="s">
        <v>388</v>
      </c>
      <c r="O515">
        <v>1.06</v>
      </c>
      <c r="P515">
        <v>11</v>
      </c>
      <c r="Q515" t="s">
        <v>8</v>
      </c>
    </row>
    <row r="516" spans="8:17" x14ac:dyDescent="0.25">
      <c r="H516" t="s">
        <v>10</v>
      </c>
      <c r="J516">
        <v>1.01</v>
      </c>
      <c r="K516" t="s">
        <v>8</v>
      </c>
      <c r="M516" t="s">
        <v>390</v>
      </c>
      <c r="N516" t="s">
        <v>388</v>
      </c>
      <c r="O516">
        <v>1.03</v>
      </c>
      <c r="P516">
        <v>13</v>
      </c>
      <c r="Q516" t="s">
        <v>8</v>
      </c>
    </row>
    <row r="517" spans="8:17" x14ac:dyDescent="0.25">
      <c r="H517" t="s">
        <v>10</v>
      </c>
      <c r="J517">
        <v>1.02</v>
      </c>
      <c r="K517" t="s">
        <v>8</v>
      </c>
      <c r="M517" t="s">
        <v>390</v>
      </c>
      <c r="N517" t="s">
        <v>388</v>
      </c>
      <c r="O517">
        <v>1.03</v>
      </c>
      <c r="P517">
        <v>12</v>
      </c>
      <c r="Q517" t="s">
        <v>8</v>
      </c>
    </row>
    <row r="518" spans="8:17" x14ac:dyDescent="0.25">
      <c r="H518" t="s">
        <v>10</v>
      </c>
      <c r="J518">
        <v>1.05</v>
      </c>
      <c r="K518" t="s">
        <v>8</v>
      </c>
      <c r="M518" t="s">
        <v>390</v>
      </c>
      <c r="N518" t="s">
        <v>388</v>
      </c>
      <c r="O518">
        <v>1.04</v>
      </c>
      <c r="P518">
        <v>11</v>
      </c>
      <c r="Q518" t="s">
        <v>8</v>
      </c>
    </row>
    <row r="519" spans="8:17" x14ac:dyDescent="0.25">
      <c r="H519" t="s">
        <v>10</v>
      </c>
      <c r="J519">
        <v>1.02</v>
      </c>
      <c r="K519" t="s">
        <v>8</v>
      </c>
      <c r="M519" t="s">
        <v>390</v>
      </c>
      <c r="N519" t="s">
        <v>388</v>
      </c>
      <c r="O519">
        <v>1.04</v>
      </c>
      <c r="P519">
        <v>12.5</v>
      </c>
      <c r="Q519" t="s">
        <v>8</v>
      </c>
    </row>
    <row r="520" spans="8:17" x14ac:dyDescent="0.25">
      <c r="H520" t="s">
        <v>10</v>
      </c>
      <c r="J520">
        <v>1.05</v>
      </c>
      <c r="K520" t="s">
        <v>8</v>
      </c>
      <c r="M520" t="s">
        <v>390</v>
      </c>
      <c r="N520" t="s">
        <v>388</v>
      </c>
      <c r="O520">
        <v>1.02</v>
      </c>
      <c r="P520">
        <v>15</v>
      </c>
      <c r="Q520" t="s">
        <v>8</v>
      </c>
    </row>
    <row r="521" spans="8:17" x14ac:dyDescent="0.25">
      <c r="H521" t="s">
        <v>10</v>
      </c>
      <c r="J521">
        <v>1.02</v>
      </c>
      <c r="K521" t="s">
        <v>8</v>
      </c>
      <c r="M521" t="s">
        <v>390</v>
      </c>
      <c r="N521" t="s">
        <v>388</v>
      </c>
      <c r="O521">
        <v>1.03</v>
      </c>
      <c r="P521">
        <v>13</v>
      </c>
      <c r="Q521" t="s">
        <v>8</v>
      </c>
    </row>
    <row r="522" spans="8:17" x14ac:dyDescent="0.25">
      <c r="H522" t="s">
        <v>10</v>
      </c>
      <c r="J522">
        <v>1.04</v>
      </c>
      <c r="K522" t="s">
        <v>8</v>
      </c>
      <c r="M522" t="s">
        <v>390</v>
      </c>
      <c r="N522" t="s">
        <v>388</v>
      </c>
      <c r="O522">
        <v>1.03</v>
      </c>
      <c r="P522">
        <v>12</v>
      </c>
      <c r="Q522" t="s">
        <v>8</v>
      </c>
    </row>
    <row r="523" spans="8:17" x14ac:dyDescent="0.25">
      <c r="H523" t="s">
        <v>10</v>
      </c>
      <c r="J523">
        <v>1.04</v>
      </c>
      <c r="K523" t="s">
        <v>8</v>
      </c>
      <c r="M523" t="s">
        <v>390</v>
      </c>
      <c r="N523" t="s">
        <v>388</v>
      </c>
      <c r="O523">
        <v>1.03</v>
      </c>
      <c r="P523">
        <v>13</v>
      </c>
      <c r="Q523" t="s">
        <v>8</v>
      </c>
    </row>
    <row r="524" spans="8:17" x14ac:dyDescent="0.25">
      <c r="H524" t="s">
        <v>10</v>
      </c>
      <c r="J524">
        <v>1.02</v>
      </c>
      <c r="K524" t="s">
        <v>8</v>
      </c>
      <c r="M524" t="s">
        <v>390</v>
      </c>
      <c r="N524" t="s">
        <v>388</v>
      </c>
      <c r="O524">
        <v>1.04</v>
      </c>
      <c r="P524">
        <v>12</v>
      </c>
      <c r="Q524" t="s">
        <v>8</v>
      </c>
    </row>
    <row r="525" spans="8:17" x14ac:dyDescent="0.25">
      <c r="H525" t="s">
        <v>10</v>
      </c>
      <c r="J525">
        <v>1.03</v>
      </c>
      <c r="K525" t="s">
        <v>8</v>
      </c>
      <c r="M525" t="s">
        <v>390</v>
      </c>
      <c r="N525" t="s">
        <v>388</v>
      </c>
      <c r="O525">
        <v>1.03</v>
      </c>
      <c r="P525">
        <v>13.1</v>
      </c>
      <c r="Q525" t="s">
        <v>8</v>
      </c>
    </row>
    <row r="526" spans="8:17" x14ac:dyDescent="0.25">
      <c r="H526" t="s">
        <v>10</v>
      </c>
      <c r="J526">
        <v>1.02</v>
      </c>
      <c r="K526" t="s">
        <v>8</v>
      </c>
      <c r="M526" t="s">
        <v>390</v>
      </c>
      <c r="N526" t="s">
        <v>388</v>
      </c>
      <c r="O526">
        <v>1.04</v>
      </c>
      <c r="P526">
        <v>13.5</v>
      </c>
      <c r="Q526" t="s">
        <v>8</v>
      </c>
    </row>
    <row r="527" spans="8:17" x14ac:dyDescent="0.25">
      <c r="H527" t="s">
        <v>10</v>
      </c>
      <c r="J527">
        <v>10.5</v>
      </c>
      <c r="K527" t="s">
        <v>8</v>
      </c>
      <c r="M527" t="s">
        <v>391</v>
      </c>
      <c r="N527" t="s">
        <v>388</v>
      </c>
      <c r="O527">
        <v>2.95</v>
      </c>
      <c r="P527">
        <v>1.42</v>
      </c>
      <c r="Q527" t="s">
        <v>8</v>
      </c>
    </row>
    <row r="528" spans="8:17" x14ac:dyDescent="0.25">
      <c r="H528" t="s">
        <v>10</v>
      </c>
      <c r="J528">
        <v>13</v>
      </c>
      <c r="K528" t="s">
        <v>8</v>
      </c>
      <c r="M528" t="s">
        <v>391</v>
      </c>
      <c r="N528" t="s">
        <v>388</v>
      </c>
      <c r="O528">
        <v>2.95</v>
      </c>
      <c r="P528">
        <v>1.44</v>
      </c>
      <c r="Q528" t="s">
        <v>8</v>
      </c>
    </row>
    <row r="529" spans="8:17" x14ac:dyDescent="0.25">
      <c r="H529" t="s">
        <v>10</v>
      </c>
      <c r="J529">
        <v>12</v>
      </c>
      <c r="K529" t="s">
        <v>8</v>
      </c>
      <c r="M529" t="s">
        <v>391</v>
      </c>
      <c r="N529" t="s">
        <v>388</v>
      </c>
      <c r="O529">
        <v>3.15</v>
      </c>
      <c r="P529">
        <v>1.38</v>
      </c>
      <c r="Q529" t="s">
        <v>8</v>
      </c>
    </row>
    <row r="530" spans="8:17" x14ac:dyDescent="0.25">
      <c r="H530" t="s">
        <v>10</v>
      </c>
      <c r="J530">
        <v>11</v>
      </c>
      <c r="K530" t="s">
        <v>8</v>
      </c>
      <c r="M530" t="s">
        <v>391</v>
      </c>
      <c r="N530" t="s">
        <v>388</v>
      </c>
      <c r="O530">
        <v>3.25</v>
      </c>
      <c r="P530">
        <v>1.35</v>
      </c>
      <c r="Q530" t="s">
        <v>8</v>
      </c>
    </row>
    <row r="531" spans="8:17" x14ac:dyDescent="0.25">
      <c r="H531" t="s">
        <v>10</v>
      </c>
      <c r="J531">
        <v>12.5</v>
      </c>
      <c r="K531" t="s">
        <v>8</v>
      </c>
      <c r="M531" t="s">
        <v>391</v>
      </c>
      <c r="N531" t="s">
        <v>388</v>
      </c>
      <c r="O531">
        <v>2.95</v>
      </c>
      <c r="P531">
        <v>1.43</v>
      </c>
      <c r="Q531" t="s">
        <v>8</v>
      </c>
    </row>
    <row r="532" spans="8:17" x14ac:dyDescent="0.25">
      <c r="H532" t="s">
        <v>10</v>
      </c>
      <c r="J532">
        <v>13</v>
      </c>
      <c r="K532" t="s">
        <v>8</v>
      </c>
      <c r="M532" t="s">
        <v>391</v>
      </c>
      <c r="N532" t="s">
        <v>388</v>
      </c>
      <c r="O532">
        <v>2.85</v>
      </c>
      <c r="P532">
        <v>1.44</v>
      </c>
      <c r="Q532" t="s">
        <v>8</v>
      </c>
    </row>
    <row r="533" spans="8:17" x14ac:dyDescent="0.25">
      <c r="H533" t="s">
        <v>10</v>
      </c>
      <c r="J533">
        <v>13</v>
      </c>
      <c r="K533" t="s">
        <v>8</v>
      </c>
      <c r="M533" t="s">
        <v>391</v>
      </c>
      <c r="N533" t="s">
        <v>388</v>
      </c>
      <c r="O533">
        <v>2.95</v>
      </c>
      <c r="P533">
        <v>1.44</v>
      </c>
      <c r="Q533" t="s">
        <v>8</v>
      </c>
    </row>
    <row r="534" spans="8:17" x14ac:dyDescent="0.25">
      <c r="H534" t="s">
        <v>10</v>
      </c>
      <c r="J534">
        <v>12</v>
      </c>
      <c r="K534" t="s">
        <v>8</v>
      </c>
      <c r="M534" t="s">
        <v>391</v>
      </c>
      <c r="N534" t="s">
        <v>388</v>
      </c>
      <c r="O534">
        <v>3.25</v>
      </c>
      <c r="P534">
        <v>1.35</v>
      </c>
      <c r="Q534" t="s">
        <v>8</v>
      </c>
    </row>
    <row r="535" spans="8:17" x14ac:dyDescent="0.25">
      <c r="H535" t="s">
        <v>10</v>
      </c>
      <c r="J535">
        <v>13</v>
      </c>
      <c r="K535" t="s">
        <v>8</v>
      </c>
      <c r="M535" t="s">
        <v>391</v>
      </c>
      <c r="N535" t="s">
        <v>388</v>
      </c>
      <c r="O535">
        <v>2.85</v>
      </c>
      <c r="P535">
        <v>1.44</v>
      </c>
      <c r="Q535" t="s">
        <v>8</v>
      </c>
    </row>
    <row r="536" spans="8:17" x14ac:dyDescent="0.25">
      <c r="H536" t="s">
        <v>10</v>
      </c>
      <c r="J536">
        <v>13</v>
      </c>
      <c r="K536" t="s">
        <v>8</v>
      </c>
      <c r="M536" t="s">
        <v>391</v>
      </c>
      <c r="N536" t="s">
        <v>388</v>
      </c>
      <c r="O536">
        <v>3.1</v>
      </c>
      <c r="P536">
        <v>1.38</v>
      </c>
      <c r="Q536" t="s">
        <v>8</v>
      </c>
    </row>
    <row r="537" spans="8:17" x14ac:dyDescent="0.25">
      <c r="H537" t="s">
        <v>10</v>
      </c>
      <c r="J537">
        <v>12.95</v>
      </c>
      <c r="K537" t="s">
        <v>8</v>
      </c>
      <c r="M537" t="s">
        <v>391</v>
      </c>
      <c r="N537" t="s">
        <v>388</v>
      </c>
      <c r="O537">
        <v>3</v>
      </c>
      <c r="P537">
        <v>1.4</v>
      </c>
      <c r="Q537" t="s">
        <v>8</v>
      </c>
    </row>
    <row r="538" spans="8:17" x14ac:dyDescent="0.25">
      <c r="H538" t="s">
        <v>10</v>
      </c>
      <c r="J538">
        <v>1.35</v>
      </c>
      <c r="K538" t="s">
        <v>8</v>
      </c>
      <c r="M538" t="s">
        <v>391</v>
      </c>
      <c r="N538" t="s">
        <v>388</v>
      </c>
      <c r="O538">
        <v>2.95</v>
      </c>
      <c r="P538">
        <v>1.41</v>
      </c>
      <c r="Q538" t="s">
        <v>8</v>
      </c>
    </row>
    <row r="539" spans="8:17" x14ac:dyDescent="0.25">
      <c r="H539" t="s">
        <v>10</v>
      </c>
      <c r="J539">
        <v>1.38</v>
      </c>
      <c r="K539" t="s">
        <v>8</v>
      </c>
      <c r="M539" t="s">
        <v>391</v>
      </c>
      <c r="N539" t="s">
        <v>388</v>
      </c>
      <c r="O539">
        <v>3.18</v>
      </c>
      <c r="P539">
        <v>1.39</v>
      </c>
      <c r="Q539" t="s">
        <v>8</v>
      </c>
    </row>
    <row r="540" spans="8:17" x14ac:dyDescent="0.25">
      <c r="H540" t="s">
        <v>10</v>
      </c>
      <c r="J540">
        <v>1.35</v>
      </c>
      <c r="K540" t="s">
        <v>8</v>
      </c>
      <c r="M540" t="s">
        <v>392</v>
      </c>
      <c r="N540" t="s">
        <v>393</v>
      </c>
      <c r="O540">
        <v>1.7</v>
      </c>
      <c r="P540">
        <v>2.2000000000000002</v>
      </c>
      <c r="Q540" t="s">
        <v>8</v>
      </c>
    </row>
    <row r="541" spans="8:17" x14ac:dyDescent="0.25">
      <c r="H541" t="s">
        <v>10</v>
      </c>
      <c r="J541">
        <v>1.35</v>
      </c>
      <c r="K541" t="s">
        <v>8</v>
      </c>
      <c r="M541" t="s">
        <v>392</v>
      </c>
      <c r="N541" t="s">
        <v>393</v>
      </c>
      <c r="O541">
        <v>1.71</v>
      </c>
      <c r="P541">
        <v>2.2000000000000002</v>
      </c>
      <c r="Q541" t="s">
        <v>8</v>
      </c>
    </row>
    <row r="542" spans="8:17" x14ac:dyDescent="0.25">
      <c r="H542" t="s">
        <v>10</v>
      </c>
      <c r="J542">
        <v>1.37</v>
      </c>
      <c r="K542" t="s">
        <v>8</v>
      </c>
      <c r="M542" t="s">
        <v>392</v>
      </c>
      <c r="N542" t="s">
        <v>393</v>
      </c>
      <c r="O542">
        <v>1.74</v>
      </c>
      <c r="P542">
        <v>2.12</v>
      </c>
      <c r="Q542" t="s">
        <v>8</v>
      </c>
    </row>
    <row r="543" spans="8:17" x14ac:dyDescent="0.25">
      <c r="H543" t="s">
        <v>10</v>
      </c>
      <c r="J543">
        <v>1.35</v>
      </c>
      <c r="K543" t="s">
        <v>8</v>
      </c>
      <c r="M543" t="s">
        <v>392</v>
      </c>
      <c r="N543" t="s">
        <v>393</v>
      </c>
      <c r="O543">
        <v>1.74</v>
      </c>
      <c r="P543">
        <v>2.15</v>
      </c>
      <c r="Q543" t="s">
        <v>8</v>
      </c>
    </row>
    <row r="544" spans="8:17" x14ac:dyDescent="0.25">
      <c r="H544" t="s">
        <v>10</v>
      </c>
      <c r="J544">
        <v>1.38</v>
      </c>
      <c r="K544" t="s">
        <v>8</v>
      </c>
      <c r="M544" t="s">
        <v>392</v>
      </c>
      <c r="N544" t="s">
        <v>393</v>
      </c>
      <c r="O544">
        <v>1.71</v>
      </c>
      <c r="P544">
        <v>2.1800000000000002</v>
      </c>
      <c r="Q544" t="s">
        <v>8</v>
      </c>
    </row>
    <row r="545" spans="8:17" x14ac:dyDescent="0.25">
      <c r="H545" t="s">
        <v>10</v>
      </c>
      <c r="J545">
        <v>1.35</v>
      </c>
      <c r="K545" t="s">
        <v>8</v>
      </c>
      <c r="M545" t="s">
        <v>392</v>
      </c>
      <c r="N545" t="s">
        <v>393</v>
      </c>
      <c r="O545">
        <v>1.71</v>
      </c>
      <c r="P545">
        <v>2.2000000000000002</v>
      </c>
      <c r="Q545" t="s">
        <v>8</v>
      </c>
    </row>
    <row r="546" spans="8:17" x14ac:dyDescent="0.25">
      <c r="H546" t="s">
        <v>10</v>
      </c>
      <c r="J546">
        <v>1.38</v>
      </c>
      <c r="K546" t="s">
        <v>8</v>
      </c>
      <c r="M546" t="s">
        <v>392</v>
      </c>
      <c r="N546" t="s">
        <v>393</v>
      </c>
      <c r="O546">
        <v>1.74</v>
      </c>
      <c r="P546">
        <v>2.12</v>
      </c>
      <c r="Q546" t="s">
        <v>8</v>
      </c>
    </row>
    <row r="547" spans="8:17" x14ac:dyDescent="0.25">
      <c r="H547" t="s">
        <v>10</v>
      </c>
      <c r="J547">
        <v>1.37</v>
      </c>
      <c r="K547" t="s">
        <v>8</v>
      </c>
      <c r="M547" t="s">
        <v>392</v>
      </c>
      <c r="N547" t="s">
        <v>393</v>
      </c>
      <c r="O547">
        <v>1.71</v>
      </c>
      <c r="P547">
        <v>2.2000000000000002</v>
      </c>
      <c r="Q547" t="s">
        <v>8</v>
      </c>
    </row>
    <row r="548" spans="8:17" x14ac:dyDescent="0.25">
      <c r="H548" t="s">
        <v>10</v>
      </c>
      <c r="J548">
        <v>1.36</v>
      </c>
      <c r="K548" t="s">
        <v>8</v>
      </c>
      <c r="M548" t="s">
        <v>392</v>
      </c>
      <c r="N548" t="s">
        <v>393</v>
      </c>
      <c r="O548">
        <v>1.71</v>
      </c>
      <c r="P548">
        <v>2.2000000000000002</v>
      </c>
      <c r="Q548" t="s">
        <v>8</v>
      </c>
    </row>
    <row r="549" spans="8:17" x14ac:dyDescent="0.25">
      <c r="H549" t="s">
        <v>10</v>
      </c>
      <c r="J549">
        <v>1.36</v>
      </c>
      <c r="K549" t="s">
        <v>8</v>
      </c>
      <c r="M549" t="s">
        <v>392</v>
      </c>
      <c r="N549" t="s">
        <v>393</v>
      </c>
      <c r="O549">
        <v>1.71</v>
      </c>
      <c r="P549">
        <v>2.2000000000000002</v>
      </c>
      <c r="Q549" t="s">
        <v>8</v>
      </c>
    </row>
    <row r="550" spans="8:17" x14ac:dyDescent="0.25">
      <c r="H550" t="s">
        <v>10</v>
      </c>
      <c r="J550">
        <v>2.2000000000000002</v>
      </c>
      <c r="K550" t="s">
        <v>8</v>
      </c>
      <c r="M550" t="s">
        <v>392</v>
      </c>
      <c r="N550" t="s">
        <v>393</v>
      </c>
      <c r="O550">
        <v>1.69</v>
      </c>
      <c r="P550">
        <v>2.2000000000000002</v>
      </c>
      <c r="Q550" t="s">
        <v>8</v>
      </c>
    </row>
    <row r="551" spans="8:17" x14ac:dyDescent="0.25">
      <c r="H551" t="s">
        <v>10</v>
      </c>
      <c r="J551">
        <v>2.2999999999999998</v>
      </c>
      <c r="K551" t="s">
        <v>8</v>
      </c>
      <c r="M551" t="s">
        <v>392</v>
      </c>
      <c r="N551" t="s">
        <v>393</v>
      </c>
      <c r="O551">
        <v>1.71</v>
      </c>
      <c r="P551">
        <v>2.2000000000000002</v>
      </c>
      <c r="Q551" t="s">
        <v>8</v>
      </c>
    </row>
    <row r="552" spans="8:17" x14ac:dyDescent="0.25">
      <c r="H552" t="s">
        <v>10</v>
      </c>
      <c r="J552">
        <v>2.16</v>
      </c>
      <c r="K552" t="s">
        <v>8</v>
      </c>
      <c r="M552" t="s">
        <v>394</v>
      </c>
      <c r="N552" t="s">
        <v>393</v>
      </c>
      <c r="O552">
        <v>4.2</v>
      </c>
      <c r="P552">
        <v>1.24</v>
      </c>
      <c r="Q552" t="s">
        <v>8</v>
      </c>
    </row>
    <row r="553" spans="8:17" x14ac:dyDescent="0.25">
      <c r="H553" t="s">
        <v>10</v>
      </c>
      <c r="J553">
        <v>2.23</v>
      </c>
      <c r="K553" t="s">
        <v>8</v>
      </c>
      <c r="M553" t="s">
        <v>394</v>
      </c>
      <c r="N553" t="s">
        <v>393</v>
      </c>
      <c r="O553">
        <v>4.2</v>
      </c>
      <c r="P553">
        <v>1.25</v>
      </c>
      <c r="Q553" t="s">
        <v>8</v>
      </c>
    </row>
    <row r="554" spans="8:17" x14ac:dyDescent="0.25">
      <c r="H554" t="s">
        <v>10</v>
      </c>
      <c r="J554">
        <v>2.2999999999999998</v>
      </c>
      <c r="K554" t="s">
        <v>8</v>
      </c>
      <c r="M554" t="s">
        <v>394</v>
      </c>
      <c r="N554" t="s">
        <v>393</v>
      </c>
      <c r="O554">
        <v>4.3</v>
      </c>
      <c r="P554">
        <v>1.23</v>
      </c>
      <c r="Q554" t="s">
        <v>8</v>
      </c>
    </row>
    <row r="555" spans="8:17" x14ac:dyDescent="0.25">
      <c r="H555" t="s">
        <v>10</v>
      </c>
      <c r="J555">
        <v>2.2999999999999998</v>
      </c>
      <c r="K555" t="s">
        <v>8</v>
      </c>
      <c r="M555" t="s">
        <v>394</v>
      </c>
      <c r="N555" t="s">
        <v>393</v>
      </c>
      <c r="O555">
        <v>4.2</v>
      </c>
      <c r="P555">
        <v>1.23</v>
      </c>
      <c r="Q555" t="s">
        <v>8</v>
      </c>
    </row>
    <row r="556" spans="8:17" x14ac:dyDescent="0.25">
      <c r="H556" t="s">
        <v>10</v>
      </c>
      <c r="J556">
        <v>2.2999999999999998</v>
      </c>
      <c r="K556" t="s">
        <v>8</v>
      </c>
      <c r="M556" t="s">
        <v>394</v>
      </c>
      <c r="N556" t="s">
        <v>393</v>
      </c>
      <c r="O556">
        <v>4.0999999999999996</v>
      </c>
      <c r="P556">
        <v>1.25</v>
      </c>
      <c r="Q556" t="s">
        <v>8</v>
      </c>
    </row>
    <row r="557" spans="8:17" x14ac:dyDescent="0.25">
      <c r="H557" t="s">
        <v>10</v>
      </c>
      <c r="J557">
        <v>2.23</v>
      </c>
      <c r="K557" t="s">
        <v>8</v>
      </c>
      <c r="M557" t="s">
        <v>394</v>
      </c>
      <c r="N557" t="s">
        <v>393</v>
      </c>
      <c r="O557">
        <v>4.1500000000000004</v>
      </c>
      <c r="P557">
        <v>1.24</v>
      </c>
      <c r="Q557" t="s">
        <v>8</v>
      </c>
    </row>
    <row r="558" spans="8:17" x14ac:dyDescent="0.25">
      <c r="H558" t="s">
        <v>10</v>
      </c>
      <c r="J558">
        <v>2.2999999999999998</v>
      </c>
      <c r="K558" t="s">
        <v>8</v>
      </c>
      <c r="M558" t="s">
        <v>394</v>
      </c>
      <c r="N558" t="s">
        <v>393</v>
      </c>
      <c r="O558">
        <v>4.2</v>
      </c>
      <c r="P558">
        <v>1.25</v>
      </c>
      <c r="Q558" t="s">
        <v>8</v>
      </c>
    </row>
    <row r="559" spans="8:17" x14ac:dyDescent="0.25">
      <c r="H559" t="s">
        <v>10</v>
      </c>
      <c r="J559">
        <v>2.2999999999999998</v>
      </c>
      <c r="K559" t="s">
        <v>8</v>
      </c>
      <c r="M559" t="s">
        <v>394</v>
      </c>
      <c r="N559" t="s">
        <v>393</v>
      </c>
      <c r="O559">
        <v>4.3</v>
      </c>
      <c r="P559">
        <v>1.23</v>
      </c>
      <c r="Q559" t="s">
        <v>8</v>
      </c>
    </row>
    <row r="560" spans="8:17" x14ac:dyDescent="0.25">
      <c r="H560" t="s">
        <v>10</v>
      </c>
      <c r="J560">
        <v>2.25</v>
      </c>
      <c r="K560" t="s">
        <v>8</v>
      </c>
      <c r="M560" t="s">
        <v>394</v>
      </c>
      <c r="N560" t="s">
        <v>393</v>
      </c>
      <c r="O560">
        <v>4.2</v>
      </c>
      <c r="P560">
        <v>1.25</v>
      </c>
      <c r="Q560" t="s">
        <v>8</v>
      </c>
    </row>
    <row r="561" spans="8:17" x14ac:dyDescent="0.25">
      <c r="H561" t="s">
        <v>10</v>
      </c>
      <c r="J561">
        <v>2.2000000000000002</v>
      </c>
      <c r="K561" t="s">
        <v>8</v>
      </c>
      <c r="M561" t="s">
        <v>394</v>
      </c>
      <c r="N561" t="s">
        <v>393</v>
      </c>
      <c r="O561">
        <v>4</v>
      </c>
      <c r="P561">
        <v>1.25</v>
      </c>
      <c r="Q561" t="s">
        <v>8</v>
      </c>
    </row>
    <row r="562" spans="8:17" x14ac:dyDescent="0.25">
      <c r="H562" t="s">
        <v>10</v>
      </c>
      <c r="J562">
        <v>1.24</v>
      </c>
      <c r="K562" t="s">
        <v>8</v>
      </c>
      <c r="M562" t="s">
        <v>394</v>
      </c>
      <c r="N562" t="s">
        <v>393</v>
      </c>
      <c r="O562">
        <v>4.0999999999999996</v>
      </c>
      <c r="P562">
        <v>1.25</v>
      </c>
      <c r="Q562" t="s">
        <v>8</v>
      </c>
    </row>
    <row r="563" spans="8:17" x14ac:dyDescent="0.25">
      <c r="H563" t="s">
        <v>10</v>
      </c>
      <c r="J563">
        <v>1.25</v>
      </c>
      <c r="K563" t="s">
        <v>8</v>
      </c>
      <c r="M563" t="s">
        <v>394</v>
      </c>
      <c r="N563" t="s">
        <v>393</v>
      </c>
      <c r="O563">
        <v>4.0999999999999996</v>
      </c>
      <c r="P563">
        <v>1.25</v>
      </c>
      <c r="Q563" t="s">
        <v>8</v>
      </c>
    </row>
    <row r="564" spans="8:17" x14ac:dyDescent="0.25">
      <c r="H564" t="s">
        <v>10</v>
      </c>
      <c r="J564">
        <v>1.23</v>
      </c>
      <c r="K564" t="s">
        <v>8</v>
      </c>
      <c r="M564" t="s">
        <v>394</v>
      </c>
      <c r="N564" t="s">
        <v>393</v>
      </c>
      <c r="O564">
        <v>3.95</v>
      </c>
      <c r="P564">
        <v>1.28</v>
      </c>
      <c r="Q564" t="s">
        <v>8</v>
      </c>
    </row>
    <row r="565" spans="8:17" x14ac:dyDescent="0.25">
      <c r="H565" t="s">
        <v>10</v>
      </c>
      <c r="J565">
        <v>1.24</v>
      </c>
      <c r="K565" t="s">
        <v>8</v>
      </c>
      <c r="M565" t="s">
        <v>395</v>
      </c>
      <c r="N565" t="s">
        <v>396</v>
      </c>
      <c r="O565">
        <v>1.41</v>
      </c>
      <c r="P565">
        <v>3</v>
      </c>
      <c r="Q565" t="s">
        <v>8</v>
      </c>
    </row>
    <row r="566" spans="8:17" x14ac:dyDescent="0.25">
      <c r="H566" t="s">
        <v>10</v>
      </c>
      <c r="J566">
        <v>1.24</v>
      </c>
      <c r="K566" t="s">
        <v>8</v>
      </c>
      <c r="M566" t="s">
        <v>395</v>
      </c>
      <c r="N566" t="s">
        <v>396</v>
      </c>
      <c r="O566">
        <v>1.44</v>
      </c>
      <c r="P566">
        <v>2.95</v>
      </c>
      <c r="Q566" t="s">
        <v>8</v>
      </c>
    </row>
    <row r="567" spans="8:17" x14ac:dyDescent="0.25">
      <c r="H567" t="s">
        <v>10</v>
      </c>
      <c r="J567">
        <v>1.24</v>
      </c>
      <c r="K567" t="s">
        <v>8</v>
      </c>
      <c r="M567" t="s">
        <v>395</v>
      </c>
      <c r="N567" t="s">
        <v>396</v>
      </c>
      <c r="O567">
        <v>1.42</v>
      </c>
      <c r="P567">
        <v>2.9</v>
      </c>
      <c r="Q567" t="s">
        <v>8</v>
      </c>
    </row>
    <row r="568" spans="8:17" x14ac:dyDescent="0.25">
      <c r="H568" t="s">
        <v>10</v>
      </c>
      <c r="J568">
        <v>1.25</v>
      </c>
      <c r="K568" t="s">
        <v>8</v>
      </c>
      <c r="M568" t="s">
        <v>395</v>
      </c>
      <c r="N568" t="s">
        <v>396</v>
      </c>
      <c r="O568">
        <v>1.43</v>
      </c>
      <c r="P568">
        <v>2.95</v>
      </c>
      <c r="Q568" t="s">
        <v>8</v>
      </c>
    </row>
    <row r="569" spans="8:17" x14ac:dyDescent="0.25">
      <c r="H569" t="s">
        <v>10</v>
      </c>
      <c r="J569">
        <v>1.23</v>
      </c>
      <c r="K569" t="s">
        <v>8</v>
      </c>
      <c r="M569" t="s">
        <v>395</v>
      </c>
      <c r="N569" t="s">
        <v>396</v>
      </c>
      <c r="O569">
        <v>1.43</v>
      </c>
      <c r="P569">
        <v>2.92</v>
      </c>
      <c r="Q569" t="s">
        <v>8</v>
      </c>
    </row>
    <row r="570" spans="8:17" x14ac:dyDescent="0.25">
      <c r="H570" t="s">
        <v>10</v>
      </c>
      <c r="J570">
        <v>1.25</v>
      </c>
      <c r="K570" t="s">
        <v>8</v>
      </c>
      <c r="M570" t="s">
        <v>395</v>
      </c>
      <c r="N570" t="s">
        <v>396</v>
      </c>
      <c r="O570">
        <v>1.43</v>
      </c>
      <c r="P570">
        <v>2.9</v>
      </c>
      <c r="Q570" t="s">
        <v>8</v>
      </c>
    </row>
    <row r="571" spans="8:17" x14ac:dyDescent="0.25">
      <c r="H571" t="s">
        <v>10</v>
      </c>
      <c r="J571">
        <v>1.28</v>
      </c>
      <c r="K571" t="s">
        <v>8</v>
      </c>
      <c r="M571" t="s">
        <v>395</v>
      </c>
      <c r="N571" t="s">
        <v>396</v>
      </c>
      <c r="O571">
        <v>1.44</v>
      </c>
      <c r="P571">
        <v>2.95</v>
      </c>
      <c r="Q571" t="s">
        <v>8</v>
      </c>
    </row>
    <row r="572" spans="8:17" x14ac:dyDescent="0.25">
      <c r="H572" t="s">
        <v>10</v>
      </c>
      <c r="J572">
        <v>1.25</v>
      </c>
      <c r="K572" t="s">
        <v>8</v>
      </c>
      <c r="M572" t="s">
        <v>395</v>
      </c>
      <c r="N572" t="s">
        <v>396</v>
      </c>
      <c r="O572">
        <v>1.42</v>
      </c>
      <c r="P572">
        <v>2.9</v>
      </c>
      <c r="Q572" t="s">
        <v>8</v>
      </c>
    </row>
    <row r="573" spans="8:17" x14ac:dyDescent="0.25">
      <c r="H573" t="s">
        <v>10</v>
      </c>
      <c r="J573">
        <v>1.25</v>
      </c>
      <c r="K573" t="s">
        <v>8</v>
      </c>
      <c r="M573" t="s">
        <v>395</v>
      </c>
      <c r="N573" t="s">
        <v>396</v>
      </c>
      <c r="O573">
        <v>1.44</v>
      </c>
      <c r="P573">
        <v>2.85</v>
      </c>
      <c r="Q573" t="s">
        <v>8</v>
      </c>
    </row>
    <row r="574" spans="8:17" x14ac:dyDescent="0.25">
      <c r="H574" t="s">
        <v>10</v>
      </c>
      <c r="J574">
        <v>2.95</v>
      </c>
      <c r="K574" t="s">
        <v>8</v>
      </c>
      <c r="M574" t="s">
        <v>395</v>
      </c>
      <c r="N574" t="s">
        <v>396</v>
      </c>
      <c r="O574">
        <v>1.42</v>
      </c>
      <c r="P574">
        <v>2.9</v>
      </c>
      <c r="Q574" t="s">
        <v>8</v>
      </c>
    </row>
    <row r="575" spans="8:17" x14ac:dyDescent="0.25">
      <c r="H575" t="s">
        <v>10</v>
      </c>
      <c r="J575">
        <v>2.95</v>
      </c>
      <c r="K575" t="s">
        <v>8</v>
      </c>
      <c r="M575" t="s">
        <v>395</v>
      </c>
      <c r="N575" t="s">
        <v>396</v>
      </c>
      <c r="O575">
        <v>1.42</v>
      </c>
      <c r="P575">
        <v>2.9</v>
      </c>
      <c r="Q575" t="s">
        <v>8</v>
      </c>
    </row>
    <row r="576" spans="8:17" x14ac:dyDescent="0.25">
      <c r="H576" t="s">
        <v>10</v>
      </c>
      <c r="J576">
        <v>3.2</v>
      </c>
      <c r="K576" t="s">
        <v>8</v>
      </c>
      <c r="M576" t="s">
        <v>395</v>
      </c>
      <c r="N576" t="s">
        <v>396</v>
      </c>
      <c r="O576">
        <v>1.4</v>
      </c>
      <c r="P576">
        <v>3</v>
      </c>
      <c r="Q576" t="s">
        <v>8</v>
      </c>
    </row>
    <row r="577" spans="8:17" x14ac:dyDescent="0.25">
      <c r="H577" t="s">
        <v>10</v>
      </c>
      <c r="J577">
        <v>3.05</v>
      </c>
      <c r="K577" t="s">
        <v>8</v>
      </c>
      <c r="M577" t="s">
        <v>397</v>
      </c>
      <c r="N577" t="s">
        <v>398</v>
      </c>
      <c r="O577">
        <v>1.37</v>
      </c>
      <c r="P577">
        <v>3.2</v>
      </c>
      <c r="Q577" t="s">
        <v>8</v>
      </c>
    </row>
    <row r="578" spans="8:17" x14ac:dyDescent="0.25">
      <c r="H578" t="s">
        <v>10</v>
      </c>
      <c r="J578">
        <v>2.96</v>
      </c>
      <c r="K578" t="s">
        <v>8</v>
      </c>
      <c r="M578" t="s">
        <v>397</v>
      </c>
      <c r="N578" t="s">
        <v>398</v>
      </c>
      <c r="O578">
        <v>1.39</v>
      </c>
      <c r="P578">
        <v>3.15</v>
      </c>
      <c r="Q578" t="s">
        <v>8</v>
      </c>
    </row>
    <row r="579" spans="8:17" x14ac:dyDescent="0.25">
      <c r="H579" t="s">
        <v>10</v>
      </c>
      <c r="J579">
        <v>2.95</v>
      </c>
      <c r="K579" t="s">
        <v>8</v>
      </c>
      <c r="M579" t="s">
        <v>397</v>
      </c>
      <c r="N579" t="s">
        <v>398</v>
      </c>
      <c r="O579">
        <v>1.36</v>
      </c>
      <c r="P579">
        <v>3.25</v>
      </c>
      <c r="Q579" t="s">
        <v>8</v>
      </c>
    </row>
    <row r="580" spans="8:17" x14ac:dyDescent="0.25">
      <c r="H580" t="s">
        <v>10</v>
      </c>
      <c r="J580">
        <v>2.95</v>
      </c>
      <c r="K580" t="s">
        <v>8</v>
      </c>
      <c r="M580" t="s">
        <v>397</v>
      </c>
      <c r="N580" t="s">
        <v>398</v>
      </c>
      <c r="O580">
        <v>1.38</v>
      </c>
      <c r="P580">
        <v>3.1</v>
      </c>
      <c r="Q580" t="s">
        <v>8</v>
      </c>
    </row>
    <row r="581" spans="8:17" x14ac:dyDescent="0.25">
      <c r="H581" t="s">
        <v>10</v>
      </c>
      <c r="J581">
        <v>3.2</v>
      </c>
      <c r="K581" t="s">
        <v>8</v>
      </c>
      <c r="M581" t="s">
        <v>397</v>
      </c>
      <c r="N581" t="s">
        <v>398</v>
      </c>
      <c r="O581">
        <v>1.4</v>
      </c>
      <c r="P581">
        <v>3.1</v>
      </c>
      <c r="Q581" t="s">
        <v>8</v>
      </c>
    </row>
    <row r="582" spans="8:17" x14ac:dyDescent="0.25">
      <c r="H582" t="s">
        <v>10</v>
      </c>
      <c r="J582">
        <v>2.85</v>
      </c>
      <c r="K582" t="s">
        <v>8</v>
      </c>
      <c r="M582" t="s">
        <v>397</v>
      </c>
      <c r="N582" t="s">
        <v>398</v>
      </c>
      <c r="O582">
        <v>1.37</v>
      </c>
      <c r="P582">
        <v>3.15</v>
      </c>
      <c r="Q582" t="s">
        <v>8</v>
      </c>
    </row>
    <row r="583" spans="8:17" x14ac:dyDescent="0.25">
      <c r="H583" t="s">
        <v>10</v>
      </c>
      <c r="J583">
        <v>2.9</v>
      </c>
      <c r="K583" t="s">
        <v>8</v>
      </c>
      <c r="M583" t="s">
        <v>397</v>
      </c>
      <c r="N583" t="s">
        <v>398</v>
      </c>
      <c r="O583">
        <v>1.39</v>
      </c>
      <c r="P583">
        <v>3.15</v>
      </c>
      <c r="Q583" t="s">
        <v>8</v>
      </c>
    </row>
    <row r="584" spans="8:17" x14ac:dyDescent="0.25">
      <c r="H584" t="s">
        <v>10</v>
      </c>
      <c r="J584">
        <v>3</v>
      </c>
      <c r="K584" t="s">
        <v>8</v>
      </c>
      <c r="M584" t="s">
        <v>397</v>
      </c>
      <c r="N584" t="s">
        <v>398</v>
      </c>
      <c r="O584">
        <v>1.38</v>
      </c>
      <c r="P584">
        <v>3.1</v>
      </c>
      <c r="Q584" t="s">
        <v>8</v>
      </c>
    </row>
    <row r="585" spans="8:17" x14ac:dyDescent="0.25">
      <c r="H585" t="s">
        <v>10</v>
      </c>
      <c r="J585">
        <v>3.15</v>
      </c>
      <c r="K585" t="s">
        <v>8</v>
      </c>
      <c r="M585" t="s">
        <v>397</v>
      </c>
      <c r="N585" t="s">
        <v>398</v>
      </c>
      <c r="O585">
        <v>1.39</v>
      </c>
      <c r="P585">
        <v>3.08</v>
      </c>
      <c r="Q585" t="s">
        <v>8</v>
      </c>
    </row>
    <row r="586" spans="8:17" x14ac:dyDescent="0.25">
      <c r="H586" t="s">
        <v>10</v>
      </c>
      <c r="J586">
        <v>3.15</v>
      </c>
      <c r="K586" t="s">
        <v>8</v>
      </c>
      <c r="M586" t="s">
        <v>397</v>
      </c>
      <c r="N586" t="s">
        <v>398</v>
      </c>
      <c r="O586">
        <v>1.38</v>
      </c>
      <c r="P586">
        <v>3.15</v>
      </c>
      <c r="Q586" t="s">
        <v>8</v>
      </c>
    </row>
    <row r="587" spans="8:17" x14ac:dyDescent="0.25">
      <c r="H587" t="s">
        <v>10</v>
      </c>
      <c r="J587">
        <v>3.25</v>
      </c>
      <c r="K587" t="s">
        <v>8</v>
      </c>
      <c r="M587" t="s">
        <v>397</v>
      </c>
      <c r="N587" t="s">
        <v>398</v>
      </c>
      <c r="O587">
        <v>1.37</v>
      </c>
      <c r="P587">
        <v>3.15</v>
      </c>
      <c r="Q587" t="s">
        <v>8</v>
      </c>
    </row>
    <row r="588" spans="8:17" x14ac:dyDescent="0.25">
      <c r="H588" t="s">
        <v>10</v>
      </c>
      <c r="J588">
        <v>3.1</v>
      </c>
      <c r="K588" t="s">
        <v>8</v>
      </c>
      <c r="M588" t="s">
        <v>397</v>
      </c>
      <c r="N588" t="s">
        <v>398</v>
      </c>
      <c r="O588">
        <v>1.4</v>
      </c>
      <c r="P588">
        <v>3</v>
      </c>
      <c r="Q588" t="s">
        <v>8</v>
      </c>
    </row>
    <row r="589" spans="8:17" x14ac:dyDescent="0.25">
      <c r="H589" t="s">
        <v>10</v>
      </c>
      <c r="J589">
        <v>3.1</v>
      </c>
      <c r="K589" t="s">
        <v>8</v>
      </c>
      <c r="M589" t="s">
        <v>397</v>
      </c>
      <c r="N589" t="s">
        <v>398</v>
      </c>
      <c r="O589">
        <v>1.39</v>
      </c>
      <c r="P589">
        <v>3.15</v>
      </c>
      <c r="Q589" t="s">
        <v>8</v>
      </c>
    </row>
    <row r="590" spans="8:17" x14ac:dyDescent="0.25">
      <c r="H590" t="s">
        <v>10</v>
      </c>
      <c r="J590">
        <v>3.05</v>
      </c>
      <c r="K590" t="s">
        <v>8</v>
      </c>
      <c r="M590" t="s">
        <v>399</v>
      </c>
      <c r="N590" t="s">
        <v>400</v>
      </c>
      <c r="O590">
        <v>1.54</v>
      </c>
      <c r="P590">
        <v>2.54</v>
      </c>
      <c r="Q590" t="s">
        <v>8</v>
      </c>
    </row>
    <row r="591" spans="8:17" x14ac:dyDescent="0.25">
      <c r="H591" t="s">
        <v>10</v>
      </c>
      <c r="J591">
        <v>3.15</v>
      </c>
      <c r="K591" t="s">
        <v>8</v>
      </c>
      <c r="M591" t="s">
        <v>399</v>
      </c>
      <c r="N591" t="s">
        <v>400</v>
      </c>
      <c r="O591">
        <v>1.61</v>
      </c>
      <c r="P591">
        <v>2.4500000000000002</v>
      </c>
      <c r="Q591" t="s">
        <v>8</v>
      </c>
    </row>
    <row r="592" spans="8:17" x14ac:dyDescent="0.25">
      <c r="H592" t="s">
        <v>10</v>
      </c>
      <c r="J592">
        <v>3.1</v>
      </c>
      <c r="K592" t="s">
        <v>8</v>
      </c>
      <c r="M592" t="s">
        <v>399</v>
      </c>
      <c r="N592" t="s">
        <v>400</v>
      </c>
      <c r="O592">
        <v>1.56</v>
      </c>
      <c r="P592">
        <v>2.4500000000000002</v>
      </c>
      <c r="Q592" t="s">
        <v>8</v>
      </c>
    </row>
    <row r="593" spans="8:17" x14ac:dyDescent="0.25">
      <c r="H593" t="s">
        <v>10</v>
      </c>
      <c r="J593">
        <v>3.08</v>
      </c>
      <c r="K593" t="s">
        <v>8</v>
      </c>
      <c r="M593" t="s">
        <v>399</v>
      </c>
      <c r="N593" t="s">
        <v>400</v>
      </c>
      <c r="O593">
        <v>1.59</v>
      </c>
      <c r="P593">
        <v>2.4500000000000002</v>
      </c>
      <c r="Q593" t="s">
        <v>8</v>
      </c>
    </row>
    <row r="594" spans="8:17" x14ac:dyDescent="0.25">
      <c r="H594" t="s">
        <v>10</v>
      </c>
      <c r="J594">
        <v>3</v>
      </c>
      <c r="K594" t="s">
        <v>8</v>
      </c>
      <c r="M594" t="s">
        <v>399</v>
      </c>
      <c r="N594" t="s">
        <v>400</v>
      </c>
      <c r="O594">
        <v>1.59</v>
      </c>
      <c r="P594">
        <v>2.4300000000000002</v>
      </c>
      <c r="Q594" t="s">
        <v>8</v>
      </c>
    </row>
    <row r="595" spans="8:17" x14ac:dyDescent="0.25">
      <c r="H595" t="s">
        <v>10</v>
      </c>
      <c r="J595">
        <v>3.05</v>
      </c>
      <c r="K595" t="s">
        <v>8</v>
      </c>
      <c r="M595" t="s">
        <v>399</v>
      </c>
      <c r="N595" t="s">
        <v>400</v>
      </c>
      <c r="O595">
        <v>1.55</v>
      </c>
      <c r="P595">
        <v>2.5</v>
      </c>
      <c r="Q595" t="s">
        <v>8</v>
      </c>
    </row>
    <row r="596" spans="8:17" x14ac:dyDescent="0.25">
      <c r="H596" t="s">
        <v>10</v>
      </c>
      <c r="J596">
        <v>2.4</v>
      </c>
      <c r="K596" t="s">
        <v>8</v>
      </c>
      <c r="M596" t="s">
        <v>399</v>
      </c>
      <c r="N596" t="s">
        <v>400</v>
      </c>
      <c r="O596">
        <v>1.61</v>
      </c>
      <c r="P596">
        <v>2.4500000000000002</v>
      </c>
      <c r="Q596" t="s">
        <v>8</v>
      </c>
    </row>
    <row r="597" spans="8:17" x14ac:dyDescent="0.25">
      <c r="H597" t="s">
        <v>10</v>
      </c>
      <c r="J597">
        <v>2.35</v>
      </c>
      <c r="K597" t="s">
        <v>8</v>
      </c>
      <c r="M597" t="s">
        <v>399</v>
      </c>
      <c r="N597" t="s">
        <v>400</v>
      </c>
      <c r="O597">
        <v>1.56</v>
      </c>
      <c r="P597">
        <v>2.4500000000000002</v>
      </c>
      <c r="Q597" t="s">
        <v>8</v>
      </c>
    </row>
    <row r="598" spans="8:17" x14ac:dyDescent="0.25">
      <c r="H598" t="s">
        <v>10</v>
      </c>
      <c r="J598">
        <v>2.4500000000000002</v>
      </c>
      <c r="K598" t="s">
        <v>8</v>
      </c>
      <c r="M598" t="s">
        <v>399</v>
      </c>
      <c r="N598" t="s">
        <v>400</v>
      </c>
      <c r="O598">
        <v>1.61</v>
      </c>
      <c r="P598">
        <v>2.4500000000000002</v>
      </c>
      <c r="Q598" t="s">
        <v>8</v>
      </c>
    </row>
    <row r="599" spans="8:17" x14ac:dyDescent="0.25">
      <c r="H599" t="s">
        <v>10</v>
      </c>
      <c r="J599">
        <v>2.35</v>
      </c>
      <c r="K599" t="s">
        <v>8</v>
      </c>
      <c r="M599" t="s">
        <v>399</v>
      </c>
      <c r="N599" t="s">
        <v>400</v>
      </c>
      <c r="O599">
        <v>1.59</v>
      </c>
      <c r="P599">
        <v>2.4500000000000002</v>
      </c>
      <c r="Q599" t="s">
        <v>8</v>
      </c>
    </row>
    <row r="600" spans="8:17" x14ac:dyDescent="0.25">
      <c r="H600" t="s">
        <v>10</v>
      </c>
      <c r="J600">
        <v>2.35</v>
      </c>
      <c r="K600" t="s">
        <v>8</v>
      </c>
      <c r="M600" t="s">
        <v>399</v>
      </c>
      <c r="N600" t="s">
        <v>400</v>
      </c>
      <c r="O600">
        <v>1.57</v>
      </c>
      <c r="P600">
        <v>2.4500000000000002</v>
      </c>
      <c r="Q600" t="s">
        <v>8</v>
      </c>
    </row>
    <row r="601" spans="8:17" x14ac:dyDescent="0.25">
      <c r="H601" t="s">
        <v>10</v>
      </c>
      <c r="J601">
        <v>2.4</v>
      </c>
      <c r="K601" t="s">
        <v>8</v>
      </c>
      <c r="M601" t="s">
        <v>399</v>
      </c>
      <c r="N601" t="s">
        <v>400</v>
      </c>
      <c r="O601">
        <v>1.61</v>
      </c>
      <c r="P601">
        <v>2.4</v>
      </c>
      <c r="Q601" t="s">
        <v>8</v>
      </c>
    </row>
    <row r="602" spans="8:17" x14ac:dyDescent="0.25">
      <c r="H602" t="s">
        <v>10</v>
      </c>
      <c r="J602">
        <v>2.35</v>
      </c>
      <c r="K602" t="s">
        <v>8</v>
      </c>
      <c r="M602" t="s">
        <v>399</v>
      </c>
      <c r="N602" t="s">
        <v>400</v>
      </c>
      <c r="O602">
        <v>1.59</v>
      </c>
      <c r="P602">
        <v>2.4500000000000002</v>
      </c>
      <c r="Q602" t="s">
        <v>8</v>
      </c>
    </row>
    <row r="603" spans="8:17" x14ac:dyDescent="0.25">
      <c r="H603" t="s">
        <v>10</v>
      </c>
      <c r="J603">
        <v>2.4500000000000002</v>
      </c>
      <c r="K603" t="s">
        <v>8</v>
      </c>
      <c r="M603" t="s">
        <v>401</v>
      </c>
      <c r="N603" t="s">
        <v>402</v>
      </c>
      <c r="O603">
        <v>1.8</v>
      </c>
      <c r="P603">
        <v>2.0499999999999998</v>
      </c>
      <c r="Q603" t="s">
        <v>8</v>
      </c>
    </row>
    <row r="604" spans="8:17" x14ac:dyDescent="0.25">
      <c r="H604" t="s">
        <v>10</v>
      </c>
      <c r="J604">
        <v>2.35</v>
      </c>
      <c r="K604" t="s">
        <v>8</v>
      </c>
      <c r="M604" t="s">
        <v>401</v>
      </c>
      <c r="N604" t="s">
        <v>402</v>
      </c>
      <c r="O604">
        <v>1.87</v>
      </c>
      <c r="P604">
        <v>1.95</v>
      </c>
      <c r="Q604" t="s">
        <v>8</v>
      </c>
    </row>
    <row r="605" spans="8:17" x14ac:dyDescent="0.25">
      <c r="H605" t="s">
        <v>10</v>
      </c>
      <c r="J605">
        <v>2.35</v>
      </c>
      <c r="K605" t="s">
        <v>8</v>
      </c>
      <c r="M605" t="s">
        <v>401</v>
      </c>
      <c r="N605" t="s">
        <v>402</v>
      </c>
      <c r="O605">
        <v>1.87</v>
      </c>
      <c r="P605">
        <v>1.95</v>
      </c>
      <c r="Q605" t="s">
        <v>8</v>
      </c>
    </row>
    <row r="606" spans="8:17" x14ac:dyDescent="0.25">
      <c r="H606" t="s">
        <v>10</v>
      </c>
      <c r="J606">
        <v>2.35</v>
      </c>
      <c r="K606" t="s">
        <v>8</v>
      </c>
      <c r="M606" t="s">
        <v>401</v>
      </c>
      <c r="N606" t="s">
        <v>402</v>
      </c>
      <c r="O606">
        <v>1.79</v>
      </c>
      <c r="P606">
        <v>2.0499999999999998</v>
      </c>
      <c r="Q606" t="s">
        <v>8</v>
      </c>
    </row>
    <row r="607" spans="8:17" x14ac:dyDescent="0.25">
      <c r="H607" t="s">
        <v>10</v>
      </c>
      <c r="J607">
        <v>2.14</v>
      </c>
      <c r="K607" t="s">
        <v>8</v>
      </c>
      <c r="M607" t="s">
        <v>401</v>
      </c>
      <c r="N607" t="s">
        <v>402</v>
      </c>
      <c r="O607">
        <v>1.85</v>
      </c>
      <c r="P607">
        <v>1.96</v>
      </c>
      <c r="Q607" t="s">
        <v>8</v>
      </c>
    </row>
    <row r="608" spans="8:17" x14ac:dyDescent="0.25">
      <c r="H608" t="s">
        <v>10</v>
      </c>
      <c r="J608">
        <v>2.1</v>
      </c>
      <c r="K608" t="s">
        <v>8</v>
      </c>
      <c r="M608" t="s">
        <v>401</v>
      </c>
      <c r="N608" t="s">
        <v>402</v>
      </c>
      <c r="O608">
        <v>1.87</v>
      </c>
      <c r="P608">
        <v>1.95</v>
      </c>
      <c r="Q608" t="s">
        <v>8</v>
      </c>
    </row>
    <row r="609" spans="8:17" x14ac:dyDescent="0.25">
      <c r="H609" t="s">
        <v>10</v>
      </c>
      <c r="J609">
        <v>2.1</v>
      </c>
      <c r="K609" t="s">
        <v>8</v>
      </c>
      <c r="M609" t="s">
        <v>401</v>
      </c>
      <c r="N609" t="s">
        <v>402</v>
      </c>
      <c r="O609">
        <v>1.85</v>
      </c>
      <c r="P609">
        <v>1.96</v>
      </c>
      <c r="Q609" t="s">
        <v>8</v>
      </c>
    </row>
    <row r="610" spans="8:17" x14ac:dyDescent="0.25">
      <c r="H610" t="s">
        <v>10</v>
      </c>
      <c r="J610">
        <v>2.08</v>
      </c>
      <c r="K610" t="s">
        <v>8</v>
      </c>
      <c r="M610" t="s">
        <v>401</v>
      </c>
      <c r="N610" t="s">
        <v>402</v>
      </c>
      <c r="O610">
        <v>1.83</v>
      </c>
      <c r="P610">
        <v>2</v>
      </c>
      <c r="Q610" t="s">
        <v>8</v>
      </c>
    </row>
    <row r="611" spans="8:17" x14ac:dyDescent="0.25">
      <c r="H611" t="s">
        <v>10</v>
      </c>
      <c r="J611">
        <v>2.12</v>
      </c>
      <c r="K611" t="s">
        <v>8</v>
      </c>
      <c r="M611" t="s">
        <v>401</v>
      </c>
      <c r="N611" t="s">
        <v>402</v>
      </c>
      <c r="O611">
        <v>1.83</v>
      </c>
      <c r="P611">
        <v>2</v>
      </c>
      <c r="Q611" t="s">
        <v>8</v>
      </c>
    </row>
    <row r="612" spans="8:17" x14ac:dyDescent="0.25">
      <c r="H612" t="s">
        <v>10</v>
      </c>
      <c r="J612">
        <v>2.15</v>
      </c>
      <c r="K612" t="s">
        <v>8</v>
      </c>
      <c r="M612" t="s">
        <v>401</v>
      </c>
      <c r="N612" t="s">
        <v>402</v>
      </c>
      <c r="O612">
        <v>1.83</v>
      </c>
      <c r="P612">
        <v>2</v>
      </c>
      <c r="Q612" t="s">
        <v>8</v>
      </c>
    </row>
    <row r="613" spans="8:17" x14ac:dyDescent="0.25">
      <c r="H613" t="s">
        <v>10</v>
      </c>
      <c r="J613">
        <v>2.12</v>
      </c>
      <c r="K613" t="s">
        <v>8</v>
      </c>
      <c r="M613" t="s">
        <v>401</v>
      </c>
      <c r="N613" t="s">
        <v>402</v>
      </c>
      <c r="O613">
        <v>1.87</v>
      </c>
      <c r="P613">
        <v>1.95</v>
      </c>
      <c r="Q613" t="s">
        <v>8</v>
      </c>
    </row>
    <row r="614" spans="8:17" x14ac:dyDescent="0.25">
      <c r="H614" t="s">
        <v>10</v>
      </c>
      <c r="J614">
        <v>2.1</v>
      </c>
      <c r="K614" t="s">
        <v>8</v>
      </c>
      <c r="M614" t="s">
        <v>401</v>
      </c>
      <c r="N614" t="s">
        <v>402</v>
      </c>
      <c r="O614">
        <v>1.86</v>
      </c>
      <c r="P614">
        <v>2</v>
      </c>
      <c r="Q614" t="s">
        <v>8</v>
      </c>
    </row>
    <row r="615" spans="8:17" x14ac:dyDescent="0.25">
      <c r="H615" t="s">
        <v>10</v>
      </c>
      <c r="J615">
        <v>2.15</v>
      </c>
      <c r="K615" t="s">
        <v>8</v>
      </c>
      <c r="M615" t="s">
        <v>403</v>
      </c>
      <c r="N615" t="s">
        <v>402</v>
      </c>
      <c r="O615">
        <v>1.87</v>
      </c>
      <c r="P615">
        <v>1.95</v>
      </c>
      <c r="Q615" t="s">
        <v>8</v>
      </c>
    </row>
    <row r="616" spans="8:17" x14ac:dyDescent="0.25">
      <c r="H616" t="s">
        <v>10</v>
      </c>
      <c r="J616">
        <v>2.15</v>
      </c>
      <c r="K616" t="s">
        <v>8</v>
      </c>
      <c r="M616" t="s">
        <v>403</v>
      </c>
      <c r="N616" t="s">
        <v>402</v>
      </c>
      <c r="O616">
        <v>1.87</v>
      </c>
      <c r="P616">
        <v>1.96</v>
      </c>
      <c r="Q616" t="s">
        <v>8</v>
      </c>
    </row>
    <row r="617" spans="8:17" x14ac:dyDescent="0.25">
      <c r="H617" t="s">
        <v>10</v>
      </c>
      <c r="J617">
        <v>2.15</v>
      </c>
      <c r="K617" t="s">
        <v>8</v>
      </c>
      <c r="M617" t="s">
        <v>403</v>
      </c>
      <c r="N617" t="s">
        <v>402</v>
      </c>
      <c r="O617">
        <v>1.87</v>
      </c>
      <c r="P617">
        <v>1.95</v>
      </c>
      <c r="Q617" t="s">
        <v>8</v>
      </c>
    </row>
    <row r="618" spans="8:17" x14ac:dyDescent="0.25">
      <c r="H618" t="s">
        <v>10</v>
      </c>
      <c r="J618">
        <v>2.1</v>
      </c>
      <c r="K618" t="s">
        <v>8</v>
      </c>
      <c r="M618" t="s">
        <v>403</v>
      </c>
      <c r="N618" t="s">
        <v>402</v>
      </c>
      <c r="O618">
        <v>1.82</v>
      </c>
      <c r="P618">
        <v>2.02</v>
      </c>
      <c r="Q618" t="s">
        <v>8</v>
      </c>
    </row>
    <row r="619" spans="8:17" x14ac:dyDescent="0.25">
      <c r="H619" t="s">
        <v>10</v>
      </c>
      <c r="J619">
        <v>2.02</v>
      </c>
      <c r="K619" t="s">
        <v>8</v>
      </c>
      <c r="M619" t="s">
        <v>403</v>
      </c>
      <c r="N619" t="s">
        <v>402</v>
      </c>
      <c r="O619">
        <v>1.87</v>
      </c>
      <c r="P619">
        <v>1.95</v>
      </c>
      <c r="Q619" t="s">
        <v>8</v>
      </c>
    </row>
    <row r="620" spans="8:17" x14ac:dyDescent="0.25">
      <c r="H620" t="s">
        <v>10</v>
      </c>
      <c r="J620">
        <v>2.0499999999999998</v>
      </c>
      <c r="K620" t="s">
        <v>8</v>
      </c>
      <c r="M620" t="s">
        <v>403</v>
      </c>
      <c r="N620" t="s">
        <v>402</v>
      </c>
      <c r="O620">
        <v>1.87</v>
      </c>
      <c r="P620">
        <v>1.95</v>
      </c>
      <c r="Q620" t="s">
        <v>8</v>
      </c>
    </row>
    <row r="621" spans="8:17" x14ac:dyDescent="0.25">
      <c r="H621" t="s">
        <v>10</v>
      </c>
      <c r="J621">
        <v>1.97</v>
      </c>
      <c r="K621" t="s">
        <v>8</v>
      </c>
      <c r="M621" t="s">
        <v>403</v>
      </c>
      <c r="N621" t="s">
        <v>402</v>
      </c>
      <c r="O621">
        <v>1.87</v>
      </c>
      <c r="P621">
        <v>1.95</v>
      </c>
      <c r="Q621" t="s">
        <v>8</v>
      </c>
    </row>
    <row r="622" spans="8:17" x14ac:dyDescent="0.25">
      <c r="H622" t="s">
        <v>10</v>
      </c>
      <c r="J622">
        <v>2</v>
      </c>
      <c r="K622" t="s">
        <v>8</v>
      </c>
      <c r="M622" t="s">
        <v>403</v>
      </c>
      <c r="N622" t="s">
        <v>402</v>
      </c>
      <c r="O622">
        <v>1.82</v>
      </c>
      <c r="P622">
        <v>2.02</v>
      </c>
      <c r="Q622" t="s">
        <v>8</v>
      </c>
    </row>
    <row r="623" spans="8:17" x14ac:dyDescent="0.25">
      <c r="H623" t="s">
        <v>10</v>
      </c>
      <c r="J623">
        <v>2.0499999999999998</v>
      </c>
      <c r="K623" t="s">
        <v>8</v>
      </c>
      <c r="M623" t="s">
        <v>403</v>
      </c>
      <c r="N623" t="s">
        <v>402</v>
      </c>
      <c r="O623">
        <v>1.83</v>
      </c>
      <c r="P623">
        <v>2</v>
      </c>
      <c r="Q623" t="s">
        <v>8</v>
      </c>
    </row>
    <row r="624" spans="8:17" x14ac:dyDescent="0.25">
      <c r="H624" t="s">
        <v>10</v>
      </c>
      <c r="J624">
        <v>2.0499999999999998</v>
      </c>
      <c r="K624" t="s">
        <v>8</v>
      </c>
      <c r="M624" t="s">
        <v>403</v>
      </c>
      <c r="N624" t="s">
        <v>402</v>
      </c>
      <c r="O624">
        <v>1.83</v>
      </c>
      <c r="P624">
        <v>2</v>
      </c>
      <c r="Q624" t="s">
        <v>8</v>
      </c>
    </row>
    <row r="625" spans="8:17" x14ac:dyDescent="0.25">
      <c r="H625" t="s">
        <v>10</v>
      </c>
      <c r="J625">
        <v>1.97</v>
      </c>
      <c r="K625" t="s">
        <v>8</v>
      </c>
      <c r="M625" t="s">
        <v>403</v>
      </c>
      <c r="N625" t="s">
        <v>402</v>
      </c>
      <c r="O625">
        <v>1.93</v>
      </c>
      <c r="P625">
        <v>1.93</v>
      </c>
      <c r="Q625" t="s">
        <v>8</v>
      </c>
    </row>
    <row r="626" spans="8:17" x14ac:dyDescent="0.25">
      <c r="H626" t="s">
        <v>10</v>
      </c>
      <c r="J626">
        <v>2.0499999999999998</v>
      </c>
      <c r="K626" t="s">
        <v>8</v>
      </c>
      <c r="M626" t="s">
        <v>404</v>
      </c>
      <c r="N626" t="s">
        <v>402</v>
      </c>
      <c r="O626">
        <v>4.2</v>
      </c>
      <c r="P626">
        <v>1.24</v>
      </c>
      <c r="Q626" t="s">
        <v>8</v>
      </c>
    </row>
    <row r="627" spans="8:17" x14ac:dyDescent="0.25">
      <c r="H627" t="s">
        <v>10</v>
      </c>
      <c r="J627">
        <v>2.0499999999999998</v>
      </c>
      <c r="K627" t="s">
        <v>8</v>
      </c>
      <c r="M627" t="s">
        <v>404</v>
      </c>
      <c r="N627" t="s">
        <v>402</v>
      </c>
      <c r="O627">
        <v>4.4000000000000004</v>
      </c>
      <c r="P627">
        <v>1.22</v>
      </c>
      <c r="Q627" t="s">
        <v>8</v>
      </c>
    </row>
    <row r="628" spans="8:17" x14ac:dyDescent="0.25">
      <c r="H628" t="s">
        <v>10</v>
      </c>
      <c r="J628">
        <v>2.0499999999999998</v>
      </c>
      <c r="K628" t="s">
        <v>8</v>
      </c>
      <c r="M628" t="s">
        <v>404</v>
      </c>
      <c r="N628" t="s">
        <v>402</v>
      </c>
      <c r="O628">
        <v>4.45</v>
      </c>
      <c r="P628">
        <v>1.24</v>
      </c>
      <c r="Q628" t="s">
        <v>8</v>
      </c>
    </row>
    <row r="629" spans="8:17" x14ac:dyDescent="0.25">
      <c r="H629" t="s">
        <v>10</v>
      </c>
      <c r="J629">
        <v>1.23</v>
      </c>
      <c r="K629" t="s">
        <v>8</v>
      </c>
      <c r="M629" t="s">
        <v>404</v>
      </c>
      <c r="N629" t="s">
        <v>402</v>
      </c>
      <c r="O629">
        <v>4.0999999999999996</v>
      </c>
      <c r="P629">
        <v>1.24</v>
      </c>
      <c r="Q629" t="s">
        <v>8</v>
      </c>
    </row>
    <row r="630" spans="8:17" x14ac:dyDescent="0.25">
      <c r="H630" t="s">
        <v>10</v>
      </c>
      <c r="J630">
        <v>1.22</v>
      </c>
      <c r="K630" t="s">
        <v>8</v>
      </c>
      <c r="M630" t="s">
        <v>404</v>
      </c>
      <c r="N630" t="s">
        <v>402</v>
      </c>
      <c r="O630">
        <v>4.4000000000000004</v>
      </c>
      <c r="P630">
        <v>1.22</v>
      </c>
      <c r="Q630" t="s">
        <v>8</v>
      </c>
    </row>
    <row r="631" spans="8:17" x14ac:dyDescent="0.25">
      <c r="H631" t="s">
        <v>10</v>
      </c>
      <c r="J631">
        <v>1.23</v>
      </c>
      <c r="K631" t="s">
        <v>8</v>
      </c>
      <c r="M631" t="s">
        <v>404</v>
      </c>
      <c r="N631" t="s">
        <v>402</v>
      </c>
      <c r="O631">
        <v>4.28</v>
      </c>
      <c r="P631">
        <v>1.23</v>
      </c>
      <c r="Q631" t="s">
        <v>8</v>
      </c>
    </row>
    <row r="632" spans="8:17" x14ac:dyDescent="0.25">
      <c r="H632" t="s">
        <v>10</v>
      </c>
      <c r="J632">
        <v>1.24</v>
      </c>
      <c r="K632" t="s">
        <v>8</v>
      </c>
      <c r="M632" t="s">
        <v>404</v>
      </c>
      <c r="N632" t="s">
        <v>402</v>
      </c>
      <c r="O632">
        <v>4.45</v>
      </c>
      <c r="P632">
        <v>1.24</v>
      </c>
      <c r="Q632" t="s">
        <v>8</v>
      </c>
    </row>
    <row r="633" spans="8:17" x14ac:dyDescent="0.25">
      <c r="H633" t="s">
        <v>10</v>
      </c>
      <c r="J633">
        <v>1.21</v>
      </c>
      <c r="K633" t="s">
        <v>8</v>
      </c>
      <c r="M633" t="s">
        <v>404</v>
      </c>
      <c r="N633" t="s">
        <v>402</v>
      </c>
      <c r="O633">
        <v>4.0999999999999996</v>
      </c>
      <c r="P633">
        <v>1.24</v>
      </c>
      <c r="Q633" t="s">
        <v>8</v>
      </c>
    </row>
    <row r="634" spans="8:17" x14ac:dyDescent="0.25">
      <c r="H634" t="s">
        <v>10</v>
      </c>
      <c r="J634">
        <v>1.23</v>
      </c>
      <c r="K634" t="s">
        <v>8</v>
      </c>
      <c r="M634" t="s">
        <v>404</v>
      </c>
      <c r="N634" t="s">
        <v>402</v>
      </c>
      <c r="O634">
        <v>4.3499999999999996</v>
      </c>
      <c r="P634">
        <v>1.24</v>
      </c>
      <c r="Q634" t="s">
        <v>8</v>
      </c>
    </row>
    <row r="635" spans="8:17" x14ac:dyDescent="0.25">
      <c r="H635" t="s">
        <v>10</v>
      </c>
      <c r="J635">
        <v>1.23</v>
      </c>
      <c r="K635" t="s">
        <v>8</v>
      </c>
      <c r="M635" t="s">
        <v>404</v>
      </c>
      <c r="N635" t="s">
        <v>402</v>
      </c>
      <c r="O635">
        <v>4.25</v>
      </c>
      <c r="P635">
        <v>1.24</v>
      </c>
      <c r="Q635" t="s">
        <v>8</v>
      </c>
    </row>
    <row r="636" spans="8:17" x14ac:dyDescent="0.25">
      <c r="H636" t="s">
        <v>10</v>
      </c>
      <c r="J636">
        <v>1.24</v>
      </c>
      <c r="K636" t="s">
        <v>8</v>
      </c>
      <c r="M636" t="s">
        <v>404</v>
      </c>
      <c r="N636" t="s">
        <v>402</v>
      </c>
      <c r="O636">
        <v>4.3</v>
      </c>
      <c r="P636">
        <v>1.23</v>
      </c>
      <c r="Q636" t="s">
        <v>8</v>
      </c>
    </row>
    <row r="637" spans="8:17" x14ac:dyDescent="0.25">
      <c r="H637" t="s">
        <v>10</v>
      </c>
      <c r="J637">
        <v>1.23</v>
      </c>
      <c r="K637" t="s">
        <v>8</v>
      </c>
      <c r="M637" t="s">
        <v>404</v>
      </c>
      <c r="N637" t="s">
        <v>402</v>
      </c>
      <c r="O637">
        <v>4.4000000000000004</v>
      </c>
      <c r="P637">
        <v>1.24</v>
      </c>
      <c r="Q637" t="s">
        <v>8</v>
      </c>
    </row>
    <row r="638" spans="8:17" x14ac:dyDescent="0.25">
      <c r="H638" t="s">
        <v>10</v>
      </c>
      <c r="J638">
        <v>1.24</v>
      </c>
      <c r="K638" t="s">
        <v>8</v>
      </c>
      <c r="M638" t="s">
        <v>405</v>
      </c>
      <c r="N638" t="s">
        <v>402</v>
      </c>
      <c r="O638">
        <v>2.8</v>
      </c>
      <c r="P638">
        <v>1.46</v>
      </c>
      <c r="Q638" t="s">
        <v>8</v>
      </c>
    </row>
    <row r="639" spans="8:17" x14ac:dyDescent="0.25">
      <c r="H639" t="s">
        <v>10</v>
      </c>
      <c r="J639">
        <v>1.22</v>
      </c>
      <c r="K639" t="s">
        <v>8</v>
      </c>
      <c r="M639" t="s">
        <v>405</v>
      </c>
      <c r="N639" t="s">
        <v>402</v>
      </c>
      <c r="O639">
        <v>2.85</v>
      </c>
      <c r="P639">
        <v>1.47</v>
      </c>
      <c r="Q639" t="s">
        <v>8</v>
      </c>
    </row>
    <row r="640" spans="8:17" x14ac:dyDescent="0.25">
      <c r="H640" t="s">
        <v>10</v>
      </c>
      <c r="J640">
        <v>1.52</v>
      </c>
      <c r="K640" t="s">
        <v>8</v>
      </c>
      <c r="M640" t="s">
        <v>405</v>
      </c>
      <c r="N640" t="s">
        <v>402</v>
      </c>
      <c r="O640">
        <v>2.8</v>
      </c>
      <c r="P640">
        <v>1.45</v>
      </c>
      <c r="Q640" t="s">
        <v>8</v>
      </c>
    </row>
    <row r="641" spans="8:17" x14ac:dyDescent="0.25">
      <c r="H641" t="s">
        <v>10</v>
      </c>
      <c r="J641">
        <v>1.51</v>
      </c>
      <c r="K641" t="s">
        <v>8</v>
      </c>
      <c r="M641" t="s">
        <v>405</v>
      </c>
      <c r="N641" t="s">
        <v>402</v>
      </c>
      <c r="O641">
        <v>2.7</v>
      </c>
      <c r="P641">
        <v>1.48</v>
      </c>
      <c r="Q641" t="s">
        <v>8</v>
      </c>
    </row>
    <row r="642" spans="8:17" x14ac:dyDescent="0.25">
      <c r="H642" t="s">
        <v>10</v>
      </c>
      <c r="J642">
        <v>1.49</v>
      </c>
      <c r="K642" t="s">
        <v>8</v>
      </c>
      <c r="M642" t="s">
        <v>405</v>
      </c>
      <c r="N642" t="s">
        <v>402</v>
      </c>
      <c r="O642">
        <v>2.85</v>
      </c>
      <c r="P642">
        <v>1.44</v>
      </c>
      <c r="Q642" t="s">
        <v>8</v>
      </c>
    </row>
    <row r="643" spans="8:17" x14ac:dyDescent="0.25">
      <c r="H643" t="s">
        <v>10</v>
      </c>
      <c r="J643">
        <v>1.48</v>
      </c>
      <c r="K643" t="s">
        <v>8</v>
      </c>
      <c r="M643" t="s">
        <v>405</v>
      </c>
      <c r="N643" t="s">
        <v>402</v>
      </c>
      <c r="O643">
        <v>2.75</v>
      </c>
      <c r="P643">
        <v>1.48</v>
      </c>
      <c r="Q643" t="s">
        <v>8</v>
      </c>
    </row>
    <row r="644" spans="8:17" x14ac:dyDescent="0.25">
      <c r="H644" t="s">
        <v>10</v>
      </c>
      <c r="J644">
        <v>1.48</v>
      </c>
      <c r="K644" t="s">
        <v>8</v>
      </c>
      <c r="M644" t="s">
        <v>405</v>
      </c>
      <c r="N644" t="s">
        <v>402</v>
      </c>
      <c r="O644">
        <v>2.85</v>
      </c>
      <c r="P644">
        <v>1.46</v>
      </c>
      <c r="Q644" t="s">
        <v>8</v>
      </c>
    </row>
    <row r="645" spans="8:17" x14ac:dyDescent="0.25">
      <c r="H645" t="s">
        <v>10</v>
      </c>
      <c r="J645">
        <v>1.49</v>
      </c>
      <c r="K645" t="s">
        <v>8</v>
      </c>
      <c r="M645" t="s">
        <v>405</v>
      </c>
      <c r="N645" t="s">
        <v>402</v>
      </c>
      <c r="O645">
        <v>2.7</v>
      </c>
      <c r="P645">
        <v>1.48</v>
      </c>
      <c r="Q645" t="s">
        <v>8</v>
      </c>
    </row>
    <row r="646" spans="8:17" x14ac:dyDescent="0.25">
      <c r="H646" t="s">
        <v>10</v>
      </c>
      <c r="J646">
        <v>1.51</v>
      </c>
      <c r="K646" t="s">
        <v>8</v>
      </c>
      <c r="M646" t="s">
        <v>405</v>
      </c>
      <c r="N646" t="s">
        <v>402</v>
      </c>
      <c r="O646">
        <v>2.78</v>
      </c>
      <c r="P646">
        <v>1.47</v>
      </c>
      <c r="Q646" t="s">
        <v>8</v>
      </c>
    </row>
    <row r="647" spans="8:17" x14ac:dyDescent="0.25">
      <c r="H647" t="s">
        <v>10</v>
      </c>
      <c r="J647">
        <v>1.48</v>
      </c>
      <c r="K647" t="s">
        <v>8</v>
      </c>
      <c r="M647" t="s">
        <v>405</v>
      </c>
      <c r="N647" t="s">
        <v>402</v>
      </c>
      <c r="O647">
        <v>2.75</v>
      </c>
      <c r="P647">
        <v>1.48</v>
      </c>
      <c r="Q647" t="s">
        <v>8</v>
      </c>
    </row>
    <row r="648" spans="8:17" x14ac:dyDescent="0.25">
      <c r="H648" t="s">
        <v>10</v>
      </c>
      <c r="J648">
        <v>1.51</v>
      </c>
      <c r="K648" t="s">
        <v>8</v>
      </c>
      <c r="M648" t="s">
        <v>405</v>
      </c>
      <c r="N648" t="s">
        <v>402</v>
      </c>
      <c r="O648">
        <v>2.75</v>
      </c>
      <c r="P648">
        <v>1.46</v>
      </c>
      <c r="Q648" t="s">
        <v>8</v>
      </c>
    </row>
    <row r="649" spans="8:17" x14ac:dyDescent="0.25">
      <c r="H649" t="s">
        <v>10</v>
      </c>
      <c r="J649">
        <v>1.53</v>
      </c>
      <c r="K649" t="s">
        <v>8</v>
      </c>
      <c r="M649" t="s">
        <v>405</v>
      </c>
      <c r="N649" t="s">
        <v>402</v>
      </c>
      <c r="O649">
        <v>2.65</v>
      </c>
      <c r="P649">
        <v>1.51</v>
      </c>
      <c r="Q649" t="s">
        <v>8</v>
      </c>
    </row>
    <row r="650" spans="8:17" x14ac:dyDescent="0.25">
      <c r="H650" t="s">
        <v>10</v>
      </c>
      <c r="J650">
        <v>1.49</v>
      </c>
      <c r="K650" t="s">
        <v>8</v>
      </c>
      <c r="M650" t="s">
        <v>406</v>
      </c>
      <c r="N650" t="s">
        <v>402</v>
      </c>
      <c r="O650">
        <v>1.02</v>
      </c>
      <c r="P650">
        <v>19</v>
      </c>
      <c r="Q650" t="s">
        <v>8</v>
      </c>
    </row>
    <row r="651" spans="8:17" x14ac:dyDescent="0.25">
      <c r="H651" t="s">
        <v>10</v>
      </c>
      <c r="J651">
        <v>19</v>
      </c>
      <c r="K651" t="s">
        <v>8</v>
      </c>
      <c r="M651" t="s">
        <v>406</v>
      </c>
      <c r="N651" t="s">
        <v>402</v>
      </c>
      <c r="O651">
        <v>1.01</v>
      </c>
      <c r="P651">
        <v>17</v>
      </c>
      <c r="Q651" t="s">
        <v>8</v>
      </c>
    </row>
    <row r="652" spans="8:17" x14ac:dyDescent="0.25">
      <c r="H652" t="s">
        <v>10</v>
      </c>
      <c r="J652">
        <v>17</v>
      </c>
      <c r="K652" t="s">
        <v>8</v>
      </c>
      <c r="M652" t="s">
        <v>406</v>
      </c>
      <c r="N652" t="s">
        <v>402</v>
      </c>
      <c r="O652">
        <v>1</v>
      </c>
      <c r="P652">
        <v>26</v>
      </c>
      <c r="Q652" t="s">
        <v>8</v>
      </c>
    </row>
    <row r="653" spans="8:17" x14ac:dyDescent="0.25">
      <c r="H653" t="s">
        <v>10</v>
      </c>
      <c r="J653">
        <v>26</v>
      </c>
      <c r="K653" t="s">
        <v>8</v>
      </c>
      <c r="M653" t="s">
        <v>406</v>
      </c>
      <c r="N653" t="s">
        <v>402</v>
      </c>
      <c r="O653">
        <v>1.01</v>
      </c>
      <c r="P653">
        <v>23</v>
      </c>
      <c r="Q653" t="s">
        <v>8</v>
      </c>
    </row>
    <row r="654" spans="8:17" x14ac:dyDescent="0.25">
      <c r="H654" t="s">
        <v>10</v>
      </c>
      <c r="J654">
        <v>21</v>
      </c>
      <c r="K654" t="s">
        <v>8</v>
      </c>
      <c r="M654" t="s">
        <v>406</v>
      </c>
      <c r="N654" t="s">
        <v>402</v>
      </c>
      <c r="O654">
        <v>1</v>
      </c>
      <c r="P654">
        <v>31</v>
      </c>
      <c r="Q654" t="s">
        <v>8</v>
      </c>
    </row>
    <row r="655" spans="8:17" x14ac:dyDescent="0.25">
      <c r="H655" t="s">
        <v>10</v>
      </c>
      <c r="J655">
        <v>1.34</v>
      </c>
      <c r="K655" t="s">
        <v>8</v>
      </c>
      <c r="M655" t="s">
        <v>407</v>
      </c>
      <c r="N655" t="s">
        <v>408</v>
      </c>
      <c r="O655">
        <v>3.3</v>
      </c>
      <c r="P655">
        <v>1.35</v>
      </c>
      <c r="Q655" t="s">
        <v>8</v>
      </c>
    </row>
    <row r="656" spans="8:17" x14ac:dyDescent="0.25">
      <c r="H656" t="s">
        <v>10</v>
      </c>
      <c r="J656">
        <v>1.33</v>
      </c>
      <c r="K656" t="s">
        <v>8</v>
      </c>
      <c r="M656" t="s">
        <v>407</v>
      </c>
      <c r="N656" t="s">
        <v>408</v>
      </c>
      <c r="O656">
        <v>3.4</v>
      </c>
      <c r="P656">
        <v>1.33</v>
      </c>
      <c r="Q656" t="s">
        <v>8</v>
      </c>
    </row>
    <row r="657" spans="8:17" x14ac:dyDescent="0.25">
      <c r="H657" t="s">
        <v>10</v>
      </c>
      <c r="J657">
        <v>1.34</v>
      </c>
      <c r="K657" t="s">
        <v>8</v>
      </c>
      <c r="M657" t="s">
        <v>407</v>
      </c>
      <c r="N657" t="s">
        <v>408</v>
      </c>
      <c r="O657">
        <v>3.47</v>
      </c>
      <c r="P657">
        <v>1.34</v>
      </c>
      <c r="Q657" t="s">
        <v>8</v>
      </c>
    </row>
    <row r="658" spans="8:17" x14ac:dyDescent="0.25">
      <c r="H658" t="s">
        <v>10</v>
      </c>
      <c r="J658">
        <v>1.3</v>
      </c>
      <c r="K658" t="s">
        <v>8</v>
      </c>
      <c r="M658" t="s">
        <v>407</v>
      </c>
      <c r="N658" t="s">
        <v>408</v>
      </c>
      <c r="O658">
        <v>3.5</v>
      </c>
      <c r="P658">
        <v>1.3</v>
      </c>
      <c r="Q658" t="s">
        <v>8</v>
      </c>
    </row>
    <row r="659" spans="8:17" x14ac:dyDescent="0.25">
      <c r="H659" t="s">
        <v>10</v>
      </c>
      <c r="J659">
        <v>1.31</v>
      </c>
      <c r="K659" t="s">
        <v>8</v>
      </c>
      <c r="M659" t="s">
        <v>407</v>
      </c>
      <c r="N659" t="s">
        <v>408</v>
      </c>
      <c r="O659">
        <v>3.55</v>
      </c>
      <c r="P659">
        <v>1.32</v>
      </c>
      <c r="Q659" t="s">
        <v>8</v>
      </c>
    </row>
    <row r="660" spans="8:17" x14ac:dyDescent="0.25">
      <c r="H660" t="s">
        <v>10</v>
      </c>
      <c r="J660">
        <v>1.31</v>
      </c>
      <c r="K660" t="s">
        <v>8</v>
      </c>
      <c r="M660" t="s">
        <v>407</v>
      </c>
      <c r="N660" t="s">
        <v>408</v>
      </c>
      <c r="O660">
        <v>3.4</v>
      </c>
      <c r="P660">
        <v>1.33</v>
      </c>
      <c r="Q660" t="s">
        <v>8</v>
      </c>
    </row>
    <row r="661" spans="8:17" x14ac:dyDescent="0.25">
      <c r="H661" t="s">
        <v>10</v>
      </c>
      <c r="J661">
        <v>1.34</v>
      </c>
      <c r="K661" t="s">
        <v>8</v>
      </c>
      <c r="M661" t="s">
        <v>407</v>
      </c>
      <c r="N661" t="s">
        <v>408</v>
      </c>
      <c r="O661">
        <v>3.47</v>
      </c>
      <c r="P661">
        <v>1.34</v>
      </c>
      <c r="Q661" t="s">
        <v>8</v>
      </c>
    </row>
    <row r="662" spans="8:17" x14ac:dyDescent="0.25">
      <c r="H662" t="s">
        <v>10</v>
      </c>
      <c r="J662">
        <v>1.3</v>
      </c>
      <c r="K662" t="s">
        <v>8</v>
      </c>
      <c r="M662" t="s">
        <v>407</v>
      </c>
      <c r="N662" t="s">
        <v>408</v>
      </c>
      <c r="O662">
        <v>3.5</v>
      </c>
      <c r="P662">
        <v>1.3</v>
      </c>
      <c r="Q662" t="s">
        <v>8</v>
      </c>
    </row>
    <row r="663" spans="8:17" x14ac:dyDescent="0.25">
      <c r="H663" t="s">
        <v>10</v>
      </c>
      <c r="J663">
        <v>1.34</v>
      </c>
      <c r="K663" t="s">
        <v>8</v>
      </c>
      <c r="M663" t="s">
        <v>407</v>
      </c>
      <c r="N663" t="s">
        <v>408</v>
      </c>
      <c r="O663">
        <v>3.4</v>
      </c>
      <c r="P663">
        <v>1.34</v>
      </c>
      <c r="Q663" t="s">
        <v>8</v>
      </c>
    </row>
    <row r="664" spans="8:17" x14ac:dyDescent="0.25">
      <c r="H664" t="s">
        <v>10</v>
      </c>
      <c r="J664">
        <v>1.32</v>
      </c>
      <c r="K664" t="s">
        <v>8</v>
      </c>
      <c r="M664" t="s">
        <v>407</v>
      </c>
      <c r="N664" t="s">
        <v>408</v>
      </c>
      <c r="O664">
        <v>3.4</v>
      </c>
      <c r="P664">
        <v>1.33</v>
      </c>
      <c r="Q664" t="s">
        <v>8</v>
      </c>
    </row>
    <row r="665" spans="8:17" x14ac:dyDescent="0.25">
      <c r="H665" t="s">
        <v>10</v>
      </c>
      <c r="J665">
        <v>1.32</v>
      </c>
      <c r="K665" t="s">
        <v>8</v>
      </c>
      <c r="M665" t="s">
        <v>407</v>
      </c>
      <c r="N665" t="s">
        <v>408</v>
      </c>
      <c r="O665">
        <v>3.4</v>
      </c>
      <c r="P665">
        <v>1.33</v>
      </c>
      <c r="Q665" t="s">
        <v>8</v>
      </c>
    </row>
    <row r="666" spans="8:17" x14ac:dyDescent="0.25">
      <c r="H666" t="s">
        <v>10</v>
      </c>
      <c r="J666">
        <v>3</v>
      </c>
      <c r="K666" t="s">
        <v>8</v>
      </c>
      <c r="M666" t="s">
        <v>407</v>
      </c>
      <c r="N666" t="s">
        <v>408</v>
      </c>
      <c r="O666">
        <v>3.65</v>
      </c>
      <c r="P666">
        <v>1.31</v>
      </c>
      <c r="Q666" t="s">
        <v>8</v>
      </c>
    </row>
    <row r="667" spans="8:17" x14ac:dyDescent="0.25">
      <c r="H667" t="s">
        <v>10</v>
      </c>
      <c r="J667">
        <v>3.05</v>
      </c>
      <c r="K667" t="s">
        <v>8</v>
      </c>
      <c r="M667" t="s">
        <v>409</v>
      </c>
      <c r="N667" t="s">
        <v>408</v>
      </c>
      <c r="O667">
        <v>1.41</v>
      </c>
      <c r="P667">
        <v>3</v>
      </c>
      <c r="Q667" t="s">
        <v>8</v>
      </c>
    </row>
    <row r="668" spans="8:17" x14ac:dyDescent="0.25">
      <c r="H668" t="s">
        <v>10</v>
      </c>
      <c r="J668">
        <v>3</v>
      </c>
      <c r="K668" t="s">
        <v>8</v>
      </c>
      <c r="M668" t="s">
        <v>409</v>
      </c>
      <c r="N668" t="s">
        <v>408</v>
      </c>
      <c r="O668">
        <v>1.41</v>
      </c>
      <c r="P668">
        <v>3.05</v>
      </c>
      <c r="Q668" t="s">
        <v>8</v>
      </c>
    </row>
    <row r="669" spans="8:17" x14ac:dyDescent="0.25">
      <c r="H669" t="s">
        <v>10</v>
      </c>
      <c r="J669">
        <v>3</v>
      </c>
      <c r="K669" t="s">
        <v>8</v>
      </c>
      <c r="M669" t="s">
        <v>409</v>
      </c>
      <c r="N669" t="s">
        <v>408</v>
      </c>
      <c r="O669">
        <v>1.4</v>
      </c>
      <c r="P669">
        <v>2.9</v>
      </c>
      <c r="Q669" t="s">
        <v>8</v>
      </c>
    </row>
    <row r="670" spans="8:17" x14ac:dyDescent="0.25">
      <c r="H670" t="s">
        <v>10</v>
      </c>
      <c r="J670">
        <v>2.95</v>
      </c>
      <c r="K670" t="s">
        <v>8</v>
      </c>
      <c r="M670" t="s">
        <v>409</v>
      </c>
      <c r="N670" t="s">
        <v>408</v>
      </c>
      <c r="O670">
        <v>1.41</v>
      </c>
      <c r="P670">
        <v>3.05</v>
      </c>
      <c r="Q670" t="s">
        <v>8</v>
      </c>
    </row>
    <row r="671" spans="8:17" x14ac:dyDescent="0.25">
      <c r="H671" t="s">
        <v>10</v>
      </c>
      <c r="J671">
        <v>3.05</v>
      </c>
      <c r="K671" t="s">
        <v>8</v>
      </c>
      <c r="M671" t="s">
        <v>409</v>
      </c>
      <c r="N671" t="s">
        <v>408</v>
      </c>
      <c r="O671">
        <v>1.42</v>
      </c>
      <c r="P671">
        <v>2.95</v>
      </c>
      <c r="Q671" t="s">
        <v>8</v>
      </c>
    </row>
    <row r="672" spans="8:17" x14ac:dyDescent="0.25">
      <c r="H672" t="s">
        <v>10</v>
      </c>
      <c r="J672">
        <v>3.05</v>
      </c>
      <c r="K672" t="s">
        <v>8</v>
      </c>
      <c r="M672" t="s">
        <v>409</v>
      </c>
      <c r="N672" t="s">
        <v>408</v>
      </c>
      <c r="O672">
        <v>1.4</v>
      </c>
      <c r="P672">
        <v>3.05</v>
      </c>
      <c r="Q672" t="s">
        <v>8</v>
      </c>
    </row>
    <row r="673" spans="8:17" x14ac:dyDescent="0.25">
      <c r="H673" t="s">
        <v>10</v>
      </c>
      <c r="J673">
        <v>3</v>
      </c>
      <c r="K673" t="s">
        <v>8</v>
      </c>
      <c r="M673" t="s">
        <v>409</v>
      </c>
      <c r="N673" t="s">
        <v>408</v>
      </c>
      <c r="O673">
        <v>1.41</v>
      </c>
      <c r="P673">
        <v>3.05</v>
      </c>
      <c r="Q673" t="s">
        <v>8</v>
      </c>
    </row>
    <row r="674" spans="8:17" x14ac:dyDescent="0.25">
      <c r="H674" t="s">
        <v>10</v>
      </c>
      <c r="J674">
        <v>3.03</v>
      </c>
      <c r="K674" t="s">
        <v>8</v>
      </c>
      <c r="M674" t="s">
        <v>409</v>
      </c>
      <c r="N674" t="s">
        <v>408</v>
      </c>
      <c r="O674">
        <v>1.4</v>
      </c>
      <c r="P674">
        <v>2.9</v>
      </c>
      <c r="Q674" t="s">
        <v>8</v>
      </c>
    </row>
    <row r="675" spans="8:17" x14ac:dyDescent="0.25">
      <c r="H675" t="s">
        <v>10</v>
      </c>
      <c r="J675">
        <v>3</v>
      </c>
      <c r="K675" t="s">
        <v>8</v>
      </c>
      <c r="M675" t="s">
        <v>409</v>
      </c>
      <c r="N675" t="s">
        <v>408</v>
      </c>
      <c r="O675">
        <v>1.4</v>
      </c>
      <c r="P675">
        <v>3.05</v>
      </c>
      <c r="Q675" t="s">
        <v>8</v>
      </c>
    </row>
    <row r="676" spans="8:17" x14ac:dyDescent="0.25">
      <c r="H676" t="s">
        <v>10</v>
      </c>
      <c r="J676">
        <v>3.05</v>
      </c>
      <c r="K676" t="s">
        <v>8</v>
      </c>
      <c r="M676" t="s">
        <v>409</v>
      </c>
      <c r="N676" t="s">
        <v>408</v>
      </c>
      <c r="O676">
        <v>1.4</v>
      </c>
      <c r="P676">
        <v>3</v>
      </c>
      <c r="Q676" t="s">
        <v>8</v>
      </c>
    </row>
    <row r="677" spans="8:17" x14ac:dyDescent="0.25">
      <c r="H677" t="s">
        <v>10</v>
      </c>
      <c r="J677">
        <v>1.01</v>
      </c>
      <c r="K677" t="s">
        <v>8</v>
      </c>
      <c r="M677" t="s">
        <v>409</v>
      </c>
      <c r="N677" t="s">
        <v>408</v>
      </c>
      <c r="O677">
        <v>1.39</v>
      </c>
      <c r="P677">
        <v>3.05</v>
      </c>
      <c r="Q677" t="s">
        <v>8</v>
      </c>
    </row>
    <row r="678" spans="8:17" x14ac:dyDescent="0.25">
      <c r="H678" t="s">
        <v>10</v>
      </c>
      <c r="J678">
        <v>1</v>
      </c>
      <c r="K678" t="s">
        <v>8</v>
      </c>
      <c r="M678" t="s">
        <v>409</v>
      </c>
      <c r="N678" t="s">
        <v>408</v>
      </c>
      <c r="O678">
        <v>1.4</v>
      </c>
      <c r="P678">
        <v>3.1</v>
      </c>
      <c r="Q678" t="s">
        <v>8</v>
      </c>
    </row>
    <row r="679" spans="8:17" x14ac:dyDescent="0.25">
      <c r="H679" t="s">
        <v>10</v>
      </c>
      <c r="J679">
        <v>1</v>
      </c>
      <c r="K679" t="s">
        <v>8</v>
      </c>
      <c r="M679" t="s">
        <v>410</v>
      </c>
      <c r="N679" t="s">
        <v>408</v>
      </c>
      <c r="O679">
        <v>31</v>
      </c>
      <c r="P679">
        <v>1.01</v>
      </c>
      <c r="Q679" t="s">
        <v>8</v>
      </c>
    </row>
    <row r="680" spans="8:17" x14ac:dyDescent="0.25">
      <c r="H680" t="s">
        <v>10</v>
      </c>
      <c r="J680">
        <v>1.01</v>
      </c>
      <c r="K680" t="s">
        <v>8</v>
      </c>
      <c r="M680" t="s">
        <v>410</v>
      </c>
      <c r="N680" t="s">
        <v>408</v>
      </c>
      <c r="O680">
        <v>26</v>
      </c>
      <c r="P680">
        <v>1</v>
      </c>
      <c r="Q680" t="s">
        <v>8</v>
      </c>
    </row>
    <row r="681" spans="8:17" x14ac:dyDescent="0.25">
      <c r="H681" t="s">
        <v>10</v>
      </c>
      <c r="J681">
        <v>1.1499999999999999</v>
      </c>
      <c r="K681" t="s">
        <v>8</v>
      </c>
      <c r="M681" t="s">
        <v>410</v>
      </c>
      <c r="N681" t="s">
        <v>408</v>
      </c>
      <c r="O681">
        <v>21</v>
      </c>
      <c r="P681">
        <v>1.01</v>
      </c>
      <c r="Q681" t="s">
        <v>8</v>
      </c>
    </row>
    <row r="682" spans="8:17" x14ac:dyDescent="0.25">
      <c r="H682" t="s">
        <v>10</v>
      </c>
      <c r="J682">
        <v>1.17</v>
      </c>
      <c r="K682" t="s">
        <v>8</v>
      </c>
      <c r="M682" t="s">
        <v>410</v>
      </c>
      <c r="N682" t="s">
        <v>408</v>
      </c>
      <c r="O682">
        <v>21</v>
      </c>
      <c r="P682">
        <v>1.01</v>
      </c>
      <c r="Q682" t="s">
        <v>8</v>
      </c>
    </row>
    <row r="683" spans="8:17" x14ac:dyDescent="0.25">
      <c r="H683" t="s">
        <v>10</v>
      </c>
      <c r="J683">
        <v>1.1399999999999999</v>
      </c>
      <c r="K683" t="s">
        <v>8</v>
      </c>
      <c r="M683" t="s">
        <v>411</v>
      </c>
      <c r="N683" t="s">
        <v>412</v>
      </c>
      <c r="O683">
        <v>5.9</v>
      </c>
      <c r="P683">
        <v>1.1499999999999999</v>
      </c>
      <c r="Q683" t="s">
        <v>8</v>
      </c>
    </row>
    <row r="684" spans="8:17" x14ac:dyDescent="0.25">
      <c r="H684" t="s">
        <v>10</v>
      </c>
      <c r="J684">
        <v>1.1499999999999999</v>
      </c>
      <c r="K684" t="s">
        <v>8</v>
      </c>
      <c r="M684" t="s">
        <v>411</v>
      </c>
      <c r="N684" t="s">
        <v>412</v>
      </c>
      <c r="O684">
        <v>5.6</v>
      </c>
      <c r="P684">
        <v>1.17</v>
      </c>
      <c r="Q684" t="s">
        <v>8</v>
      </c>
    </row>
    <row r="685" spans="8:17" x14ac:dyDescent="0.25">
      <c r="H685" t="s">
        <v>10</v>
      </c>
      <c r="J685">
        <v>1.1499999999999999</v>
      </c>
      <c r="K685" t="s">
        <v>8</v>
      </c>
      <c r="M685" t="s">
        <v>411</v>
      </c>
      <c r="N685" t="s">
        <v>412</v>
      </c>
      <c r="O685">
        <v>5.75</v>
      </c>
      <c r="P685">
        <v>1.1399999999999999</v>
      </c>
      <c r="Q685" t="s">
        <v>8</v>
      </c>
    </row>
    <row r="686" spans="8:17" x14ac:dyDescent="0.25">
      <c r="H686" t="s">
        <v>10</v>
      </c>
      <c r="J686">
        <v>1.1399999999999999</v>
      </c>
      <c r="K686" t="s">
        <v>8</v>
      </c>
      <c r="M686" t="s">
        <v>411</v>
      </c>
      <c r="N686" t="s">
        <v>412</v>
      </c>
      <c r="O686">
        <v>5.75</v>
      </c>
      <c r="P686">
        <v>1.1399999999999999</v>
      </c>
      <c r="Q686" t="s">
        <v>8</v>
      </c>
    </row>
    <row r="687" spans="8:17" x14ac:dyDescent="0.25">
      <c r="H687" t="s">
        <v>10</v>
      </c>
      <c r="J687">
        <v>1.1599999999999999</v>
      </c>
      <c r="K687" t="s">
        <v>8</v>
      </c>
      <c r="M687" t="s">
        <v>411</v>
      </c>
      <c r="N687" t="s">
        <v>412</v>
      </c>
      <c r="O687">
        <v>5.6</v>
      </c>
      <c r="P687">
        <v>1.1499999999999999</v>
      </c>
      <c r="Q687" t="s">
        <v>8</v>
      </c>
    </row>
    <row r="688" spans="8:17" x14ac:dyDescent="0.25">
      <c r="H688" t="s">
        <v>10</v>
      </c>
      <c r="J688">
        <v>1.1399999999999999</v>
      </c>
      <c r="K688" t="s">
        <v>8</v>
      </c>
      <c r="M688" t="s">
        <v>411</v>
      </c>
      <c r="N688" t="s">
        <v>412</v>
      </c>
      <c r="O688">
        <v>5.8</v>
      </c>
      <c r="P688">
        <v>1.1399999999999999</v>
      </c>
      <c r="Q688" t="s">
        <v>8</v>
      </c>
    </row>
    <row r="689" spans="8:17" x14ac:dyDescent="0.25">
      <c r="H689" t="s">
        <v>10</v>
      </c>
      <c r="J689">
        <v>1.17</v>
      </c>
      <c r="K689" t="s">
        <v>8</v>
      </c>
      <c r="M689" t="s">
        <v>411</v>
      </c>
      <c r="N689" t="s">
        <v>412</v>
      </c>
      <c r="O689">
        <v>5.6</v>
      </c>
      <c r="P689">
        <v>1.17</v>
      </c>
      <c r="Q689" t="s">
        <v>8</v>
      </c>
    </row>
    <row r="690" spans="8:17" x14ac:dyDescent="0.25">
      <c r="H690" t="s">
        <v>10</v>
      </c>
      <c r="J690">
        <v>1.1499999999999999</v>
      </c>
      <c r="K690" t="s">
        <v>8</v>
      </c>
      <c r="M690" t="s">
        <v>411</v>
      </c>
      <c r="N690" t="s">
        <v>412</v>
      </c>
      <c r="O690">
        <v>5.75</v>
      </c>
      <c r="P690">
        <v>1.1399999999999999</v>
      </c>
      <c r="Q690" t="s">
        <v>8</v>
      </c>
    </row>
    <row r="691" spans="8:17" x14ac:dyDescent="0.25">
      <c r="H691" t="s">
        <v>10</v>
      </c>
      <c r="J691">
        <v>1.1499999999999999</v>
      </c>
      <c r="K691" t="s">
        <v>8</v>
      </c>
      <c r="M691" t="s">
        <v>411</v>
      </c>
      <c r="N691" t="s">
        <v>412</v>
      </c>
      <c r="O691">
        <v>5.5</v>
      </c>
      <c r="P691">
        <v>1.17</v>
      </c>
      <c r="Q691" t="s">
        <v>8</v>
      </c>
    </row>
    <row r="692" spans="8:17" x14ac:dyDescent="0.25">
      <c r="H692" t="s">
        <v>10</v>
      </c>
      <c r="J692">
        <v>12</v>
      </c>
      <c r="K692" t="s">
        <v>8</v>
      </c>
      <c r="M692" t="s">
        <v>411</v>
      </c>
      <c r="N692" t="s">
        <v>412</v>
      </c>
      <c r="O692">
        <v>5.5</v>
      </c>
      <c r="P692">
        <v>1.1499999999999999</v>
      </c>
      <c r="Q692" t="s">
        <v>8</v>
      </c>
    </row>
    <row r="693" spans="8:17" x14ac:dyDescent="0.25">
      <c r="H693" t="s">
        <v>10</v>
      </c>
      <c r="J693">
        <v>12.5</v>
      </c>
      <c r="K693" t="s">
        <v>8</v>
      </c>
      <c r="M693" t="s">
        <v>411</v>
      </c>
      <c r="N693" t="s">
        <v>412</v>
      </c>
      <c r="O693">
        <v>5.55</v>
      </c>
      <c r="P693">
        <v>1.1499999999999999</v>
      </c>
      <c r="Q693" t="s">
        <v>8</v>
      </c>
    </row>
    <row r="694" spans="8:17" x14ac:dyDescent="0.25">
      <c r="H694" t="s">
        <v>10</v>
      </c>
      <c r="J694">
        <v>11</v>
      </c>
      <c r="K694" t="s">
        <v>8</v>
      </c>
      <c r="M694" t="s">
        <v>411</v>
      </c>
      <c r="N694" t="s">
        <v>412</v>
      </c>
      <c r="O694">
        <v>5.6</v>
      </c>
      <c r="P694">
        <v>1.17</v>
      </c>
      <c r="Q694" t="s">
        <v>8</v>
      </c>
    </row>
    <row r="695" spans="8:17" x14ac:dyDescent="0.25">
      <c r="H695" t="s">
        <v>10</v>
      </c>
      <c r="J695">
        <v>12.5</v>
      </c>
      <c r="K695" t="s">
        <v>8</v>
      </c>
      <c r="M695" t="s">
        <v>413</v>
      </c>
      <c r="N695" t="s">
        <v>412</v>
      </c>
      <c r="O695">
        <v>1.05</v>
      </c>
      <c r="P695">
        <v>12</v>
      </c>
      <c r="Q695" t="s">
        <v>8</v>
      </c>
    </row>
    <row r="696" spans="8:17" x14ac:dyDescent="0.25">
      <c r="H696" t="s">
        <v>10</v>
      </c>
      <c r="J696">
        <v>13</v>
      </c>
      <c r="K696" t="s">
        <v>8</v>
      </c>
      <c r="M696" t="s">
        <v>413</v>
      </c>
      <c r="N696" t="s">
        <v>412</v>
      </c>
      <c r="O696">
        <v>1.04</v>
      </c>
      <c r="P696">
        <v>11.5</v>
      </c>
      <c r="Q696" t="s">
        <v>8</v>
      </c>
    </row>
    <row r="697" spans="8:17" x14ac:dyDescent="0.25">
      <c r="H697" t="s">
        <v>10</v>
      </c>
      <c r="J697">
        <v>12.5</v>
      </c>
      <c r="K697" t="s">
        <v>8</v>
      </c>
      <c r="M697" t="s">
        <v>413</v>
      </c>
      <c r="N697" t="s">
        <v>412</v>
      </c>
      <c r="O697">
        <v>1.03</v>
      </c>
      <c r="P697">
        <v>12.5</v>
      </c>
      <c r="Q697" t="s">
        <v>8</v>
      </c>
    </row>
    <row r="698" spans="8:17" x14ac:dyDescent="0.25">
      <c r="H698" t="s">
        <v>10</v>
      </c>
      <c r="J698">
        <v>12</v>
      </c>
      <c r="K698" t="s">
        <v>8</v>
      </c>
      <c r="M698" t="s">
        <v>413</v>
      </c>
      <c r="N698" t="s">
        <v>412</v>
      </c>
      <c r="O698">
        <v>1.04</v>
      </c>
      <c r="P698">
        <v>11</v>
      </c>
      <c r="Q698" t="s">
        <v>8</v>
      </c>
    </row>
    <row r="699" spans="8:17" x14ac:dyDescent="0.25">
      <c r="H699" t="s">
        <v>10</v>
      </c>
      <c r="J699">
        <v>12.25</v>
      </c>
      <c r="K699" t="s">
        <v>8</v>
      </c>
      <c r="M699" t="s">
        <v>413</v>
      </c>
      <c r="N699" t="s">
        <v>412</v>
      </c>
      <c r="O699">
        <v>1.04</v>
      </c>
      <c r="P699">
        <v>12.5</v>
      </c>
      <c r="Q699" t="s">
        <v>8</v>
      </c>
    </row>
    <row r="700" spans="8:17" x14ac:dyDescent="0.25">
      <c r="H700" t="s">
        <v>10</v>
      </c>
      <c r="J700">
        <v>1.17</v>
      </c>
      <c r="K700" t="s">
        <v>8</v>
      </c>
      <c r="M700" t="s">
        <v>413</v>
      </c>
      <c r="N700" t="s">
        <v>412</v>
      </c>
      <c r="O700">
        <v>1.04</v>
      </c>
      <c r="P700">
        <v>12.6</v>
      </c>
      <c r="Q700" t="s">
        <v>8</v>
      </c>
    </row>
    <row r="701" spans="8:17" x14ac:dyDescent="0.25">
      <c r="H701" t="s">
        <v>10</v>
      </c>
      <c r="J701">
        <v>1.17</v>
      </c>
      <c r="K701" t="s">
        <v>8</v>
      </c>
      <c r="M701" t="s">
        <v>413</v>
      </c>
      <c r="N701" t="s">
        <v>412</v>
      </c>
      <c r="O701">
        <v>1.04</v>
      </c>
      <c r="P701">
        <v>11.5</v>
      </c>
      <c r="Q701" t="s">
        <v>8</v>
      </c>
    </row>
    <row r="702" spans="8:17" x14ac:dyDescent="0.25">
      <c r="H702" t="s">
        <v>10</v>
      </c>
      <c r="J702">
        <v>1.1499999999999999</v>
      </c>
      <c r="K702" t="s">
        <v>8</v>
      </c>
      <c r="M702" t="s">
        <v>413</v>
      </c>
      <c r="N702" t="s">
        <v>412</v>
      </c>
      <c r="O702">
        <v>1.03</v>
      </c>
      <c r="P702">
        <v>12.5</v>
      </c>
      <c r="Q702" t="s">
        <v>8</v>
      </c>
    </row>
    <row r="703" spans="8:17" x14ac:dyDescent="0.25">
      <c r="H703" t="s">
        <v>10</v>
      </c>
      <c r="J703">
        <v>4.4000000000000004</v>
      </c>
      <c r="K703" t="s">
        <v>8</v>
      </c>
      <c r="M703" t="s">
        <v>413</v>
      </c>
      <c r="N703" t="s">
        <v>412</v>
      </c>
      <c r="O703">
        <v>1.04</v>
      </c>
      <c r="P703">
        <v>12.25</v>
      </c>
      <c r="Q703" t="s">
        <v>8</v>
      </c>
    </row>
    <row r="704" spans="8:17" x14ac:dyDescent="0.25">
      <c r="H704" t="s">
        <v>10</v>
      </c>
      <c r="J704">
        <v>4.4000000000000004</v>
      </c>
      <c r="K704" t="s">
        <v>8</v>
      </c>
      <c r="M704" t="s">
        <v>413</v>
      </c>
      <c r="N704" t="s">
        <v>412</v>
      </c>
      <c r="O704">
        <v>1.04</v>
      </c>
      <c r="P704">
        <v>12</v>
      </c>
      <c r="Q704" t="s">
        <v>8</v>
      </c>
    </row>
    <row r="705" spans="8:17" x14ac:dyDescent="0.25">
      <c r="H705" t="s">
        <v>10</v>
      </c>
      <c r="J705">
        <v>4.9000000000000004</v>
      </c>
      <c r="K705" t="s">
        <v>8</v>
      </c>
      <c r="M705" t="s">
        <v>413</v>
      </c>
      <c r="N705" t="s">
        <v>412</v>
      </c>
      <c r="O705">
        <v>1.04</v>
      </c>
      <c r="P705">
        <v>12.05</v>
      </c>
      <c r="Q705" t="s">
        <v>8</v>
      </c>
    </row>
    <row r="706" spans="8:17" x14ac:dyDescent="0.25">
      <c r="H706" t="s">
        <v>10</v>
      </c>
      <c r="J706">
        <v>2.85</v>
      </c>
      <c r="K706" t="s">
        <v>8</v>
      </c>
      <c r="M706" t="s">
        <v>413</v>
      </c>
      <c r="N706" t="s">
        <v>412</v>
      </c>
      <c r="O706">
        <v>1.04</v>
      </c>
      <c r="P706">
        <v>13.5</v>
      </c>
      <c r="Q706" t="s">
        <v>8</v>
      </c>
    </row>
    <row r="707" spans="8:17" x14ac:dyDescent="0.25">
      <c r="H707" t="s">
        <v>10</v>
      </c>
      <c r="J707">
        <v>2.76</v>
      </c>
      <c r="K707" t="s">
        <v>8</v>
      </c>
      <c r="M707" t="s">
        <v>414</v>
      </c>
      <c r="N707" t="s">
        <v>415</v>
      </c>
      <c r="O707">
        <v>5.25</v>
      </c>
      <c r="P707">
        <v>1.17</v>
      </c>
      <c r="Q707" t="s">
        <v>8</v>
      </c>
    </row>
    <row r="708" spans="8:17" x14ac:dyDescent="0.25">
      <c r="H708" t="s">
        <v>10</v>
      </c>
      <c r="J708">
        <v>2.85</v>
      </c>
      <c r="K708" t="s">
        <v>8</v>
      </c>
      <c r="M708" t="s">
        <v>414</v>
      </c>
      <c r="N708" t="s">
        <v>415</v>
      </c>
      <c r="O708">
        <v>5.25</v>
      </c>
      <c r="P708">
        <v>1.17</v>
      </c>
      <c r="Q708" t="s">
        <v>8</v>
      </c>
    </row>
    <row r="709" spans="8:17" x14ac:dyDescent="0.25">
      <c r="H709" t="s">
        <v>10</v>
      </c>
      <c r="J709">
        <v>2.92</v>
      </c>
      <c r="K709" t="s">
        <v>8</v>
      </c>
      <c r="M709" t="s">
        <v>414</v>
      </c>
      <c r="N709" t="s">
        <v>415</v>
      </c>
      <c r="O709">
        <v>5.6</v>
      </c>
      <c r="P709">
        <v>1.1499999999999999</v>
      </c>
      <c r="Q709" t="s">
        <v>8</v>
      </c>
    </row>
    <row r="710" spans="8:17" x14ac:dyDescent="0.25">
      <c r="H710" t="s">
        <v>10</v>
      </c>
      <c r="J710">
        <v>3.75</v>
      </c>
      <c r="K710" t="s">
        <v>8</v>
      </c>
      <c r="M710" t="s">
        <v>416</v>
      </c>
      <c r="N710" t="s">
        <v>417</v>
      </c>
      <c r="O710">
        <v>1.1599999999999999</v>
      </c>
      <c r="P710">
        <v>4.4000000000000004</v>
      </c>
      <c r="Q710" t="s">
        <v>8</v>
      </c>
    </row>
    <row r="711" spans="8:17" x14ac:dyDescent="0.25">
      <c r="H711" t="s">
        <v>10</v>
      </c>
      <c r="J711">
        <v>3.75</v>
      </c>
      <c r="K711" t="s">
        <v>8</v>
      </c>
      <c r="M711" t="s">
        <v>416</v>
      </c>
      <c r="N711" t="s">
        <v>417</v>
      </c>
      <c r="O711">
        <v>1.1599999999999999</v>
      </c>
      <c r="P711">
        <v>4.4000000000000004</v>
      </c>
      <c r="Q711" t="s">
        <v>8</v>
      </c>
    </row>
    <row r="712" spans="8:17" x14ac:dyDescent="0.25">
      <c r="H712" t="s">
        <v>10</v>
      </c>
      <c r="J712">
        <v>4</v>
      </c>
      <c r="K712" t="s">
        <v>8</v>
      </c>
      <c r="M712" t="s">
        <v>416</v>
      </c>
      <c r="N712" t="s">
        <v>417</v>
      </c>
      <c r="O712">
        <v>1.19</v>
      </c>
      <c r="P712">
        <v>4.9000000000000004</v>
      </c>
      <c r="Q712" t="s">
        <v>8</v>
      </c>
    </row>
    <row r="713" spans="8:17" x14ac:dyDescent="0.25">
      <c r="H713" t="s">
        <v>10</v>
      </c>
      <c r="J713">
        <v>1.54</v>
      </c>
      <c r="K713" t="s">
        <v>8</v>
      </c>
      <c r="M713" t="s">
        <v>43</v>
      </c>
      <c r="N713" t="s">
        <v>44</v>
      </c>
      <c r="O713">
        <v>1.43</v>
      </c>
      <c r="P713">
        <v>2.85</v>
      </c>
      <c r="Q713" t="s">
        <v>8</v>
      </c>
    </row>
    <row r="714" spans="8:17" x14ac:dyDescent="0.25">
      <c r="H714" t="s">
        <v>10</v>
      </c>
      <c r="J714">
        <v>1.54</v>
      </c>
      <c r="K714" t="s">
        <v>8</v>
      </c>
      <c r="M714" t="s">
        <v>43</v>
      </c>
      <c r="N714" t="s">
        <v>44</v>
      </c>
      <c r="O714">
        <v>1.47</v>
      </c>
      <c r="P714">
        <v>2.76</v>
      </c>
      <c r="Q714" t="s">
        <v>8</v>
      </c>
    </row>
    <row r="715" spans="8:17" x14ac:dyDescent="0.25">
      <c r="H715" t="s">
        <v>10</v>
      </c>
      <c r="J715">
        <v>1.51</v>
      </c>
      <c r="K715" t="s">
        <v>8</v>
      </c>
      <c r="M715" t="s">
        <v>43</v>
      </c>
      <c r="N715" t="s">
        <v>44</v>
      </c>
      <c r="O715">
        <v>1.43</v>
      </c>
      <c r="P715">
        <v>2.85</v>
      </c>
      <c r="Q715" t="s">
        <v>8</v>
      </c>
    </row>
    <row r="716" spans="8:17" x14ac:dyDescent="0.25">
      <c r="H716" t="s">
        <v>10</v>
      </c>
      <c r="J716">
        <v>1.77</v>
      </c>
      <c r="K716" t="s">
        <v>8</v>
      </c>
      <c r="M716" t="s">
        <v>43</v>
      </c>
      <c r="N716" t="s">
        <v>44</v>
      </c>
      <c r="O716">
        <v>1.43</v>
      </c>
      <c r="P716">
        <v>2.92</v>
      </c>
      <c r="Q716" t="s">
        <v>8</v>
      </c>
    </row>
    <row r="717" spans="8:17" x14ac:dyDescent="0.25">
      <c r="H717" t="s">
        <v>10</v>
      </c>
      <c r="J717">
        <v>1.77</v>
      </c>
      <c r="K717" t="s">
        <v>8</v>
      </c>
      <c r="M717" t="s">
        <v>418</v>
      </c>
      <c r="N717" t="s">
        <v>44</v>
      </c>
      <c r="O717">
        <v>1.28</v>
      </c>
      <c r="P717">
        <v>3.75</v>
      </c>
      <c r="Q717" t="s">
        <v>8</v>
      </c>
    </row>
    <row r="718" spans="8:17" x14ac:dyDescent="0.25">
      <c r="H718" t="s">
        <v>10</v>
      </c>
      <c r="J718">
        <v>1.75</v>
      </c>
      <c r="K718" t="s">
        <v>8</v>
      </c>
      <c r="M718" t="s">
        <v>418</v>
      </c>
      <c r="N718" t="s">
        <v>44</v>
      </c>
      <c r="O718">
        <v>1.28</v>
      </c>
      <c r="P718">
        <v>3.75</v>
      </c>
      <c r="Q718" t="s">
        <v>8</v>
      </c>
    </row>
    <row r="719" spans="8:17" x14ac:dyDescent="0.25">
      <c r="H719" t="s">
        <v>10</v>
      </c>
      <c r="J719">
        <v>1.73</v>
      </c>
      <c r="K719" t="s">
        <v>8</v>
      </c>
      <c r="M719" t="s">
        <v>418</v>
      </c>
      <c r="N719" t="s">
        <v>44</v>
      </c>
      <c r="O719">
        <v>1.26</v>
      </c>
      <c r="P719">
        <v>4</v>
      </c>
      <c r="Q719" t="s">
        <v>8</v>
      </c>
    </row>
    <row r="720" spans="8:17" x14ac:dyDescent="0.25">
      <c r="H720" t="s">
        <v>10</v>
      </c>
      <c r="J720">
        <v>1.73</v>
      </c>
      <c r="K720" t="s">
        <v>8</v>
      </c>
      <c r="M720" t="s">
        <v>419</v>
      </c>
      <c r="N720" t="s">
        <v>420</v>
      </c>
      <c r="O720">
        <v>2.5499999999999998</v>
      </c>
      <c r="P720">
        <v>1.51</v>
      </c>
      <c r="Q720" t="s">
        <v>8</v>
      </c>
    </row>
    <row r="721" spans="8:17" x14ac:dyDescent="0.25">
      <c r="H721" t="s">
        <v>10</v>
      </c>
      <c r="J721">
        <v>1.77</v>
      </c>
      <c r="K721" t="s">
        <v>8</v>
      </c>
      <c r="M721" t="s">
        <v>419</v>
      </c>
      <c r="N721" t="s">
        <v>420</v>
      </c>
      <c r="O721">
        <v>2.5499999999999998</v>
      </c>
      <c r="P721">
        <v>1.51</v>
      </c>
      <c r="Q721" t="s">
        <v>8</v>
      </c>
    </row>
    <row r="722" spans="8:17" x14ac:dyDescent="0.25">
      <c r="H722" t="s">
        <v>10</v>
      </c>
      <c r="J722">
        <v>1.29</v>
      </c>
      <c r="K722" t="s">
        <v>8</v>
      </c>
      <c r="M722" t="s">
        <v>419</v>
      </c>
      <c r="N722" t="s">
        <v>420</v>
      </c>
      <c r="O722">
        <v>2.68</v>
      </c>
      <c r="P722">
        <v>1.49</v>
      </c>
      <c r="Q722" t="s">
        <v>8</v>
      </c>
    </row>
    <row r="723" spans="8:17" x14ac:dyDescent="0.25">
      <c r="H723" t="s">
        <v>10</v>
      </c>
      <c r="J723">
        <v>1.29</v>
      </c>
      <c r="K723" t="s">
        <v>8</v>
      </c>
      <c r="M723" t="s">
        <v>421</v>
      </c>
      <c r="N723" t="s">
        <v>420</v>
      </c>
      <c r="O723">
        <v>2.08</v>
      </c>
      <c r="P723">
        <v>1.77</v>
      </c>
      <c r="Q723" t="s">
        <v>8</v>
      </c>
    </row>
    <row r="724" spans="8:17" x14ac:dyDescent="0.25">
      <c r="H724" t="s">
        <v>10</v>
      </c>
      <c r="J724">
        <v>1.27</v>
      </c>
      <c r="K724" t="s">
        <v>8</v>
      </c>
      <c r="M724" t="s">
        <v>421</v>
      </c>
      <c r="N724" t="s">
        <v>420</v>
      </c>
      <c r="O724">
        <v>2.08</v>
      </c>
      <c r="P724">
        <v>1.77</v>
      </c>
      <c r="Q724" t="s">
        <v>8</v>
      </c>
    </row>
    <row r="725" spans="8:17" x14ac:dyDescent="0.25">
      <c r="H725" t="s">
        <v>10</v>
      </c>
      <c r="J725">
        <v>4.4000000000000004</v>
      </c>
      <c r="K725" t="s">
        <v>8</v>
      </c>
      <c r="M725" t="s">
        <v>421</v>
      </c>
      <c r="N725" t="s">
        <v>420</v>
      </c>
      <c r="O725">
        <v>2.2599999999999998</v>
      </c>
      <c r="P725">
        <v>1.66</v>
      </c>
      <c r="Q725" t="s">
        <v>8</v>
      </c>
    </row>
    <row r="726" spans="8:17" x14ac:dyDescent="0.25">
      <c r="H726" t="s">
        <v>10</v>
      </c>
      <c r="J726">
        <v>4.5999999999999996</v>
      </c>
      <c r="K726" t="s">
        <v>8</v>
      </c>
      <c r="M726" t="s">
        <v>422</v>
      </c>
      <c r="N726" t="s">
        <v>420</v>
      </c>
      <c r="O726">
        <v>2.14</v>
      </c>
      <c r="P726">
        <v>1.73</v>
      </c>
      <c r="Q726" t="s">
        <v>8</v>
      </c>
    </row>
    <row r="727" spans="8:17" x14ac:dyDescent="0.25">
      <c r="H727" t="s">
        <v>10</v>
      </c>
      <c r="J727">
        <v>4.4000000000000004</v>
      </c>
      <c r="K727" t="s">
        <v>8</v>
      </c>
      <c r="M727" t="s">
        <v>422</v>
      </c>
      <c r="N727" t="s">
        <v>420</v>
      </c>
      <c r="O727">
        <v>2.14</v>
      </c>
      <c r="P727">
        <v>1.73</v>
      </c>
      <c r="Q727" t="s">
        <v>8</v>
      </c>
    </row>
    <row r="728" spans="8:17" x14ac:dyDescent="0.25">
      <c r="H728" t="s">
        <v>10</v>
      </c>
      <c r="J728">
        <v>4.4000000000000004</v>
      </c>
      <c r="K728" t="s">
        <v>8</v>
      </c>
      <c r="M728" t="s">
        <v>422</v>
      </c>
      <c r="N728" t="s">
        <v>420</v>
      </c>
      <c r="O728">
        <v>2.08</v>
      </c>
      <c r="P728">
        <v>1.77</v>
      </c>
      <c r="Q728" t="s">
        <v>8</v>
      </c>
    </row>
    <row r="729" spans="8:17" x14ac:dyDescent="0.25">
      <c r="H729" t="s">
        <v>10</v>
      </c>
      <c r="J729">
        <v>5.5</v>
      </c>
      <c r="K729" t="s">
        <v>8</v>
      </c>
      <c r="M729" t="s">
        <v>423</v>
      </c>
      <c r="N729" t="s">
        <v>420</v>
      </c>
      <c r="O729">
        <v>3.65</v>
      </c>
      <c r="P729">
        <v>1.29</v>
      </c>
      <c r="Q729" t="s">
        <v>8</v>
      </c>
    </row>
    <row r="730" spans="8:17" x14ac:dyDescent="0.25">
      <c r="H730" t="s">
        <v>10</v>
      </c>
      <c r="J730">
        <v>5.5</v>
      </c>
      <c r="K730" t="s">
        <v>8</v>
      </c>
      <c r="M730" t="s">
        <v>423</v>
      </c>
      <c r="N730" t="s">
        <v>420</v>
      </c>
      <c r="O730">
        <v>3.65</v>
      </c>
      <c r="P730">
        <v>1.29</v>
      </c>
      <c r="Q730" t="s">
        <v>8</v>
      </c>
    </row>
    <row r="731" spans="8:17" x14ac:dyDescent="0.25">
      <c r="H731" t="s">
        <v>10</v>
      </c>
      <c r="J731">
        <v>5.8</v>
      </c>
      <c r="K731" t="s">
        <v>8</v>
      </c>
      <c r="M731" t="s">
        <v>423</v>
      </c>
      <c r="N731" t="s">
        <v>420</v>
      </c>
      <c r="O731">
        <v>4.1500000000000004</v>
      </c>
      <c r="P731">
        <v>1.24</v>
      </c>
      <c r="Q731" t="s">
        <v>8</v>
      </c>
    </row>
    <row r="732" spans="8:17" x14ac:dyDescent="0.25">
      <c r="H732" t="s">
        <v>10</v>
      </c>
      <c r="J732">
        <v>1.22</v>
      </c>
      <c r="K732" t="s">
        <v>8</v>
      </c>
      <c r="M732" t="s">
        <v>424</v>
      </c>
      <c r="N732" t="s">
        <v>425</v>
      </c>
      <c r="O732">
        <v>1.22</v>
      </c>
      <c r="P732">
        <v>4.4000000000000004</v>
      </c>
      <c r="Q732" t="s">
        <v>8</v>
      </c>
    </row>
    <row r="733" spans="8:17" x14ac:dyDescent="0.25">
      <c r="H733" t="s">
        <v>10</v>
      </c>
      <c r="J733">
        <v>1.22</v>
      </c>
      <c r="K733" t="s">
        <v>8</v>
      </c>
      <c r="M733" t="s">
        <v>424</v>
      </c>
      <c r="N733" t="s">
        <v>425</v>
      </c>
      <c r="O733">
        <v>1.21</v>
      </c>
      <c r="P733">
        <v>4.5999999999999996</v>
      </c>
      <c r="Q733" t="s">
        <v>8</v>
      </c>
    </row>
    <row r="734" spans="8:17" x14ac:dyDescent="0.25">
      <c r="H734" t="s">
        <v>10</v>
      </c>
      <c r="J734">
        <v>1.22</v>
      </c>
      <c r="K734" t="s">
        <v>8</v>
      </c>
      <c r="M734" t="s">
        <v>424</v>
      </c>
      <c r="N734" t="s">
        <v>425</v>
      </c>
      <c r="O734">
        <v>1.22</v>
      </c>
      <c r="P734">
        <v>4.4000000000000004</v>
      </c>
      <c r="Q734" t="s">
        <v>8</v>
      </c>
    </row>
    <row r="735" spans="8:17" x14ac:dyDescent="0.25">
      <c r="H735" t="s">
        <v>10</v>
      </c>
      <c r="J735">
        <v>3.15</v>
      </c>
      <c r="K735" t="s">
        <v>8</v>
      </c>
      <c r="M735" t="s">
        <v>424</v>
      </c>
      <c r="N735" t="s">
        <v>425</v>
      </c>
      <c r="O735">
        <v>1.22</v>
      </c>
      <c r="P735">
        <v>4.4000000000000004</v>
      </c>
      <c r="Q735" t="s">
        <v>8</v>
      </c>
    </row>
    <row r="736" spans="8:17" x14ac:dyDescent="0.25">
      <c r="H736" t="s">
        <v>10</v>
      </c>
      <c r="J736">
        <v>3.15</v>
      </c>
      <c r="K736" t="s">
        <v>8</v>
      </c>
      <c r="M736" t="s">
        <v>426</v>
      </c>
      <c r="N736" t="s">
        <v>427</v>
      </c>
      <c r="O736">
        <v>1.1499999999999999</v>
      </c>
      <c r="P736">
        <v>5.5</v>
      </c>
      <c r="Q736" t="s">
        <v>8</v>
      </c>
    </row>
    <row r="737" spans="8:17" x14ac:dyDescent="0.25">
      <c r="H737" t="s">
        <v>10</v>
      </c>
      <c r="J737">
        <v>3.35</v>
      </c>
      <c r="K737" t="s">
        <v>8</v>
      </c>
      <c r="M737" t="s">
        <v>426</v>
      </c>
      <c r="N737" t="s">
        <v>427</v>
      </c>
      <c r="O737">
        <v>1.1499999999999999</v>
      </c>
      <c r="P737">
        <v>5.5</v>
      </c>
      <c r="Q737" t="s">
        <v>8</v>
      </c>
    </row>
    <row r="738" spans="8:17" x14ac:dyDescent="0.25">
      <c r="H738" t="s">
        <v>10</v>
      </c>
      <c r="J738">
        <v>5.4</v>
      </c>
      <c r="K738" t="s">
        <v>8</v>
      </c>
      <c r="M738" t="s">
        <v>426</v>
      </c>
      <c r="N738" t="s">
        <v>427</v>
      </c>
      <c r="O738">
        <v>1.1200000000000001</v>
      </c>
      <c r="P738">
        <v>6.4</v>
      </c>
      <c r="Q738" t="s">
        <v>8</v>
      </c>
    </row>
    <row r="739" spans="8:17" x14ac:dyDescent="0.25">
      <c r="H739" t="s">
        <v>10</v>
      </c>
      <c r="J739">
        <v>5.7</v>
      </c>
      <c r="K739" t="s">
        <v>8</v>
      </c>
      <c r="M739" t="s">
        <v>428</v>
      </c>
      <c r="N739" t="s">
        <v>429</v>
      </c>
      <c r="O739">
        <v>4.9000000000000004</v>
      </c>
      <c r="P739">
        <v>1.19</v>
      </c>
      <c r="Q739" t="s">
        <v>8</v>
      </c>
    </row>
    <row r="740" spans="8:17" x14ac:dyDescent="0.25">
      <c r="H740" t="s">
        <v>10</v>
      </c>
      <c r="J740">
        <v>5.3</v>
      </c>
      <c r="K740" t="s">
        <v>8</v>
      </c>
      <c r="M740" t="s">
        <v>428</v>
      </c>
      <c r="N740" t="s">
        <v>429</v>
      </c>
      <c r="O740">
        <v>4.9000000000000004</v>
      </c>
      <c r="P740">
        <v>1.19</v>
      </c>
      <c r="Q740" t="s">
        <v>8</v>
      </c>
    </row>
    <row r="741" spans="8:17" x14ac:dyDescent="0.25">
      <c r="H741" t="s">
        <v>10</v>
      </c>
      <c r="J741">
        <v>1.57</v>
      </c>
      <c r="K741" t="s">
        <v>8</v>
      </c>
      <c r="M741" t="s">
        <v>428</v>
      </c>
      <c r="N741" t="s">
        <v>429</v>
      </c>
      <c r="O741">
        <v>4.9000000000000004</v>
      </c>
      <c r="P741">
        <v>1.19</v>
      </c>
      <c r="Q741" t="s">
        <v>8</v>
      </c>
    </row>
    <row r="742" spans="8:17" x14ac:dyDescent="0.25">
      <c r="H742" t="s">
        <v>10</v>
      </c>
      <c r="J742">
        <v>1.59</v>
      </c>
      <c r="K742" t="s">
        <v>8</v>
      </c>
      <c r="M742" t="s">
        <v>430</v>
      </c>
      <c r="N742" t="s">
        <v>431</v>
      </c>
      <c r="O742">
        <v>1.36</v>
      </c>
      <c r="P742">
        <v>3.15</v>
      </c>
      <c r="Q742" t="s">
        <v>8</v>
      </c>
    </row>
    <row r="743" spans="8:17" x14ac:dyDescent="0.25">
      <c r="H743" t="s">
        <v>10</v>
      </c>
      <c r="J743">
        <v>1.59</v>
      </c>
      <c r="K743" t="s">
        <v>8</v>
      </c>
      <c r="M743" t="s">
        <v>430</v>
      </c>
      <c r="N743" t="s">
        <v>431</v>
      </c>
      <c r="O743">
        <v>1.36</v>
      </c>
      <c r="P743">
        <v>3.15</v>
      </c>
      <c r="Q743" t="s">
        <v>8</v>
      </c>
    </row>
    <row r="744" spans="8:17" x14ac:dyDescent="0.25">
      <c r="H744" t="s">
        <v>10</v>
      </c>
      <c r="J744">
        <v>2.62</v>
      </c>
      <c r="K744" s="1" t="s">
        <v>9</v>
      </c>
      <c r="M744" t="s">
        <v>430</v>
      </c>
      <c r="N744" t="s">
        <v>431</v>
      </c>
      <c r="O744">
        <v>1.3</v>
      </c>
      <c r="P744">
        <v>3.6</v>
      </c>
      <c r="Q744" t="s">
        <v>8</v>
      </c>
    </row>
    <row r="745" spans="8:17" x14ac:dyDescent="0.25">
      <c r="H745" t="s">
        <v>10</v>
      </c>
      <c r="J745">
        <v>2.64</v>
      </c>
      <c r="K745" s="1" t="s">
        <v>9</v>
      </c>
      <c r="M745" t="s">
        <v>432</v>
      </c>
      <c r="N745" t="s">
        <v>433</v>
      </c>
      <c r="O745">
        <v>1.17</v>
      </c>
      <c r="P745">
        <v>5.4</v>
      </c>
      <c r="Q745" t="s">
        <v>8</v>
      </c>
    </row>
    <row r="746" spans="8:17" x14ac:dyDescent="0.25">
      <c r="H746" t="s">
        <v>10</v>
      </c>
      <c r="J746">
        <v>2.65</v>
      </c>
      <c r="K746" s="1" t="s">
        <v>9</v>
      </c>
      <c r="M746" t="s">
        <v>432</v>
      </c>
      <c r="N746" t="s">
        <v>433</v>
      </c>
      <c r="O746">
        <v>1.1499999999999999</v>
      </c>
      <c r="P746">
        <v>5.7</v>
      </c>
      <c r="Q746" t="s">
        <v>8</v>
      </c>
    </row>
    <row r="747" spans="8:17" x14ac:dyDescent="0.25">
      <c r="H747" t="s">
        <v>10</v>
      </c>
      <c r="J747">
        <v>2.65</v>
      </c>
      <c r="K747" s="1" t="s">
        <v>9</v>
      </c>
      <c r="M747" t="s">
        <v>432</v>
      </c>
      <c r="N747" t="s">
        <v>433</v>
      </c>
      <c r="O747">
        <v>1.17</v>
      </c>
      <c r="P747">
        <v>5.3</v>
      </c>
      <c r="Q747" t="s">
        <v>8</v>
      </c>
    </row>
    <row r="748" spans="8:17" x14ac:dyDescent="0.25">
      <c r="H748" t="s">
        <v>10</v>
      </c>
      <c r="J748">
        <v>2.65</v>
      </c>
      <c r="K748" s="1" t="s">
        <v>9</v>
      </c>
      <c r="M748" t="s">
        <v>432</v>
      </c>
      <c r="N748" t="s">
        <v>433</v>
      </c>
      <c r="O748">
        <v>1.17</v>
      </c>
      <c r="P748">
        <v>5.2</v>
      </c>
      <c r="Q748" t="s">
        <v>8</v>
      </c>
    </row>
    <row r="749" spans="8:17" x14ac:dyDescent="0.25">
      <c r="H749" t="s">
        <v>10</v>
      </c>
      <c r="J749">
        <v>2.62</v>
      </c>
      <c r="K749" s="1" t="s">
        <v>9</v>
      </c>
      <c r="M749" t="s">
        <v>432</v>
      </c>
      <c r="N749" t="s">
        <v>433</v>
      </c>
      <c r="O749">
        <v>1.17</v>
      </c>
      <c r="P749">
        <v>5.2</v>
      </c>
      <c r="Q749" t="s">
        <v>8</v>
      </c>
    </row>
    <row r="750" spans="8:17" x14ac:dyDescent="0.25">
      <c r="H750" t="s">
        <v>10</v>
      </c>
      <c r="J750">
        <v>2.7</v>
      </c>
      <c r="K750" s="1" t="s">
        <v>9</v>
      </c>
      <c r="M750" t="s">
        <v>592</v>
      </c>
      <c r="N750" t="s">
        <v>593</v>
      </c>
      <c r="O750">
        <v>3.45</v>
      </c>
      <c r="P750">
        <v>1.33</v>
      </c>
      <c r="Q750" t="s">
        <v>8</v>
      </c>
    </row>
    <row r="751" spans="8:17" x14ac:dyDescent="0.25">
      <c r="H751" t="s">
        <v>10</v>
      </c>
      <c r="J751">
        <v>2.5</v>
      </c>
      <c r="K751" s="1" t="s">
        <v>9</v>
      </c>
      <c r="M751" t="s">
        <v>592</v>
      </c>
      <c r="N751" t="s">
        <v>593</v>
      </c>
      <c r="O751">
        <v>3.75</v>
      </c>
      <c r="P751">
        <v>1.29</v>
      </c>
      <c r="Q751" t="s">
        <v>8</v>
      </c>
    </row>
    <row r="752" spans="8:17" x14ac:dyDescent="0.25">
      <c r="H752" t="s">
        <v>10</v>
      </c>
      <c r="J752">
        <v>2.5</v>
      </c>
      <c r="K752" s="1" t="s">
        <v>9</v>
      </c>
      <c r="M752" t="s">
        <v>592</v>
      </c>
      <c r="N752" t="s">
        <v>593</v>
      </c>
      <c r="O752">
        <v>3.75</v>
      </c>
      <c r="P752">
        <v>1.29</v>
      </c>
      <c r="Q752" t="s">
        <v>8</v>
      </c>
    </row>
    <row r="753" spans="8:17" x14ac:dyDescent="0.25">
      <c r="H753" t="s">
        <v>10</v>
      </c>
      <c r="J753">
        <v>2.5</v>
      </c>
      <c r="K753" s="1" t="s">
        <v>9</v>
      </c>
      <c r="M753" t="s">
        <v>434</v>
      </c>
      <c r="N753" t="s">
        <v>435</v>
      </c>
      <c r="O753">
        <v>2.4500000000000002</v>
      </c>
      <c r="P753">
        <v>1.57</v>
      </c>
      <c r="Q753" t="s">
        <v>8</v>
      </c>
    </row>
    <row r="754" spans="8:17" x14ac:dyDescent="0.25">
      <c r="H754" t="s">
        <v>10</v>
      </c>
      <c r="J754">
        <v>2.6</v>
      </c>
      <c r="K754" s="1" t="s">
        <v>9</v>
      </c>
      <c r="M754" t="s">
        <v>434</v>
      </c>
      <c r="N754" t="s">
        <v>435</v>
      </c>
      <c r="O754">
        <v>2.4</v>
      </c>
      <c r="P754">
        <v>1.59</v>
      </c>
      <c r="Q754" t="s">
        <v>8</v>
      </c>
    </row>
    <row r="755" spans="8:17" x14ac:dyDescent="0.25">
      <c r="H755" t="s">
        <v>10</v>
      </c>
      <c r="J755">
        <v>2.65</v>
      </c>
      <c r="K755" s="1" t="s">
        <v>9</v>
      </c>
      <c r="M755" t="s">
        <v>434</v>
      </c>
      <c r="N755" t="s">
        <v>435</v>
      </c>
      <c r="O755">
        <v>2.4300000000000002</v>
      </c>
      <c r="P755">
        <v>1.59</v>
      </c>
      <c r="Q755" t="s">
        <v>8</v>
      </c>
    </row>
    <row r="756" spans="8:17" x14ac:dyDescent="0.25">
      <c r="H756" t="s">
        <v>10</v>
      </c>
      <c r="J756">
        <v>2.5499999999999998</v>
      </c>
      <c r="K756" s="1" t="s">
        <v>9</v>
      </c>
      <c r="M756" t="s">
        <v>434</v>
      </c>
      <c r="N756" t="s">
        <v>435</v>
      </c>
      <c r="O756">
        <v>2.35</v>
      </c>
      <c r="P756">
        <v>1.6</v>
      </c>
      <c r="Q756" t="s">
        <v>8</v>
      </c>
    </row>
    <row r="757" spans="8:17" x14ac:dyDescent="0.25">
      <c r="H757" t="s">
        <v>10</v>
      </c>
      <c r="J757">
        <v>2.6</v>
      </c>
      <c r="K757" s="1" t="s">
        <v>9</v>
      </c>
      <c r="M757" t="s">
        <v>434</v>
      </c>
      <c r="N757" t="s">
        <v>435</v>
      </c>
      <c r="O757">
        <v>2.35</v>
      </c>
      <c r="P757">
        <v>1.6</v>
      </c>
      <c r="Q757" t="s">
        <v>8</v>
      </c>
    </row>
    <row r="758" spans="8:17" x14ac:dyDescent="0.25">
      <c r="H758" t="s">
        <v>10</v>
      </c>
      <c r="J758">
        <v>1.61</v>
      </c>
      <c r="K758" s="1" t="s">
        <v>9</v>
      </c>
      <c r="M758" t="s">
        <v>126</v>
      </c>
      <c r="N758" t="s">
        <v>127</v>
      </c>
      <c r="O758">
        <v>1.51</v>
      </c>
      <c r="P758">
        <v>2.66</v>
      </c>
      <c r="Q758" t="s">
        <v>9</v>
      </c>
    </row>
    <row r="759" spans="8:17" x14ac:dyDescent="0.25">
      <c r="H759" t="s">
        <v>10</v>
      </c>
      <c r="J759">
        <v>1.62</v>
      </c>
      <c r="K759" s="1" t="s">
        <v>9</v>
      </c>
      <c r="M759" t="s">
        <v>126</v>
      </c>
      <c r="N759" t="s">
        <v>127</v>
      </c>
      <c r="O759">
        <v>1.49</v>
      </c>
      <c r="P759">
        <v>2.7</v>
      </c>
      <c r="Q759" t="s">
        <v>9</v>
      </c>
    </row>
    <row r="760" spans="8:17" x14ac:dyDescent="0.25">
      <c r="H760" t="s">
        <v>10</v>
      </c>
      <c r="J760">
        <v>1.59</v>
      </c>
      <c r="K760" s="1" t="s">
        <v>9</v>
      </c>
      <c r="M760" t="s">
        <v>126</v>
      </c>
      <c r="N760" t="s">
        <v>127</v>
      </c>
      <c r="O760">
        <v>1.5</v>
      </c>
      <c r="P760">
        <v>2.7</v>
      </c>
      <c r="Q760" t="s">
        <v>9</v>
      </c>
    </row>
    <row r="761" spans="8:17" x14ac:dyDescent="0.25">
      <c r="H761" t="s">
        <v>10</v>
      </c>
      <c r="J761">
        <v>1.61</v>
      </c>
      <c r="K761" s="1" t="s">
        <v>9</v>
      </c>
      <c r="M761" t="s">
        <v>126</v>
      </c>
      <c r="N761" t="s">
        <v>127</v>
      </c>
      <c r="O761">
        <v>1.51</v>
      </c>
      <c r="P761">
        <v>2.71</v>
      </c>
      <c r="Q761" t="s">
        <v>9</v>
      </c>
    </row>
    <row r="762" spans="8:17" x14ac:dyDescent="0.25">
      <c r="H762" t="s">
        <v>10</v>
      </c>
      <c r="J762">
        <v>1.59</v>
      </c>
      <c r="K762" s="1" t="s">
        <v>9</v>
      </c>
      <c r="M762" t="s">
        <v>126</v>
      </c>
      <c r="N762" t="s">
        <v>127</v>
      </c>
      <c r="O762">
        <v>1.51</v>
      </c>
      <c r="P762">
        <v>2.71</v>
      </c>
      <c r="Q762" t="s">
        <v>9</v>
      </c>
    </row>
    <row r="763" spans="8:17" x14ac:dyDescent="0.25">
      <c r="H763" t="s">
        <v>10</v>
      </c>
      <c r="J763">
        <v>1.59</v>
      </c>
      <c r="K763" s="1" t="s">
        <v>9</v>
      </c>
      <c r="M763" t="s">
        <v>126</v>
      </c>
      <c r="N763" t="s">
        <v>127</v>
      </c>
      <c r="O763">
        <v>1.48</v>
      </c>
      <c r="P763">
        <v>2.75</v>
      </c>
      <c r="Q763" t="s">
        <v>9</v>
      </c>
    </row>
    <row r="764" spans="8:17" x14ac:dyDescent="0.25">
      <c r="H764" t="s">
        <v>10</v>
      </c>
      <c r="J764">
        <v>1.59</v>
      </c>
      <c r="K764" s="1" t="s">
        <v>9</v>
      </c>
      <c r="M764" t="s">
        <v>126</v>
      </c>
      <c r="N764" t="s">
        <v>127</v>
      </c>
      <c r="O764">
        <v>1.53</v>
      </c>
      <c r="P764">
        <v>2.6</v>
      </c>
      <c r="Q764" t="s">
        <v>9</v>
      </c>
    </row>
    <row r="765" spans="8:17" x14ac:dyDescent="0.25">
      <c r="H765" t="s">
        <v>10</v>
      </c>
      <c r="J765">
        <v>1.57</v>
      </c>
      <c r="K765" s="1" t="s">
        <v>9</v>
      </c>
      <c r="M765" t="s">
        <v>126</v>
      </c>
      <c r="N765" t="s">
        <v>127</v>
      </c>
      <c r="O765">
        <v>1.49</v>
      </c>
      <c r="P765">
        <v>2.65</v>
      </c>
      <c r="Q765" t="s">
        <v>9</v>
      </c>
    </row>
    <row r="766" spans="8:17" x14ac:dyDescent="0.25">
      <c r="H766" t="s">
        <v>10</v>
      </c>
      <c r="J766">
        <v>1.57</v>
      </c>
      <c r="K766" s="1" t="s">
        <v>9</v>
      </c>
      <c r="M766" t="s">
        <v>126</v>
      </c>
      <c r="N766" t="s">
        <v>127</v>
      </c>
      <c r="O766">
        <v>1.49</v>
      </c>
      <c r="P766">
        <v>2.65</v>
      </c>
      <c r="Q766" t="s">
        <v>9</v>
      </c>
    </row>
    <row r="767" spans="8:17" x14ac:dyDescent="0.25">
      <c r="H767" t="s">
        <v>10</v>
      </c>
      <c r="J767">
        <v>1.57</v>
      </c>
      <c r="K767" s="1" t="s">
        <v>9</v>
      </c>
      <c r="M767" t="s">
        <v>126</v>
      </c>
      <c r="N767" t="s">
        <v>127</v>
      </c>
      <c r="O767">
        <v>1.49</v>
      </c>
      <c r="P767">
        <v>2.65</v>
      </c>
      <c r="Q767" t="s">
        <v>9</v>
      </c>
    </row>
    <row r="768" spans="8:17" x14ac:dyDescent="0.25">
      <c r="H768" t="s">
        <v>10</v>
      </c>
      <c r="J768">
        <v>1.61</v>
      </c>
      <c r="K768" s="1" t="s">
        <v>9</v>
      </c>
      <c r="M768" t="s">
        <v>126</v>
      </c>
      <c r="N768" t="s">
        <v>127</v>
      </c>
      <c r="O768">
        <v>1.5</v>
      </c>
      <c r="P768">
        <v>2.65</v>
      </c>
      <c r="Q768" t="s">
        <v>9</v>
      </c>
    </row>
    <row r="769" spans="8:17" x14ac:dyDescent="0.25">
      <c r="H769" t="s">
        <v>10</v>
      </c>
      <c r="J769">
        <v>1.59</v>
      </c>
      <c r="K769" s="1" t="s">
        <v>9</v>
      </c>
      <c r="M769" t="s">
        <v>126</v>
      </c>
      <c r="N769" t="s">
        <v>127</v>
      </c>
      <c r="O769">
        <v>1.5</v>
      </c>
      <c r="P769">
        <v>2.7</v>
      </c>
      <c r="Q769" t="s">
        <v>9</v>
      </c>
    </row>
    <row r="770" spans="8:17" x14ac:dyDescent="0.25">
      <c r="H770" t="s">
        <v>10</v>
      </c>
      <c r="J770">
        <v>1.62</v>
      </c>
      <c r="K770" s="1" t="s">
        <v>9</v>
      </c>
      <c r="M770" t="s">
        <v>126</v>
      </c>
      <c r="N770" t="s">
        <v>127</v>
      </c>
      <c r="O770">
        <v>1.53</v>
      </c>
      <c r="P770">
        <v>2.5499999999999998</v>
      </c>
      <c r="Q770" t="s">
        <v>9</v>
      </c>
    </row>
    <row r="771" spans="8:17" x14ac:dyDescent="0.25">
      <c r="H771" t="s">
        <v>10</v>
      </c>
      <c r="J771">
        <v>1.61</v>
      </c>
      <c r="K771" s="1" t="s">
        <v>9</v>
      </c>
      <c r="M771" t="s">
        <v>126</v>
      </c>
      <c r="N771" t="s">
        <v>127</v>
      </c>
      <c r="O771">
        <v>1.5</v>
      </c>
      <c r="P771">
        <v>2.65</v>
      </c>
      <c r="Q771" t="s">
        <v>9</v>
      </c>
    </row>
    <row r="772" spans="8:17" x14ac:dyDescent="0.25">
      <c r="H772" t="s">
        <v>10</v>
      </c>
      <c r="J772">
        <v>3.35</v>
      </c>
      <c r="K772" s="1" t="s">
        <v>9</v>
      </c>
      <c r="M772" t="s">
        <v>126</v>
      </c>
      <c r="N772" t="s">
        <v>127</v>
      </c>
      <c r="O772">
        <v>1.51</v>
      </c>
      <c r="P772">
        <v>2.65</v>
      </c>
      <c r="Q772" t="s">
        <v>9</v>
      </c>
    </row>
    <row r="773" spans="8:17" x14ac:dyDescent="0.25">
      <c r="H773" t="s">
        <v>10</v>
      </c>
      <c r="J773">
        <v>3.2</v>
      </c>
      <c r="K773" s="1" t="s">
        <v>9</v>
      </c>
      <c r="M773" t="s">
        <v>128</v>
      </c>
      <c r="N773" t="s">
        <v>129</v>
      </c>
      <c r="O773">
        <v>2.4</v>
      </c>
      <c r="P773">
        <v>1.6</v>
      </c>
      <c r="Q773" t="s">
        <v>9</v>
      </c>
    </row>
    <row r="774" spans="8:17" x14ac:dyDescent="0.25">
      <c r="H774" t="s">
        <v>10</v>
      </c>
      <c r="J774">
        <v>3.4</v>
      </c>
      <c r="K774" s="1" t="s">
        <v>9</v>
      </c>
      <c r="M774" t="s">
        <v>128</v>
      </c>
      <c r="N774" t="s">
        <v>129</v>
      </c>
      <c r="O774">
        <v>2.36</v>
      </c>
      <c r="P774">
        <v>1.62</v>
      </c>
      <c r="Q774" t="s">
        <v>9</v>
      </c>
    </row>
    <row r="775" spans="8:17" x14ac:dyDescent="0.25">
      <c r="H775" t="s">
        <v>10</v>
      </c>
      <c r="J775">
        <v>3.4</v>
      </c>
      <c r="K775" s="1" t="s">
        <v>9</v>
      </c>
      <c r="M775" t="s">
        <v>128</v>
      </c>
      <c r="N775" t="s">
        <v>129</v>
      </c>
      <c r="O775">
        <v>2.4500000000000002</v>
      </c>
      <c r="P775">
        <v>1.61</v>
      </c>
      <c r="Q775" t="s">
        <v>9</v>
      </c>
    </row>
    <row r="776" spans="8:17" x14ac:dyDescent="0.25">
      <c r="H776" t="s">
        <v>10</v>
      </c>
      <c r="J776">
        <v>3.35</v>
      </c>
      <c r="K776" s="1" t="s">
        <v>9</v>
      </c>
      <c r="M776" t="s">
        <v>128</v>
      </c>
      <c r="N776" t="s">
        <v>129</v>
      </c>
      <c r="O776">
        <v>2.4300000000000002</v>
      </c>
      <c r="P776">
        <v>1.59</v>
      </c>
      <c r="Q776" t="s">
        <v>9</v>
      </c>
    </row>
    <row r="777" spans="8:17" x14ac:dyDescent="0.25">
      <c r="H777" t="s">
        <v>10</v>
      </c>
      <c r="J777">
        <v>3.45</v>
      </c>
      <c r="K777" s="1" t="s">
        <v>9</v>
      </c>
      <c r="M777" t="s">
        <v>128</v>
      </c>
      <c r="N777" t="s">
        <v>129</v>
      </c>
      <c r="O777">
        <v>2.52</v>
      </c>
      <c r="P777">
        <v>1.58</v>
      </c>
      <c r="Q777" t="s">
        <v>9</v>
      </c>
    </row>
    <row r="778" spans="8:17" x14ac:dyDescent="0.25">
      <c r="H778" t="s">
        <v>10</v>
      </c>
      <c r="J778">
        <v>3.45</v>
      </c>
      <c r="K778" s="1" t="s">
        <v>9</v>
      </c>
      <c r="M778" t="s">
        <v>128</v>
      </c>
      <c r="N778" t="s">
        <v>129</v>
      </c>
      <c r="O778">
        <v>2.52</v>
      </c>
      <c r="P778">
        <v>1.58</v>
      </c>
      <c r="Q778" t="s">
        <v>9</v>
      </c>
    </row>
    <row r="779" spans="8:17" x14ac:dyDescent="0.25">
      <c r="H779" t="s">
        <v>10</v>
      </c>
      <c r="J779">
        <v>3.3</v>
      </c>
      <c r="K779" s="1" t="s">
        <v>9</v>
      </c>
      <c r="M779" t="s">
        <v>128</v>
      </c>
      <c r="N779" t="s">
        <v>129</v>
      </c>
      <c r="O779">
        <v>2.5</v>
      </c>
      <c r="P779">
        <v>1.56</v>
      </c>
      <c r="Q779" t="s">
        <v>9</v>
      </c>
    </row>
    <row r="780" spans="8:17" x14ac:dyDescent="0.25">
      <c r="H780" t="s">
        <v>10</v>
      </c>
      <c r="J780">
        <v>3.3</v>
      </c>
      <c r="K780" s="1" t="s">
        <v>9</v>
      </c>
      <c r="M780" t="s">
        <v>128</v>
      </c>
      <c r="N780" t="s">
        <v>129</v>
      </c>
      <c r="O780">
        <v>2.4</v>
      </c>
      <c r="P780">
        <v>1.57</v>
      </c>
      <c r="Q780" t="s">
        <v>9</v>
      </c>
    </row>
    <row r="781" spans="8:17" x14ac:dyDescent="0.25">
      <c r="H781" t="s">
        <v>10</v>
      </c>
      <c r="J781">
        <v>3.3</v>
      </c>
      <c r="K781" s="1" t="s">
        <v>9</v>
      </c>
      <c r="M781" t="s">
        <v>128</v>
      </c>
      <c r="N781" t="s">
        <v>129</v>
      </c>
      <c r="O781">
        <v>2.4</v>
      </c>
      <c r="P781">
        <v>1.57</v>
      </c>
      <c r="Q781" t="s">
        <v>9</v>
      </c>
    </row>
    <row r="782" spans="8:17" x14ac:dyDescent="0.25">
      <c r="H782" t="s">
        <v>10</v>
      </c>
      <c r="J782">
        <v>3.4</v>
      </c>
      <c r="K782" s="1" t="s">
        <v>9</v>
      </c>
      <c r="M782" t="s">
        <v>128</v>
      </c>
      <c r="N782" t="s">
        <v>129</v>
      </c>
      <c r="O782">
        <v>2.4</v>
      </c>
      <c r="P782">
        <v>1.57</v>
      </c>
      <c r="Q782" t="s">
        <v>9</v>
      </c>
    </row>
    <row r="783" spans="8:17" x14ac:dyDescent="0.25">
      <c r="H783" t="s">
        <v>10</v>
      </c>
      <c r="J783">
        <v>3.35</v>
      </c>
      <c r="K783" s="1" t="s">
        <v>9</v>
      </c>
      <c r="M783" t="s">
        <v>128</v>
      </c>
      <c r="N783" t="s">
        <v>129</v>
      </c>
      <c r="O783">
        <v>2.4</v>
      </c>
      <c r="P783">
        <v>1.61</v>
      </c>
      <c r="Q783" t="s">
        <v>9</v>
      </c>
    </row>
    <row r="784" spans="8:17" x14ac:dyDescent="0.25">
      <c r="H784" t="s">
        <v>10</v>
      </c>
      <c r="J784">
        <v>3.3</v>
      </c>
      <c r="K784" s="1" t="s">
        <v>9</v>
      </c>
      <c r="M784" t="s">
        <v>128</v>
      </c>
      <c r="N784" t="s">
        <v>129</v>
      </c>
      <c r="O784">
        <v>2.4</v>
      </c>
      <c r="P784">
        <v>1.59</v>
      </c>
      <c r="Q784" t="s">
        <v>9</v>
      </c>
    </row>
    <row r="785" spans="8:17" x14ac:dyDescent="0.25">
      <c r="H785" t="s">
        <v>10</v>
      </c>
      <c r="J785">
        <v>3.4</v>
      </c>
      <c r="K785" s="1" t="s">
        <v>9</v>
      </c>
      <c r="M785" t="s">
        <v>128</v>
      </c>
      <c r="N785" t="s">
        <v>129</v>
      </c>
      <c r="O785">
        <v>2.4</v>
      </c>
      <c r="P785">
        <v>1.62</v>
      </c>
      <c r="Q785" t="s">
        <v>9</v>
      </c>
    </row>
    <row r="786" spans="8:17" x14ac:dyDescent="0.25">
      <c r="H786" t="s">
        <v>10</v>
      </c>
      <c r="J786">
        <v>1.1499999999999999</v>
      </c>
      <c r="K786" s="1" t="s">
        <v>9</v>
      </c>
      <c r="M786" t="s">
        <v>128</v>
      </c>
      <c r="N786" t="s">
        <v>129</v>
      </c>
      <c r="O786">
        <v>2.35</v>
      </c>
      <c r="P786">
        <v>1.61</v>
      </c>
      <c r="Q786" t="s">
        <v>9</v>
      </c>
    </row>
    <row r="787" spans="8:17" x14ac:dyDescent="0.25">
      <c r="H787" t="s">
        <v>10</v>
      </c>
      <c r="J787">
        <v>1.1499999999999999</v>
      </c>
      <c r="K787" s="1" t="s">
        <v>9</v>
      </c>
      <c r="M787" t="s">
        <v>128</v>
      </c>
      <c r="N787" t="s">
        <v>129</v>
      </c>
      <c r="O787">
        <v>2.5</v>
      </c>
      <c r="P787">
        <v>1.57</v>
      </c>
      <c r="Q787" t="s">
        <v>9</v>
      </c>
    </row>
    <row r="788" spans="8:17" x14ac:dyDescent="0.25">
      <c r="H788" t="s">
        <v>10</v>
      </c>
      <c r="J788">
        <v>1.1200000000000001</v>
      </c>
      <c r="K788" s="1" t="s">
        <v>9</v>
      </c>
      <c r="M788" t="s">
        <v>130</v>
      </c>
      <c r="N788" t="s">
        <v>129</v>
      </c>
      <c r="O788">
        <v>1.34</v>
      </c>
      <c r="P788">
        <v>3.4</v>
      </c>
      <c r="Q788" t="s">
        <v>9</v>
      </c>
    </row>
    <row r="789" spans="8:17" x14ac:dyDescent="0.25">
      <c r="H789" t="s">
        <v>10</v>
      </c>
      <c r="J789">
        <v>1.1299999999999999</v>
      </c>
      <c r="K789" s="1" t="s">
        <v>9</v>
      </c>
      <c r="M789" t="s">
        <v>130</v>
      </c>
      <c r="N789" t="s">
        <v>129</v>
      </c>
      <c r="O789">
        <v>1.3</v>
      </c>
      <c r="P789">
        <v>3.6</v>
      </c>
      <c r="Q789" t="s">
        <v>9</v>
      </c>
    </row>
    <row r="790" spans="8:17" x14ac:dyDescent="0.25">
      <c r="H790" t="s">
        <v>10</v>
      </c>
      <c r="J790">
        <v>1.1299999999999999</v>
      </c>
      <c r="K790" s="1" t="s">
        <v>9</v>
      </c>
      <c r="M790" t="s">
        <v>130</v>
      </c>
      <c r="N790" t="s">
        <v>129</v>
      </c>
      <c r="O790">
        <v>1.32</v>
      </c>
      <c r="P790">
        <v>3.6</v>
      </c>
      <c r="Q790" t="s">
        <v>9</v>
      </c>
    </row>
    <row r="791" spans="8:17" x14ac:dyDescent="0.25">
      <c r="H791" t="s">
        <v>10</v>
      </c>
      <c r="J791">
        <v>1.1299999999999999</v>
      </c>
      <c r="K791" s="1" t="s">
        <v>9</v>
      </c>
      <c r="M791" t="s">
        <v>130</v>
      </c>
      <c r="N791" t="s">
        <v>129</v>
      </c>
      <c r="O791">
        <v>1.31</v>
      </c>
      <c r="P791">
        <v>3.5</v>
      </c>
      <c r="Q791" t="s">
        <v>9</v>
      </c>
    </row>
    <row r="792" spans="8:17" x14ac:dyDescent="0.25">
      <c r="H792" t="s">
        <v>10</v>
      </c>
      <c r="J792">
        <v>1.1399999999999999</v>
      </c>
      <c r="K792" s="1" t="s">
        <v>9</v>
      </c>
      <c r="M792" t="s">
        <v>130</v>
      </c>
      <c r="N792" t="s">
        <v>129</v>
      </c>
      <c r="O792">
        <v>1.33</v>
      </c>
      <c r="P792">
        <v>3.55</v>
      </c>
      <c r="Q792" t="s">
        <v>9</v>
      </c>
    </row>
    <row r="793" spans="8:17" x14ac:dyDescent="0.25">
      <c r="H793" t="s">
        <v>10</v>
      </c>
      <c r="J793">
        <v>1.1399999999999999</v>
      </c>
      <c r="K793" s="1" t="s">
        <v>9</v>
      </c>
      <c r="M793" t="s">
        <v>130</v>
      </c>
      <c r="N793" t="s">
        <v>129</v>
      </c>
      <c r="O793">
        <v>1.33</v>
      </c>
      <c r="P793">
        <v>3.55</v>
      </c>
      <c r="Q793" t="s">
        <v>9</v>
      </c>
    </row>
    <row r="794" spans="8:17" x14ac:dyDescent="0.25">
      <c r="H794" t="s">
        <v>10</v>
      </c>
      <c r="J794">
        <v>1.1399999999999999</v>
      </c>
      <c r="K794" s="1" t="s">
        <v>9</v>
      </c>
      <c r="M794" t="s">
        <v>130</v>
      </c>
      <c r="N794" t="s">
        <v>129</v>
      </c>
      <c r="O794">
        <v>1.32</v>
      </c>
      <c r="P794">
        <v>3.45</v>
      </c>
      <c r="Q794" t="s">
        <v>9</v>
      </c>
    </row>
    <row r="795" spans="8:17" x14ac:dyDescent="0.25">
      <c r="H795" t="s">
        <v>10</v>
      </c>
      <c r="J795">
        <v>1.1399999999999999</v>
      </c>
      <c r="K795" s="1" t="s">
        <v>9</v>
      </c>
      <c r="M795" t="s">
        <v>130</v>
      </c>
      <c r="N795" t="s">
        <v>129</v>
      </c>
      <c r="O795">
        <v>1.32</v>
      </c>
      <c r="P795">
        <v>3.45</v>
      </c>
      <c r="Q795" t="s">
        <v>9</v>
      </c>
    </row>
    <row r="796" spans="8:17" x14ac:dyDescent="0.25">
      <c r="H796" t="s">
        <v>10</v>
      </c>
      <c r="J796">
        <v>1.1299999999999999</v>
      </c>
      <c r="K796" s="1" t="s">
        <v>9</v>
      </c>
      <c r="M796" t="s">
        <v>130</v>
      </c>
      <c r="N796" t="s">
        <v>129</v>
      </c>
      <c r="O796">
        <v>1.32</v>
      </c>
      <c r="P796">
        <v>3.45</v>
      </c>
      <c r="Q796" t="s">
        <v>9</v>
      </c>
    </row>
    <row r="797" spans="8:17" x14ac:dyDescent="0.25">
      <c r="H797" t="s">
        <v>10</v>
      </c>
      <c r="J797">
        <v>1.1299999999999999</v>
      </c>
      <c r="K797" s="1" t="s">
        <v>9</v>
      </c>
      <c r="M797" t="s">
        <v>130</v>
      </c>
      <c r="N797" t="s">
        <v>129</v>
      </c>
      <c r="O797">
        <v>1.3</v>
      </c>
      <c r="P797">
        <v>3.6</v>
      </c>
      <c r="Q797" t="s">
        <v>9</v>
      </c>
    </row>
    <row r="798" spans="8:17" x14ac:dyDescent="0.25">
      <c r="H798" t="s">
        <v>10</v>
      </c>
      <c r="J798">
        <v>1.1299999999999999</v>
      </c>
      <c r="K798" s="1" t="s">
        <v>9</v>
      </c>
      <c r="M798" t="s">
        <v>130</v>
      </c>
      <c r="N798" t="s">
        <v>129</v>
      </c>
      <c r="O798">
        <v>1.32</v>
      </c>
      <c r="P798">
        <v>3.55</v>
      </c>
      <c r="Q798" t="s">
        <v>9</v>
      </c>
    </row>
    <row r="799" spans="8:17" x14ac:dyDescent="0.25">
      <c r="H799" t="s">
        <v>10</v>
      </c>
      <c r="J799">
        <v>1.1399999999999999</v>
      </c>
      <c r="K799" s="1" t="s">
        <v>9</v>
      </c>
      <c r="M799" t="s">
        <v>130</v>
      </c>
      <c r="N799" t="s">
        <v>129</v>
      </c>
      <c r="O799">
        <v>1.33</v>
      </c>
      <c r="P799">
        <v>3.4</v>
      </c>
      <c r="Q799" t="s">
        <v>9</v>
      </c>
    </row>
    <row r="800" spans="8:17" x14ac:dyDescent="0.25">
      <c r="H800" t="s">
        <v>10</v>
      </c>
      <c r="J800">
        <v>1.1599999999999999</v>
      </c>
      <c r="K800" s="1" t="s">
        <v>9</v>
      </c>
      <c r="M800" t="s">
        <v>130</v>
      </c>
      <c r="N800" t="s">
        <v>129</v>
      </c>
      <c r="O800">
        <v>1.29</v>
      </c>
      <c r="P800">
        <v>3.6</v>
      </c>
      <c r="Q800" t="s">
        <v>9</v>
      </c>
    </row>
    <row r="801" spans="8:17" x14ac:dyDescent="0.25">
      <c r="H801" t="s">
        <v>10</v>
      </c>
      <c r="J801">
        <v>1.19</v>
      </c>
      <c r="K801" s="1" t="s">
        <v>9</v>
      </c>
      <c r="M801" t="s">
        <v>130</v>
      </c>
      <c r="N801" t="s">
        <v>129</v>
      </c>
      <c r="O801">
        <v>1.33</v>
      </c>
      <c r="P801">
        <v>3.5</v>
      </c>
      <c r="Q801" t="s">
        <v>9</v>
      </c>
    </row>
    <row r="802" spans="8:17" x14ac:dyDescent="0.25">
      <c r="H802" t="s">
        <v>10</v>
      </c>
      <c r="J802">
        <v>1.1499999999999999</v>
      </c>
      <c r="K802" s="1" t="s">
        <v>9</v>
      </c>
      <c r="M802" t="s">
        <v>131</v>
      </c>
      <c r="N802" t="s">
        <v>129</v>
      </c>
      <c r="O802">
        <v>6.7</v>
      </c>
      <c r="P802">
        <v>1.1200000000000001</v>
      </c>
      <c r="Q802" t="s">
        <v>9</v>
      </c>
    </row>
    <row r="803" spans="8:17" x14ac:dyDescent="0.25">
      <c r="H803" t="s">
        <v>10</v>
      </c>
      <c r="J803">
        <v>1.17</v>
      </c>
      <c r="K803" s="1" t="s">
        <v>9</v>
      </c>
      <c r="M803" t="s">
        <v>131</v>
      </c>
      <c r="N803" t="s">
        <v>129</v>
      </c>
      <c r="O803">
        <v>6.75</v>
      </c>
      <c r="P803">
        <v>1.1200000000000001</v>
      </c>
      <c r="Q803" t="s">
        <v>9</v>
      </c>
    </row>
    <row r="804" spans="8:17" x14ac:dyDescent="0.25">
      <c r="H804" t="s">
        <v>10</v>
      </c>
      <c r="J804">
        <v>1.17</v>
      </c>
      <c r="K804" s="1" t="s">
        <v>9</v>
      </c>
      <c r="M804" t="s">
        <v>131</v>
      </c>
      <c r="N804" t="s">
        <v>129</v>
      </c>
      <c r="O804">
        <v>7</v>
      </c>
      <c r="P804">
        <v>1.1000000000000001</v>
      </c>
      <c r="Q804" t="s">
        <v>9</v>
      </c>
    </row>
    <row r="805" spans="8:17" x14ac:dyDescent="0.25">
      <c r="H805" t="s">
        <v>10</v>
      </c>
      <c r="J805">
        <v>1.17</v>
      </c>
      <c r="K805" s="1" t="s">
        <v>9</v>
      </c>
      <c r="M805" t="s">
        <v>131</v>
      </c>
      <c r="N805" t="s">
        <v>129</v>
      </c>
      <c r="O805">
        <v>6.7</v>
      </c>
      <c r="P805">
        <v>1.1200000000000001</v>
      </c>
      <c r="Q805" t="s">
        <v>9</v>
      </c>
    </row>
    <row r="806" spans="8:17" x14ac:dyDescent="0.25">
      <c r="H806" t="s">
        <v>10</v>
      </c>
      <c r="J806">
        <v>1.17</v>
      </c>
      <c r="K806" s="1" t="s">
        <v>9</v>
      </c>
      <c r="M806" t="s">
        <v>131</v>
      </c>
      <c r="N806" t="s">
        <v>129</v>
      </c>
      <c r="O806">
        <v>7.15</v>
      </c>
      <c r="P806">
        <v>1.1200000000000001</v>
      </c>
      <c r="Q806" t="s">
        <v>9</v>
      </c>
    </row>
    <row r="807" spans="8:17" x14ac:dyDescent="0.25">
      <c r="H807" t="s">
        <v>10</v>
      </c>
      <c r="J807">
        <v>1.18</v>
      </c>
      <c r="K807" s="1" t="s">
        <v>9</v>
      </c>
      <c r="M807" t="s">
        <v>131</v>
      </c>
      <c r="N807" t="s">
        <v>129</v>
      </c>
      <c r="O807">
        <v>7.15</v>
      </c>
      <c r="P807">
        <v>1.1200000000000001</v>
      </c>
      <c r="Q807" t="s">
        <v>9</v>
      </c>
    </row>
    <row r="808" spans="8:17" x14ac:dyDescent="0.25">
      <c r="H808" t="s">
        <v>10</v>
      </c>
      <c r="J808">
        <v>1.18</v>
      </c>
      <c r="K808" s="1" t="s">
        <v>9</v>
      </c>
      <c r="M808" t="s">
        <v>131</v>
      </c>
      <c r="N808" t="s">
        <v>129</v>
      </c>
      <c r="O808">
        <v>7</v>
      </c>
      <c r="P808">
        <v>1.1100000000000001</v>
      </c>
      <c r="Q808" t="s">
        <v>9</v>
      </c>
    </row>
    <row r="809" spans="8:17" x14ac:dyDescent="0.25">
      <c r="H809" t="s">
        <v>10</v>
      </c>
      <c r="J809">
        <v>1.18</v>
      </c>
      <c r="K809" s="1" t="s">
        <v>9</v>
      </c>
      <c r="M809" t="s">
        <v>131</v>
      </c>
      <c r="N809" t="s">
        <v>129</v>
      </c>
      <c r="O809">
        <v>6.5</v>
      </c>
      <c r="P809">
        <v>1.1200000000000001</v>
      </c>
      <c r="Q809" t="s">
        <v>9</v>
      </c>
    </row>
    <row r="810" spans="8:17" x14ac:dyDescent="0.25">
      <c r="H810" t="s">
        <v>10</v>
      </c>
      <c r="J810">
        <v>1.17</v>
      </c>
      <c r="K810" s="1" t="s">
        <v>9</v>
      </c>
      <c r="M810" t="s">
        <v>131</v>
      </c>
      <c r="N810" t="s">
        <v>129</v>
      </c>
      <c r="O810">
        <v>6.5</v>
      </c>
      <c r="P810">
        <v>1.1200000000000001</v>
      </c>
      <c r="Q810" t="s">
        <v>9</v>
      </c>
    </row>
    <row r="811" spans="8:17" x14ac:dyDescent="0.25">
      <c r="H811" t="s">
        <v>10</v>
      </c>
      <c r="J811">
        <v>1.17</v>
      </c>
      <c r="K811" s="1" t="s">
        <v>9</v>
      </c>
      <c r="M811" t="s">
        <v>131</v>
      </c>
      <c r="N811" t="s">
        <v>129</v>
      </c>
      <c r="O811">
        <v>6.5</v>
      </c>
      <c r="P811">
        <v>1.1200000000000001</v>
      </c>
      <c r="Q811" t="s">
        <v>9</v>
      </c>
    </row>
    <row r="812" spans="8:17" x14ac:dyDescent="0.25">
      <c r="H812" t="s">
        <v>10</v>
      </c>
      <c r="J812">
        <v>1.19</v>
      </c>
      <c r="K812" s="1" t="s">
        <v>9</v>
      </c>
      <c r="M812" t="s">
        <v>131</v>
      </c>
      <c r="N812" t="s">
        <v>129</v>
      </c>
      <c r="O812">
        <v>6.5</v>
      </c>
      <c r="P812">
        <v>1.1200000000000001</v>
      </c>
      <c r="Q812" t="s">
        <v>9</v>
      </c>
    </row>
    <row r="813" spans="8:17" x14ac:dyDescent="0.25">
      <c r="H813" t="s">
        <v>10</v>
      </c>
      <c r="J813">
        <v>1.17</v>
      </c>
      <c r="K813" s="1" t="s">
        <v>9</v>
      </c>
      <c r="M813" t="s">
        <v>131</v>
      </c>
      <c r="N813" t="s">
        <v>129</v>
      </c>
      <c r="O813">
        <v>6.75</v>
      </c>
      <c r="P813">
        <v>1.1100000000000001</v>
      </c>
      <c r="Q813" t="s">
        <v>9</v>
      </c>
    </row>
    <row r="814" spans="8:17" x14ac:dyDescent="0.25">
      <c r="H814" t="s">
        <v>10</v>
      </c>
      <c r="J814">
        <v>1.5</v>
      </c>
      <c r="K814" s="1" t="s">
        <v>9</v>
      </c>
      <c r="M814" t="s">
        <v>131</v>
      </c>
      <c r="N814" t="s">
        <v>129</v>
      </c>
      <c r="O814">
        <v>6.5</v>
      </c>
      <c r="P814">
        <v>1.1200000000000001</v>
      </c>
      <c r="Q814" t="s">
        <v>9</v>
      </c>
    </row>
    <row r="815" spans="8:17" x14ac:dyDescent="0.25">
      <c r="H815" t="s">
        <v>10</v>
      </c>
      <c r="J815">
        <v>1.52</v>
      </c>
      <c r="K815" s="1" t="s">
        <v>9</v>
      </c>
      <c r="M815" t="s">
        <v>131</v>
      </c>
      <c r="N815" t="s">
        <v>129</v>
      </c>
      <c r="O815">
        <v>6.75</v>
      </c>
      <c r="P815">
        <v>1.1100000000000001</v>
      </c>
      <c r="Q815" t="s">
        <v>9</v>
      </c>
    </row>
    <row r="816" spans="8:17" x14ac:dyDescent="0.25">
      <c r="H816" t="s">
        <v>10</v>
      </c>
      <c r="J816">
        <v>1.5</v>
      </c>
      <c r="K816" s="1" t="s">
        <v>9</v>
      </c>
      <c r="M816" t="s">
        <v>131</v>
      </c>
      <c r="N816" t="s">
        <v>129</v>
      </c>
      <c r="O816">
        <v>7</v>
      </c>
      <c r="P816">
        <v>1.1200000000000001</v>
      </c>
      <c r="Q816" t="s">
        <v>9</v>
      </c>
    </row>
    <row r="817" spans="8:17" x14ac:dyDescent="0.25">
      <c r="H817" t="s">
        <v>10</v>
      </c>
      <c r="J817">
        <v>1.51</v>
      </c>
      <c r="K817" s="1" t="s">
        <v>9</v>
      </c>
      <c r="M817" t="s">
        <v>132</v>
      </c>
      <c r="N817" t="s">
        <v>129</v>
      </c>
      <c r="O817">
        <v>5.6</v>
      </c>
      <c r="P817">
        <v>1.1599999999999999</v>
      </c>
      <c r="Q817" t="s">
        <v>9</v>
      </c>
    </row>
    <row r="818" spans="8:17" x14ac:dyDescent="0.25">
      <c r="H818" t="s">
        <v>10</v>
      </c>
      <c r="J818">
        <v>1.49</v>
      </c>
      <c r="K818" s="1" t="s">
        <v>9</v>
      </c>
      <c r="M818" t="s">
        <v>132</v>
      </c>
      <c r="N818" t="s">
        <v>129</v>
      </c>
      <c r="O818">
        <v>5.0999999999999996</v>
      </c>
      <c r="P818">
        <v>1.18</v>
      </c>
      <c r="Q818" t="s">
        <v>9</v>
      </c>
    </row>
    <row r="819" spans="8:17" x14ac:dyDescent="0.25">
      <c r="H819" t="s">
        <v>10</v>
      </c>
      <c r="J819">
        <v>1.48</v>
      </c>
      <c r="K819" s="1" t="s">
        <v>9</v>
      </c>
      <c r="M819" t="s">
        <v>132</v>
      </c>
      <c r="N819" t="s">
        <v>129</v>
      </c>
      <c r="O819">
        <v>5.5</v>
      </c>
      <c r="P819">
        <v>1.1499999999999999</v>
      </c>
      <c r="Q819" t="s">
        <v>9</v>
      </c>
    </row>
    <row r="820" spans="8:17" x14ac:dyDescent="0.25">
      <c r="H820" t="s">
        <v>10</v>
      </c>
      <c r="J820">
        <v>1.48</v>
      </c>
      <c r="K820" s="1" t="s">
        <v>9</v>
      </c>
      <c r="M820" t="s">
        <v>132</v>
      </c>
      <c r="N820" t="s">
        <v>129</v>
      </c>
      <c r="O820">
        <v>5.5</v>
      </c>
      <c r="P820">
        <v>1.17</v>
      </c>
      <c r="Q820" t="s">
        <v>9</v>
      </c>
    </row>
    <row r="821" spans="8:17" x14ac:dyDescent="0.25">
      <c r="H821" t="s">
        <v>10</v>
      </c>
      <c r="J821">
        <v>1.49</v>
      </c>
      <c r="K821" s="1" t="s">
        <v>9</v>
      </c>
      <c r="M821" t="s">
        <v>132</v>
      </c>
      <c r="N821" t="s">
        <v>129</v>
      </c>
      <c r="O821">
        <v>5.3</v>
      </c>
      <c r="P821">
        <v>1.17</v>
      </c>
      <c r="Q821" t="s">
        <v>9</v>
      </c>
    </row>
    <row r="822" spans="8:17" x14ac:dyDescent="0.25">
      <c r="H822" t="s">
        <v>10</v>
      </c>
      <c r="J822">
        <v>1.49</v>
      </c>
      <c r="K822" s="1" t="s">
        <v>9</v>
      </c>
      <c r="M822" t="s">
        <v>132</v>
      </c>
      <c r="N822" t="s">
        <v>129</v>
      </c>
      <c r="O822">
        <v>5.6</v>
      </c>
      <c r="P822">
        <v>1.17</v>
      </c>
      <c r="Q822" t="s">
        <v>9</v>
      </c>
    </row>
    <row r="823" spans="8:17" x14ac:dyDescent="0.25">
      <c r="H823" t="s">
        <v>10</v>
      </c>
      <c r="J823">
        <v>1.49</v>
      </c>
      <c r="K823" s="1" t="s">
        <v>9</v>
      </c>
      <c r="M823" t="s">
        <v>132</v>
      </c>
      <c r="N823" t="s">
        <v>129</v>
      </c>
      <c r="O823">
        <v>5.6</v>
      </c>
      <c r="P823">
        <v>1.17</v>
      </c>
      <c r="Q823" t="s">
        <v>9</v>
      </c>
    </row>
    <row r="824" spans="8:17" x14ac:dyDescent="0.25">
      <c r="H824" t="s">
        <v>10</v>
      </c>
      <c r="J824">
        <v>1.5</v>
      </c>
      <c r="K824" s="1" t="s">
        <v>9</v>
      </c>
      <c r="M824" t="s">
        <v>132</v>
      </c>
      <c r="N824" t="s">
        <v>129</v>
      </c>
      <c r="O824">
        <v>5.0999999999999996</v>
      </c>
      <c r="P824">
        <v>1.18</v>
      </c>
      <c r="Q824" t="s">
        <v>9</v>
      </c>
    </row>
    <row r="825" spans="8:17" x14ac:dyDescent="0.25">
      <c r="H825" t="s">
        <v>10</v>
      </c>
      <c r="J825">
        <v>1.5</v>
      </c>
      <c r="K825" s="1" t="s">
        <v>9</v>
      </c>
      <c r="M825" t="s">
        <v>132</v>
      </c>
      <c r="N825" t="s">
        <v>129</v>
      </c>
      <c r="O825">
        <v>5.0999999999999996</v>
      </c>
      <c r="P825">
        <v>1.18</v>
      </c>
      <c r="Q825" t="s">
        <v>9</v>
      </c>
    </row>
    <row r="826" spans="8:17" x14ac:dyDescent="0.25">
      <c r="H826" t="s">
        <v>10</v>
      </c>
      <c r="J826">
        <v>1.48</v>
      </c>
      <c r="K826" s="1" t="s">
        <v>9</v>
      </c>
      <c r="M826" t="s">
        <v>132</v>
      </c>
      <c r="N826" t="s">
        <v>129</v>
      </c>
      <c r="O826">
        <v>5.0999999999999996</v>
      </c>
      <c r="P826">
        <v>1.18</v>
      </c>
      <c r="Q826" t="s">
        <v>9</v>
      </c>
    </row>
    <row r="827" spans="8:17" x14ac:dyDescent="0.25">
      <c r="H827" t="s">
        <v>10</v>
      </c>
      <c r="J827">
        <v>1.48</v>
      </c>
      <c r="K827" s="1" t="s">
        <v>9</v>
      </c>
      <c r="M827" t="s">
        <v>132</v>
      </c>
      <c r="N827" t="s">
        <v>129</v>
      </c>
      <c r="O827">
        <v>5</v>
      </c>
      <c r="P827">
        <v>1.18</v>
      </c>
      <c r="Q827" t="s">
        <v>9</v>
      </c>
    </row>
    <row r="828" spans="8:17" x14ac:dyDescent="0.25">
      <c r="H828" t="s">
        <v>10</v>
      </c>
      <c r="J828">
        <v>2.64</v>
      </c>
      <c r="K828" s="1" t="s">
        <v>9</v>
      </c>
      <c r="M828" t="s">
        <v>132</v>
      </c>
      <c r="N828" t="s">
        <v>129</v>
      </c>
      <c r="O828">
        <v>5.6</v>
      </c>
      <c r="P828">
        <v>1.17</v>
      </c>
      <c r="Q828" t="s">
        <v>9</v>
      </c>
    </row>
    <row r="829" spans="8:17" x14ac:dyDescent="0.25">
      <c r="H829" t="s">
        <v>10</v>
      </c>
      <c r="J829">
        <v>2.6</v>
      </c>
      <c r="K829" s="1" t="s">
        <v>9</v>
      </c>
      <c r="M829" t="s">
        <v>132</v>
      </c>
      <c r="N829" t="s">
        <v>129</v>
      </c>
      <c r="O829">
        <v>4.9000000000000004</v>
      </c>
      <c r="P829">
        <v>1.18</v>
      </c>
      <c r="Q829" t="s">
        <v>9</v>
      </c>
    </row>
    <row r="830" spans="8:17" x14ac:dyDescent="0.25">
      <c r="H830" t="s">
        <v>10</v>
      </c>
      <c r="J830">
        <v>2.65</v>
      </c>
      <c r="K830" s="1" t="s">
        <v>9</v>
      </c>
      <c r="M830" t="s">
        <v>132</v>
      </c>
      <c r="N830" t="s">
        <v>129</v>
      </c>
      <c r="O830">
        <v>5</v>
      </c>
      <c r="P830">
        <v>1.18</v>
      </c>
      <c r="Q830" t="s">
        <v>9</v>
      </c>
    </row>
    <row r="831" spans="8:17" x14ac:dyDescent="0.25">
      <c r="H831" t="s">
        <v>10</v>
      </c>
      <c r="J831">
        <v>2.65</v>
      </c>
      <c r="K831" s="1" t="s">
        <v>9</v>
      </c>
      <c r="M831" t="s">
        <v>132</v>
      </c>
      <c r="N831" t="s">
        <v>129</v>
      </c>
      <c r="O831">
        <v>5.4</v>
      </c>
      <c r="P831">
        <v>1.17</v>
      </c>
      <c r="Q831" t="s">
        <v>9</v>
      </c>
    </row>
    <row r="832" spans="8:17" x14ac:dyDescent="0.25">
      <c r="H832" t="s">
        <v>10</v>
      </c>
      <c r="J832">
        <v>2.75</v>
      </c>
      <c r="K832" s="1" t="s">
        <v>9</v>
      </c>
      <c r="M832" t="s">
        <v>133</v>
      </c>
      <c r="N832" t="s">
        <v>129</v>
      </c>
      <c r="O832">
        <v>2.98</v>
      </c>
      <c r="P832">
        <v>1.42</v>
      </c>
      <c r="Q832" t="s">
        <v>9</v>
      </c>
    </row>
    <row r="833" spans="8:17" x14ac:dyDescent="0.25">
      <c r="H833" t="s">
        <v>10</v>
      </c>
      <c r="J833">
        <v>2.75</v>
      </c>
      <c r="K833" s="1" t="s">
        <v>9</v>
      </c>
      <c r="M833" t="s">
        <v>133</v>
      </c>
      <c r="N833" t="s">
        <v>129</v>
      </c>
      <c r="O833">
        <v>2.85</v>
      </c>
      <c r="P833">
        <v>1.44</v>
      </c>
      <c r="Q833" t="s">
        <v>9</v>
      </c>
    </row>
    <row r="834" spans="8:17" x14ac:dyDescent="0.25">
      <c r="H834" t="s">
        <v>10</v>
      </c>
      <c r="J834">
        <v>2.62</v>
      </c>
      <c r="K834" s="1" t="s">
        <v>9</v>
      </c>
      <c r="M834" t="s">
        <v>133</v>
      </c>
      <c r="N834" t="s">
        <v>129</v>
      </c>
      <c r="O834">
        <v>2.9</v>
      </c>
      <c r="P834">
        <v>1.42</v>
      </c>
      <c r="Q834" t="s">
        <v>9</v>
      </c>
    </row>
    <row r="835" spans="8:17" x14ac:dyDescent="0.25">
      <c r="H835" t="s">
        <v>10</v>
      </c>
      <c r="J835">
        <v>2.63</v>
      </c>
      <c r="K835" s="1" t="s">
        <v>9</v>
      </c>
      <c r="M835" t="s">
        <v>133</v>
      </c>
      <c r="N835" t="s">
        <v>129</v>
      </c>
      <c r="O835">
        <v>2.85</v>
      </c>
      <c r="P835">
        <v>1.44</v>
      </c>
      <c r="Q835" t="s">
        <v>9</v>
      </c>
    </row>
    <row r="836" spans="8:17" x14ac:dyDescent="0.25">
      <c r="H836" t="s">
        <v>10</v>
      </c>
      <c r="J836">
        <v>2.63</v>
      </c>
      <c r="K836" s="1" t="s">
        <v>9</v>
      </c>
      <c r="M836" t="s">
        <v>133</v>
      </c>
      <c r="N836" t="s">
        <v>129</v>
      </c>
      <c r="O836">
        <v>2.85</v>
      </c>
      <c r="P836">
        <v>1.44</v>
      </c>
      <c r="Q836" t="s">
        <v>9</v>
      </c>
    </row>
    <row r="837" spans="8:17" x14ac:dyDescent="0.25">
      <c r="H837" t="s">
        <v>10</v>
      </c>
      <c r="J837">
        <v>2.63</v>
      </c>
      <c r="K837" s="1" t="s">
        <v>9</v>
      </c>
      <c r="M837" t="s">
        <v>133</v>
      </c>
      <c r="N837" t="s">
        <v>129</v>
      </c>
      <c r="O837">
        <v>2.95</v>
      </c>
      <c r="P837">
        <v>1.44</v>
      </c>
      <c r="Q837" t="s">
        <v>9</v>
      </c>
    </row>
    <row r="838" spans="8:17" x14ac:dyDescent="0.25">
      <c r="H838" t="s">
        <v>10</v>
      </c>
      <c r="J838">
        <v>2.65</v>
      </c>
      <c r="K838" s="1" t="s">
        <v>9</v>
      </c>
      <c r="M838" t="s">
        <v>133</v>
      </c>
      <c r="N838" t="s">
        <v>129</v>
      </c>
      <c r="O838">
        <v>2.95</v>
      </c>
      <c r="P838">
        <v>1.44</v>
      </c>
      <c r="Q838" t="s">
        <v>9</v>
      </c>
    </row>
    <row r="839" spans="8:17" x14ac:dyDescent="0.25">
      <c r="H839" t="s">
        <v>10</v>
      </c>
      <c r="J839">
        <v>2.7</v>
      </c>
      <c r="K839" s="1" t="s">
        <v>9</v>
      </c>
      <c r="M839" t="s">
        <v>133</v>
      </c>
      <c r="N839" t="s">
        <v>129</v>
      </c>
      <c r="O839">
        <v>2.85</v>
      </c>
      <c r="P839">
        <v>1.43</v>
      </c>
      <c r="Q839" t="s">
        <v>9</v>
      </c>
    </row>
    <row r="840" spans="8:17" x14ac:dyDescent="0.25">
      <c r="H840" t="s">
        <v>10</v>
      </c>
      <c r="J840">
        <v>2.65</v>
      </c>
      <c r="K840" s="1" t="s">
        <v>9</v>
      </c>
      <c r="M840" t="s">
        <v>133</v>
      </c>
      <c r="N840" t="s">
        <v>129</v>
      </c>
      <c r="O840">
        <v>2.85</v>
      </c>
      <c r="P840">
        <v>1.43</v>
      </c>
      <c r="Q840" t="s">
        <v>9</v>
      </c>
    </row>
    <row r="841" spans="8:17" x14ac:dyDescent="0.25">
      <c r="H841" t="s">
        <v>10</v>
      </c>
      <c r="J841">
        <v>2.65</v>
      </c>
      <c r="K841" s="1" t="s">
        <v>9</v>
      </c>
      <c r="M841" t="s">
        <v>133</v>
      </c>
      <c r="N841" t="s">
        <v>129</v>
      </c>
      <c r="O841">
        <v>2.85</v>
      </c>
      <c r="P841">
        <v>1.43</v>
      </c>
      <c r="Q841" t="s">
        <v>9</v>
      </c>
    </row>
    <row r="842" spans="8:17" x14ac:dyDescent="0.25">
      <c r="H842" t="s">
        <v>10</v>
      </c>
      <c r="J842">
        <v>1.2</v>
      </c>
      <c r="K842" s="1" t="s">
        <v>9</v>
      </c>
      <c r="M842" t="s">
        <v>133</v>
      </c>
      <c r="N842" t="s">
        <v>129</v>
      </c>
      <c r="O842">
        <v>2.8</v>
      </c>
      <c r="P842">
        <v>1.45</v>
      </c>
      <c r="Q842" t="s">
        <v>9</v>
      </c>
    </row>
    <row r="843" spans="8:17" x14ac:dyDescent="0.25">
      <c r="H843" t="s">
        <v>10</v>
      </c>
      <c r="J843">
        <v>1.23</v>
      </c>
      <c r="K843" s="1" t="s">
        <v>9</v>
      </c>
      <c r="M843" t="s">
        <v>133</v>
      </c>
      <c r="N843" t="s">
        <v>129</v>
      </c>
      <c r="O843">
        <v>2.85</v>
      </c>
      <c r="P843">
        <v>1.44</v>
      </c>
      <c r="Q843" t="s">
        <v>9</v>
      </c>
    </row>
    <row r="844" spans="8:17" x14ac:dyDescent="0.25">
      <c r="H844" t="s">
        <v>10</v>
      </c>
      <c r="J844">
        <v>1.2</v>
      </c>
      <c r="K844" s="1" t="s">
        <v>9</v>
      </c>
      <c r="M844" t="s">
        <v>133</v>
      </c>
      <c r="N844" t="s">
        <v>129</v>
      </c>
      <c r="O844">
        <v>2.85</v>
      </c>
      <c r="P844">
        <v>1.44</v>
      </c>
      <c r="Q844" t="s">
        <v>9</v>
      </c>
    </row>
    <row r="845" spans="8:17" x14ac:dyDescent="0.25">
      <c r="H845" t="s">
        <v>10</v>
      </c>
      <c r="J845">
        <v>1.21</v>
      </c>
      <c r="K845" s="1" t="s">
        <v>9</v>
      </c>
      <c r="M845" t="s">
        <v>133</v>
      </c>
      <c r="N845" t="s">
        <v>129</v>
      </c>
      <c r="O845">
        <v>2.85</v>
      </c>
      <c r="P845">
        <v>1.44</v>
      </c>
      <c r="Q845" t="s">
        <v>9</v>
      </c>
    </row>
    <row r="846" spans="8:17" x14ac:dyDescent="0.25">
      <c r="H846" t="s">
        <v>10</v>
      </c>
      <c r="J846">
        <v>1.21</v>
      </c>
      <c r="K846" s="1" t="s">
        <v>9</v>
      </c>
      <c r="M846" t="s">
        <v>133</v>
      </c>
      <c r="N846" t="s">
        <v>129</v>
      </c>
      <c r="O846">
        <v>2.83</v>
      </c>
      <c r="P846">
        <v>1.47</v>
      </c>
      <c r="Q846" t="s">
        <v>9</v>
      </c>
    </row>
    <row r="847" spans="8:17" x14ac:dyDescent="0.25">
      <c r="H847" t="s">
        <v>10</v>
      </c>
      <c r="J847">
        <v>1.22</v>
      </c>
      <c r="K847" s="1" t="s">
        <v>9</v>
      </c>
      <c r="M847" t="s">
        <v>134</v>
      </c>
      <c r="N847" t="s">
        <v>129</v>
      </c>
      <c r="O847">
        <v>1.85</v>
      </c>
      <c r="P847">
        <v>2</v>
      </c>
      <c r="Q847" t="s">
        <v>9</v>
      </c>
    </row>
    <row r="848" spans="8:17" x14ac:dyDescent="0.25">
      <c r="H848" t="s">
        <v>10</v>
      </c>
      <c r="J848">
        <v>1.22</v>
      </c>
      <c r="K848" s="1" t="s">
        <v>9</v>
      </c>
      <c r="M848" t="s">
        <v>134</v>
      </c>
      <c r="N848" t="s">
        <v>129</v>
      </c>
      <c r="O848">
        <v>1.85</v>
      </c>
      <c r="P848">
        <v>1.98</v>
      </c>
      <c r="Q848" t="s">
        <v>9</v>
      </c>
    </row>
    <row r="849" spans="8:17" x14ac:dyDescent="0.25">
      <c r="H849" t="s">
        <v>10</v>
      </c>
      <c r="J849">
        <v>1.21</v>
      </c>
      <c r="K849" s="1" t="s">
        <v>9</v>
      </c>
      <c r="M849" t="s">
        <v>134</v>
      </c>
      <c r="N849" t="s">
        <v>129</v>
      </c>
      <c r="O849">
        <v>1.87</v>
      </c>
      <c r="P849">
        <v>1.95</v>
      </c>
      <c r="Q849" t="s">
        <v>9</v>
      </c>
    </row>
    <row r="850" spans="8:17" x14ac:dyDescent="0.25">
      <c r="H850" t="s">
        <v>10</v>
      </c>
      <c r="J850">
        <v>1.21</v>
      </c>
      <c r="K850" s="1" t="s">
        <v>9</v>
      </c>
      <c r="M850" t="s">
        <v>134</v>
      </c>
      <c r="N850" t="s">
        <v>129</v>
      </c>
      <c r="O850">
        <v>1.87</v>
      </c>
      <c r="P850">
        <v>1.95</v>
      </c>
      <c r="Q850" t="s">
        <v>9</v>
      </c>
    </row>
    <row r="851" spans="8:17" x14ac:dyDescent="0.25">
      <c r="H851" t="s">
        <v>10</v>
      </c>
      <c r="J851">
        <v>1.21</v>
      </c>
      <c r="K851" s="1" t="s">
        <v>9</v>
      </c>
      <c r="M851" t="s">
        <v>134</v>
      </c>
      <c r="N851" t="s">
        <v>129</v>
      </c>
      <c r="O851">
        <v>1.85</v>
      </c>
      <c r="P851">
        <v>1.95</v>
      </c>
      <c r="Q851" t="s">
        <v>9</v>
      </c>
    </row>
    <row r="852" spans="8:17" x14ac:dyDescent="0.25">
      <c r="H852" t="s">
        <v>10</v>
      </c>
      <c r="J852">
        <v>1.2</v>
      </c>
      <c r="K852" s="1" t="s">
        <v>9</v>
      </c>
      <c r="M852" t="s">
        <v>134</v>
      </c>
      <c r="N852" t="s">
        <v>129</v>
      </c>
      <c r="O852">
        <v>1.85</v>
      </c>
      <c r="P852">
        <v>1.95</v>
      </c>
      <c r="Q852" t="s">
        <v>9</v>
      </c>
    </row>
    <row r="853" spans="8:17" x14ac:dyDescent="0.25">
      <c r="H853" t="s">
        <v>10</v>
      </c>
      <c r="J853">
        <v>1.21</v>
      </c>
      <c r="K853" s="1" t="s">
        <v>9</v>
      </c>
      <c r="M853" t="s">
        <v>134</v>
      </c>
      <c r="N853" t="s">
        <v>129</v>
      </c>
      <c r="O853">
        <v>1.85</v>
      </c>
      <c r="P853">
        <v>1.95</v>
      </c>
      <c r="Q853" t="s">
        <v>9</v>
      </c>
    </row>
    <row r="854" spans="8:17" x14ac:dyDescent="0.25">
      <c r="H854" t="s">
        <v>10</v>
      </c>
      <c r="J854">
        <v>1.2</v>
      </c>
      <c r="K854" s="1" t="s">
        <v>9</v>
      </c>
      <c r="M854" t="s">
        <v>134</v>
      </c>
      <c r="N854" t="s">
        <v>129</v>
      </c>
      <c r="O854">
        <v>1.87</v>
      </c>
      <c r="P854">
        <v>1.95</v>
      </c>
      <c r="Q854" t="s">
        <v>9</v>
      </c>
    </row>
    <row r="855" spans="8:17" x14ac:dyDescent="0.25">
      <c r="H855" t="s">
        <v>10</v>
      </c>
      <c r="J855">
        <v>1.2</v>
      </c>
      <c r="K855" s="1" t="s">
        <v>9</v>
      </c>
      <c r="M855" t="s">
        <v>134</v>
      </c>
      <c r="N855" t="s">
        <v>129</v>
      </c>
      <c r="O855">
        <v>1.83</v>
      </c>
      <c r="P855">
        <v>2</v>
      </c>
      <c r="Q855" t="s">
        <v>9</v>
      </c>
    </row>
    <row r="856" spans="8:17" x14ac:dyDescent="0.25">
      <c r="H856" t="s">
        <v>10</v>
      </c>
      <c r="J856">
        <v>1.23</v>
      </c>
      <c r="K856" s="1" t="s">
        <v>9</v>
      </c>
      <c r="M856" t="s">
        <v>134</v>
      </c>
      <c r="N856" t="s">
        <v>129</v>
      </c>
      <c r="O856">
        <v>1.91</v>
      </c>
      <c r="P856">
        <v>1.91</v>
      </c>
      <c r="Q856" t="s">
        <v>9</v>
      </c>
    </row>
    <row r="857" spans="8:17" x14ac:dyDescent="0.25">
      <c r="H857" t="s">
        <v>10</v>
      </c>
      <c r="J857">
        <v>1.22</v>
      </c>
      <c r="K857" s="1" t="s">
        <v>9</v>
      </c>
      <c r="M857" t="s">
        <v>134</v>
      </c>
      <c r="N857" t="s">
        <v>129</v>
      </c>
      <c r="O857">
        <v>1.87</v>
      </c>
      <c r="P857">
        <v>1.95</v>
      </c>
      <c r="Q857" t="s">
        <v>9</v>
      </c>
    </row>
    <row r="858" spans="8:17" x14ac:dyDescent="0.25">
      <c r="H858" t="s">
        <v>10</v>
      </c>
      <c r="J858">
        <v>1.2</v>
      </c>
      <c r="K858" s="1" t="s">
        <v>9</v>
      </c>
      <c r="M858" t="s">
        <v>134</v>
      </c>
      <c r="N858" t="s">
        <v>129</v>
      </c>
      <c r="O858">
        <v>1.86</v>
      </c>
      <c r="P858">
        <v>2</v>
      </c>
      <c r="Q858" t="s">
        <v>9</v>
      </c>
    </row>
    <row r="859" spans="8:17" x14ac:dyDescent="0.25">
      <c r="H859" t="s">
        <v>10</v>
      </c>
      <c r="J859">
        <v>1.2</v>
      </c>
      <c r="K859" s="1" t="s">
        <v>9</v>
      </c>
      <c r="M859" t="s">
        <v>135</v>
      </c>
      <c r="N859" t="s">
        <v>129</v>
      </c>
      <c r="O859">
        <v>4.5</v>
      </c>
      <c r="P859">
        <v>1.22</v>
      </c>
      <c r="Q859" t="s">
        <v>9</v>
      </c>
    </row>
    <row r="860" spans="8:17" x14ac:dyDescent="0.25">
      <c r="H860" t="s">
        <v>10</v>
      </c>
      <c r="J860">
        <v>1.21</v>
      </c>
      <c r="K860" s="1" t="s">
        <v>9</v>
      </c>
      <c r="M860" t="s">
        <v>135</v>
      </c>
      <c r="N860" t="s">
        <v>129</v>
      </c>
      <c r="O860">
        <v>4.5999999999999996</v>
      </c>
      <c r="P860">
        <v>1.21</v>
      </c>
      <c r="Q860" t="s">
        <v>9</v>
      </c>
    </row>
    <row r="861" spans="8:17" x14ac:dyDescent="0.25">
      <c r="H861" t="s">
        <v>10</v>
      </c>
      <c r="J861">
        <v>1.2</v>
      </c>
      <c r="K861" s="1" t="s">
        <v>9</v>
      </c>
      <c r="M861" t="s">
        <v>135</v>
      </c>
      <c r="N861" t="s">
        <v>129</v>
      </c>
      <c r="O861">
        <v>4.25</v>
      </c>
      <c r="P861">
        <v>1.24</v>
      </c>
      <c r="Q861" t="s">
        <v>9</v>
      </c>
    </row>
    <row r="862" spans="8:17" x14ac:dyDescent="0.25">
      <c r="H862" t="s">
        <v>10</v>
      </c>
      <c r="J862">
        <v>1.2</v>
      </c>
      <c r="K862" s="1" t="s">
        <v>9</v>
      </c>
      <c r="M862" t="s">
        <v>135</v>
      </c>
      <c r="N862" t="s">
        <v>129</v>
      </c>
      <c r="O862">
        <v>4.25</v>
      </c>
      <c r="P862">
        <v>1.24</v>
      </c>
      <c r="Q862" t="s">
        <v>9</v>
      </c>
    </row>
    <row r="863" spans="8:17" x14ac:dyDescent="0.25">
      <c r="H863" t="s">
        <v>10</v>
      </c>
      <c r="J863">
        <v>1.2</v>
      </c>
      <c r="K863" s="1" t="s">
        <v>9</v>
      </c>
      <c r="M863" t="s">
        <v>135</v>
      </c>
      <c r="N863" t="s">
        <v>129</v>
      </c>
      <c r="O863">
        <v>4.28</v>
      </c>
      <c r="P863">
        <v>1.23</v>
      </c>
      <c r="Q863" t="s">
        <v>9</v>
      </c>
    </row>
    <row r="864" spans="8:17" x14ac:dyDescent="0.25">
      <c r="H864" t="s">
        <v>10</v>
      </c>
      <c r="J864">
        <v>1.2</v>
      </c>
      <c r="K864" s="1" t="s">
        <v>9</v>
      </c>
      <c r="M864" t="s">
        <v>135</v>
      </c>
      <c r="N864" t="s">
        <v>129</v>
      </c>
      <c r="O864">
        <v>4.3</v>
      </c>
      <c r="P864">
        <v>1.24</v>
      </c>
      <c r="Q864" t="s">
        <v>9</v>
      </c>
    </row>
    <row r="865" spans="8:17" x14ac:dyDescent="0.25">
      <c r="H865" t="s">
        <v>10</v>
      </c>
      <c r="J865">
        <v>1.2</v>
      </c>
      <c r="K865" s="1" t="s">
        <v>9</v>
      </c>
      <c r="M865" t="s">
        <v>135</v>
      </c>
      <c r="N865" t="s">
        <v>129</v>
      </c>
      <c r="O865">
        <v>4.3</v>
      </c>
      <c r="P865">
        <v>1.24</v>
      </c>
      <c r="Q865" t="s">
        <v>9</v>
      </c>
    </row>
    <row r="866" spans="8:17" x14ac:dyDescent="0.25">
      <c r="H866" t="s">
        <v>10</v>
      </c>
      <c r="J866">
        <v>1.2</v>
      </c>
      <c r="K866" s="1" t="s">
        <v>9</v>
      </c>
      <c r="M866" t="s">
        <v>135</v>
      </c>
      <c r="N866" t="s">
        <v>129</v>
      </c>
      <c r="O866">
        <v>4.5</v>
      </c>
      <c r="P866">
        <v>1.21</v>
      </c>
      <c r="Q866" t="s">
        <v>9</v>
      </c>
    </row>
    <row r="867" spans="8:17" x14ac:dyDescent="0.25">
      <c r="H867" t="s">
        <v>10</v>
      </c>
      <c r="J867">
        <v>1.18</v>
      </c>
      <c r="K867" s="1" t="s">
        <v>9</v>
      </c>
      <c r="M867" t="s">
        <v>135</v>
      </c>
      <c r="N867" t="s">
        <v>129</v>
      </c>
      <c r="O867">
        <v>4.5</v>
      </c>
      <c r="P867">
        <v>1.21</v>
      </c>
      <c r="Q867" t="s">
        <v>9</v>
      </c>
    </row>
    <row r="868" spans="8:17" x14ac:dyDescent="0.25">
      <c r="H868" t="s">
        <v>10</v>
      </c>
      <c r="J868">
        <v>1.21</v>
      </c>
      <c r="K868" s="1" t="s">
        <v>9</v>
      </c>
      <c r="M868" t="s">
        <v>135</v>
      </c>
      <c r="N868" t="s">
        <v>129</v>
      </c>
      <c r="O868">
        <v>4.5</v>
      </c>
      <c r="P868">
        <v>1.21</v>
      </c>
      <c r="Q868" t="s">
        <v>9</v>
      </c>
    </row>
    <row r="869" spans="8:17" x14ac:dyDescent="0.25">
      <c r="H869" t="s">
        <v>10</v>
      </c>
      <c r="J869">
        <v>1.2</v>
      </c>
      <c r="K869" s="1" t="s">
        <v>9</v>
      </c>
      <c r="M869" t="s">
        <v>135</v>
      </c>
      <c r="N869" t="s">
        <v>129</v>
      </c>
      <c r="O869">
        <v>4.5</v>
      </c>
      <c r="P869">
        <v>1.21</v>
      </c>
      <c r="Q869" t="s">
        <v>9</v>
      </c>
    </row>
    <row r="870" spans="8:17" x14ac:dyDescent="0.25">
      <c r="H870" t="s">
        <v>10</v>
      </c>
      <c r="J870">
        <v>5.9</v>
      </c>
      <c r="K870" s="1" t="s">
        <v>9</v>
      </c>
      <c r="M870" t="s">
        <v>135</v>
      </c>
      <c r="N870" t="s">
        <v>129</v>
      </c>
      <c r="O870">
        <v>4.3499999999999996</v>
      </c>
      <c r="P870">
        <v>1.22</v>
      </c>
      <c r="Q870" t="s">
        <v>9</v>
      </c>
    </row>
    <row r="871" spans="8:17" x14ac:dyDescent="0.25">
      <c r="H871" t="s">
        <v>10</v>
      </c>
      <c r="J871">
        <v>5.25</v>
      </c>
      <c r="K871" s="1" t="s">
        <v>9</v>
      </c>
      <c r="M871" t="s">
        <v>135</v>
      </c>
      <c r="N871" t="s">
        <v>129</v>
      </c>
      <c r="O871">
        <v>4.5</v>
      </c>
      <c r="P871">
        <v>1.22</v>
      </c>
      <c r="Q871" t="s">
        <v>9</v>
      </c>
    </row>
    <row r="872" spans="8:17" x14ac:dyDescent="0.25">
      <c r="H872" t="s">
        <v>10</v>
      </c>
      <c r="J872">
        <v>5.75</v>
      </c>
      <c r="K872" s="1" t="s">
        <v>9</v>
      </c>
      <c r="M872" t="s">
        <v>135</v>
      </c>
      <c r="N872" t="s">
        <v>129</v>
      </c>
      <c r="O872">
        <v>4.5</v>
      </c>
      <c r="P872">
        <v>1.22</v>
      </c>
      <c r="Q872" t="s">
        <v>9</v>
      </c>
    </row>
    <row r="873" spans="8:17" x14ac:dyDescent="0.25">
      <c r="H873" t="s">
        <v>10</v>
      </c>
      <c r="J873">
        <v>5.8</v>
      </c>
      <c r="K873" s="1" t="s">
        <v>9</v>
      </c>
      <c r="M873" t="s">
        <v>135</v>
      </c>
      <c r="N873" t="s">
        <v>129</v>
      </c>
      <c r="O873">
        <v>4.5</v>
      </c>
      <c r="P873">
        <v>1.23</v>
      </c>
      <c r="Q873" t="s">
        <v>9</v>
      </c>
    </row>
    <row r="874" spans="8:17" x14ac:dyDescent="0.25">
      <c r="H874" t="s">
        <v>10</v>
      </c>
      <c r="J874">
        <v>5.6</v>
      </c>
      <c r="K874" s="1" t="s">
        <v>9</v>
      </c>
      <c r="M874" t="s">
        <v>136</v>
      </c>
      <c r="N874" t="s">
        <v>129</v>
      </c>
      <c r="O874">
        <v>4.0999999999999996</v>
      </c>
      <c r="P874">
        <v>1.26</v>
      </c>
      <c r="Q874" t="s">
        <v>9</v>
      </c>
    </row>
    <row r="875" spans="8:17" x14ac:dyDescent="0.25">
      <c r="H875" t="s">
        <v>10</v>
      </c>
      <c r="J875">
        <v>5.8</v>
      </c>
      <c r="K875" s="1" t="s">
        <v>9</v>
      </c>
      <c r="M875" t="s">
        <v>136</v>
      </c>
      <c r="N875" t="s">
        <v>129</v>
      </c>
      <c r="O875">
        <v>4</v>
      </c>
      <c r="P875">
        <v>1.26</v>
      </c>
      <c r="Q875" t="s">
        <v>9</v>
      </c>
    </row>
    <row r="876" spans="8:17" x14ac:dyDescent="0.25">
      <c r="H876" t="s">
        <v>10</v>
      </c>
      <c r="J876">
        <v>5.8</v>
      </c>
      <c r="K876" s="1" t="s">
        <v>9</v>
      </c>
      <c r="M876" t="s">
        <v>136</v>
      </c>
      <c r="N876" t="s">
        <v>129</v>
      </c>
      <c r="O876">
        <v>4</v>
      </c>
      <c r="P876">
        <v>1.25</v>
      </c>
      <c r="Q876" t="s">
        <v>9</v>
      </c>
    </row>
    <row r="877" spans="8:17" x14ac:dyDescent="0.25">
      <c r="H877" t="s">
        <v>10</v>
      </c>
      <c r="J877">
        <v>5.25</v>
      </c>
      <c r="K877" s="1" t="s">
        <v>9</v>
      </c>
      <c r="M877" t="s">
        <v>136</v>
      </c>
      <c r="N877" t="s">
        <v>129</v>
      </c>
      <c r="O877">
        <v>4.05</v>
      </c>
      <c r="P877">
        <v>1.26</v>
      </c>
      <c r="Q877" t="s">
        <v>9</v>
      </c>
    </row>
    <row r="878" spans="8:17" x14ac:dyDescent="0.25">
      <c r="H878" t="s">
        <v>10</v>
      </c>
      <c r="J878">
        <v>5.25</v>
      </c>
      <c r="K878" s="1" t="s">
        <v>9</v>
      </c>
      <c r="M878" t="s">
        <v>136</v>
      </c>
      <c r="N878" t="s">
        <v>129</v>
      </c>
      <c r="O878">
        <v>4.0999999999999996</v>
      </c>
      <c r="P878">
        <v>1.25</v>
      </c>
      <c r="Q878" t="s">
        <v>9</v>
      </c>
    </row>
    <row r="879" spans="8:17" x14ac:dyDescent="0.25">
      <c r="H879" t="s">
        <v>10</v>
      </c>
      <c r="J879">
        <v>5.25</v>
      </c>
      <c r="K879" s="1" t="s">
        <v>9</v>
      </c>
      <c r="M879" t="s">
        <v>136</v>
      </c>
      <c r="N879" t="s">
        <v>129</v>
      </c>
      <c r="O879">
        <v>4.1500000000000004</v>
      </c>
      <c r="P879">
        <v>1.26</v>
      </c>
      <c r="Q879" t="s">
        <v>9</v>
      </c>
    </row>
    <row r="880" spans="8:17" x14ac:dyDescent="0.25">
      <c r="H880" t="s">
        <v>10</v>
      </c>
      <c r="J880">
        <v>5.5</v>
      </c>
      <c r="K880" s="1" t="s">
        <v>9</v>
      </c>
      <c r="M880" t="s">
        <v>136</v>
      </c>
      <c r="N880" t="s">
        <v>129</v>
      </c>
      <c r="O880">
        <v>4.1500000000000004</v>
      </c>
      <c r="P880">
        <v>1.26</v>
      </c>
      <c r="Q880" t="s">
        <v>9</v>
      </c>
    </row>
    <row r="881" spans="8:17" x14ac:dyDescent="0.25">
      <c r="H881" t="s">
        <v>10</v>
      </c>
      <c r="J881">
        <v>5.0999999999999996</v>
      </c>
      <c r="K881" s="1" t="s">
        <v>9</v>
      </c>
      <c r="M881" t="s">
        <v>136</v>
      </c>
      <c r="N881" t="s">
        <v>129</v>
      </c>
      <c r="O881">
        <v>4.2</v>
      </c>
      <c r="P881">
        <v>1.24</v>
      </c>
      <c r="Q881" t="s">
        <v>9</v>
      </c>
    </row>
    <row r="882" spans="8:17" x14ac:dyDescent="0.25">
      <c r="H882" t="s">
        <v>10</v>
      </c>
      <c r="J882">
        <v>5.5</v>
      </c>
      <c r="K882" s="1" t="s">
        <v>9</v>
      </c>
      <c r="M882" t="s">
        <v>136</v>
      </c>
      <c r="N882" t="s">
        <v>129</v>
      </c>
      <c r="O882">
        <v>4.2</v>
      </c>
      <c r="P882">
        <v>1.24</v>
      </c>
      <c r="Q882" t="s">
        <v>9</v>
      </c>
    </row>
    <row r="883" spans="8:17" x14ac:dyDescent="0.25">
      <c r="H883" t="s">
        <v>10</v>
      </c>
      <c r="J883">
        <v>5.25</v>
      </c>
      <c r="K883" s="1" t="s">
        <v>9</v>
      </c>
      <c r="M883" t="s">
        <v>136</v>
      </c>
      <c r="N883" t="s">
        <v>129</v>
      </c>
      <c r="O883">
        <v>4.2</v>
      </c>
      <c r="P883">
        <v>1.24</v>
      </c>
      <c r="Q883" t="s">
        <v>9</v>
      </c>
    </row>
    <row r="884" spans="8:17" x14ac:dyDescent="0.25">
      <c r="H884" t="s">
        <v>10</v>
      </c>
      <c r="J884">
        <v>3.7</v>
      </c>
      <c r="K884" s="1" t="s">
        <v>9</v>
      </c>
      <c r="M884" t="s">
        <v>136</v>
      </c>
      <c r="N884" t="s">
        <v>129</v>
      </c>
      <c r="O884">
        <v>4.0999999999999996</v>
      </c>
      <c r="P884">
        <v>1.25</v>
      </c>
      <c r="Q884" t="s">
        <v>9</v>
      </c>
    </row>
    <row r="885" spans="8:17" x14ac:dyDescent="0.25">
      <c r="H885" t="s">
        <v>10</v>
      </c>
      <c r="J885">
        <v>3.4</v>
      </c>
      <c r="K885" s="1" t="s">
        <v>9</v>
      </c>
      <c r="M885" t="s">
        <v>136</v>
      </c>
      <c r="N885" t="s">
        <v>129</v>
      </c>
      <c r="O885">
        <v>4</v>
      </c>
      <c r="P885">
        <v>1.25</v>
      </c>
      <c r="Q885" t="s">
        <v>9</v>
      </c>
    </row>
    <row r="886" spans="8:17" x14ac:dyDescent="0.25">
      <c r="H886" t="s">
        <v>10</v>
      </c>
      <c r="J886">
        <v>3.6</v>
      </c>
      <c r="K886" s="1" t="s">
        <v>9</v>
      </c>
      <c r="M886" t="s">
        <v>136</v>
      </c>
      <c r="N886" t="s">
        <v>129</v>
      </c>
      <c r="O886">
        <v>4.05</v>
      </c>
      <c r="P886">
        <v>1.24</v>
      </c>
      <c r="Q886" t="s">
        <v>9</v>
      </c>
    </row>
    <row r="887" spans="8:17" x14ac:dyDescent="0.25">
      <c r="H887" t="s">
        <v>10</v>
      </c>
      <c r="J887">
        <v>3.65</v>
      </c>
      <c r="K887" s="1" t="s">
        <v>9</v>
      </c>
      <c r="M887" t="s">
        <v>136</v>
      </c>
      <c r="N887" t="s">
        <v>129</v>
      </c>
      <c r="O887">
        <v>4.0999999999999996</v>
      </c>
      <c r="P887">
        <v>1.25</v>
      </c>
      <c r="Q887" t="s">
        <v>9</v>
      </c>
    </row>
    <row r="888" spans="8:17" x14ac:dyDescent="0.25">
      <c r="H888" t="s">
        <v>10</v>
      </c>
      <c r="J888">
        <v>3.65</v>
      </c>
      <c r="K888" s="1" t="s">
        <v>9</v>
      </c>
      <c r="M888" t="s">
        <v>136</v>
      </c>
      <c r="N888" t="s">
        <v>129</v>
      </c>
      <c r="O888">
        <v>4.4000000000000004</v>
      </c>
      <c r="P888">
        <v>1.24</v>
      </c>
      <c r="Q888" t="s">
        <v>9</v>
      </c>
    </row>
    <row r="889" spans="8:17" x14ac:dyDescent="0.25">
      <c r="H889" t="s">
        <v>10</v>
      </c>
      <c r="J889">
        <v>3.6</v>
      </c>
      <c r="K889" s="1" t="s">
        <v>9</v>
      </c>
      <c r="M889" t="s">
        <v>137</v>
      </c>
      <c r="N889" t="s">
        <v>138</v>
      </c>
      <c r="O889">
        <v>1.1499999999999999</v>
      </c>
      <c r="P889">
        <v>5.9</v>
      </c>
      <c r="Q889" t="s">
        <v>9</v>
      </c>
    </row>
    <row r="890" spans="8:17" x14ac:dyDescent="0.25">
      <c r="H890" t="s">
        <v>10</v>
      </c>
      <c r="J890">
        <v>3.6</v>
      </c>
      <c r="K890" s="1" t="s">
        <v>9</v>
      </c>
      <c r="M890" t="s">
        <v>137</v>
      </c>
      <c r="N890" t="s">
        <v>138</v>
      </c>
      <c r="O890">
        <v>1.1499999999999999</v>
      </c>
      <c r="P890">
        <v>5.7</v>
      </c>
      <c r="Q890" t="s">
        <v>9</v>
      </c>
    </row>
    <row r="891" spans="8:17" x14ac:dyDescent="0.25">
      <c r="H891" t="s">
        <v>10</v>
      </c>
      <c r="J891">
        <v>3.5</v>
      </c>
      <c r="K891" s="1" t="s">
        <v>9</v>
      </c>
      <c r="M891" t="s">
        <v>137</v>
      </c>
      <c r="N891" t="s">
        <v>138</v>
      </c>
      <c r="O891">
        <v>1.1399999999999999</v>
      </c>
      <c r="P891">
        <v>5.75</v>
      </c>
      <c r="Q891" t="s">
        <v>9</v>
      </c>
    </row>
    <row r="892" spans="8:17" x14ac:dyDescent="0.25">
      <c r="H892" t="s">
        <v>10</v>
      </c>
      <c r="J892">
        <v>3.5</v>
      </c>
      <c r="K892" s="1" t="s">
        <v>9</v>
      </c>
      <c r="M892" t="s">
        <v>137</v>
      </c>
      <c r="N892" t="s">
        <v>138</v>
      </c>
      <c r="O892">
        <v>1.1399999999999999</v>
      </c>
      <c r="P892">
        <v>5.9</v>
      </c>
      <c r="Q892" t="s">
        <v>9</v>
      </c>
    </row>
    <row r="893" spans="8:17" x14ac:dyDescent="0.25">
      <c r="H893" t="s">
        <v>10</v>
      </c>
      <c r="J893">
        <v>3.5</v>
      </c>
      <c r="K893" s="1" t="s">
        <v>9</v>
      </c>
      <c r="M893" t="s">
        <v>137</v>
      </c>
      <c r="N893" t="s">
        <v>138</v>
      </c>
      <c r="O893">
        <v>1.1499999999999999</v>
      </c>
      <c r="P893">
        <v>5.6</v>
      </c>
      <c r="Q893" t="s">
        <v>9</v>
      </c>
    </row>
    <row r="894" spans="8:17" x14ac:dyDescent="0.25">
      <c r="H894" t="s">
        <v>10</v>
      </c>
      <c r="J894">
        <v>3.65</v>
      </c>
      <c r="K894" s="1" t="s">
        <v>9</v>
      </c>
      <c r="M894" t="s">
        <v>137</v>
      </c>
      <c r="N894" t="s">
        <v>138</v>
      </c>
      <c r="O894">
        <v>1.1599999999999999</v>
      </c>
      <c r="P894">
        <v>5.8</v>
      </c>
      <c r="Q894" t="s">
        <v>9</v>
      </c>
    </row>
    <row r="895" spans="8:17" x14ac:dyDescent="0.25">
      <c r="H895" t="s">
        <v>10</v>
      </c>
      <c r="J895">
        <v>3.6</v>
      </c>
      <c r="K895" s="1" t="s">
        <v>9</v>
      </c>
      <c r="M895" t="s">
        <v>137</v>
      </c>
      <c r="N895" t="s">
        <v>138</v>
      </c>
      <c r="O895">
        <v>1.1599999999999999</v>
      </c>
      <c r="P895">
        <v>5.8</v>
      </c>
      <c r="Q895" t="s">
        <v>9</v>
      </c>
    </row>
    <row r="896" spans="8:17" x14ac:dyDescent="0.25">
      <c r="H896" t="s">
        <v>10</v>
      </c>
      <c r="J896">
        <v>3.4</v>
      </c>
      <c r="K896" s="1" t="s">
        <v>9</v>
      </c>
      <c r="M896" t="s">
        <v>137</v>
      </c>
      <c r="N896" t="s">
        <v>138</v>
      </c>
      <c r="O896">
        <v>1.17</v>
      </c>
      <c r="P896">
        <v>5.25</v>
      </c>
      <c r="Q896" t="s">
        <v>9</v>
      </c>
    </row>
    <row r="897" spans="8:17" x14ac:dyDescent="0.25">
      <c r="H897" t="s">
        <v>10</v>
      </c>
      <c r="J897">
        <v>3.65</v>
      </c>
      <c r="K897" s="1" t="s">
        <v>9</v>
      </c>
      <c r="M897" t="s">
        <v>137</v>
      </c>
      <c r="N897" t="s">
        <v>138</v>
      </c>
      <c r="O897">
        <v>1.17</v>
      </c>
      <c r="P897">
        <v>5.25</v>
      </c>
      <c r="Q897" t="s">
        <v>9</v>
      </c>
    </row>
    <row r="898" spans="8:17" x14ac:dyDescent="0.25">
      <c r="H898" t="s">
        <v>10</v>
      </c>
      <c r="J898">
        <v>1.86</v>
      </c>
      <c r="K898" s="1" t="s">
        <v>9</v>
      </c>
      <c r="M898" t="s">
        <v>137</v>
      </c>
      <c r="N898" t="s">
        <v>138</v>
      </c>
      <c r="O898">
        <v>1.17</v>
      </c>
      <c r="P898">
        <v>5.25</v>
      </c>
      <c r="Q898" t="s">
        <v>9</v>
      </c>
    </row>
    <row r="899" spans="8:17" x14ac:dyDescent="0.25">
      <c r="H899" t="s">
        <v>10</v>
      </c>
      <c r="J899">
        <v>1.89</v>
      </c>
      <c r="K899" s="1" t="s">
        <v>9</v>
      </c>
      <c r="M899" t="s">
        <v>137</v>
      </c>
      <c r="N899" t="s">
        <v>138</v>
      </c>
      <c r="O899">
        <v>1.1399999999999999</v>
      </c>
      <c r="P899">
        <v>6</v>
      </c>
      <c r="Q899" t="s">
        <v>9</v>
      </c>
    </row>
    <row r="900" spans="8:17" x14ac:dyDescent="0.25">
      <c r="H900" t="s">
        <v>10</v>
      </c>
      <c r="J900">
        <v>1.87</v>
      </c>
      <c r="K900" s="1" t="s">
        <v>9</v>
      </c>
      <c r="M900" t="s">
        <v>137</v>
      </c>
      <c r="N900" t="s">
        <v>138</v>
      </c>
      <c r="O900">
        <v>1.1599999999999999</v>
      </c>
      <c r="P900">
        <v>5.3</v>
      </c>
      <c r="Q900" t="s">
        <v>9</v>
      </c>
    </row>
    <row r="901" spans="8:17" x14ac:dyDescent="0.25">
      <c r="H901" t="s">
        <v>10</v>
      </c>
      <c r="J901">
        <v>1.87</v>
      </c>
      <c r="K901" s="1" t="s">
        <v>9</v>
      </c>
      <c r="M901" t="s">
        <v>137</v>
      </c>
      <c r="N901" t="s">
        <v>138</v>
      </c>
      <c r="O901">
        <v>1.1599999999999999</v>
      </c>
      <c r="P901">
        <v>5.5</v>
      </c>
      <c r="Q901" t="s">
        <v>9</v>
      </c>
    </row>
    <row r="902" spans="8:17" x14ac:dyDescent="0.25">
      <c r="H902" t="s">
        <v>10</v>
      </c>
      <c r="J902">
        <v>1.87</v>
      </c>
      <c r="K902" s="1" t="s">
        <v>9</v>
      </c>
      <c r="M902" t="s">
        <v>137</v>
      </c>
      <c r="N902" t="s">
        <v>138</v>
      </c>
      <c r="O902">
        <v>1.1499999999999999</v>
      </c>
      <c r="P902">
        <v>5.5</v>
      </c>
      <c r="Q902" t="s">
        <v>9</v>
      </c>
    </row>
    <row r="903" spans="8:17" x14ac:dyDescent="0.25">
      <c r="H903" t="s">
        <v>10</v>
      </c>
      <c r="J903">
        <v>1.87</v>
      </c>
      <c r="K903" s="1" t="s">
        <v>9</v>
      </c>
      <c r="M903" t="s">
        <v>137</v>
      </c>
      <c r="N903" t="s">
        <v>138</v>
      </c>
      <c r="O903">
        <v>1.17</v>
      </c>
      <c r="P903">
        <v>5.6</v>
      </c>
      <c r="Q903" t="s">
        <v>9</v>
      </c>
    </row>
    <row r="904" spans="8:17" x14ac:dyDescent="0.25">
      <c r="H904" t="s">
        <v>10</v>
      </c>
      <c r="J904">
        <v>1.87</v>
      </c>
      <c r="K904" s="1" t="s">
        <v>9</v>
      </c>
      <c r="M904" t="s">
        <v>139</v>
      </c>
      <c r="N904" t="s">
        <v>140</v>
      </c>
      <c r="O904">
        <v>1.28</v>
      </c>
      <c r="P904">
        <v>3.9</v>
      </c>
      <c r="Q904" t="s">
        <v>9</v>
      </c>
    </row>
    <row r="905" spans="8:17" x14ac:dyDescent="0.25">
      <c r="H905" t="s">
        <v>10</v>
      </c>
      <c r="J905">
        <v>1.83</v>
      </c>
      <c r="K905" s="1" t="s">
        <v>9</v>
      </c>
      <c r="M905" t="s">
        <v>139</v>
      </c>
      <c r="N905" t="s">
        <v>140</v>
      </c>
      <c r="O905">
        <v>1.32</v>
      </c>
      <c r="P905">
        <v>3.5</v>
      </c>
      <c r="Q905" t="s">
        <v>9</v>
      </c>
    </row>
    <row r="906" spans="8:17" x14ac:dyDescent="0.25">
      <c r="H906" t="s">
        <v>10</v>
      </c>
      <c r="J906">
        <v>1.87</v>
      </c>
      <c r="K906" s="1" t="s">
        <v>9</v>
      </c>
      <c r="M906" t="s">
        <v>139</v>
      </c>
      <c r="N906" t="s">
        <v>140</v>
      </c>
      <c r="O906">
        <v>1.32</v>
      </c>
      <c r="P906">
        <v>3.56</v>
      </c>
      <c r="Q906" t="s">
        <v>9</v>
      </c>
    </row>
    <row r="907" spans="8:17" x14ac:dyDescent="0.25">
      <c r="H907" t="s">
        <v>10</v>
      </c>
      <c r="J907">
        <v>1.83</v>
      </c>
      <c r="K907" s="1" t="s">
        <v>9</v>
      </c>
      <c r="M907" t="s">
        <v>139</v>
      </c>
      <c r="N907" t="s">
        <v>140</v>
      </c>
      <c r="O907">
        <v>1.32</v>
      </c>
      <c r="P907">
        <v>3.6</v>
      </c>
      <c r="Q907" t="s">
        <v>9</v>
      </c>
    </row>
    <row r="908" spans="8:17" x14ac:dyDescent="0.25">
      <c r="H908" t="s">
        <v>10</v>
      </c>
      <c r="J908">
        <v>1.95</v>
      </c>
      <c r="K908" s="1" t="s">
        <v>9</v>
      </c>
      <c r="M908" t="s">
        <v>139</v>
      </c>
      <c r="N908" t="s">
        <v>140</v>
      </c>
      <c r="O908">
        <v>1.32</v>
      </c>
      <c r="P908">
        <v>3.6</v>
      </c>
      <c r="Q908" t="s">
        <v>9</v>
      </c>
    </row>
    <row r="909" spans="8:17" x14ac:dyDescent="0.25">
      <c r="H909" t="s">
        <v>10</v>
      </c>
      <c r="J909">
        <v>2.1</v>
      </c>
      <c r="K909" s="1" t="s">
        <v>9</v>
      </c>
      <c r="M909" t="s">
        <v>139</v>
      </c>
      <c r="N909" t="s">
        <v>140</v>
      </c>
      <c r="O909">
        <v>1.29</v>
      </c>
      <c r="P909">
        <v>3.7</v>
      </c>
      <c r="Q909" t="s">
        <v>9</v>
      </c>
    </row>
    <row r="910" spans="8:17" x14ac:dyDescent="0.25">
      <c r="H910" t="s">
        <v>10</v>
      </c>
      <c r="J910">
        <v>2.1</v>
      </c>
      <c r="K910" s="1" t="s">
        <v>9</v>
      </c>
      <c r="M910" t="s">
        <v>139</v>
      </c>
      <c r="N910" t="s">
        <v>140</v>
      </c>
      <c r="O910">
        <v>1.3</v>
      </c>
      <c r="P910">
        <v>3.6</v>
      </c>
      <c r="Q910" t="s">
        <v>9</v>
      </c>
    </row>
    <row r="911" spans="8:17" x14ac:dyDescent="0.25">
      <c r="H911" t="s">
        <v>10</v>
      </c>
      <c r="J911">
        <v>2.1</v>
      </c>
      <c r="K911" s="1" t="s">
        <v>9</v>
      </c>
      <c r="M911" t="s">
        <v>139</v>
      </c>
      <c r="N911" t="s">
        <v>140</v>
      </c>
      <c r="O911">
        <v>1.32</v>
      </c>
      <c r="P911">
        <v>3.5</v>
      </c>
      <c r="Q911" t="s">
        <v>9</v>
      </c>
    </row>
    <row r="912" spans="8:17" x14ac:dyDescent="0.25">
      <c r="H912" t="s">
        <v>10</v>
      </c>
      <c r="J912">
        <v>2.1</v>
      </c>
      <c r="K912" s="1" t="s">
        <v>9</v>
      </c>
      <c r="M912" t="s">
        <v>139</v>
      </c>
      <c r="N912" t="s">
        <v>140</v>
      </c>
      <c r="O912">
        <v>1.32</v>
      </c>
      <c r="P912">
        <v>3.5</v>
      </c>
      <c r="Q912" t="s">
        <v>9</v>
      </c>
    </row>
    <row r="913" spans="8:17" x14ac:dyDescent="0.25">
      <c r="H913" t="s">
        <v>10</v>
      </c>
      <c r="J913">
        <v>2.1</v>
      </c>
      <c r="K913" s="1" t="s">
        <v>9</v>
      </c>
      <c r="M913" t="s">
        <v>139</v>
      </c>
      <c r="N913" t="s">
        <v>140</v>
      </c>
      <c r="O913">
        <v>1.32</v>
      </c>
      <c r="P913">
        <v>3.5</v>
      </c>
      <c r="Q913" t="s">
        <v>9</v>
      </c>
    </row>
    <row r="914" spans="8:17" x14ac:dyDescent="0.25">
      <c r="H914" t="s">
        <v>10</v>
      </c>
      <c r="J914">
        <v>2.1</v>
      </c>
      <c r="K914" s="1" t="s">
        <v>9</v>
      </c>
      <c r="M914" t="s">
        <v>139</v>
      </c>
      <c r="N914" t="s">
        <v>140</v>
      </c>
      <c r="O914">
        <v>1.29</v>
      </c>
      <c r="P914">
        <v>3.7</v>
      </c>
      <c r="Q914" t="s">
        <v>9</v>
      </c>
    </row>
    <row r="915" spans="8:17" x14ac:dyDescent="0.25">
      <c r="H915" t="s">
        <v>10</v>
      </c>
      <c r="J915">
        <v>2.1</v>
      </c>
      <c r="K915" s="1" t="s">
        <v>9</v>
      </c>
      <c r="M915" t="s">
        <v>139</v>
      </c>
      <c r="N915" t="s">
        <v>140</v>
      </c>
      <c r="O915">
        <v>1.31</v>
      </c>
      <c r="P915">
        <v>3.5</v>
      </c>
      <c r="Q915" t="s">
        <v>9</v>
      </c>
    </row>
    <row r="916" spans="8:17" x14ac:dyDescent="0.25">
      <c r="H916" t="s">
        <v>10</v>
      </c>
      <c r="J916">
        <v>2.14</v>
      </c>
      <c r="K916" s="1" t="s">
        <v>9</v>
      </c>
      <c r="M916" t="s">
        <v>139</v>
      </c>
      <c r="N916" t="s">
        <v>140</v>
      </c>
      <c r="O916">
        <v>1.33</v>
      </c>
      <c r="P916">
        <v>3.4</v>
      </c>
      <c r="Q916" t="s">
        <v>9</v>
      </c>
    </row>
    <row r="917" spans="8:17" x14ac:dyDescent="0.25">
      <c r="H917" t="s">
        <v>10</v>
      </c>
      <c r="J917">
        <v>2.14</v>
      </c>
      <c r="K917" s="1" t="s">
        <v>9</v>
      </c>
      <c r="M917" t="s">
        <v>139</v>
      </c>
      <c r="N917" t="s">
        <v>140</v>
      </c>
      <c r="O917">
        <v>1.29</v>
      </c>
      <c r="P917">
        <v>3.65</v>
      </c>
      <c r="Q917" t="s">
        <v>9</v>
      </c>
    </row>
    <row r="918" spans="8:17" x14ac:dyDescent="0.25">
      <c r="H918" t="s">
        <v>10</v>
      </c>
      <c r="J918">
        <v>2.14</v>
      </c>
      <c r="K918" s="1" t="s">
        <v>9</v>
      </c>
      <c r="M918" t="s">
        <v>139</v>
      </c>
      <c r="N918" t="s">
        <v>140</v>
      </c>
      <c r="O918">
        <v>1.32</v>
      </c>
      <c r="P918">
        <v>3.55</v>
      </c>
      <c r="Q918" t="s">
        <v>9</v>
      </c>
    </row>
    <row r="919" spans="8:17" x14ac:dyDescent="0.25">
      <c r="H919" t="s">
        <v>10</v>
      </c>
      <c r="J919">
        <v>2.1</v>
      </c>
      <c r="K919" s="1" t="s">
        <v>9</v>
      </c>
      <c r="M919" t="s">
        <v>141</v>
      </c>
      <c r="N919" t="s">
        <v>140</v>
      </c>
      <c r="O919">
        <v>1.94</v>
      </c>
      <c r="P919">
        <v>1.91</v>
      </c>
      <c r="Q919" t="s">
        <v>9</v>
      </c>
    </row>
    <row r="920" spans="8:17" x14ac:dyDescent="0.25">
      <c r="H920" t="s">
        <v>10</v>
      </c>
      <c r="J920">
        <v>2.1</v>
      </c>
      <c r="K920" s="1" t="s">
        <v>9</v>
      </c>
      <c r="M920" t="s">
        <v>141</v>
      </c>
      <c r="N920" t="s">
        <v>140</v>
      </c>
      <c r="O920">
        <v>1.95</v>
      </c>
      <c r="P920">
        <v>1.87</v>
      </c>
      <c r="Q920" t="s">
        <v>9</v>
      </c>
    </row>
    <row r="921" spans="8:17" x14ac:dyDescent="0.25">
      <c r="H921" t="s">
        <v>10</v>
      </c>
      <c r="J921">
        <v>2.1</v>
      </c>
      <c r="K921" s="1" t="s">
        <v>9</v>
      </c>
      <c r="M921" t="s">
        <v>141</v>
      </c>
      <c r="N921" t="s">
        <v>140</v>
      </c>
      <c r="O921">
        <v>1.95</v>
      </c>
      <c r="P921">
        <v>1.87</v>
      </c>
      <c r="Q921" t="s">
        <v>9</v>
      </c>
    </row>
    <row r="922" spans="8:17" x14ac:dyDescent="0.25">
      <c r="H922" t="s">
        <v>10</v>
      </c>
      <c r="J922">
        <v>2.15</v>
      </c>
      <c r="K922" s="1" t="s">
        <v>9</v>
      </c>
      <c r="M922" t="s">
        <v>141</v>
      </c>
      <c r="N922" t="s">
        <v>140</v>
      </c>
      <c r="O922">
        <v>1.95</v>
      </c>
      <c r="P922">
        <v>1.87</v>
      </c>
      <c r="Q922" t="s">
        <v>9</v>
      </c>
    </row>
    <row r="923" spans="8:17" x14ac:dyDescent="0.25">
      <c r="H923" t="s">
        <v>10</v>
      </c>
      <c r="J923">
        <v>2.2999999999999998</v>
      </c>
      <c r="K923" s="1" t="s">
        <v>9</v>
      </c>
      <c r="M923" t="s">
        <v>141</v>
      </c>
      <c r="N923" t="s">
        <v>140</v>
      </c>
      <c r="O923">
        <v>1.95</v>
      </c>
      <c r="P923">
        <v>1.87</v>
      </c>
      <c r="Q923" t="s">
        <v>9</v>
      </c>
    </row>
    <row r="924" spans="8:17" x14ac:dyDescent="0.25">
      <c r="H924" t="s">
        <v>10</v>
      </c>
      <c r="J924">
        <v>2.2400000000000002</v>
      </c>
      <c r="K924" s="1" t="s">
        <v>9</v>
      </c>
      <c r="M924" t="s">
        <v>141</v>
      </c>
      <c r="N924" t="s">
        <v>140</v>
      </c>
      <c r="O924">
        <v>1.95</v>
      </c>
      <c r="P924">
        <v>1.87</v>
      </c>
      <c r="Q924" t="s">
        <v>9</v>
      </c>
    </row>
    <row r="925" spans="8:17" x14ac:dyDescent="0.25">
      <c r="H925" t="s">
        <v>10</v>
      </c>
      <c r="J925">
        <v>2.2999999999999998</v>
      </c>
      <c r="K925" s="1" t="s">
        <v>9</v>
      </c>
      <c r="M925" t="s">
        <v>141</v>
      </c>
      <c r="N925" t="s">
        <v>140</v>
      </c>
      <c r="O925">
        <v>1.95</v>
      </c>
      <c r="P925">
        <v>1.85</v>
      </c>
      <c r="Q925" t="s">
        <v>9</v>
      </c>
    </row>
    <row r="926" spans="8:17" x14ac:dyDescent="0.25">
      <c r="H926" t="s">
        <v>10</v>
      </c>
      <c r="J926">
        <v>2.2999999999999998</v>
      </c>
      <c r="K926" s="1" t="s">
        <v>9</v>
      </c>
      <c r="M926" t="s">
        <v>141</v>
      </c>
      <c r="N926" t="s">
        <v>140</v>
      </c>
      <c r="O926">
        <v>1.95</v>
      </c>
      <c r="P926">
        <v>1.85</v>
      </c>
      <c r="Q926" t="s">
        <v>9</v>
      </c>
    </row>
    <row r="927" spans="8:17" x14ac:dyDescent="0.25">
      <c r="H927" t="s">
        <v>10</v>
      </c>
      <c r="J927">
        <v>2.35</v>
      </c>
      <c r="K927" s="1" t="s">
        <v>9</v>
      </c>
      <c r="M927" t="s">
        <v>141</v>
      </c>
      <c r="N927" t="s">
        <v>140</v>
      </c>
      <c r="O927">
        <v>1.95</v>
      </c>
      <c r="P927">
        <v>1.85</v>
      </c>
      <c r="Q927" t="s">
        <v>9</v>
      </c>
    </row>
    <row r="928" spans="8:17" x14ac:dyDescent="0.25">
      <c r="H928" t="s">
        <v>10</v>
      </c>
      <c r="J928">
        <v>2.35</v>
      </c>
      <c r="K928" s="1" t="s">
        <v>9</v>
      </c>
      <c r="M928" t="s">
        <v>141</v>
      </c>
      <c r="N928" t="s">
        <v>140</v>
      </c>
      <c r="O928">
        <v>1.95</v>
      </c>
      <c r="P928">
        <v>1.87</v>
      </c>
      <c r="Q928" t="s">
        <v>9</v>
      </c>
    </row>
    <row r="929" spans="8:17" x14ac:dyDescent="0.25">
      <c r="H929" t="s">
        <v>10</v>
      </c>
      <c r="J929">
        <v>2.2999999999999998</v>
      </c>
      <c r="K929" s="1" t="s">
        <v>9</v>
      </c>
      <c r="M929" t="s">
        <v>141</v>
      </c>
      <c r="N929" t="s">
        <v>140</v>
      </c>
      <c r="O929">
        <v>1.95</v>
      </c>
      <c r="P929">
        <v>1.87</v>
      </c>
      <c r="Q929" t="s">
        <v>9</v>
      </c>
    </row>
    <row r="930" spans="8:17" x14ac:dyDescent="0.25">
      <c r="H930" t="s">
        <v>10</v>
      </c>
      <c r="J930">
        <v>2.2999999999999998</v>
      </c>
      <c r="K930" s="1" t="s">
        <v>9</v>
      </c>
      <c r="M930" t="s">
        <v>141</v>
      </c>
      <c r="N930" t="s">
        <v>140</v>
      </c>
      <c r="O930">
        <v>1.95</v>
      </c>
      <c r="P930">
        <v>1.87</v>
      </c>
      <c r="Q930" t="s">
        <v>9</v>
      </c>
    </row>
    <row r="931" spans="8:17" x14ac:dyDescent="0.25">
      <c r="H931" t="s">
        <v>10</v>
      </c>
      <c r="J931">
        <v>2.2999999999999998</v>
      </c>
      <c r="K931" s="1" t="s">
        <v>9</v>
      </c>
      <c r="M931" t="s">
        <v>141</v>
      </c>
      <c r="N931" t="s">
        <v>140</v>
      </c>
      <c r="O931">
        <v>1.95</v>
      </c>
      <c r="P931">
        <v>1.87</v>
      </c>
      <c r="Q931" t="s">
        <v>9</v>
      </c>
    </row>
    <row r="932" spans="8:17" x14ac:dyDescent="0.25">
      <c r="H932" t="s">
        <v>10</v>
      </c>
      <c r="J932">
        <v>2.2999999999999998</v>
      </c>
      <c r="K932" s="1" t="s">
        <v>9</v>
      </c>
      <c r="M932" t="s">
        <v>141</v>
      </c>
      <c r="N932" t="s">
        <v>140</v>
      </c>
      <c r="O932">
        <v>2</v>
      </c>
      <c r="P932">
        <v>1.86</v>
      </c>
      <c r="Q932" t="s">
        <v>9</v>
      </c>
    </row>
    <row r="933" spans="8:17" x14ac:dyDescent="0.25">
      <c r="H933" t="s">
        <v>10</v>
      </c>
      <c r="J933">
        <v>2.2999999999999998</v>
      </c>
      <c r="K933" s="1" t="s">
        <v>9</v>
      </c>
      <c r="M933" t="s">
        <v>142</v>
      </c>
      <c r="N933" t="s">
        <v>143</v>
      </c>
      <c r="O933">
        <v>1.72</v>
      </c>
      <c r="P933">
        <v>2.1800000000000002</v>
      </c>
      <c r="Q933" t="s">
        <v>9</v>
      </c>
    </row>
    <row r="934" spans="8:17" x14ac:dyDescent="0.25">
      <c r="H934" t="s">
        <v>10</v>
      </c>
      <c r="J934">
        <v>2.25</v>
      </c>
      <c r="K934" s="1" t="s">
        <v>9</v>
      </c>
      <c r="M934" t="s">
        <v>142</v>
      </c>
      <c r="N934" t="s">
        <v>143</v>
      </c>
      <c r="O934">
        <v>1.77</v>
      </c>
      <c r="P934">
        <v>2.1</v>
      </c>
      <c r="Q934" t="s">
        <v>9</v>
      </c>
    </row>
    <row r="935" spans="8:17" x14ac:dyDescent="0.25">
      <c r="H935" t="s">
        <v>10</v>
      </c>
      <c r="J935">
        <v>2.2999999999999998</v>
      </c>
      <c r="K935" s="1" t="s">
        <v>9</v>
      </c>
      <c r="M935" t="s">
        <v>142</v>
      </c>
      <c r="N935" t="s">
        <v>143</v>
      </c>
      <c r="O935">
        <v>1.71</v>
      </c>
      <c r="P935">
        <v>2.2000000000000002</v>
      </c>
      <c r="Q935" t="s">
        <v>9</v>
      </c>
    </row>
    <row r="936" spans="8:17" x14ac:dyDescent="0.25">
      <c r="H936" t="s">
        <v>10</v>
      </c>
      <c r="J936">
        <v>2.2999999999999998</v>
      </c>
      <c r="K936" s="1" t="s">
        <v>9</v>
      </c>
      <c r="M936" t="s">
        <v>142</v>
      </c>
      <c r="N936" t="s">
        <v>143</v>
      </c>
      <c r="O936">
        <v>1.71</v>
      </c>
      <c r="P936">
        <v>2.2000000000000002</v>
      </c>
      <c r="Q936" t="s">
        <v>9</v>
      </c>
    </row>
    <row r="937" spans="8:17" x14ac:dyDescent="0.25">
      <c r="H937" t="s">
        <v>10</v>
      </c>
      <c r="J937">
        <v>1.91</v>
      </c>
      <c r="K937" t="s">
        <v>10</v>
      </c>
      <c r="M937" t="s">
        <v>142</v>
      </c>
      <c r="N937" t="s">
        <v>143</v>
      </c>
      <c r="O937">
        <v>1.71</v>
      </c>
      <c r="P937">
        <v>2.2000000000000002</v>
      </c>
      <c r="Q937" t="s">
        <v>9</v>
      </c>
    </row>
    <row r="938" spans="8:17" x14ac:dyDescent="0.25">
      <c r="H938" t="s">
        <v>10</v>
      </c>
      <c r="J938">
        <v>1.88</v>
      </c>
      <c r="K938" t="s">
        <v>10</v>
      </c>
      <c r="M938" t="s">
        <v>142</v>
      </c>
      <c r="N938" t="s">
        <v>143</v>
      </c>
      <c r="O938">
        <v>1.71</v>
      </c>
      <c r="P938">
        <v>2.2000000000000002</v>
      </c>
      <c r="Q938" t="s">
        <v>9</v>
      </c>
    </row>
    <row r="939" spans="8:17" x14ac:dyDescent="0.25">
      <c r="H939" t="s">
        <v>10</v>
      </c>
      <c r="J939">
        <v>1.87</v>
      </c>
      <c r="K939" t="s">
        <v>10</v>
      </c>
      <c r="M939" t="s">
        <v>142</v>
      </c>
      <c r="N939" t="s">
        <v>143</v>
      </c>
      <c r="O939">
        <v>1.74</v>
      </c>
      <c r="P939">
        <v>2.15</v>
      </c>
      <c r="Q939" t="s">
        <v>9</v>
      </c>
    </row>
    <row r="940" spans="8:17" x14ac:dyDescent="0.25">
      <c r="H940" t="s">
        <v>10</v>
      </c>
      <c r="J940">
        <v>1.91</v>
      </c>
      <c r="K940" t="s">
        <v>10</v>
      </c>
      <c r="M940" t="s">
        <v>142</v>
      </c>
      <c r="N940" t="s">
        <v>143</v>
      </c>
      <c r="O940">
        <v>1.72</v>
      </c>
      <c r="P940">
        <v>2.14</v>
      </c>
      <c r="Q940" t="s">
        <v>9</v>
      </c>
    </row>
    <row r="941" spans="8:17" x14ac:dyDescent="0.25">
      <c r="H941" t="s">
        <v>10</v>
      </c>
      <c r="J941">
        <v>4.5999999999999996</v>
      </c>
      <c r="K941" t="s">
        <v>10</v>
      </c>
      <c r="M941" t="s">
        <v>142</v>
      </c>
      <c r="N941" t="s">
        <v>143</v>
      </c>
      <c r="O941">
        <v>1.72</v>
      </c>
      <c r="P941">
        <v>2.14</v>
      </c>
      <c r="Q941" t="s">
        <v>9</v>
      </c>
    </row>
    <row r="942" spans="8:17" x14ac:dyDescent="0.25">
      <c r="H942" t="s">
        <v>10</v>
      </c>
      <c r="J942">
        <v>4.5999999999999996</v>
      </c>
      <c r="K942" t="s">
        <v>10</v>
      </c>
      <c r="M942" t="s">
        <v>142</v>
      </c>
      <c r="N942" t="s">
        <v>143</v>
      </c>
      <c r="O942">
        <v>1.72</v>
      </c>
      <c r="P942">
        <v>2.14</v>
      </c>
      <c r="Q942" t="s">
        <v>9</v>
      </c>
    </row>
    <row r="943" spans="8:17" x14ac:dyDescent="0.25">
      <c r="H943" t="s">
        <v>10</v>
      </c>
      <c r="J943">
        <v>1.65</v>
      </c>
      <c r="K943" t="s">
        <v>10</v>
      </c>
      <c r="M943" t="s">
        <v>142</v>
      </c>
      <c r="N943" t="s">
        <v>143</v>
      </c>
      <c r="O943">
        <v>1.71</v>
      </c>
      <c r="P943">
        <v>2.15</v>
      </c>
      <c r="Q943" t="s">
        <v>9</v>
      </c>
    </row>
    <row r="944" spans="8:17" x14ac:dyDescent="0.25">
      <c r="H944" t="s">
        <v>10</v>
      </c>
      <c r="J944">
        <v>1.59</v>
      </c>
      <c r="K944" t="s">
        <v>10</v>
      </c>
      <c r="M944" t="s">
        <v>142</v>
      </c>
      <c r="N944" t="s">
        <v>143</v>
      </c>
      <c r="O944">
        <v>1.74</v>
      </c>
      <c r="P944">
        <v>2.15</v>
      </c>
      <c r="Q944" t="s">
        <v>9</v>
      </c>
    </row>
    <row r="945" spans="8:17" x14ac:dyDescent="0.25">
      <c r="H945" t="s">
        <v>10</v>
      </c>
      <c r="J945">
        <v>1.59</v>
      </c>
      <c r="K945" t="s">
        <v>10</v>
      </c>
      <c r="M945" t="s">
        <v>142</v>
      </c>
      <c r="N945" t="s">
        <v>143</v>
      </c>
      <c r="O945">
        <v>1.74</v>
      </c>
      <c r="P945">
        <v>2.15</v>
      </c>
      <c r="Q945" t="s">
        <v>9</v>
      </c>
    </row>
    <row r="946" spans="8:17" x14ac:dyDescent="0.25">
      <c r="H946" t="s">
        <v>10</v>
      </c>
      <c r="J946">
        <v>1.62</v>
      </c>
      <c r="K946" t="s">
        <v>10</v>
      </c>
      <c r="M946" t="s">
        <v>142</v>
      </c>
      <c r="N946" t="s">
        <v>143</v>
      </c>
      <c r="O946">
        <v>1.71</v>
      </c>
      <c r="P946">
        <v>2.2000000000000002</v>
      </c>
      <c r="Q946" t="s">
        <v>9</v>
      </c>
    </row>
    <row r="947" spans="8:17" x14ac:dyDescent="0.25">
      <c r="H947" t="s">
        <v>10</v>
      </c>
      <c r="J947">
        <v>2.2400000000000002</v>
      </c>
      <c r="K947" t="s">
        <v>10</v>
      </c>
      <c r="M947" t="s">
        <v>142</v>
      </c>
      <c r="N947" t="s">
        <v>143</v>
      </c>
      <c r="O947">
        <v>1.74</v>
      </c>
      <c r="P947">
        <v>2.17</v>
      </c>
      <c r="Q947" t="s">
        <v>9</v>
      </c>
    </row>
    <row r="948" spans="8:17" x14ac:dyDescent="0.25">
      <c r="H948" t="s">
        <v>10</v>
      </c>
      <c r="J948">
        <v>2</v>
      </c>
      <c r="K948" t="s">
        <v>10</v>
      </c>
      <c r="M948" t="s">
        <v>144</v>
      </c>
      <c r="N948" t="s">
        <v>145</v>
      </c>
      <c r="O948">
        <v>1.68</v>
      </c>
      <c r="P948">
        <v>2.2599999999999998</v>
      </c>
      <c r="Q948" t="s">
        <v>9</v>
      </c>
    </row>
    <row r="949" spans="8:17" x14ac:dyDescent="0.25">
      <c r="H949" t="s">
        <v>10</v>
      </c>
      <c r="J949">
        <v>1.83</v>
      </c>
      <c r="K949" t="s">
        <v>10</v>
      </c>
      <c r="M949" t="s">
        <v>144</v>
      </c>
      <c r="N949" t="s">
        <v>145</v>
      </c>
      <c r="O949">
        <v>1.68</v>
      </c>
      <c r="P949">
        <v>2.2400000000000002</v>
      </c>
      <c r="Q949" t="s">
        <v>9</v>
      </c>
    </row>
    <row r="950" spans="8:17" x14ac:dyDescent="0.25">
      <c r="H950" t="s">
        <v>10</v>
      </c>
      <c r="J950">
        <v>1.82</v>
      </c>
      <c r="K950" t="s">
        <v>10</v>
      </c>
      <c r="M950" t="s">
        <v>144</v>
      </c>
      <c r="N950" t="s">
        <v>145</v>
      </c>
      <c r="O950">
        <v>1.69</v>
      </c>
      <c r="P950">
        <v>2.25</v>
      </c>
      <c r="Q950" t="s">
        <v>9</v>
      </c>
    </row>
    <row r="951" spans="8:17" x14ac:dyDescent="0.25">
      <c r="H951" t="s">
        <v>10</v>
      </c>
      <c r="J951">
        <v>1.74</v>
      </c>
      <c r="K951" t="s">
        <v>10</v>
      </c>
      <c r="M951" t="s">
        <v>144</v>
      </c>
      <c r="N951" t="s">
        <v>145</v>
      </c>
      <c r="O951">
        <v>1.69</v>
      </c>
      <c r="P951">
        <v>2.25</v>
      </c>
      <c r="Q951" t="s">
        <v>9</v>
      </c>
    </row>
    <row r="952" spans="8:17" x14ac:dyDescent="0.25">
      <c r="H952" t="s">
        <v>10</v>
      </c>
      <c r="J952">
        <v>1.79</v>
      </c>
      <c r="K952" t="s">
        <v>10</v>
      </c>
      <c r="M952" t="s">
        <v>144</v>
      </c>
      <c r="N952" t="s">
        <v>145</v>
      </c>
      <c r="O952">
        <v>1.7</v>
      </c>
      <c r="P952">
        <v>2.23</v>
      </c>
      <c r="Q952" t="s">
        <v>9</v>
      </c>
    </row>
    <row r="953" spans="8:17" x14ac:dyDescent="0.25">
      <c r="H953" t="s">
        <v>10</v>
      </c>
      <c r="J953">
        <v>1.33</v>
      </c>
      <c r="K953" t="s">
        <v>10</v>
      </c>
      <c r="M953" t="s">
        <v>144</v>
      </c>
      <c r="N953" t="s">
        <v>145</v>
      </c>
      <c r="O953">
        <v>1.7</v>
      </c>
      <c r="P953">
        <v>2.23</v>
      </c>
      <c r="Q953" t="s">
        <v>9</v>
      </c>
    </row>
    <row r="954" spans="8:17" x14ac:dyDescent="0.25">
      <c r="H954" t="s">
        <v>10</v>
      </c>
      <c r="J954">
        <v>1.27</v>
      </c>
      <c r="K954" t="s">
        <v>10</v>
      </c>
      <c r="M954" t="s">
        <v>144</v>
      </c>
      <c r="N954" t="s">
        <v>145</v>
      </c>
      <c r="O954">
        <v>1.69</v>
      </c>
      <c r="P954">
        <v>2.2200000000000002</v>
      </c>
      <c r="Q954" t="s">
        <v>9</v>
      </c>
    </row>
    <row r="955" spans="8:17" x14ac:dyDescent="0.25">
      <c r="H955" t="s">
        <v>10</v>
      </c>
      <c r="J955">
        <v>1.28</v>
      </c>
      <c r="K955" t="s">
        <v>10</v>
      </c>
      <c r="M955" t="s">
        <v>144</v>
      </c>
      <c r="N955" t="s">
        <v>145</v>
      </c>
      <c r="O955">
        <v>1.68</v>
      </c>
      <c r="P955">
        <v>2.23</v>
      </c>
      <c r="Q955" t="s">
        <v>9</v>
      </c>
    </row>
    <row r="956" spans="8:17" x14ac:dyDescent="0.25">
      <c r="H956" t="s">
        <v>10</v>
      </c>
      <c r="J956">
        <v>1.27</v>
      </c>
      <c r="K956" t="s">
        <v>10</v>
      </c>
      <c r="M956" t="s">
        <v>144</v>
      </c>
      <c r="N956" t="s">
        <v>145</v>
      </c>
      <c r="O956">
        <v>1.68</v>
      </c>
      <c r="P956">
        <v>2.23</v>
      </c>
      <c r="Q956" t="s">
        <v>9</v>
      </c>
    </row>
    <row r="957" spans="8:17" x14ac:dyDescent="0.25">
      <c r="H957" t="s">
        <v>10</v>
      </c>
      <c r="J957">
        <v>6.75</v>
      </c>
      <c r="K957" t="s">
        <v>10</v>
      </c>
      <c r="M957" t="s">
        <v>144</v>
      </c>
      <c r="N957" t="s">
        <v>145</v>
      </c>
      <c r="O957">
        <v>1.68</v>
      </c>
      <c r="P957">
        <v>2.23</v>
      </c>
      <c r="Q957" t="s">
        <v>9</v>
      </c>
    </row>
    <row r="958" spans="8:17" x14ac:dyDescent="0.25">
      <c r="H958" t="s">
        <v>10</v>
      </c>
      <c r="J958">
        <v>8</v>
      </c>
      <c r="K958" t="s">
        <v>10</v>
      </c>
      <c r="M958" t="s">
        <v>144</v>
      </c>
      <c r="N958" t="s">
        <v>145</v>
      </c>
      <c r="O958">
        <v>1.69</v>
      </c>
      <c r="P958">
        <v>2.25</v>
      </c>
      <c r="Q958" t="s">
        <v>9</v>
      </c>
    </row>
    <row r="959" spans="8:17" x14ac:dyDescent="0.25">
      <c r="H959" t="s">
        <v>10</v>
      </c>
      <c r="J959">
        <v>6.75</v>
      </c>
      <c r="K959" t="s">
        <v>10</v>
      </c>
      <c r="M959" t="s">
        <v>144</v>
      </c>
      <c r="N959" t="s">
        <v>145</v>
      </c>
      <c r="O959">
        <v>1.69</v>
      </c>
      <c r="P959">
        <v>2.2000000000000002</v>
      </c>
      <c r="Q959" t="s">
        <v>9</v>
      </c>
    </row>
    <row r="960" spans="8:17" x14ac:dyDescent="0.25">
      <c r="H960" t="s">
        <v>10</v>
      </c>
      <c r="J960">
        <v>7.6</v>
      </c>
      <c r="K960" t="s">
        <v>10</v>
      </c>
      <c r="M960" t="s">
        <v>144</v>
      </c>
      <c r="N960" t="s">
        <v>145</v>
      </c>
      <c r="O960">
        <v>1.71</v>
      </c>
      <c r="P960">
        <v>2.15</v>
      </c>
      <c r="Q960" t="s">
        <v>9</v>
      </c>
    </row>
    <row r="961" spans="8:17" x14ac:dyDescent="0.25">
      <c r="H961" t="s">
        <v>10</v>
      </c>
      <c r="J961">
        <v>2.65</v>
      </c>
      <c r="K961" t="s">
        <v>10</v>
      </c>
      <c r="M961" t="s">
        <v>144</v>
      </c>
      <c r="N961" t="s">
        <v>145</v>
      </c>
      <c r="O961">
        <v>1.69</v>
      </c>
      <c r="P961">
        <v>2.25</v>
      </c>
      <c r="Q961" t="s">
        <v>9</v>
      </c>
    </row>
    <row r="962" spans="8:17" x14ac:dyDescent="0.25">
      <c r="H962" t="s">
        <v>10</v>
      </c>
      <c r="J962">
        <v>2.85</v>
      </c>
      <c r="K962" t="s">
        <v>10</v>
      </c>
      <c r="M962" t="s">
        <v>144</v>
      </c>
      <c r="N962" t="s">
        <v>145</v>
      </c>
      <c r="O962">
        <v>1.69</v>
      </c>
      <c r="P962">
        <v>2.25</v>
      </c>
      <c r="Q962" t="s">
        <v>9</v>
      </c>
    </row>
    <row r="963" spans="8:17" x14ac:dyDescent="0.25">
      <c r="H963" t="s">
        <v>10</v>
      </c>
      <c r="J963">
        <v>2.5</v>
      </c>
      <c r="K963" t="s">
        <v>10</v>
      </c>
      <c r="M963" t="s">
        <v>595</v>
      </c>
      <c r="N963" t="s">
        <v>596</v>
      </c>
      <c r="O963">
        <v>1.27</v>
      </c>
      <c r="P963">
        <v>4</v>
      </c>
      <c r="Q963" t="s">
        <v>9</v>
      </c>
    </row>
    <row r="964" spans="8:17" x14ac:dyDescent="0.25">
      <c r="H964" t="s">
        <v>10</v>
      </c>
      <c r="J964">
        <v>2.8</v>
      </c>
      <c r="K964" t="s">
        <v>10</v>
      </c>
      <c r="M964" t="s">
        <v>595</v>
      </c>
      <c r="N964" t="s">
        <v>596</v>
      </c>
      <c r="O964">
        <v>1.27</v>
      </c>
      <c r="P964">
        <v>3.95</v>
      </c>
      <c r="Q964" t="s">
        <v>9</v>
      </c>
    </row>
    <row r="965" spans="8:17" x14ac:dyDescent="0.25">
      <c r="H965" t="s">
        <v>10</v>
      </c>
      <c r="J965">
        <v>2.4</v>
      </c>
      <c r="K965" t="s">
        <v>10</v>
      </c>
      <c r="M965" t="s">
        <v>595</v>
      </c>
      <c r="N965" t="s">
        <v>596</v>
      </c>
      <c r="O965">
        <v>1.27</v>
      </c>
      <c r="P965">
        <v>3.85</v>
      </c>
      <c r="Q965" t="s">
        <v>9</v>
      </c>
    </row>
    <row r="966" spans="8:17" x14ac:dyDescent="0.25">
      <c r="H966" t="s">
        <v>10</v>
      </c>
      <c r="J966">
        <v>2.35</v>
      </c>
      <c r="K966" t="s">
        <v>10</v>
      </c>
      <c r="M966" t="s">
        <v>595</v>
      </c>
      <c r="N966" t="s">
        <v>596</v>
      </c>
      <c r="O966">
        <v>1.27</v>
      </c>
      <c r="P966">
        <v>3.85</v>
      </c>
      <c r="Q966" t="s">
        <v>9</v>
      </c>
    </row>
    <row r="967" spans="8:17" x14ac:dyDescent="0.25">
      <c r="H967" t="s">
        <v>10</v>
      </c>
      <c r="J967">
        <v>2.46</v>
      </c>
      <c r="K967" t="s">
        <v>10</v>
      </c>
      <c r="M967" t="s">
        <v>595</v>
      </c>
      <c r="N967" t="s">
        <v>596</v>
      </c>
      <c r="O967">
        <v>1.27</v>
      </c>
      <c r="P967">
        <v>3.88</v>
      </c>
      <c r="Q967" t="s">
        <v>9</v>
      </c>
    </row>
    <row r="968" spans="8:17" x14ac:dyDescent="0.25">
      <c r="H968" t="s">
        <v>10</v>
      </c>
      <c r="J968">
        <v>3.3</v>
      </c>
      <c r="K968" t="s">
        <v>10</v>
      </c>
      <c r="M968" t="s">
        <v>595</v>
      </c>
      <c r="N968" t="s">
        <v>596</v>
      </c>
      <c r="O968">
        <v>1.27</v>
      </c>
      <c r="P968">
        <v>3.88</v>
      </c>
      <c r="Q968" t="s">
        <v>9</v>
      </c>
    </row>
    <row r="969" spans="8:17" x14ac:dyDescent="0.25">
      <c r="H969" t="s">
        <v>10</v>
      </c>
      <c r="J969">
        <v>3</v>
      </c>
      <c r="K969" t="s">
        <v>10</v>
      </c>
      <c r="M969" t="s">
        <v>595</v>
      </c>
      <c r="N969" t="s">
        <v>596</v>
      </c>
      <c r="O969">
        <v>1.27</v>
      </c>
      <c r="P969">
        <v>3.88</v>
      </c>
      <c r="Q969" t="s">
        <v>9</v>
      </c>
    </row>
    <row r="970" spans="8:17" x14ac:dyDescent="0.25">
      <c r="H970" t="s">
        <v>10</v>
      </c>
      <c r="J970">
        <v>3.2</v>
      </c>
      <c r="K970" t="s">
        <v>10</v>
      </c>
      <c r="M970" t="s">
        <v>595</v>
      </c>
      <c r="N970" t="s">
        <v>596</v>
      </c>
      <c r="O970">
        <v>1.27</v>
      </c>
      <c r="P970">
        <v>3.9</v>
      </c>
      <c r="Q970" t="s">
        <v>9</v>
      </c>
    </row>
    <row r="971" spans="8:17" x14ac:dyDescent="0.25">
      <c r="H971" t="s">
        <v>10</v>
      </c>
      <c r="J971">
        <v>3.1</v>
      </c>
      <c r="K971" t="s">
        <v>10</v>
      </c>
      <c r="M971" t="s">
        <v>597</v>
      </c>
      <c r="N971" t="s">
        <v>598</v>
      </c>
      <c r="O971">
        <v>1.23</v>
      </c>
      <c r="P971">
        <v>4.4000000000000004</v>
      </c>
      <c r="Q971" t="s">
        <v>9</v>
      </c>
    </row>
    <row r="972" spans="8:17" x14ac:dyDescent="0.25">
      <c r="H972" t="s">
        <v>10</v>
      </c>
      <c r="J972">
        <v>3.2</v>
      </c>
      <c r="K972" t="s">
        <v>10</v>
      </c>
      <c r="M972" t="s">
        <v>597</v>
      </c>
      <c r="N972" t="s">
        <v>598</v>
      </c>
      <c r="O972">
        <v>1.23</v>
      </c>
      <c r="P972">
        <v>4.4000000000000004</v>
      </c>
      <c r="Q972" t="s">
        <v>9</v>
      </c>
    </row>
    <row r="973" spans="8:17" x14ac:dyDescent="0.25">
      <c r="H973" t="s">
        <v>10</v>
      </c>
      <c r="J973">
        <v>1.23</v>
      </c>
      <c r="K973" t="s">
        <v>10</v>
      </c>
      <c r="M973" t="s">
        <v>597</v>
      </c>
      <c r="N973" t="s">
        <v>598</v>
      </c>
      <c r="O973">
        <v>1.22</v>
      </c>
      <c r="P973">
        <v>4.45</v>
      </c>
      <c r="Q973" t="s">
        <v>9</v>
      </c>
    </row>
    <row r="974" spans="8:17" x14ac:dyDescent="0.25">
      <c r="H974" t="s">
        <v>10</v>
      </c>
      <c r="J974">
        <v>1.25</v>
      </c>
      <c r="K974" t="s">
        <v>10</v>
      </c>
      <c r="M974" t="s">
        <v>597</v>
      </c>
      <c r="N974" t="s">
        <v>598</v>
      </c>
      <c r="O974">
        <v>1.22</v>
      </c>
      <c r="P974">
        <v>4.4000000000000004</v>
      </c>
      <c r="Q974" t="s">
        <v>9</v>
      </c>
    </row>
    <row r="975" spans="8:17" x14ac:dyDescent="0.25">
      <c r="H975" t="s">
        <v>10</v>
      </c>
      <c r="J975">
        <v>3.45</v>
      </c>
      <c r="K975" t="s">
        <v>10</v>
      </c>
      <c r="M975" t="s">
        <v>597</v>
      </c>
      <c r="N975" t="s">
        <v>598</v>
      </c>
      <c r="O975">
        <v>1.23</v>
      </c>
      <c r="P975">
        <v>4.2</v>
      </c>
      <c r="Q975" t="s">
        <v>9</v>
      </c>
    </row>
    <row r="976" spans="8:17" x14ac:dyDescent="0.25">
      <c r="H976" t="s">
        <v>10</v>
      </c>
      <c r="J976">
        <v>3.25</v>
      </c>
      <c r="K976" t="s">
        <v>10</v>
      </c>
      <c r="M976" t="s">
        <v>597</v>
      </c>
      <c r="N976" t="s">
        <v>598</v>
      </c>
      <c r="O976">
        <v>1.23</v>
      </c>
      <c r="P976">
        <v>4.2</v>
      </c>
      <c r="Q976" t="s">
        <v>9</v>
      </c>
    </row>
    <row r="977" spans="8:17" x14ac:dyDescent="0.25">
      <c r="H977" t="s">
        <v>10</v>
      </c>
      <c r="J977">
        <v>3.4</v>
      </c>
      <c r="K977" t="s">
        <v>10</v>
      </c>
      <c r="M977" t="s">
        <v>597</v>
      </c>
      <c r="N977" t="s">
        <v>598</v>
      </c>
      <c r="O977">
        <v>1.23</v>
      </c>
      <c r="P977">
        <v>4.2</v>
      </c>
      <c r="Q977" t="s">
        <v>9</v>
      </c>
    </row>
    <row r="978" spans="8:17" x14ac:dyDescent="0.25">
      <c r="H978" t="s">
        <v>10</v>
      </c>
      <c r="J978">
        <v>3.5</v>
      </c>
      <c r="K978" t="s">
        <v>10</v>
      </c>
      <c r="M978" t="s">
        <v>597</v>
      </c>
      <c r="N978" t="s">
        <v>598</v>
      </c>
      <c r="O978">
        <v>1.22</v>
      </c>
      <c r="P978">
        <v>4.5</v>
      </c>
      <c r="Q978" t="s">
        <v>9</v>
      </c>
    </row>
    <row r="979" spans="8:17" x14ac:dyDescent="0.25">
      <c r="H979" t="s">
        <v>10</v>
      </c>
      <c r="J979">
        <v>4.5999999999999996</v>
      </c>
      <c r="K979" t="s">
        <v>10</v>
      </c>
      <c r="M979" t="s">
        <v>599</v>
      </c>
      <c r="N979" t="s">
        <v>600</v>
      </c>
      <c r="O979">
        <v>1.49</v>
      </c>
      <c r="P979">
        <v>2.72</v>
      </c>
      <c r="Q979" t="s">
        <v>9</v>
      </c>
    </row>
    <row r="980" spans="8:17" x14ac:dyDescent="0.25">
      <c r="H980" t="s">
        <v>10</v>
      </c>
      <c r="J980">
        <v>4.75</v>
      </c>
      <c r="K980" t="s">
        <v>10</v>
      </c>
      <c r="M980" t="s">
        <v>599</v>
      </c>
      <c r="N980" t="s">
        <v>600</v>
      </c>
      <c r="O980">
        <v>1.56</v>
      </c>
      <c r="P980">
        <v>2.5</v>
      </c>
      <c r="Q980" t="s">
        <v>9</v>
      </c>
    </row>
    <row r="981" spans="8:17" x14ac:dyDescent="0.25">
      <c r="H981" t="s">
        <v>10</v>
      </c>
      <c r="J981">
        <v>5.25</v>
      </c>
      <c r="K981" t="s">
        <v>10</v>
      </c>
      <c r="M981" t="s">
        <v>599</v>
      </c>
      <c r="N981" t="s">
        <v>600</v>
      </c>
      <c r="O981">
        <v>1.48</v>
      </c>
      <c r="P981">
        <v>2.75</v>
      </c>
      <c r="Q981" t="s">
        <v>9</v>
      </c>
    </row>
    <row r="982" spans="8:17" x14ac:dyDescent="0.25">
      <c r="H982" t="s">
        <v>10</v>
      </c>
      <c r="J982">
        <v>2.08</v>
      </c>
      <c r="K982" t="s">
        <v>10</v>
      </c>
      <c r="M982" t="s">
        <v>599</v>
      </c>
      <c r="N982" t="s">
        <v>600</v>
      </c>
      <c r="O982">
        <v>1.51</v>
      </c>
      <c r="P982">
        <v>2.65</v>
      </c>
      <c r="Q982" t="s">
        <v>9</v>
      </c>
    </row>
    <row r="983" spans="8:17" x14ac:dyDescent="0.25">
      <c r="H983" t="s">
        <v>10</v>
      </c>
      <c r="J983">
        <v>2.13</v>
      </c>
      <c r="K983" t="s">
        <v>10</v>
      </c>
      <c r="M983" t="s">
        <v>599</v>
      </c>
      <c r="N983" t="s">
        <v>600</v>
      </c>
      <c r="O983">
        <v>1.5</v>
      </c>
      <c r="P983">
        <v>2.65</v>
      </c>
      <c r="Q983" t="s">
        <v>9</v>
      </c>
    </row>
    <row r="984" spans="8:17" x14ac:dyDescent="0.25">
      <c r="H984" t="s">
        <v>10</v>
      </c>
      <c r="J984">
        <v>2.08</v>
      </c>
      <c r="K984" t="s">
        <v>10</v>
      </c>
      <c r="M984" t="s">
        <v>599</v>
      </c>
      <c r="N984" t="s">
        <v>600</v>
      </c>
      <c r="O984">
        <v>1.48</v>
      </c>
      <c r="P984">
        <v>2.7</v>
      </c>
      <c r="Q984" t="s">
        <v>9</v>
      </c>
    </row>
    <row r="985" spans="8:17" x14ac:dyDescent="0.25">
      <c r="H985" t="s">
        <v>10</v>
      </c>
      <c r="J985">
        <v>2.14</v>
      </c>
      <c r="K985" t="s">
        <v>10</v>
      </c>
      <c r="M985" t="s">
        <v>599</v>
      </c>
      <c r="N985" t="s">
        <v>600</v>
      </c>
      <c r="O985">
        <v>1.48</v>
      </c>
      <c r="P985">
        <v>2.7</v>
      </c>
      <c r="Q985" t="s">
        <v>9</v>
      </c>
    </row>
    <row r="986" spans="8:17" x14ac:dyDescent="0.25">
      <c r="H986" t="s">
        <v>10</v>
      </c>
      <c r="J986">
        <v>2.0499999999999998</v>
      </c>
      <c r="K986" t="s">
        <v>10</v>
      </c>
      <c r="M986" t="s">
        <v>599</v>
      </c>
      <c r="N986" t="s">
        <v>600</v>
      </c>
      <c r="O986">
        <v>1.48</v>
      </c>
      <c r="P986">
        <v>2.7</v>
      </c>
      <c r="Q986" t="s">
        <v>9</v>
      </c>
    </row>
    <row r="987" spans="8:17" x14ac:dyDescent="0.25">
      <c r="H987" t="s">
        <v>10</v>
      </c>
      <c r="J987">
        <v>2.14</v>
      </c>
      <c r="K987" t="s">
        <v>10</v>
      </c>
      <c r="M987" t="s">
        <v>599</v>
      </c>
      <c r="N987" t="s">
        <v>600</v>
      </c>
      <c r="O987">
        <v>1.5</v>
      </c>
      <c r="P987">
        <v>2.65</v>
      </c>
      <c r="Q987" t="s">
        <v>9</v>
      </c>
    </row>
    <row r="988" spans="8:17" x14ac:dyDescent="0.25">
      <c r="H988" t="s">
        <v>10</v>
      </c>
      <c r="J988">
        <v>2.0499999999999998</v>
      </c>
      <c r="K988" t="s">
        <v>10</v>
      </c>
      <c r="M988" t="s">
        <v>601</v>
      </c>
      <c r="N988" t="s">
        <v>602</v>
      </c>
      <c r="O988">
        <v>1.34</v>
      </c>
      <c r="P988">
        <v>3.35</v>
      </c>
      <c r="Q988" t="s">
        <v>9</v>
      </c>
    </row>
    <row r="989" spans="8:17" x14ac:dyDescent="0.25">
      <c r="H989" t="s">
        <v>10</v>
      </c>
      <c r="J989">
        <v>2.0499999999999998</v>
      </c>
      <c r="K989" t="s">
        <v>10</v>
      </c>
      <c r="M989" t="s">
        <v>601</v>
      </c>
      <c r="N989" t="s">
        <v>602</v>
      </c>
      <c r="O989">
        <v>1.37</v>
      </c>
      <c r="P989">
        <v>3.2</v>
      </c>
      <c r="Q989" t="s">
        <v>9</v>
      </c>
    </row>
    <row r="990" spans="8:17" x14ac:dyDescent="0.25">
      <c r="H990" t="s">
        <v>10</v>
      </c>
      <c r="J990">
        <v>2.15</v>
      </c>
      <c r="K990" t="s">
        <v>10</v>
      </c>
      <c r="M990" t="s">
        <v>601</v>
      </c>
      <c r="N990" t="s">
        <v>602</v>
      </c>
      <c r="O990">
        <v>1.37</v>
      </c>
      <c r="P990">
        <v>3.15</v>
      </c>
      <c r="Q990" t="s">
        <v>9</v>
      </c>
    </row>
    <row r="991" spans="8:17" x14ac:dyDescent="0.25">
      <c r="H991" t="s">
        <v>10</v>
      </c>
      <c r="J991">
        <v>2.1</v>
      </c>
      <c r="K991" t="s">
        <v>10</v>
      </c>
      <c r="M991" t="s">
        <v>601</v>
      </c>
      <c r="N991" t="s">
        <v>602</v>
      </c>
      <c r="O991">
        <v>1.37</v>
      </c>
      <c r="P991">
        <v>3.2</v>
      </c>
      <c r="Q991" t="s">
        <v>9</v>
      </c>
    </row>
    <row r="992" spans="8:17" x14ac:dyDescent="0.25">
      <c r="H992" t="s">
        <v>10</v>
      </c>
      <c r="J992">
        <v>2.1</v>
      </c>
      <c r="K992" t="s">
        <v>10</v>
      </c>
      <c r="M992" t="s">
        <v>601</v>
      </c>
      <c r="N992" t="s">
        <v>602</v>
      </c>
      <c r="O992">
        <v>1.36</v>
      </c>
      <c r="P992">
        <v>3.2</v>
      </c>
      <c r="Q992" t="s">
        <v>9</v>
      </c>
    </row>
    <row r="993" spans="8:17" x14ac:dyDescent="0.25">
      <c r="H993" t="s">
        <v>10</v>
      </c>
      <c r="J993">
        <v>1.74</v>
      </c>
      <c r="K993" t="s">
        <v>10</v>
      </c>
      <c r="M993" t="s">
        <v>601</v>
      </c>
      <c r="N993" t="s">
        <v>602</v>
      </c>
      <c r="O993">
        <v>1.36</v>
      </c>
      <c r="P993">
        <v>3.2</v>
      </c>
      <c r="Q993" t="s">
        <v>9</v>
      </c>
    </row>
    <row r="994" spans="8:17" x14ac:dyDescent="0.25">
      <c r="H994" t="s">
        <v>10</v>
      </c>
      <c r="J994">
        <v>1.69</v>
      </c>
      <c r="K994" t="s">
        <v>10</v>
      </c>
      <c r="M994" t="s">
        <v>601</v>
      </c>
      <c r="N994" t="s">
        <v>602</v>
      </c>
      <c r="O994">
        <v>1.36</v>
      </c>
      <c r="P994">
        <v>3.2</v>
      </c>
      <c r="Q994" t="s">
        <v>9</v>
      </c>
    </row>
    <row r="995" spans="8:17" x14ac:dyDescent="0.25">
      <c r="H995" t="s">
        <v>10</v>
      </c>
      <c r="J995">
        <v>1.74</v>
      </c>
      <c r="K995" t="s">
        <v>10</v>
      </c>
      <c r="M995" t="s">
        <v>603</v>
      </c>
      <c r="N995" t="s">
        <v>604</v>
      </c>
      <c r="O995">
        <v>1.43</v>
      </c>
      <c r="P995">
        <v>2.94</v>
      </c>
      <c r="Q995" t="s">
        <v>9</v>
      </c>
    </row>
    <row r="996" spans="8:17" x14ac:dyDescent="0.25">
      <c r="H996" t="s">
        <v>10</v>
      </c>
      <c r="J996">
        <v>1.74</v>
      </c>
      <c r="K996" t="s">
        <v>10</v>
      </c>
      <c r="M996" t="s">
        <v>603</v>
      </c>
      <c r="N996" t="s">
        <v>604</v>
      </c>
      <c r="O996">
        <v>1.44</v>
      </c>
      <c r="P996">
        <v>2.85</v>
      </c>
      <c r="Q996" t="s">
        <v>9</v>
      </c>
    </row>
    <row r="997" spans="8:17" x14ac:dyDescent="0.25">
      <c r="H997" t="s">
        <v>10</v>
      </c>
      <c r="J997">
        <v>1.74</v>
      </c>
      <c r="K997" t="s">
        <v>10</v>
      </c>
      <c r="M997" t="s">
        <v>603</v>
      </c>
      <c r="N997" t="s">
        <v>604</v>
      </c>
      <c r="O997">
        <v>1.44</v>
      </c>
      <c r="P997">
        <v>2.85</v>
      </c>
      <c r="Q997" t="s">
        <v>9</v>
      </c>
    </row>
    <row r="998" spans="8:17" x14ac:dyDescent="0.25">
      <c r="H998" t="s">
        <v>10</v>
      </c>
      <c r="J998">
        <v>1.74</v>
      </c>
      <c r="K998" t="s">
        <v>10</v>
      </c>
      <c r="M998" t="s">
        <v>603</v>
      </c>
      <c r="N998" t="s">
        <v>604</v>
      </c>
      <c r="O998">
        <v>1.44</v>
      </c>
      <c r="P998">
        <v>2.85</v>
      </c>
      <c r="Q998" t="s">
        <v>9</v>
      </c>
    </row>
    <row r="999" spans="8:17" x14ac:dyDescent="0.25">
      <c r="H999" t="s">
        <v>10</v>
      </c>
      <c r="J999">
        <v>1.68</v>
      </c>
      <c r="K999" t="s">
        <v>10</v>
      </c>
      <c r="M999" t="s">
        <v>603</v>
      </c>
      <c r="N999" t="s">
        <v>604</v>
      </c>
      <c r="O999">
        <v>1.43</v>
      </c>
      <c r="P999">
        <v>2.8</v>
      </c>
      <c r="Q999" t="s">
        <v>9</v>
      </c>
    </row>
    <row r="1000" spans="8:17" x14ac:dyDescent="0.25">
      <c r="H1000" t="s">
        <v>10</v>
      </c>
      <c r="J1000">
        <v>1.68</v>
      </c>
      <c r="K1000" t="s">
        <v>10</v>
      </c>
      <c r="M1000" t="s">
        <v>603</v>
      </c>
      <c r="N1000" t="s">
        <v>604</v>
      </c>
      <c r="O1000">
        <v>1.43</v>
      </c>
      <c r="P1000">
        <v>2.8</v>
      </c>
      <c r="Q1000" t="s">
        <v>9</v>
      </c>
    </row>
    <row r="1001" spans="8:17" x14ac:dyDescent="0.25">
      <c r="H1001" t="s">
        <v>10</v>
      </c>
      <c r="J1001">
        <v>1.74</v>
      </c>
      <c r="K1001" t="s">
        <v>10</v>
      </c>
      <c r="M1001" t="s">
        <v>603</v>
      </c>
      <c r="N1001" t="s">
        <v>604</v>
      </c>
      <c r="O1001">
        <v>1.43</v>
      </c>
      <c r="P1001">
        <v>2.8</v>
      </c>
      <c r="Q1001" t="s">
        <v>9</v>
      </c>
    </row>
    <row r="1002" spans="8:17" x14ac:dyDescent="0.25">
      <c r="H1002" t="s">
        <v>10</v>
      </c>
      <c r="J1002">
        <v>1.77</v>
      </c>
      <c r="K1002" t="s">
        <v>10</v>
      </c>
      <c r="M1002" t="s">
        <v>605</v>
      </c>
      <c r="N1002" t="s">
        <v>604</v>
      </c>
      <c r="O1002">
        <v>1.37</v>
      </c>
      <c r="P1002">
        <v>3.2</v>
      </c>
      <c r="Q1002" t="s">
        <v>9</v>
      </c>
    </row>
    <row r="1003" spans="8:17" x14ac:dyDescent="0.25">
      <c r="H1003" t="s">
        <v>10</v>
      </c>
      <c r="J1003">
        <v>1.71</v>
      </c>
      <c r="K1003" t="s">
        <v>10</v>
      </c>
      <c r="M1003" t="s">
        <v>605</v>
      </c>
      <c r="N1003" t="s">
        <v>604</v>
      </c>
      <c r="O1003">
        <v>1.4</v>
      </c>
      <c r="P1003">
        <v>3.05</v>
      </c>
      <c r="Q1003" t="s">
        <v>9</v>
      </c>
    </row>
    <row r="1004" spans="8:17" x14ac:dyDescent="0.25">
      <c r="H1004" t="s">
        <v>10</v>
      </c>
      <c r="J1004">
        <v>1.2</v>
      </c>
      <c r="K1004" t="s">
        <v>10</v>
      </c>
      <c r="M1004" t="s">
        <v>605</v>
      </c>
      <c r="N1004" t="s">
        <v>604</v>
      </c>
      <c r="O1004">
        <v>1.4</v>
      </c>
      <c r="P1004">
        <v>3.05</v>
      </c>
      <c r="Q1004" t="s">
        <v>9</v>
      </c>
    </row>
    <row r="1005" spans="8:17" x14ac:dyDescent="0.25">
      <c r="H1005" t="s">
        <v>10</v>
      </c>
      <c r="J1005">
        <v>1.2</v>
      </c>
      <c r="K1005" t="s">
        <v>10</v>
      </c>
      <c r="M1005" t="s">
        <v>605</v>
      </c>
      <c r="N1005" t="s">
        <v>604</v>
      </c>
      <c r="O1005">
        <v>1.4</v>
      </c>
      <c r="P1005">
        <v>3.1</v>
      </c>
      <c r="Q1005" t="s">
        <v>9</v>
      </c>
    </row>
    <row r="1006" spans="8:17" x14ac:dyDescent="0.25">
      <c r="H1006" t="s">
        <v>10</v>
      </c>
      <c r="J1006">
        <v>1.21</v>
      </c>
      <c r="K1006" t="s">
        <v>10</v>
      </c>
      <c r="M1006" t="s">
        <v>605</v>
      </c>
      <c r="N1006" t="s">
        <v>604</v>
      </c>
      <c r="O1006">
        <v>1.4</v>
      </c>
      <c r="P1006">
        <v>3</v>
      </c>
      <c r="Q1006" t="s">
        <v>9</v>
      </c>
    </row>
    <row r="1007" spans="8:17" x14ac:dyDescent="0.25">
      <c r="H1007" t="s">
        <v>10</v>
      </c>
      <c r="J1007">
        <v>1.2</v>
      </c>
      <c r="K1007" t="s">
        <v>10</v>
      </c>
      <c r="M1007" t="s">
        <v>605</v>
      </c>
      <c r="N1007" t="s">
        <v>604</v>
      </c>
      <c r="O1007">
        <v>1.4</v>
      </c>
      <c r="P1007">
        <v>3</v>
      </c>
      <c r="Q1007" t="s">
        <v>9</v>
      </c>
    </row>
    <row r="1008" spans="8:17" x14ac:dyDescent="0.25">
      <c r="H1008" t="s">
        <v>10</v>
      </c>
      <c r="J1008">
        <v>1.23</v>
      </c>
      <c r="K1008" t="s">
        <v>10</v>
      </c>
      <c r="M1008" t="s">
        <v>605</v>
      </c>
      <c r="N1008" t="s">
        <v>604</v>
      </c>
      <c r="O1008">
        <v>1.4</v>
      </c>
      <c r="P1008">
        <v>3</v>
      </c>
      <c r="Q1008" t="s">
        <v>9</v>
      </c>
    </row>
    <row r="1009" spans="8:17" x14ac:dyDescent="0.25">
      <c r="H1009" t="s">
        <v>10</v>
      </c>
      <c r="J1009">
        <v>1.24</v>
      </c>
      <c r="K1009" t="s">
        <v>10</v>
      </c>
      <c r="M1009" t="s">
        <v>606</v>
      </c>
      <c r="N1009" t="s">
        <v>604</v>
      </c>
      <c r="O1009">
        <v>2.8</v>
      </c>
      <c r="P1009">
        <v>1.47</v>
      </c>
      <c r="Q1009" t="s">
        <v>9</v>
      </c>
    </row>
    <row r="1010" spans="8:17" x14ac:dyDescent="0.25">
      <c r="H1010" t="s">
        <v>10</v>
      </c>
      <c r="J1010">
        <v>1.24</v>
      </c>
      <c r="K1010" t="s">
        <v>10</v>
      </c>
      <c r="M1010" t="s">
        <v>606</v>
      </c>
      <c r="N1010" t="s">
        <v>604</v>
      </c>
      <c r="O1010">
        <v>2.6</v>
      </c>
      <c r="P1010">
        <v>1.52</v>
      </c>
      <c r="Q1010" t="s">
        <v>9</v>
      </c>
    </row>
    <row r="1011" spans="8:17" x14ac:dyDescent="0.25">
      <c r="H1011" t="s">
        <v>10</v>
      </c>
      <c r="J1011">
        <v>1.2</v>
      </c>
      <c r="K1011" t="s">
        <v>10</v>
      </c>
      <c r="M1011" t="s">
        <v>606</v>
      </c>
      <c r="N1011" t="s">
        <v>604</v>
      </c>
      <c r="O1011">
        <v>2.7</v>
      </c>
      <c r="P1011">
        <v>1.49</v>
      </c>
      <c r="Q1011" t="s">
        <v>9</v>
      </c>
    </row>
    <row r="1012" spans="8:17" x14ac:dyDescent="0.25">
      <c r="H1012" t="s">
        <v>10</v>
      </c>
      <c r="J1012">
        <v>1.2</v>
      </c>
      <c r="K1012" t="s">
        <v>10</v>
      </c>
      <c r="M1012" t="s">
        <v>606</v>
      </c>
      <c r="N1012" t="s">
        <v>604</v>
      </c>
      <c r="O1012">
        <v>2.7</v>
      </c>
      <c r="P1012">
        <v>1.5</v>
      </c>
      <c r="Q1012" t="s">
        <v>9</v>
      </c>
    </row>
    <row r="1013" spans="8:17" x14ac:dyDescent="0.25">
      <c r="H1013" t="s">
        <v>10</v>
      </c>
      <c r="J1013">
        <v>1.22</v>
      </c>
      <c r="K1013" t="s">
        <v>10</v>
      </c>
      <c r="M1013" t="s">
        <v>606</v>
      </c>
      <c r="N1013" t="s">
        <v>604</v>
      </c>
      <c r="O1013">
        <v>2.7</v>
      </c>
      <c r="P1013">
        <v>1.49</v>
      </c>
      <c r="Q1013" t="s">
        <v>9</v>
      </c>
    </row>
    <row r="1014" spans="8:17" x14ac:dyDescent="0.25">
      <c r="H1014" t="s">
        <v>10</v>
      </c>
      <c r="J1014">
        <v>1.22</v>
      </c>
      <c r="K1014" t="s">
        <v>10</v>
      </c>
      <c r="M1014" t="s">
        <v>606</v>
      </c>
      <c r="N1014" t="s">
        <v>604</v>
      </c>
      <c r="O1014">
        <v>2.7</v>
      </c>
      <c r="P1014">
        <v>1.49</v>
      </c>
      <c r="Q1014" t="s">
        <v>9</v>
      </c>
    </row>
    <row r="1015" spans="8:17" x14ac:dyDescent="0.25">
      <c r="H1015" t="s">
        <v>10</v>
      </c>
      <c r="J1015">
        <v>1.77</v>
      </c>
      <c r="K1015" t="s">
        <v>10</v>
      </c>
      <c r="M1015" t="s">
        <v>606</v>
      </c>
      <c r="N1015" t="s">
        <v>604</v>
      </c>
      <c r="O1015">
        <v>2.7</v>
      </c>
      <c r="P1015">
        <v>1.49</v>
      </c>
      <c r="Q1015" t="s">
        <v>9</v>
      </c>
    </row>
    <row r="1016" spans="8:17" x14ac:dyDescent="0.25">
      <c r="H1016" t="s">
        <v>10</v>
      </c>
      <c r="J1016">
        <v>1.77</v>
      </c>
      <c r="K1016" t="s">
        <v>10</v>
      </c>
      <c r="M1016" t="s">
        <v>607</v>
      </c>
      <c r="N1016" t="s">
        <v>604</v>
      </c>
      <c r="O1016">
        <v>2.02</v>
      </c>
      <c r="P1016">
        <v>1.83</v>
      </c>
      <c r="Q1016" t="s">
        <v>9</v>
      </c>
    </row>
    <row r="1017" spans="8:17" x14ac:dyDescent="0.25">
      <c r="H1017" t="s">
        <v>10</v>
      </c>
      <c r="J1017">
        <v>1.77</v>
      </c>
      <c r="K1017" t="s">
        <v>10</v>
      </c>
      <c r="M1017" t="s">
        <v>607</v>
      </c>
      <c r="N1017" t="s">
        <v>604</v>
      </c>
      <c r="O1017">
        <v>2</v>
      </c>
      <c r="P1017">
        <v>1.83</v>
      </c>
      <c r="Q1017" t="s">
        <v>9</v>
      </c>
    </row>
    <row r="1018" spans="8:17" x14ac:dyDescent="0.25">
      <c r="H1018" t="s">
        <v>10</v>
      </c>
      <c r="J1018">
        <v>1.77</v>
      </c>
      <c r="K1018" t="s">
        <v>10</v>
      </c>
      <c r="M1018" t="s">
        <v>607</v>
      </c>
      <c r="N1018" t="s">
        <v>604</v>
      </c>
      <c r="O1018">
        <v>2</v>
      </c>
      <c r="P1018">
        <v>1.83</v>
      </c>
      <c r="Q1018" t="s">
        <v>9</v>
      </c>
    </row>
    <row r="1019" spans="8:17" x14ac:dyDescent="0.25">
      <c r="H1019" t="s">
        <v>10</v>
      </c>
      <c r="J1019">
        <v>1.77</v>
      </c>
      <c r="K1019" t="s">
        <v>10</v>
      </c>
      <c r="M1019" t="s">
        <v>607</v>
      </c>
      <c r="N1019" t="s">
        <v>604</v>
      </c>
      <c r="O1019">
        <v>2</v>
      </c>
      <c r="P1019">
        <v>1.83</v>
      </c>
      <c r="Q1019" t="s">
        <v>9</v>
      </c>
    </row>
    <row r="1020" spans="8:17" x14ac:dyDescent="0.25">
      <c r="H1020" t="s">
        <v>10</v>
      </c>
      <c r="J1020">
        <v>1.72</v>
      </c>
      <c r="K1020" t="s">
        <v>10</v>
      </c>
      <c r="M1020" t="s">
        <v>607</v>
      </c>
      <c r="N1020" t="s">
        <v>604</v>
      </c>
      <c r="O1020">
        <v>2</v>
      </c>
      <c r="P1020">
        <v>1.82</v>
      </c>
      <c r="Q1020" t="s">
        <v>9</v>
      </c>
    </row>
    <row r="1021" spans="8:17" x14ac:dyDescent="0.25">
      <c r="H1021" t="s">
        <v>10</v>
      </c>
      <c r="J1021">
        <v>1.77</v>
      </c>
      <c r="K1021" t="s">
        <v>10</v>
      </c>
      <c r="M1021" t="s">
        <v>607</v>
      </c>
      <c r="N1021" t="s">
        <v>604</v>
      </c>
      <c r="O1021">
        <v>2</v>
      </c>
      <c r="P1021">
        <v>1.82</v>
      </c>
      <c r="Q1021" t="s">
        <v>9</v>
      </c>
    </row>
    <row r="1022" spans="8:17" x14ac:dyDescent="0.25">
      <c r="H1022" t="s">
        <v>10</v>
      </c>
      <c r="J1022">
        <v>1.77</v>
      </c>
      <c r="K1022" t="s">
        <v>10</v>
      </c>
      <c r="M1022" t="s">
        <v>607</v>
      </c>
      <c r="N1022" t="s">
        <v>604</v>
      </c>
      <c r="O1022">
        <v>2</v>
      </c>
      <c r="P1022">
        <v>1.82</v>
      </c>
      <c r="Q1022" t="s">
        <v>9</v>
      </c>
    </row>
    <row r="1023" spans="8:17" x14ac:dyDescent="0.25">
      <c r="H1023" t="s">
        <v>10</v>
      </c>
      <c r="J1023">
        <v>1.77</v>
      </c>
      <c r="K1023" t="s">
        <v>10</v>
      </c>
      <c r="M1023" t="s">
        <v>608</v>
      </c>
      <c r="N1023" t="s">
        <v>604</v>
      </c>
      <c r="O1023">
        <v>1.85</v>
      </c>
      <c r="P1023">
        <v>2</v>
      </c>
      <c r="Q1023" t="s">
        <v>9</v>
      </c>
    </row>
    <row r="1024" spans="8:17" x14ac:dyDescent="0.25">
      <c r="H1024" t="s">
        <v>10</v>
      </c>
      <c r="J1024">
        <v>1.77</v>
      </c>
      <c r="K1024" t="s">
        <v>10</v>
      </c>
      <c r="M1024" t="s">
        <v>608</v>
      </c>
      <c r="N1024" t="s">
        <v>604</v>
      </c>
      <c r="O1024">
        <v>1.83</v>
      </c>
      <c r="P1024">
        <v>2</v>
      </c>
      <c r="Q1024" t="s">
        <v>9</v>
      </c>
    </row>
    <row r="1025" spans="8:17" x14ac:dyDescent="0.25">
      <c r="H1025" t="s">
        <v>10</v>
      </c>
      <c r="J1025">
        <v>1.74</v>
      </c>
      <c r="K1025" t="s">
        <v>10</v>
      </c>
      <c r="M1025" t="s">
        <v>608</v>
      </c>
      <c r="N1025" t="s">
        <v>604</v>
      </c>
      <c r="O1025">
        <v>1.83</v>
      </c>
      <c r="P1025">
        <v>2</v>
      </c>
      <c r="Q1025" t="s">
        <v>9</v>
      </c>
    </row>
    <row r="1026" spans="8:17" x14ac:dyDescent="0.25">
      <c r="H1026" t="s">
        <v>10</v>
      </c>
      <c r="J1026">
        <v>2.6</v>
      </c>
      <c r="K1026" t="s">
        <v>10</v>
      </c>
      <c r="M1026" t="s">
        <v>608</v>
      </c>
      <c r="N1026" t="s">
        <v>604</v>
      </c>
      <c r="O1026">
        <v>1.83</v>
      </c>
      <c r="P1026">
        <v>2</v>
      </c>
      <c r="Q1026" t="s">
        <v>9</v>
      </c>
    </row>
    <row r="1027" spans="8:17" x14ac:dyDescent="0.25">
      <c r="H1027" t="s">
        <v>10</v>
      </c>
      <c r="J1027">
        <v>2.65</v>
      </c>
      <c r="K1027" t="s">
        <v>10</v>
      </c>
      <c r="M1027" t="s">
        <v>608</v>
      </c>
      <c r="N1027" t="s">
        <v>604</v>
      </c>
      <c r="O1027">
        <v>1.82</v>
      </c>
      <c r="P1027">
        <v>2</v>
      </c>
      <c r="Q1027" t="s">
        <v>9</v>
      </c>
    </row>
    <row r="1028" spans="8:17" x14ac:dyDescent="0.25">
      <c r="H1028" t="s">
        <v>10</v>
      </c>
      <c r="J1028">
        <v>2.6</v>
      </c>
      <c r="K1028" t="s">
        <v>10</v>
      </c>
      <c r="M1028" t="s">
        <v>608</v>
      </c>
      <c r="N1028" t="s">
        <v>604</v>
      </c>
      <c r="O1028">
        <v>1.82</v>
      </c>
      <c r="P1028">
        <v>2</v>
      </c>
      <c r="Q1028" t="s">
        <v>9</v>
      </c>
    </row>
    <row r="1029" spans="8:17" x14ac:dyDescent="0.25">
      <c r="H1029" t="s">
        <v>10</v>
      </c>
      <c r="J1029">
        <v>2.64</v>
      </c>
      <c r="K1029" t="s">
        <v>10</v>
      </c>
      <c r="M1029" t="s">
        <v>608</v>
      </c>
      <c r="N1029" t="s">
        <v>604</v>
      </c>
      <c r="O1029">
        <v>1.82</v>
      </c>
      <c r="P1029">
        <v>2</v>
      </c>
      <c r="Q1029" t="s">
        <v>9</v>
      </c>
    </row>
    <row r="1030" spans="8:17" x14ac:dyDescent="0.25">
      <c r="H1030" t="s">
        <v>10</v>
      </c>
      <c r="J1030">
        <v>2.68</v>
      </c>
      <c r="K1030" t="s">
        <v>10</v>
      </c>
      <c r="M1030" t="s">
        <v>609</v>
      </c>
      <c r="N1030" t="s">
        <v>604</v>
      </c>
      <c r="O1030">
        <v>1.89</v>
      </c>
      <c r="P1030">
        <v>1.96</v>
      </c>
      <c r="Q1030" t="s">
        <v>9</v>
      </c>
    </row>
    <row r="1031" spans="8:17" x14ac:dyDescent="0.25">
      <c r="H1031" t="s">
        <v>10</v>
      </c>
      <c r="J1031">
        <v>2.52</v>
      </c>
      <c r="K1031" t="s">
        <v>10</v>
      </c>
      <c r="M1031" t="s">
        <v>609</v>
      </c>
      <c r="N1031" t="s">
        <v>604</v>
      </c>
      <c r="O1031">
        <v>1.91</v>
      </c>
      <c r="P1031">
        <v>1.91</v>
      </c>
      <c r="Q1031" t="s">
        <v>9</v>
      </c>
    </row>
    <row r="1032" spans="8:17" x14ac:dyDescent="0.25">
      <c r="H1032" t="s">
        <v>10</v>
      </c>
      <c r="J1032">
        <v>2.5</v>
      </c>
      <c r="K1032" t="s">
        <v>10</v>
      </c>
      <c r="M1032" t="s">
        <v>609</v>
      </c>
      <c r="N1032" t="s">
        <v>604</v>
      </c>
      <c r="O1032">
        <v>1.91</v>
      </c>
      <c r="P1032">
        <v>1.91</v>
      </c>
      <c r="Q1032" t="s">
        <v>9</v>
      </c>
    </row>
    <row r="1033" spans="8:17" x14ac:dyDescent="0.25">
      <c r="H1033" t="s">
        <v>10</v>
      </c>
      <c r="J1033">
        <v>2.5</v>
      </c>
      <c r="K1033" t="s">
        <v>10</v>
      </c>
      <c r="M1033" t="s">
        <v>609</v>
      </c>
      <c r="N1033" t="s">
        <v>604</v>
      </c>
      <c r="O1033">
        <v>1.88</v>
      </c>
      <c r="P1033">
        <v>1.93</v>
      </c>
      <c r="Q1033" t="s">
        <v>9</v>
      </c>
    </row>
    <row r="1034" spans="8:17" x14ac:dyDescent="0.25">
      <c r="H1034" t="s">
        <v>10</v>
      </c>
      <c r="J1034">
        <v>2.6</v>
      </c>
      <c r="K1034" t="s">
        <v>10</v>
      </c>
      <c r="M1034" t="s">
        <v>609</v>
      </c>
      <c r="N1034" t="s">
        <v>604</v>
      </c>
      <c r="O1034">
        <v>1.88</v>
      </c>
      <c r="P1034">
        <v>1.93</v>
      </c>
      <c r="Q1034" t="s">
        <v>9</v>
      </c>
    </row>
    <row r="1035" spans="8:17" x14ac:dyDescent="0.25">
      <c r="H1035" t="s">
        <v>10</v>
      </c>
      <c r="J1035">
        <v>2.5</v>
      </c>
      <c r="K1035" t="s">
        <v>10</v>
      </c>
      <c r="M1035" t="s">
        <v>609</v>
      </c>
      <c r="N1035" t="s">
        <v>604</v>
      </c>
      <c r="O1035">
        <v>1.88</v>
      </c>
      <c r="P1035">
        <v>1.93</v>
      </c>
      <c r="Q1035" t="s">
        <v>9</v>
      </c>
    </row>
    <row r="1036" spans="8:17" x14ac:dyDescent="0.25">
      <c r="H1036" t="s">
        <v>10</v>
      </c>
      <c r="J1036">
        <v>2.5499999999999998</v>
      </c>
      <c r="K1036" t="s">
        <v>10</v>
      </c>
      <c r="M1036" t="s">
        <v>610</v>
      </c>
      <c r="N1036" t="s">
        <v>611</v>
      </c>
      <c r="O1036">
        <v>2.14</v>
      </c>
      <c r="P1036">
        <v>1.75</v>
      </c>
      <c r="Q1036" t="s">
        <v>9</v>
      </c>
    </row>
    <row r="1037" spans="8:17" x14ac:dyDescent="0.25">
      <c r="H1037" t="s">
        <v>10</v>
      </c>
      <c r="J1037">
        <v>1.57</v>
      </c>
      <c r="K1037" t="s">
        <v>10</v>
      </c>
      <c r="M1037" t="s">
        <v>610</v>
      </c>
      <c r="N1037" t="s">
        <v>611</v>
      </c>
      <c r="O1037">
        <v>2.1</v>
      </c>
      <c r="P1037">
        <v>1.77</v>
      </c>
      <c r="Q1037" t="s">
        <v>9</v>
      </c>
    </row>
    <row r="1038" spans="8:17" x14ac:dyDescent="0.25">
      <c r="H1038" t="s">
        <v>10</v>
      </c>
      <c r="J1038">
        <v>1.52</v>
      </c>
      <c r="K1038" t="s">
        <v>10</v>
      </c>
      <c r="M1038" t="s">
        <v>610</v>
      </c>
      <c r="N1038" t="s">
        <v>611</v>
      </c>
      <c r="O1038">
        <v>2.15</v>
      </c>
      <c r="P1038">
        <v>1.74</v>
      </c>
      <c r="Q1038" t="s">
        <v>9</v>
      </c>
    </row>
    <row r="1039" spans="8:17" x14ac:dyDescent="0.25">
      <c r="H1039" t="s">
        <v>10</v>
      </c>
      <c r="J1039">
        <v>1.57</v>
      </c>
      <c r="K1039" t="s">
        <v>10</v>
      </c>
      <c r="M1039" t="s">
        <v>610</v>
      </c>
      <c r="N1039" t="s">
        <v>611</v>
      </c>
      <c r="O1039">
        <v>2.15</v>
      </c>
      <c r="P1039">
        <v>1.74</v>
      </c>
      <c r="Q1039" t="s">
        <v>9</v>
      </c>
    </row>
    <row r="1040" spans="8:17" x14ac:dyDescent="0.25">
      <c r="H1040" t="s">
        <v>10</v>
      </c>
      <c r="J1040">
        <v>1.54</v>
      </c>
      <c r="K1040" t="s">
        <v>10</v>
      </c>
      <c r="M1040" t="s">
        <v>610</v>
      </c>
      <c r="N1040" t="s">
        <v>611</v>
      </c>
      <c r="O1040">
        <v>2.12</v>
      </c>
      <c r="P1040">
        <v>1.74</v>
      </c>
      <c r="Q1040" t="s">
        <v>9</v>
      </c>
    </row>
    <row r="1041" spans="8:17" x14ac:dyDescent="0.25">
      <c r="H1041" t="s">
        <v>10</v>
      </c>
      <c r="J1041">
        <v>1.57</v>
      </c>
      <c r="K1041" t="s">
        <v>10</v>
      </c>
      <c r="M1041" t="s">
        <v>610</v>
      </c>
      <c r="N1041" t="s">
        <v>611</v>
      </c>
      <c r="O1041">
        <v>2.12</v>
      </c>
      <c r="P1041">
        <v>1.74</v>
      </c>
      <c r="Q1041" t="s">
        <v>9</v>
      </c>
    </row>
    <row r="1042" spans="8:17" x14ac:dyDescent="0.25">
      <c r="H1042" t="s">
        <v>10</v>
      </c>
      <c r="J1042">
        <v>1.47</v>
      </c>
      <c r="K1042" t="s">
        <v>10</v>
      </c>
      <c r="M1042" t="s">
        <v>610</v>
      </c>
      <c r="N1042" t="s">
        <v>611</v>
      </c>
      <c r="O1042">
        <v>2.12</v>
      </c>
      <c r="P1042">
        <v>1.74</v>
      </c>
      <c r="Q1042" t="s">
        <v>9</v>
      </c>
    </row>
    <row r="1043" spans="8:17" x14ac:dyDescent="0.25">
      <c r="H1043" t="s">
        <v>10</v>
      </c>
      <c r="J1043">
        <v>1.48</v>
      </c>
      <c r="K1043" t="s">
        <v>10</v>
      </c>
      <c r="M1043" t="s">
        <v>612</v>
      </c>
      <c r="N1043" t="s">
        <v>611</v>
      </c>
      <c r="O1043">
        <v>2</v>
      </c>
      <c r="P1043">
        <v>1.85</v>
      </c>
      <c r="Q1043" t="s">
        <v>9</v>
      </c>
    </row>
    <row r="1044" spans="8:17" x14ac:dyDescent="0.25">
      <c r="H1044" t="s">
        <v>10</v>
      </c>
      <c r="J1044">
        <v>1.48</v>
      </c>
      <c r="K1044" t="s">
        <v>10</v>
      </c>
      <c r="M1044" t="s">
        <v>612</v>
      </c>
      <c r="N1044" t="s">
        <v>611</v>
      </c>
      <c r="O1044">
        <v>1.95</v>
      </c>
      <c r="P1044">
        <v>1.87</v>
      </c>
      <c r="Q1044" t="s">
        <v>9</v>
      </c>
    </row>
    <row r="1045" spans="8:17" x14ac:dyDescent="0.25">
      <c r="H1045" t="s">
        <v>10</v>
      </c>
      <c r="J1045">
        <v>1.53</v>
      </c>
      <c r="K1045" t="s">
        <v>10</v>
      </c>
      <c r="M1045" t="s">
        <v>612</v>
      </c>
      <c r="N1045" t="s">
        <v>611</v>
      </c>
      <c r="O1045">
        <v>2</v>
      </c>
      <c r="P1045">
        <v>1.83</v>
      </c>
      <c r="Q1045" t="s">
        <v>9</v>
      </c>
    </row>
    <row r="1046" spans="8:17" x14ac:dyDescent="0.25">
      <c r="H1046" t="s">
        <v>10</v>
      </c>
      <c r="J1046">
        <v>1.53</v>
      </c>
      <c r="K1046" t="s">
        <v>10</v>
      </c>
      <c r="M1046" t="s">
        <v>612</v>
      </c>
      <c r="N1046" t="s">
        <v>611</v>
      </c>
      <c r="O1046">
        <v>2</v>
      </c>
      <c r="P1046">
        <v>1.83</v>
      </c>
      <c r="Q1046" t="s">
        <v>9</v>
      </c>
    </row>
    <row r="1047" spans="8:17" x14ac:dyDescent="0.25">
      <c r="H1047" t="s">
        <v>10</v>
      </c>
      <c r="J1047">
        <v>1.53</v>
      </c>
      <c r="K1047" t="s">
        <v>10</v>
      </c>
      <c r="M1047" t="s">
        <v>612</v>
      </c>
      <c r="N1047" t="s">
        <v>611</v>
      </c>
      <c r="O1047">
        <v>2</v>
      </c>
      <c r="P1047">
        <v>1.83</v>
      </c>
      <c r="Q1047" t="s">
        <v>9</v>
      </c>
    </row>
    <row r="1048" spans="8:17" x14ac:dyDescent="0.25">
      <c r="H1048" t="s">
        <v>10</v>
      </c>
      <c r="J1048">
        <v>1.3</v>
      </c>
      <c r="K1048" t="s">
        <v>10</v>
      </c>
      <c r="M1048" t="s">
        <v>613</v>
      </c>
      <c r="N1048" t="s">
        <v>614</v>
      </c>
      <c r="O1048">
        <v>1.25</v>
      </c>
      <c r="P1048">
        <v>4.1500000000000004</v>
      </c>
      <c r="Q1048" t="s">
        <v>9</v>
      </c>
    </row>
    <row r="1049" spans="8:17" x14ac:dyDescent="0.25">
      <c r="H1049" t="s">
        <v>10</v>
      </c>
      <c r="J1049">
        <v>1.3</v>
      </c>
      <c r="K1049" t="s">
        <v>10</v>
      </c>
      <c r="M1049" t="s">
        <v>613</v>
      </c>
      <c r="N1049" t="s">
        <v>614</v>
      </c>
      <c r="O1049">
        <v>1.24</v>
      </c>
      <c r="P1049">
        <v>4.3</v>
      </c>
      <c r="Q1049" t="s">
        <v>9</v>
      </c>
    </row>
    <row r="1050" spans="8:17" x14ac:dyDescent="0.25">
      <c r="H1050" t="s">
        <v>10</v>
      </c>
      <c r="J1050">
        <v>1.28</v>
      </c>
      <c r="K1050" t="s">
        <v>10</v>
      </c>
      <c r="M1050" t="s">
        <v>613</v>
      </c>
      <c r="N1050" t="s">
        <v>614</v>
      </c>
      <c r="O1050">
        <v>1.23</v>
      </c>
      <c r="P1050">
        <v>4.28</v>
      </c>
      <c r="Q1050" t="s">
        <v>9</v>
      </c>
    </row>
    <row r="1051" spans="8:17" x14ac:dyDescent="0.25">
      <c r="H1051" t="s">
        <v>10</v>
      </c>
      <c r="J1051">
        <v>1.29</v>
      </c>
      <c r="K1051" t="s">
        <v>10</v>
      </c>
      <c r="M1051" t="s">
        <v>613</v>
      </c>
      <c r="N1051" t="s">
        <v>614</v>
      </c>
      <c r="O1051">
        <v>1.23</v>
      </c>
      <c r="P1051">
        <v>4.2</v>
      </c>
      <c r="Q1051" t="s">
        <v>9</v>
      </c>
    </row>
    <row r="1052" spans="8:17" x14ac:dyDescent="0.25">
      <c r="H1052" t="s">
        <v>10</v>
      </c>
      <c r="J1052">
        <v>1.29</v>
      </c>
      <c r="K1052" t="s">
        <v>10</v>
      </c>
      <c r="M1052" t="s">
        <v>613</v>
      </c>
      <c r="N1052" t="s">
        <v>614</v>
      </c>
      <c r="O1052">
        <v>1.24</v>
      </c>
      <c r="P1052">
        <v>4.1500000000000004</v>
      </c>
      <c r="Q1052" t="s">
        <v>9</v>
      </c>
    </row>
    <row r="1053" spans="8:17" x14ac:dyDescent="0.25">
      <c r="H1053" t="s">
        <v>10</v>
      </c>
      <c r="J1053">
        <v>1.27</v>
      </c>
      <c r="K1053" t="s">
        <v>10</v>
      </c>
      <c r="M1053" t="s">
        <v>613</v>
      </c>
      <c r="N1053" t="s">
        <v>614</v>
      </c>
      <c r="O1053">
        <v>1.24</v>
      </c>
      <c r="P1053">
        <v>4.1500000000000004</v>
      </c>
      <c r="Q1053" t="s">
        <v>9</v>
      </c>
    </row>
    <row r="1054" spans="8:17" x14ac:dyDescent="0.25">
      <c r="H1054" t="s">
        <v>10</v>
      </c>
      <c r="J1054">
        <v>1.28</v>
      </c>
      <c r="K1054" t="s">
        <v>10</v>
      </c>
      <c r="M1054" t="s">
        <v>613</v>
      </c>
      <c r="N1054" t="s">
        <v>614</v>
      </c>
      <c r="O1054">
        <v>1.24</v>
      </c>
      <c r="P1054">
        <v>4.1500000000000004</v>
      </c>
      <c r="Q1054" t="s">
        <v>9</v>
      </c>
    </row>
    <row r="1055" spans="8:17" x14ac:dyDescent="0.25">
      <c r="H1055" t="s">
        <v>10</v>
      </c>
      <c r="J1055">
        <v>1.28</v>
      </c>
      <c r="K1055" t="s">
        <v>10</v>
      </c>
      <c r="M1055" t="s">
        <v>615</v>
      </c>
      <c r="N1055" t="s">
        <v>614</v>
      </c>
      <c r="O1055">
        <v>2.62</v>
      </c>
      <c r="P1055">
        <v>1.52</v>
      </c>
      <c r="Q1055" t="s">
        <v>9</v>
      </c>
    </row>
    <row r="1056" spans="8:17" x14ac:dyDescent="0.25">
      <c r="H1056" t="s">
        <v>10</v>
      </c>
      <c r="J1056">
        <v>1.29</v>
      </c>
      <c r="K1056" t="s">
        <v>10</v>
      </c>
      <c r="M1056" t="s">
        <v>615</v>
      </c>
      <c r="N1056" t="s">
        <v>614</v>
      </c>
      <c r="O1056">
        <v>2.6</v>
      </c>
      <c r="P1056">
        <v>1.52</v>
      </c>
      <c r="Q1056" t="s">
        <v>9</v>
      </c>
    </row>
    <row r="1057" spans="8:17" x14ac:dyDescent="0.25">
      <c r="H1057" t="s">
        <v>10</v>
      </c>
      <c r="J1057">
        <v>1.3</v>
      </c>
      <c r="K1057" t="s">
        <v>10</v>
      </c>
      <c r="M1057" t="s">
        <v>615</v>
      </c>
      <c r="N1057" t="s">
        <v>614</v>
      </c>
      <c r="O1057">
        <v>2.58</v>
      </c>
      <c r="P1057">
        <v>1.53</v>
      </c>
      <c r="Q1057" t="s">
        <v>9</v>
      </c>
    </row>
    <row r="1058" spans="8:17" x14ac:dyDescent="0.25">
      <c r="H1058" t="s">
        <v>10</v>
      </c>
      <c r="J1058">
        <v>1.29</v>
      </c>
      <c r="K1058" t="s">
        <v>10</v>
      </c>
      <c r="M1058" t="s">
        <v>615</v>
      </c>
      <c r="N1058" t="s">
        <v>614</v>
      </c>
      <c r="O1058">
        <v>2.65</v>
      </c>
      <c r="P1058">
        <v>1.51</v>
      </c>
      <c r="Q1058" t="s">
        <v>9</v>
      </c>
    </row>
    <row r="1059" spans="8:17" x14ac:dyDescent="0.25">
      <c r="H1059" t="s">
        <v>10</v>
      </c>
      <c r="J1059">
        <v>3</v>
      </c>
      <c r="K1059" t="s">
        <v>10</v>
      </c>
      <c r="M1059" t="s">
        <v>615</v>
      </c>
      <c r="N1059" t="s">
        <v>614</v>
      </c>
      <c r="O1059">
        <v>2.5499999999999998</v>
      </c>
      <c r="P1059">
        <v>1.53</v>
      </c>
      <c r="Q1059" t="s">
        <v>9</v>
      </c>
    </row>
    <row r="1060" spans="8:17" x14ac:dyDescent="0.25">
      <c r="H1060" t="s">
        <v>10</v>
      </c>
      <c r="J1060">
        <v>3</v>
      </c>
      <c r="K1060" t="s">
        <v>10</v>
      </c>
      <c r="M1060" t="s">
        <v>615</v>
      </c>
      <c r="N1060" t="s">
        <v>614</v>
      </c>
      <c r="O1060">
        <v>2.5499999999999998</v>
      </c>
      <c r="P1060">
        <v>1.53</v>
      </c>
      <c r="Q1060" t="s">
        <v>9</v>
      </c>
    </row>
    <row r="1061" spans="8:17" x14ac:dyDescent="0.25">
      <c r="H1061" t="s">
        <v>10</v>
      </c>
      <c r="J1061">
        <v>3</v>
      </c>
      <c r="K1061" t="s">
        <v>10</v>
      </c>
      <c r="M1061" t="s">
        <v>615</v>
      </c>
      <c r="N1061" t="s">
        <v>614</v>
      </c>
      <c r="O1061">
        <v>2.5499999999999998</v>
      </c>
      <c r="P1061">
        <v>1.53</v>
      </c>
      <c r="Q1061" t="s">
        <v>9</v>
      </c>
    </row>
    <row r="1062" spans="8:17" x14ac:dyDescent="0.25">
      <c r="H1062" t="s">
        <v>10</v>
      </c>
      <c r="J1062">
        <v>3.05</v>
      </c>
      <c r="K1062" t="s">
        <v>10</v>
      </c>
      <c r="M1062" t="s">
        <v>616</v>
      </c>
      <c r="N1062" t="s">
        <v>617</v>
      </c>
      <c r="O1062">
        <v>1.6</v>
      </c>
      <c r="P1062">
        <v>2.4</v>
      </c>
      <c r="Q1062" t="s">
        <v>9</v>
      </c>
    </row>
    <row r="1063" spans="8:17" x14ac:dyDescent="0.25">
      <c r="H1063" t="s">
        <v>10</v>
      </c>
      <c r="J1063">
        <v>2.95</v>
      </c>
      <c r="K1063" t="s">
        <v>10</v>
      </c>
      <c r="M1063" t="s">
        <v>616</v>
      </c>
      <c r="N1063" t="s">
        <v>617</v>
      </c>
      <c r="O1063">
        <v>1.6</v>
      </c>
      <c r="P1063">
        <v>2.4</v>
      </c>
      <c r="Q1063" t="s">
        <v>9</v>
      </c>
    </row>
    <row r="1064" spans="8:17" x14ac:dyDescent="0.25">
      <c r="H1064" t="s">
        <v>10</v>
      </c>
      <c r="J1064">
        <v>2.95</v>
      </c>
      <c r="K1064" t="s">
        <v>10</v>
      </c>
      <c r="M1064" t="s">
        <v>616</v>
      </c>
      <c r="N1064" t="s">
        <v>617</v>
      </c>
      <c r="O1064">
        <v>1.56</v>
      </c>
      <c r="P1064">
        <v>2.5</v>
      </c>
      <c r="Q1064" t="s">
        <v>9</v>
      </c>
    </row>
    <row r="1065" spans="8:17" x14ac:dyDescent="0.25">
      <c r="H1065" t="s">
        <v>10</v>
      </c>
      <c r="J1065">
        <v>3</v>
      </c>
      <c r="K1065" t="s">
        <v>10</v>
      </c>
      <c r="M1065" t="s">
        <v>616</v>
      </c>
      <c r="N1065" t="s">
        <v>617</v>
      </c>
      <c r="O1065">
        <v>1.57</v>
      </c>
      <c r="P1065">
        <v>2.5</v>
      </c>
      <c r="Q1065" t="s">
        <v>9</v>
      </c>
    </row>
    <row r="1066" spans="8:17" x14ac:dyDescent="0.25">
      <c r="H1066" t="s">
        <v>10</v>
      </c>
      <c r="J1066">
        <v>2.88</v>
      </c>
      <c r="K1066" t="s">
        <v>10</v>
      </c>
      <c r="M1066" t="s">
        <v>616</v>
      </c>
      <c r="N1066" t="s">
        <v>617</v>
      </c>
      <c r="O1066">
        <v>1.6</v>
      </c>
      <c r="P1066">
        <v>2.36</v>
      </c>
      <c r="Q1066" t="s">
        <v>9</v>
      </c>
    </row>
    <row r="1067" spans="8:17" x14ac:dyDescent="0.25">
      <c r="H1067" t="s">
        <v>10</v>
      </c>
      <c r="J1067">
        <v>2.88</v>
      </c>
      <c r="K1067" t="s">
        <v>10</v>
      </c>
      <c r="M1067" t="s">
        <v>616</v>
      </c>
      <c r="N1067" t="s">
        <v>617</v>
      </c>
      <c r="O1067">
        <v>1.6</v>
      </c>
      <c r="P1067">
        <v>2.36</v>
      </c>
      <c r="Q1067" t="s">
        <v>9</v>
      </c>
    </row>
    <row r="1068" spans="8:17" x14ac:dyDescent="0.25">
      <c r="H1068" t="s">
        <v>10</v>
      </c>
      <c r="J1068">
        <v>3</v>
      </c>
      <c r="K1068" t="s">
        <v>10</v>
      </c>
      <c r="M1068" t="s">
        <v>616</v>
      </c>
      <c r="N1068" t="s">
        <v>617</v>
      </c>
      <c r="O1068">
        <v>1.6</v>
      </c>
      <c r="P1068">
        <v>2.36</v>
      </c>
      <c r="Q1068" t="s">
        <v>9</v>
      </c>
    </row>
    <row r="1069" spans="8:17" x14ac:dyDescent="0.25">
      <c r="H1069" t="s">
        <v>10</v>
      </c>
      <c r="J1069">
        <v>3.1</v>
      </c>
      <c r="K1069" t="s">
        <v>10</v>
      </c>
      <c r="M1069" t="s">
        <v>618</v>
      </c>
      <c r="N1069" t="s">
        <v>619</v>
      </c>
      <c r="O1069">
        <v>2.68</v>
      </c>
      <c r="P1069">
        <v>1.5</v>
      </c>
      <c r="Q1069" t="s">
        <v>9</v>
      </c>
    </row>
    <row r="1070" spans="8:17" x14ac:dyDescent="0.25">
      <c r="H1070" t="s">
        <v>10</v>
      </c>
      <c r="J1070">
        <v>1.43</v>
      </c>
      <c r="K1070" t="s">
        <v>10</v>
      </c>
      <c r="M1070" t="s">
        <v>618</v>
      </c>
      <c r="N1070" t="s">
        <v>619</v>
      </c>
      <c r="O1070">
        <v>2.4500000000000002</v>
      </c>
      <c r="P1070">
        <v>1.57</v>
      </c>
      <c r="Q1070" t="s">
        <v>9</v>
      </c>
    </row>
    <row r="1071" spans="8:17" x14ac:dyDescent="0.25">
      <c r="H1071" t="s">
        <v>10</v>
      </c>
      <c r="J1071">
        <v>1.42</v>
      </c>
      <c r="K1071" t="s">
        <v>10</v>
      </c>
      <c r="M1071" t="s">
        <v>618</v>
      </c>
      <c r="N1071" t="s">
        <v>619</v>
      </c>
      <c r="O1071">
        <v>2.58</v>
      </c>
      <c r="P1071">
        <v>1.53</v>
      </c>
      <c r="Q1071" t="s">
        <v>9</v>
      </c>
    </row>
    <row r="1072" spans="8:17" x14ac:dyDescent="0.25">
      <c r="H1072" t="s">
        <v>10</v>
      </c>
      <c r="J1072">
        <v>1.43</v>
      </c>
      <c r="K1072" t="s">
        <v>10</v>
      </c>
      <c r="M1072" t="s">
        <v>618</v>
      </c>
      <c r="N1072" t="s">
        <v>619</v>
      </c>
      <c r="O1072">
        <v>2.65</v>
      </c>
      <c r="P1072">
        <v>1.51</v>
      </c>
      <c r="Q1072" t="s">
        <v>9</v>
      </c>
    </row>
    <row r="1073" spans="8:17" x14ac:dyDescent="0.25">
      <c r="H1073" t="s">
        <v>10</v>
      </c>
      <c r="J1073">
        <v>1.43</v>
      </c>
      <c r="K1073" t="s">
        <v>10</v>
      </c>
      <c r="M1073" t="s">
        <v>618</v>
      </c>
      <c r="N1073" t="s">
        <v>619</v>
      </c>
      <c r="O1073">
        <v>2.54</v>
      </c>
      <c r="P1073">
        <v>1.53</v>
      </c>
      <c r="Q1073" t="s">
        <v>9</v>
      </c>
    </row>
    <row r="1074" spans="8:17" x14ac:dyDescent="0.25">
      <c r="H1074" t="s">
        <v>10</v>
      </c>
      <c r="J1074">
        <v>1.41</v>
      </c>
      <c r="K1074" t="s">
        <v>10</v>
      </c>
      <c r="M1074" t="s">
        <v>618</v>
      </c>
      <c r="N1074" t="s">
        <v>619</v>
      </c>
      <c r="O1074">
        <v>2.54</v>
      </c>
      <c r="P1074">
        <v>1.53</v>
      </c>
      <c r="Q1074" t="s">
        <v>9</v>
      </c>
    </row>
    <row r="1075" spans="8:17" x14ac:dyDescent="0.25">
      <c r="H1075" t="s">
        <v>10</v>
      </c>
      <c r="J1075">
        <v>1.44</v>
      </c>
      <c r="K1075" t="s">
        <v>10</v>
      </c>
      <c r="M1075" t="s">
        <v>618</v>
      </c>
      <c r="N1075" t="s">
        <v>619</v>
      </c>
      <c r="O1075">
        <v>2.54</v>
      </c>
      <c r="P1075">
        <v>1.53</v>
      </c>
      <c r="Q1075" t="s">
        <v>9</v>
      </c>
    </row>
    <row r="1076" spans="8:17" x14ac:dyDescent="0.25">
      <c r="J1076">
        <v>1.1200000000000001</v>
      </c>
      <c r="K1076" t="s">
        <v>10</v>
      </c>
      <c r="M1076" t="s">
        <v>436</v>
      </c>
      <c r="N1076" t="s">
        <v>437</v>
      </c>
      <c r="O1076">
        <v>1.77</v>
      </c>
      <c r="P1076">
        <v>2.1</v>
      </c>
      <c r="Q1076" t="s">
        <v>10</v>
      </c>
    </row>
    <row r="1077" spans="8:17" x14ac:dyDescent="0.25">
      <c r="J1077">
        <v>1.1200000000000001</v>
      </c>
      <c r="K1077" t="s">
        <v>10</v>
      </c>
      <c r="M1077" t="s">
        <v>436</v>
      </c>
      <c r="N1077" t="s">
        <v>437</v>
      </c>
      <c r="O1077">
        <v>1.75</v>
      </c>
      <c r="P1077">
        <v>2.02</v>
      </c>
      <c r="Q1077" t="s">
        <v>10</v>
      </c>
    </row>
    <row r="1078" spans="8:17" x14ac:dyDescent="0.25">
      <c r="J1078">
        <v>1.1200000000000001</v>
      </c>
      <c r="K1078" t="s">
        <v>10</v>
      </c>
      <c r="M1078" t="s">
        <v>436</v>
      </c>
      <c r="N1078" t="s">
        <v>437</v>
      </c>
      <c r="O1078">
        <v>1.74</v>
      </c>
      <c r="P1078">
        <v>2.0499999999999998</v>
      </c>
      <c r="Q1078" t="s">
        <v>10</v>
      </c>
    </row>
    <row r="1079" spans="8:17" x14ac:dyDescent="0.25">
      <c r="J1079">
        <v>1.1499999999999999</v>
      </c>
      <c r="K1079" t="s">
        <v>10</v>
      </c>
      <c r="M1079" t="s">
        <v>436</v>
      </c>
      <c r="N1079" t="s">
        <v>437</v>
      </c>
      <c r="O1079">
        <v>1.82</v>
      </c>
      <c r="P1079">
        <v>2</v>
      </c>
      <c r="Q1079" t="s">
        <v>10</v>
      </c>
    </row>
    <row r="1080" spans="8:17" x14ac:dyDescent="0.25">
      <c r="J1080">
        <v>1.1100000000000001</v>
      </c>
      <c r="K1080" t="s">
        <v>10</v>
      </c>
      <c r="M1080" t="s">
        <v>438</v>
      </c>
      <c r="N1080" t="s">
        <v>437</v>
      </c>
      <c r="O1080">
        <v>1.1599999999999999</v>
      </c>
      <c r="P1080">
        <v>4.8</v>
      </c>
      <c r="Q1080" t="s">
        <v>10</v>
      </c>
    </row>
    <row r="1081" spans="8:17" x14ac:dyDescent="0.25">
      <c r="J1081">
        <v>1.1100000000000001</v>
      </c>
      <c r="K1081" t="s">
        <v>10</v>
      </c>
      <c r="M1081" t="s">
        <v>438</v>
      </c>
      <c r="N1081" t="s">
        <v>437</v>
      </c>
      <c r="O1081">
        <v>1.1499999999999999</v>
      </c>
      <c r="P1081">
        <v>5.25</v>
      </c>
      <c r="Q1081" t="s">
        <v>10</v>
      </c>
    </row>
    <row r="1082" spans="8:17" x14ac:dyDescent="0.25">
      <c r="J1082">
        <v>1.1200000000000001</v>
      </c>
      <c r="K1082" t="s">
        <v>10</v>
      </c>
      <c r="M1082" t="s">
        <v>438</v>
      </c>
      <c r="N1082" t="s">
        <v>437</v>
      </c>
      <c r="O1082">
        <v>1.1399999999999999</v>
      </c>
      <c r="P1082">
        <v>6.4</v>
      </c>
      <c r="Q1082" t="s">
        <v>10</v>
      </c>
    </row>
    <row r="1083" spans="8:17" x14ac:dyDescent="0.25">
      <c r="J1083">
        <v>1.1399999999999999</v>
      </c>
      <c r="K1083" t="s">
        <v>10</v>
      </c>
      <c r="M1083" t="s">
        <v>438</v>
      </c>
      <c r="N1083" t="s">
        <v>437</v>
      </c>
      <c r="O1083">
        <v>1.2</v>
      </c>
      <c r="P1083">
        <v>4.5999999999999996</v>
      </c>
      <c r="Q1083" t="s">
        <v>10</v>
      </c>
    </row>
    <row r="1084" spans="8:17" x14ac:dyDescent="0.25">
      <c r="J1084">
        <v>1.1399999999999999</v>
      </c>
      <c r="K1084" t="s">
        <v>10</v>
      </c>
      <c r="M1084" t="s">
        <v>438</v>
      </c>
      <c r="N1084" t="s">
        <v>437</v>
      </c>
      <c r="O1084">
        <v>1.1299999999999999</v>
      </c>
      <c r="P1084">
        <v>5.6</v>
      </c>
      <c r="Q1084" t="s">
        <v>10</v>
      </c>
    </row>
    <row r="1085" spans="8:17" x14ac:dyDescent="0.25">
      <c r="J1085">
        <v>1.1200000000000001</v>
      </c>
      <c r="K1085" t="s">
        <v>10</v>
      </c>
      <c r="M1085" t="s">
        <v>624</v>
      </c>
      <c r="N1085" t="s">
        <v>437</v>
      </c>
      <c r="O1085">
        <v>2.85</v>
      </c>
      <c r="P1085">
        <v>1.46</v>
      </c>
      <c r="Q1085" t="s">
        <v>10</v>
      </c>
    </row>
    <row r="1086" spans="8:17" x14ac:dyDescent="0.25">
      <c r="J1086">
        <v>1.1200000000000001</v>
      </c>
      <c r="K1086" t="s">
        <v>10</v>
      </c>
      <c r="M1086" t="s">
        <v>624</v>
      </c>
      <c r="N1086" t="s">
        <v>437</v>
      </c>
      <c r="O1086">
        <v>2.64</v>
      </c>
      <c r="P1086">
        <v>1.49</v>
      </c>
      <c r="Q1086" t="s">
        <v>10</v>
      </c>
    </row>
    <row r="1087" spans="8:17" x14ac:dyDescent="0.25">
      <c r="J1087">
        <v>2.75</v>
      </c>
      <c r="K1087" t="s">
        <v>10</v>
      </c>
      <c r="M1087" t="s">
        <v>624</v>
      </c>
      <c r="N1087" t="s">
        <v>437</v>
      </c>
      <c r="O1087">
        <v>2.65</v>
      </c>
      <c r="P1087">
        <v>1.45</v>
      </c>
      <c r="Q1087" t="s">
        <v>10</v>
      </c>
    </row>
    <row r="1088" spans="8:17" x14ac:dyDescent="0.25">
      <c r="J1088">
        <v>2.75</v>
      </c>
      <c r="K1088" t="s">
        <v>10</v>
      </c>
      <c r="M1088" t="s">
        <v>624</v>
      </c>
      <c r="N1088" t="s">
        <v>437</v>
      </c>
      <c r="O1088">
        <v>2.65</v>
      </c>
      <c r="P1088">
        <v>1.5</v>
      </c>
      <c r="Q1088" t="s">
        <v>10</v>
      </c>
    </row>
    <row r="1089" spans="10:17" x14ac:dyDescent="0.25">
      <c r="J1089">
        <v>2.8</v>
      </c>
      <c r="K1089" t="s">
        <v>10</v>
      </c>
      <c r="M1089" t="s">
        <v>624</v>
      </c>
      <c r="N1089" t="s">
        <v>437</v>
      </c>
      <c r="O1089">
        <v>2.5</v>
      </c>
      <c r="P1089">
        <v>1.47</v>
      </c>
      <c r="Q1089" t="s">
        <v>10</v>
      </c>
    </row>
    <row r="1090" spans="10:17" x14ac:dyDescent="0.25">
      <c r="J1090">
        <v>2.8</v>
      </c>
      <c r="K1090" t="s">
        <v>10</v>
      </c>
      <c r="M1090" t="s">
        <v>625</v>
      </c>
      <c r="N1090" t="s">
        <v>626</v>
      </c>
      <c r="O1090">
        <v>1.04</v>
      </c>
      <c r="P1090">
        <v>12</v>
      </c>
      <c r="Q1090" t="s">
        <v>10</v>
      </c>
    </row>
    <row r="1091" spans="10:17" x14ac:dyDescent="0.25">
      <c r="J1091">
        <v>2.8</v>
      </c>
      <c r="K1091" t="s">
        <v>10</v>
      </c>
      <c r="M1091" t="s">
        <v>625</v>
      </c>
      <c r="N1091" t="s">
        <v>626</v>
      </c>
      <c r="O1091">
        <v>1.17</v>
      </c>
      <c r="P1091">
        <v>5.0999999999999996</v>
      </c>
      <c r="Q1091" t="s">
        <v>10</v>
      </c>
    </row>
    <row r="1092" spans="10:17" x14ac:dyDescent="0.25">
      <c r="J1092">
        <v>2.8</v>
      </c>
      <c r="K1092" t="s">
        <v>10</v>
      </c>
      <c r="M1092" t="s">
        <v>625</v>
      </c>
      <c r="N1092" t="s">
        <v>626</v>
      </c>
      <c r="O1092">
        <v>1.1000000000000001</v>
      </c>
      <c r="P1092">
        <v>6.75</v>
      </c>
      <c r="Q1092" t="s">
        <v>10</v>
      </c>
    </row>
    <row r="1093" spans="10:17" x14ac:dyDescent="0.25">
      <c r="J1093">
        <v>2.8</v>
      </c>
      <c r="K1093" t="s">
        <v>10</v>
      </c>
      <c r="M1093" t="s">
        <v>446</v>
      </c>
      <c r="N1093" t="s">
        <v>447</v>
      </c>
      <c r="O1093">
        <v>1.48</v>
      </c>
      <c r="P1093">
        <v>2.8</v>
      </c>
      <c r="Q1093" t="s">
        <v>10</v>
      </c>
    </row>
    <row r="1094" spans="10:17" x14ac:dyDescent="0.25">
      <c r="J1094">
        <v>2.8</v>
      </c>
      <c r="K1094" t="s">
        <v>10</v>
      </c>
      <c r="M1094" t="s">
        <v>446</v>
      </c>
      <c r="N1094" t="s">
        <v>447</v>
      </c>
      <c r="O1094">
        <v>1.5</v>
      </c>
      <c r="P1094">
        <v>2.4500000000000002</v>
      </c>
      <c r="Q1094" t="s">
        <v>10</v>
      </c>
    </row>
    <row r="1095" spans="10:17" x14ac:dyDescent="0.25">
      <c r="J1095">
        <v>2.8</v>
      </c>
      <c r="K1095" t="s">
        <v>10</v>
      </c>
      <c r="M1095" t="s">
        <v>446</v>
      </c>
      <c r="N1095" t="s">
        <v>447</v>
      </c>
      <c r="O1095">
        <v>1.5</v>
      </c>
      <c r="P1095">
        <v>2.65</v>
      </c>
      <c r="Q1095" t="s">
        <v>10</v>
      </c>
    </row>
    <row r="1096" spans="10:17" x14ac:dyDescent="0.25">
      <c r="J1096">
        <v>2.8</v>
      </c>
      <c r="K1096" t="s">
        <v>10</v>
      </c>
      <c r="M1096" t="s">
        <v>446</v>
      </c>
      <c r="N1096" t="s">
        <v>447</v>
      </c>
      <c r="O1096">
        <v>1.48</v>
      </c>
      <c r="P1096">
        <v>2.6</v>
      </c>
      <c r="Q1096" t="s">
        <v>10</v>
      </c>
    </row>
    <row r="1097" spans="10:17" x14ac:dyDescent="0.25">
      <c r="J1097">
        <v>2.85</v>
      </c>
      <c r="K1097" t="s">
        <v>10</v>
      </c>
      <c r="M1097" t="s">
        <v>446</v>
      </c>
      <c r="N1097" t="s">
        <v>447</v>
      </c>
      <c r="O1097">
        <v>1.43</v>
      </c>
      <c r="P1097">
        <v>2.84</v>
      </c>
      <c r="Q1097" t="s">
        <v>10</v>
      </c>
    </row>
    <row r="1098" spans="10:17" x14ac:dyDescent="0.25">
      <c r="J1098">
        <v>1.33</v>
      </c>
      <c r="K1098" t="s">
        <v>10</v>
      </c>
      <c r="M1098" t="s">
        <v>627</v>
      </c>
      <c r="N1098" t="s">
        <v>447</v>
      </c>
      <c r="O1098">
        <v>1.36</v>
      </c>
      <c r="P1098">
        <v>3.4</v>
      </c>
      <c r="Q1098" t="s">
        <v>10</v>
      </c>
    </row>
    <row r="1099" spans="10:17" x14ac:dyDescent="0.25">
      <c r="J1099">
        <v>1.33</v>
      </c>
      <c r="K1099" t="s">
        <v>10</v>
      </c>
      <c r="M1099" t="s">
        <v>627</v>
      </c>
      <c r="N1099" t="s">
        <v>447</v>
      </c>
      <c r="O1099">
        <v>1.41</v>
      </c>
      <c r="P1099">
        <v>2.96</v>
      </c>
      <c r="Q1099" t="s">
        <v>10</v>
      </c>
    </row>
    <row r="1100" spans="10:17" x14ac:dyDescent="0.25">
      <c r="J1100">
        <v>1.35</v>
      </c>
      <c r="K1100" t="s">
        <v>10</v>
      </c>
      <c r="M1100" t="s">
        <v>627</v>
      </c>
      <c r="N1100" t="s">
        <v>447</v>
      </c>
      <c r="O1100">
        <v>1.33</v>
      </c>
      <c r="P1100">
        <v>3.2</v>
      </c>
      <c r="Q1100" t="s">
        <v>10</v>
      </c>
    </row>
    <row r="1101" spans="10:17" x14ac:dyDescent="0.25">
      <c r="J1101">
        <v>1.35</v>
      </c>
      <c r="K1101" t="s">
        <v>10</v>
      </c>
      <c r="M1101" t="s">
        <v>627</v>
      </c>
      <c r="N1101" t="s">
        <v>447</v>
      </c>
      <c r="O1101">
        <v>1.36</v>
      </c>
      <c r="P1101">
        <v>3.2</v>
      </c>
      <c r="Q1101" t="s">
        <v>10</v>
      </c>
    </row>
    <row r="1102" spans="10:17" x14ac:dyDescent="0.25">
      <c r="J1102">
        <v>1.36</v>
      </c>
      <c r="K1102" t="s">
        <v>10</v>
      </c>
      <c r="M1102" t="s">
        <v>627</v>
      </c>
      <c r="N1102" t="s">
        <v>447</v>
      </c>
      <c r="O1102">
        <v>1.3</v>
      </c>
      <c r="P1102">
        <v>3.2</v>
      </c>
      <c r="Q1102" t="s">
        <v>10</v>
      </c>
    </row>
    <row r="1103" spans="10:17" x14ac:dyDescent="0.25">
      <c r="J1103">
        <v>1.34</v>
      </c>
      <c r="K1103" t="s">
        <v>10</v>
      </c>
      <c r="M1103" t="s">
        <v>445</v>
      </c>
      <c r="N1103" t="s">
        <v>628</v>
      </c>
      <c r="O1103">
        <v>1.63</v>
      </c>
      <c r="P1103">
        <v>2.39</v>
      </c>
      <c r="Q1103" t="s">
        <v>10</v>
      </c>
    </row>
    <row r="1104" spans="10:17" x14ac:dyDescent="0.25">
      <c r="J1104">
        <v>1.34</v>
      </c>
      <c r="K1104" t="s">
        <v>10</v>
      </c>
      <c r="M1104" t="s">
        <v>445</v>
      </c>
      <c r="N1104" t="s">
        <v>628</v>
      </c>
      <c r="O1104">
        <v>1.62</v>
      </c>
      <c r="P1104">
        <v>2.2999999999999998</v>
      </c>
      <c r="Q1104" t="s">
        <v>10</v>
      </c>
    </row>
    <row r="1105" spans="10:17" x14ac:dyDescent="0.25">
      <c r="J1105">
        <v>1.36</v>
      </c>
      <c r="K1105" t="s">
        <v>10</v>
      </c>
      <c r="M1105" t="s">
        <v>445</v>
      </c>
      <c r="N1105" t="s">
        <v>628</v>
      </c>
      <c r="O1105">
        <v>1.56</v>
      </c>
      <c r="P1105">
        <v>2.46</v>
      </c>
      <c r="Q1105" t="s">
        <v>10</v>
      </c>
    </row>
    <row r="1106" spans="10:17" x14ac:dyDescent="0.25">
      <c r="J1106">
        <v>1.36</v>
      </c>
      <c r="K1106" t="s">
        <v>10</v>
      </c>
      <c r="M1106" t="s">
        <v>445</v>
      </c>
      <c r="N1106" t="s">
        <v>628</v>
      </c>
      <c r="O1106">
        <v>1.55</v>
      </c>
      <c r="P1106">
        <v>2.3199999999999998</v>
      </c>
      <c r="Q1106" t="s">
        <v>10</v>
      </c>
    </row>
    <row r="1107" spans="10:17" x14ac:dyDescent="0.25">
      <c r="J1107">
        <v>1.36</v>
      </c>
      <c r="K1107" t="s">
        <v>10</v>
      </c>
      <c r="M1107" t="s">
        <v>629</v>
      </c>
      <c r="N1107" t="s">
        <v>628</v>
      </c>
      <c r="O1107">
        <v>4.5999999999999996</v>
      </c>
      <c r="P1107">
        <v>1.2</v>
      </c>
      <c r="Q1107" t="s">
        <v>10</v>
      </c>
    </row>
    <row r="1108" spans="10:17" x14ac:dyDescent="0.25">
      <c r="J1108">
        <v>1.36</v>
      </c>
      <c r="K1108" t="s">
        <v>10</v>
      </c>
      <c r="M1108" t="s">
        <v>629</v>
      </c>
      <c r="N1108" t="s">
        <v>628</v>
      </c>
      <c r="O1108">
        <v>4.25</v>
      </c>
      <c r="P1108">
        <v>1.24</v>
      </c>
      <c r="Q1108" t="s">
        <v>10</v>
      </c>
    </row>
    <row r="1109" spans="10:17" x14ac:dyDescent="0.25">
      <c r="J1109">
        <v>4.5</v>
      </c>
      <c r="K1109" t="s">
        <v>10</v>
      </c>
      <c r="M1109" t="s">
        <v>629</v>
      </c>
      <c r="N1109" t="s">
        <v>628</v>
      </c>
      <c r="O1109">
        <v>3.8</v>
      </c>
      <c r="P1109">
        <v>1.24</v>
      </c>
      <c r="Q1109" t="s">
        <v>10</v>
      </c>
    </row>
    <row r="1110" spans="10:17" x14ac:dyDescent="0.25">
      <c r="J1110">
        <v>4.5</v>
      </c>
      <c r="K1110" t="s">
        <v>10</v>
      </c>
      <c r="M1110" t="s">
        <v>629</v>
      </c>
      <c r="N1110" t="s">
        <v>628</v>
      </c>
      <c r="O1110">
        <v>4.0999999999999996</v>
      </c>
      <c r="P1110">
        <v>1.23</v>
      </c>
      <c r="Q1110" t="s">
        <v>10</v>
      </c>
    </row>
    <row r="1111" spans="10:17" x14ac:dyDescent="0.25">
      <c r="J1111">
        <v>4.3</v>
      </c>
      <c r="K1111" t="s">
        <v>10</v>
      </c>
      <c r="M1111" t="s">
        <v>629</v>
      </c>
      <c r="N1111" t="s">
        <v>628</v>
      </c>
      <c r="O1111">
        <v>4.25</v>
      </c>
      <c r="P1111">
        <v>1.21</v>
      </c>
      <c r="Q1111" t="s">
        <v>10</v>
      </c>
    </row>
    <row r="1112" spans="10:17" x14ac:dyDescent="0.25">
      <c r="J1112">
        <v>4.3</v>
      </c>
      <c r="K1112" t="s">
        <v>10</v>
      </c>
      <c r="M1112" t="s">
        <v>444</v>
      </c>
      <c r="N1112" t="s">
        <v>630</v>
      </c>
      <c r="O1112">
        <v>1.45</v>
      </c>
      <c r="P1112">
        <v>2.69</v>
      </c>
      <c r="Q1112" t="s">
        <v>10</v>
      </c>
    </row>
    <row r="1113" spans="10:17" x14ac:dyDescent="0.25">
      <c r="J1113">
        <v>4.5</v>
      </c>
      <c r="K1113" t="s">
        <v>10</v>
      </c>
      <c r="M1113" t="s">
        <v>444</v>
      </c>
      <c r="N1113" t="s">
        <v>630</v>
      </c>
      <c r="O1113">
        <v>1.5</v>
      </c>
      <c r="P1113">
        <v>2.7</v>
      </c>
      <c r="Q1113" t="s">
        <v>10</v>
      </c>
    </row>
    <row r="1114" spans="10:17" x14ac:dyDescent="0.25">
      <c r="J1114">
        <v>4.5</v>
      </c>
      <c r="K1114" t="s">
        <v>10</v>
      </c>
      <c r="M1114" t="s">
        <v>444</v>
      </c>
      <c r="N1114" t="s">
        <v>630</v>
      </c>
      <c r="O1114">
        <v>1.5</v>
      </c>
      <c r="P1114">
        <v>2.65</v>
      </c>
      <c r="Q1114" t="s">
        <v>10</v>
      </c>
    </row>
    <row r="1115" spans="10:17" x14ac:dyDescent="0.25">
      <c r="J1115">
        <v>4.5</v>
      </c>
      <c r="K1115" t="s">
        <v>10</v>
      </c>
      <c r="M1115" t="s">
        <v>444</v>
      </c>
      <c r="N1115" t="s">
        <v>630</v>
      </c>
      <c r="O1115">
        <v>1.44</v>
      </c>
      <c r="P1115">
        <v>2.8</v>
      </c>
      <c r="Q1115" t="s">
        <v>10</v>
      </c>
    </row>
    <row r="1116" spans="10:17" x14ac:dyDescent="0.25">
      <c r="J1116">
        <v>4.25</v>
      </c>
      <c r="K1116" t="s">
        <v>10</v>
      </c>
      <c r="M1116" t="s">
        <v>444</v>
      </c>
      <c r="N1116" t="s">
        <v>630</v>
      </c>
      <c r="O1116">
        <v>1.43</v>
      </c>
      <c r="P1116">
        <v>2.63</v>
      </c>
      <c r="Q1116" t="s">
        <v>10</v>
      </c>
    </row>
    <row r="1117" spans="10:17" x14ac:dyDescent="0.25">
      <c r="J1117">
        <v>3.85</v>
      </c>
      <c r="K1117" t="s">
        <v>10</v>
      </c>
      <c r="M1117" t="s">
        <v>631</v>
      </c>
      <c r="N1117" t="s">
        <v>632</v>
      </c>
      <c r="O1117">
        <v>1.44</v>
      </c>
      <c r="P1117">
        <v>2.95</v>
      </c>
      <c r="Q1117" t="s">
        <v>10</v>
      </c>
    </row>
    <row r="1118" spans="10:17" x14ac:dyDescent="0.25">
      <c r="J1118">
        <v>4.2</v>
      </c>
      <c r="K1118" t="s">
        <v>10</v>
      </c>
      <c r="M1118" t="s">
        <v>631</v>
      </c>
      <c r="N1118" t="s">
        <v>632</v>
      </c>
      <c r="O1118">
        <v>1.48</v>
      </c>
      <c r="P1118">
        <v>2.7</v>
      </c>
      <c r="Q1118" t="s">
        <v>10</v>
      </c>
    </row>
    <row r="1119" spans="10:17" x14ac:dyDescent="0.25">
      <c r="M1119" t="s">
        <v>631</v>
      </c>
      <c r="N1119" t="s">
        <v>632</v>
      </c>
      <c r="O1119">
        <v>1.44</v>
      </c>
      <c r="P1119">
        <v>2.7</v>
      </c>
      <c r="Q1119" t="s">
        <v>10</v>
      </c>
    </row>
    <row r="1120" spans="10:17" x14ac:dyDescent="0.25">
      <c r="M1120" t="s">
        <v>631</v>
      </c>
      <c r="N1120" t="s">
        <v>632</v>
      </c>
      <c r="O1120">
        <v>1.44</v>
      </c>
      <c r="P1120">
        <v>2.85</v>
      </c>
      <c r="Q1120" t="s">
        <v>10</v>
      </c>
    </row>
    <row r="1121" spans="13:17" x14ac:dyDescent="0.25">
      <c r="M1121" t="s">
        <v>631</v>
      </c>
      <c r="N1121" t="s">
        <v>632</v>
      </c>
      <c r="O1121">
        <v>1.44</v>
      </c>
      <c r="P1121">
        <v>2.5499999999999998</v>
      </c>
      <c r="Q1121" t="s">
        <v>10</v>
      </c>
    </row>
    <row r="1122" spans="13:17" x14ac:dyDescent="0.25">
      <c r="M1122" t="s">
        <v>633</v>
      </c>
      <c r="N1122" t="s">
        <v>634</v>
      </c>
      <c r="O1122">
        <v>1.42</v>
      </c>
      <c r="P1122">
        <v>3.05</v>
      </c>
      <c r="Q1122" t="s">
        <v>10</v>
      </c>
    </row>
    <row r="1123" spans="13:17" x14ac:dyDescent="0.25">
      <c r="M1123" t="s">
        <v>633</v>
      </c>
      <c r="N1123" t="s">
        <v>634</v>
      </c>
      <c r="O1123">
        <v>1.43</v>
      </c>
      <c r="P1123">
        <v>2.84</v>
      </c>
      <c r="Q1123" t="s">
        <v>10</v>
      </c>
    </row>
    <row r="1124" spans="13:17" x14ac:dyDescent="0.25">
      <c r="M1124" t="s">
        <v>633</v>
      </c>
      <c r="N1124" t="s">
        <v>634</v>
      </c>
      <c r="O1124">
        <v>1.4</v>
      </c>
      <c r="P1124">
        <v>2.85</v>
      </c>
      <c r="Q1124" t="s">
        <v>10</v>
      </c>
    </row>
    <row r="1125" spans="13:17" x14ac:dyDescent="0.25">
      <c r="M1125" t="s">
        <v>443</v>
      </c>
      <c r="N1125" t="s">
        <v>635</v>
      </c>
      <c r="O1125">
        <v>1.08</v>
      </c>
      <c r="P1125">
        <v>7.5</v>
      </c>
      <c r="Q1125" t="s">
        <v>10</v>
      </c>
    </row>
    <row r="1126" spans="13:17" x14ac:dyDescent="0.25">
      <c r="M1126" t="s">
        <v>443</v>
      </c>
      <c r="N1126" t="s">
        <v>635</v>
      </c>
      <c r="O1126">
        <v>1.0900000000000001</v>
      </c>
      <c r="P1126">
        <v>8.25</v>
      </c>
      <c r="Q1126" t="s">
        <v>10</v>
      </c>
    </row>
    <row r="1127" spans="13:17" x14ac:dyDescent="0.25">
      <c r="M1127" t="s">
        <v>443</v>
      </c>
      <c r="N1127" t="s">
        <v>635</v>
      </c>
      <c r="O1127">
        <v>1.0900000000000001</v>
      </c>
      <c r="P1127">
        <v>7.75</v>
      </c>
      <c r="Q1127" t="s">
        <v>10</v>
      </c>
    </row>
    <row r="1128" spans="13:17" x14ac:dyDescent="0.25">
      <c r="M1128" t="s">
        <v>443</v>
      </c>
      <c r="N1128" t="s">
        <v>635</v>
      </c>
      <c r="O1128">
        <v>1.08</v>
      </c>
      <c r="P1128">
        <v>7.6</v>
      </c>
      <c r="Q1128" t="s">
        <v>10</v>
      </c>
    </row>
    <row r="1129" spans="13:17" x14ac:dyDescent="0.25">
      <c r="M1129" t="s">
        <v>443</v>
      </c>
      <c r="N1129" t="s">
        <v>635</v>
      </c>
      <c r="O1129">
        <v>1.08</v>
      </c>
      <c r="P1129">
        <v>7</v>
      </c>
      <c r="Q1129" t="s">
        <v>10</v>
      </c>
    </row>
    <row r="1130" spans="13:17" x14ac:dyDescent="0.25">
      <c r="M1130" t="s">
        <v>442</v>
      </c>
      <c r="N1130" t="s">
        <v>636</v>
      </c>
      <c r="O1130">
        <v>4.0999999999999996</v>
      </c>
      <c r="P1130">
        <v>1.25</v>
      </c>
      <c r="Q1130" t="s">
        <v>10</v>
      </c>
    </row>
    <row r="1131" spans="13:17" x14ac:dyDescent="0.25">
      <c r="M1131" t="s">
        <v>442</v>
      </c>
      <c r="N1131" t="s">
        <v>636</v>
      </c>
      <c r="O1131">
        <v>3.7</v>
      </c>
      <c r="P1131">
        <v>1.27</v>
      </c>
      <c r="Q1131" t="s">
        <v>10</v>
      </c>
    </row>
    <row r="1132" spans="13:17" x14ac:dyDescent="0.25">
      <c r="M1132" t="s">
        <v>442</v>
      </c>
      <c r="N1132" t="s">
        <v>636</v>
      </c>
      <c r="O1132">
        <v>4.0999999999999996</v>
      </c>
      <c r="P1132">
        <v>1.22</v>
      </c>
      <c r="Q1132" t="s">
        <v>10</v>
      </c>
    </row>
    <row r="1133" spans="13:17" x14ac:dyDescent="0.25">
      <c r="M1133" t="s">
        <v>442</v>
      </c>
      <c r="N1133" t="s">
        <v>636</v>
      </c>
      <c r="O1133">
        <v>4.25</v>
      </c>
      <c r="P1133">
        <v>1.24</v>
      </c>
      <c r="Q1133" t="s">
        <v>10</v>
      </c>
    </row>
    <row r="1134" spans="13:17" x14ac:dyDescent="0.25">
      <c r="M1134" t="s">
        <v>442</v>
      </c>
      <c r="N1134" t="s">
        <v>636</v>
      </c>
      <c r="O1134">
        <v>4</v>
      </c>
      <c r="P1134">
        <v>1.22</v>
      </c>
      <c r="Q1134" t="s">
        <v>10</v>
      </c>
    </row>
    <row r="1135" spans="13:17" x14ac:dyDescent="0.25">
      <c r="M1135" t="s">
        <v>441</v>
      </c>
      <c r="N1135" t="s">
        <v>637</v>
      </c>
      <c r="O1135">
        <v>2.2999999999999998</v>
      </c>
      <c r="P1135">
        <v>1.62</v>
      </c>
      <c r="Q1135" t="s">
        <v>10</v>
      </c>
    </row>
    <row r="1136" spans="13:17" x14ac:dyDescent="0.25">
      <c r="M1136" t="s">
        <v>441</v>
      </c>
      <c r="N1136" t="s">
        <v>637</v>
      </c>
      <c r="O1136">
        <v>2.06</v>
      </c>
      <c r="P1136">
        <v>1.77</v>
      </c>
      <c r="Q1136" t="s">
        <v>10</v>
      </c>
    </row>
    <row r="1137" spans="13:17" x14ac:dyDescent="0.25">
      <c r="M1137" t="s">
        <v>441</v>
      </c>
      <c r="N1137" t="s">
        <v>637</v>
      </c>
      <c r="O1137">
        <v>2.15</v>
      </c>
      <c r="P1137">
        <v>1.67</v>
      </c>
      <c r="Q1137" t="s">
        <v>10</v>
      </c>
    </row>
    <row r="1138" spans="13:17" x14ac:dyDescent="0.25">
      <c r="M1138" t="s">
        <v>441</v>
      </c>
      <c r="N1138" t="s">
        <v>637</v>
      </c>
      <c r="O1138">
        <v>2.2999999999999998</v>
      </c>
      <c r="P1138">
        <v>1.67</v>
      </c>
      <c r="Q1138" t="s">
        <v>10</v>
      </c>
    </row>
    <row r="1139" spans="13:17" x14ac:dyDescent="0.25">
      <c r="M1139" t="s">
        <v>441</v>
      </c>
      <c r="N1139" t="s">
        <v>637</v>
      </c>
      <c r="O1139">
        <v>2.15</v>
      </c>
      <c r="P1139">
        <v>1.63</v>
      </c>
      <c r="Q1139" t="s">
        <v>10</v>
      </c>
    </row>
    <row r="1140" spans="13:17" x14ac:dyDescent="0.25">
      <c r="M1140" t="s">
        <v>439</v>
      </c>
      <c r="N1140" t="s">
        <v>638</v>
      </c>
      <c r="O1140">
        <v>2.25</v>
      </c>
      <c r="P1140">
        <v>1.65</v>
      </c>
      <c r="Q1140" t="s">
        <v>10</v>
      </c>
    </row>
    <row r="1141" spans="13:17" x14ac:dyDescent="0.25">
      <c r="M1141" t="s">
        <v>439</v>
      </c>
      <c r="N1141" t="s">
        <v>638</v>
      </c>
      <c r="O1141">
        <v>2.38</v>
      </c>
      <c r="P1141">
        <v>1.59</v>
      </c>
      <c r="Q1141" t="s">
        <v>10</v>
      </c>
    </row>
    <row r="1142" spans="13:17" x14ac:dyDescent="0.25">
      <c r="M1142" t="s">
        <v>439</v>
      </c>
      <c r="N1142" t="s">
        <v>638</v>
      </c>
      <c r="O1142">
        <v>2.35</v>
      </c>
      <c r="P1142">
        <v>1.57</v>
      </c>
      <c r="Q1142" t="s">
        <v>10</v>
      </c>
    </row>
    <row r="1143" spans="13:17" x14ac:dyDescent="0.25">
      <c r="M1143" t="s">
        <v>439</v>
      </c>
      <c r="N1143" t="s">
        <v>638</v>
      </c>
      <c r="O1143">
        <v>2.4</v>
      </c>
      <c r="P1143">
        <v>1.62</v>
      </c>
      <c r="Q1143" t="s">
        <v>10</v>
      </c>
    </row>
    <row r="1144" spans="13:17" x14ac:dyDescent="0.25">
      <c r="M1144" t="s">
        <v>439</v>
      </c>
      <c r="N1144" t="s">
        <v>638</v>
      </c>
      <c r="O1144">
        <v>2.25</v>
      </c>
      <c r="P1144">
        <v>1.56</v>
      </c>
      <c r="Q1144" t="s">
        <v>10</v>
      </c>
    </row>
    <row r="1145" spans="13:17" x14ac:dyDescent="0.25">
      <c r="M1145" t="s">
        <v>449</v>
      </c>
      <c r="N1145" t="s">
        <v>639</v>
      </c>
      <c r="O1145">
        <v>1.37</v>
      </c>
      <c r="P1145">
        <v>3.1</v>
      </c>
      <c r="Q1145" t="s">
        <v>10</v>
      </c>
    </row>
    <row r="1146" spans="13:17" x14ac:dyDescent="0.25">
      <c r="M1146" t="s">
        <v>449</v>
      </c>
      <c r="N1146" t="s">
        <v>639</v>
      </c>
      <c r="O1146">
        <v>1.4</v>
      </c>
      <c r="P1146">
        <v>2.85</v>
      </c>
      <c r="Q1146" t="s">
        <v>10</v>
      </c>
    </row>
    <row r="1147" spans="13:17" x14ac:dyDescent="0.25">
      <c r="M1147" t="s">
        <v>449</v>
      </c>
      <c r="N1147" t="s">
        <v>639</v>
      </c>
      <c r="O1147">
        <v>1.36</v>
      </c>
      <c r="P1147">
        <v>3.2</v>
      </c>
      <c r="Q1147" t="s">
        <v>10</v>
      </c>
    </row>
    <row r="1148" spans="13:17" x14ac:dyDescent="0.25">
      <c r="M1148" t="s">
        <v>449</v>
      </c>
      <c r="N1148" t="s">
        <v>639</v>
      </c>
      <c r="O1148">
        <v>1.36</v>
      </c>
      <c r="P1148">
        <v>3.35</v>
      </c>
      <c r="Q1148" t="s">
        <v>10</v>
      </c>
    </row>
    <row r="1149" spans="13:17" x14ac:dyDescent="0.25">
      <c r="M1149" t="s">
        <v>640</v>
      </c>
      <c r="N1149" t="s">
        <v>363</v>
      </c>
      <c r="O1149">
        <v>1.26</v>
      </c>
      <c r="P1149">
        <v>3.95</v>
      </c>
      <c r="Q1149" t="s">
        <v>10</v>
      </c>
    </row>
    <row r="1150" spans="13:17" x14ac:dyDescent="0.25">
      <c r="M1150" t="s">
        <v>640</v>
      </c>
      <c r="N1150" t="s">
        <v>363</v>
      </c>
      <c r="O1150">
        <v>1.25</v>
      </c>
      <c r="P1150">
        <v>4</v>
      </c>
      <c r="Q1150" t="s">
        <v>10</v>
      </c>
    </row>
    <row r="1151" spans="13:17" x14ac:dyDescent="0.25">
      <c r="M1151" t="s">
        <v>640</v>
      </c>
      <c r="N1151" t="s">
        <v>363</v>
      </c>
      <c r="O1151">
        <v>1.26</v>
      </c>
      <c r="P1151">
        <v>3.95</v>
      </c>
      <c r="Q1151" t="s">
        <v>10</v>
      </c>
    </row>
    <row r="1152" spans="13:17" x14ac:dyDescent="0.25">
      <c r="M1152" t="s">
        <v>640</v>
      </c>
      <c r="N1152" t="s">
        <v>363</v>
      </c>
      <c r="O1152">
        <v>1.25</v>
      </c>
      <c r="P1152">
        <v>3.85</v>
      </c>
      <c r="Q1152" t="s">
        <v>10</v>
      </c>
    </row>
    <row r="1153" spans="13:17" x14ac:dyDescent="0.25">
      <c r="M1153" t="s">
        <v>640</v>
      </c>
      <c r="N1153" t="s">
        <v>363</v>
      </c>
      <c r="O1153">
        <v>1.25</v>
      </c>
      <c r="P1153">
        <v>4</v>
      </c>
      <c r="Q1153" t="s">
        <v>10</v>
      </c>
    </row>
    <row r="1154" spans="13:17" x14ac:dyDescent="0.25">
      <c r="M1154" t="s">
        <v>640</v>
      </c>
      <c r="N1154" t="s">
        <v>363</v>
      </c>
      <c r="O1154">
        <v>1.25</v>
      </c>
      <c r="P1154">
        <v>4</v>
      </c>
      <c r="Q1154" t="s">
        <v>10</v>
      </c>
    </row>
    <row r="1155" spans="13:17" x14ac:dyDescent="0.25">
      <c r="M1155" t="s">
        <v>640</v>
      </c>
      <c r="N1155" t="s">
        <v>363</v>
      </c>
      <c r="O1155">
        <v>1.26</v>
      </c>
      <c r="P1155">
        <v>4</v>
      </c>
      <c r="Q1155" t="s">
        <v>10</v>
      </c>
    </row>
    <row r="1156" spans="13:17" x14ac:dyDescent="0.25">
      <c r="M1156" t="s">
        <v>111</v>
      </c>
      <c r="N1156" t="s">
        <v>112</v>
      </c>
      <c r="O1156">
        <v>1.77</v>
      </c>
      <c r="P1156">
        <v>2.1</v>
      </c>
      <c r="Q1156" t="s">
        <v>10</v>
      </c>
    </row>
    <row r="1157" spans="13:17" x14ac:dyDescent="0.25">
      <c r="M1157" t="s">
        <v>111</v>
      </c>
      <c r="N1157" t="s">
        <v>112</v>
      </c>
      <c r="O1157">
        <v>1.75</v>
      </c>
      <c r="P1157">
        <v>2.12</v>
      </c>
      <c r="Q1157" t="s">
        <v>10</v>
      </c>
    </row>
    <row r="1158" spans="13:17" x14ac:dyDescent="0.25">
      <c r="M1158" t="s">
        <v>111</v>
      </c>
      <c r="N1158" t="s">
        <v>112</v>
      </c>
      <c r="O1158">
        <v>1.77</v>
      </c>
      <c r="P1158">
        <v>2.1</v>
      </c>
      <c r="Q1158" t="s">
        <v>10</v>
      </c>
    </row>
    <row r="1159" spans="13:17" x14ac:dyDescent="0.25">
      <c r="M1159" t="s">
        <v>111</v>
      </c>
      <c r="N1159" t="s">
        <v>112</v>
      </c>
      <c r="O1159">
        <v>1.74</v>
      </c>
      <c r="P1159">
        <v>2.14</v>
      </c>
      <c r="Q1159" t="s">
        <v>10</v>
      </c>
    </row>
    <row r="1160" spans="13:17" x14ac:dyDescent="0.25">
      <c r="M1160" t="s">
        <v>111</v>
      </c>
      <c r="N1160" t="s">
        <v>112</v>
      </c>
      <c r="O1160">
        <v>1.77</v>
      </c>
      <c r="P1160">
        <v>2</v>
      </c>
      <c r="Q1160" t="s">
        <v>10</v>
      </c>
    </row>
    <row r="1161" spans="13:17" x14ac:dyDescent="0.25">
      <c r="M1161" t="s">
        <v>111</v>
      </c>
      <c r="N1161" t="s">
        <v>112</v>
      </c>
      <c r="O1161">
        <v>1.68</v>
      </c>
      <c r="P1161">
        <v>2.14</v>
      </c>
      <c r="Q1161" t="s">
        <v>10</v>
      </c>
    </row>
    <row r="1162" spans="13:17" x14ac:dyDescent="0.25">
      <c r="M1162" t="s">
        <v>111</v>
      </c>
      <c r="N1162" t="s">
        <v>112</v>
      </c>
      <c r="O1162">
        <v>1.77</v>
      </c>
      <c r="P1162">
        <v>2.0499999999999998</v>
      </c>
      <c r="Q1162" t="s">
        <v>10</v>
      </c>
    </row>
    <row r="1163" spans="13:17" x14ac:dyDescent="0.25">
      <c r="M1163" t="s">
        <v>111</v>
      </c>
      <c r="N1163" t="s">
        <v>112</v>
      </c>
      <c r="O1163">
        <v>1.77</v>
      </c>
      <c r="P1163">
        <v>2.0499999999999998</v>
      </c>
      <c r="Q1163" t="s">
        <v>10</v>
      </c>
    </row>
    <row r="1164" spans="13:17" x14ac:dyDescent="0.25">
      <c r="M1164" t="s">
        <v>111</v>
      </c>
      <c r="N1164" t="s">
        <v>112</v>
      </c>
      <c r="O1164">
        <v>1.74</v>
      </c>
      <c r="P1164">
        <v>2.15</v>
      </c>
      <c r="Q1164" t="s">
        <v>10</v>
      </c>
    </row>
    <row r="1165" spans="13:17" x14ac:dyDescent="0.25">
      <c r="M1165" t="s">
        <v>111</v>
      </c>
      <c r="N1165" t="s">
        <v>112</v>
      </c>
      <c r="O1165">
        <v>1.77</v>
      </c>
      <c r="P1165">
        <v>2.1</v>
      </c>
      <c r="Q1165" t="s">
        <v>10</v>
      </c>
    </row>
    <row r="1166" spans="13:17" x14ac:dyDescent="0.25">
      <c r="M1166" t="s">
        <v>111</v>
      </c>
      <c r="N1166" t="s">
        <v>112</v>
      </c>
      <c r="O1166">
        <v>1.74</v>
      </c>
      <c r="P1166">
        <v>2.1</v>
      </c>
      <c r="Q1166" t="s">
        <v>10</v>
      </c>
    </row>
    <row r="1167" spans="13:17" x14ac:dyDescent="0.25">
      <c r="M1167" t="s">
        <v>113</v>
      </c>
      <c r="N1167" t="s">
        <v>112</v>
      </c>
      <c r="O1167">
        <v>2.2999999999999998</v>
      </c>
      <c r="P1167">
        <v>1.67</v>
      </c>
      <c r="Q1167" t="s">
        <v>10</v>
      </c>
    </row>
    <row r="1168" spans="13:17" x14ac:dyDescent="0.25">
      <c r="M1168" t="s">
        <v>113</v>
      </c>
      <c r="N1168" t="s">
        <v>112</v>
      </c>
      <c r="O1168">
        <v>2.2000000000000002</v>
      </c>
      <c r="P1168">
        <v>1.69</v>
      </c>
      <c r="Q1168" t="s">
        <v>10</v>
      </c>
    </row>
    <row r="1169" spans="13:17" x14ac:dyDescent="0.25">
      <c r="M1169" t="s">
        <v>113</v>
      </c>
      <c r="N1169" t="s">
        <v>112</v>
      </c>
      <c r="O1169">
        <v>2.2999999999999998</v>
      </c>
      <c r="P1169">
        <v>1.67</v>
      </c>
      <c r="Q1169" t="s">
        <v>10</v>
      </c>
    </row>
    <row r="1170" spans="13:17" x14ac:dyDescent="0.25">
      <c r="M1170" t="s">
        <v>113</v>
      </c>
      <c r="N1170" t="s">
        <v>112</v>
      </c>
      <c r="O1170">
        <v>2.2400000000000002</v>
      </c>
      <c r="P1170">
        <v>1.68</v>
      </c>
      <c r="Q1170" t="s">
        <v>10</v>
      </c>
    </row>
    <row r="1171" spans="13:17" x14ac:dyDescent="0.25">
      <c r="M1171" t="s">
        <v>113</v>
      </c>
      <c r="N1171" t="s">
        <v>112</v>
      </c>
      <c r="O1171">
        <v>2.27</v>
      </c>
      <c r="P1171">
        <v>1.67</v>
      </c>
      <c r="Q1171" t="s">
        <v>10</v>
      </c>
    </row>
    <row r="1172" spans="13:17" x14ac:dyDescent="0.25">
      <c r="M1172" t="s">
        <v>113</v>
      </c>
      <c r="N1172" t="s">
        <v>112</v>
      </c>
      <c r="O1172">
        <v>2.2000000000000002</v>
      </c>
      <c r="P1172">
        <v>1.67</v>
      </c>
      <c r="Q1172" t="s">
        <v>10</v>
      </c>
    </row>
    <row r="1173" spans="13:17" x14ac:dyDescent="0.25">
      <c r="M1173" t="s">
        <v>113</v>
      </c>
      <c r="N1173" t="s">
        <v>112</v>
      </c>
      <c r="O1173">
        <v>2.06</v>
      </c>
      <c r="P1173">
        <v>1.74</v>
      </c>
      <c r="Q1173" t="s">
        <v>10</v>
      </c>
    </row>
    <row r="1174" spans="13:17" x14ac:dyDescent="0.25">
      <c r="M1174" t="s">
        <v>113</v>
      </c>
      <c r="N1174" t="s">
        <v>112</v>
      </c>
      <c r="O1174">
        <v>2.23</v>
      </c>
      <c r="P1174">
        <v>1.66</v>
      </c>
      <c r="Q1174" t="s">
        <v>10</v>
      </c>
    </row>
    <row r="1175" spans="13:17" x14ac:dyDescent="0.25">
      <c r="M1175" t="s">
        <v>113</v>
      </c>
      <c r="N1175" t="s">
        <v>112</v>
      </c>
      <c r="O1175">
        <v>2.23</v>
      </c>
      <c r="P1175">
        <v>1.66</v>
      </c>
      <c r="Q1175" t="s">
        <v>10</v>
      </c>
    </row>
    <row r="1176" spans="13:17" x14ac:dyDescent="0.25">
      <c r="M1176" t="s">
        <v>113</v>
      </c>
      <c r="N1176" t="s">
        <v>112</v>
      </c>
      <c r="O1176">
        <v>2.25</v>
      </c>
      <c r="P1176">
        <v>1.67</v>
      </c>
      <c r="Q1176" t="s">
        <v>10</v>
      </c>
    </row>
    <row r="1177" spans="13:17" x14ac:dyDescent="0.25">
      <c r="M1177" t="s">
        <v>113</v>
      </c>
      <c r="N1177" t="s">
        <v>112</v>
      </c>
      <c r="O1177">
        <v>2.2000000000000002</v>
      </c>
      <c r="P1177">
        <v>1.71</v>
      </c>
      <c r="Q1177" t="s">
        <v>10</v>
      </c>
    </row>
    <row r="1178" spans="13:17" x14ac:dyDescent="0.25">
      <c r="M1178" t="s">
        <v>113</v>
      </c>
      <c r="N1178" t="s">
        <v>112</v>
      </c>
      <c r="O1178">
        <v>2.25</v>
      </c>
      <c r="P1178">
        <v>1.67</v>
      </c>
      <c r="Q1178" t="s">
        <v>10</v>
      </c>
    </row>
    <row r="1179" spans="13:17" x14ac:dyDescent="0.25">
      <c r="M1179" t="s">
        <v>114</v>
      </c>
      <c r="N1179" t="s">
        <v>112</v>
      </c>
      <c r="O1179">
        <v>4.95</v>
      </c>
      <c r="P1179">
        <v>1.2</v>
      </c>
      <c r="Q1179" t="s">
        <v>10</v>
      </c>
    </row>
    <row r="1180" spans="13:17" x14ac:dyDescent="0.25">
      <c r="M1180" t="s">
        <v>114</v>
      </c>
      <c r="N1180" t="s">
        <v>112</v>
      </c>
      <c r="O1180">
        <v>4.95</v>
      </c>
      <c r="P1180">
        <v>1.2</v>
      </c>
      <c r="Q1180" t="s">
        <v>10</v>
      </c>
    </row>
    <row r="1181" spans="13:17" x14ac:dyDescent="0.25">
      <c r="M1181" t="s">
        <v>114</v>
      </c>
      <c r="N1181" t="s">
        <v>112</v>
      </c>
      <c r="O1181">
        <v>5</v>
      </c>
      <c r="P1181">
        <v>1.19</v>
      </c>
      <c r="Q1181" t="s">
        <v>10</v>
      </c>
    </row>
    <row r="1182" spans="13:17" x14ac:dyDescent="0.25">
      <c r="M1182" t="s">
        <v>114</v>
      </c>
      <c r="N1182" t="s">
        <v>112</v>
      </c>
      <c r="O1182">
        <v>4.5999999999999996</v>
      </c>
      <c r="P1182">
        <v>1.2</v>
      </c>
      <c r="Q1182" t="s">
        <v>10</v>
      </c>
    </row>
    <row r="1183" spans="13:17" x14ac:dyDescent="0.25">
      <c r="M1183" t="s">
        <v>114</v>
      </c>
      <c r="N1183" t="s">
        <v>112</v>
      </c>
      <c r="O1183">
        <v>4.5</v>
      </c>
      <c r="P1183">
        <v>1.19</v>
      </c>
      <c r="Q1183" t="s">
        <v>10</v>
      </c>
    </row>
    <row r="1184" spans="13:17" x14ac:dyDescent="0.25">
      <c r="M1184" t="s">
        <v>114</v>
      </c>
      <c r="N1184" t="s">
        <v>112</v>
      </c>
      <c r="O1184">
        <v>5</v>
      </c>
      <c r="P1184">
        <v>1.18</v>
      </c>
      <c r="Q1184" t="s">
        <v>10</v>
      </c>
    </row>
    <row r="1185" spans="13:17" x14ac:dyDescent="0.25">
      <c r="M1185" t="s">
        <v>114</v>
      </c>
      <c r="N1185" t="s">
        <v>112</v>
      </c>
      <c r="O1185">
        <v>5</v>
      </c>
      <c r="P1185">
        <v>1.18</v>
      </c>
      <c r="Q1185" t="s">
        <v>10</v>
      </c>
    </row>
    <row r="1186" spans="13:17" x14ac:dyDescent="0.25">
      <c r="M1186" t="s">
        <v>114</v>
      </c>
      <c r="N1186" t="s">
        <v>112</v>
      </c>
      <c r="O1186">
        <v>4.8</v>
      </c>
      <c r="P1186">
        <v>1.2</v>
      </c>
      <c r="Q1186" t="s">
        <v>10</v>
      </c>
    </row>
    <row r="1187" spans="13:17" x14ac:dyDescent="0.25">
      <c r="M1187" t="s">
        <v>114</v>
      </c>
      <c r="N1187" t="s">
        <v>112</v>
      </c>
      <c r="O1187">
        <v>4.75</v>
      </c>
      <c r="P1187">
        <v>1.2</v>
      </c>
      <c r="Q1187" t="s">
        <v>10</v>
      </c>
    </row>
    <row r="1188" spans="13:17" x14ac:dyDescent="0.25">
      <c r="M1188" t="s">
        <v>114</v>
      </c>
      <c r="N1188" t="s">
        <v>112</v>
      </c>
      <c r="O1188">
        <v>5</v>
      </c>
      <c r="P1188">
        <v>1.18</v>
      </c>
      <c r="Q1188" t="s">
        <v>10</v>
      </c>
    </row>
    <row r="1189" spans="13:17" x14ac:dyDescent="0.25">
      <c r="M1189" t="s">
        <v>114</v>
      </c>
      <c r="N1189" t="s">
        <v>112</v>
      </c>
      <c r="O1189">
        <v>4.95</v>
      </c>
      <c r="P1189">
        <v>1.18</v>
      </c>
      <c r="Q1189" t="s">
        <v>10</v>
      </c>
    </row>
    <row r="1190" spans="13:17" x14ac:dyDescent="0.25">
      <c r="M1190" t="s">
        <v>116</v>
      </c>
      <c r="N1190" t="s">
        <v>112</v>
      </c>
      <c r="O1190">
        <v>1.55</v>
      </c>
      <c r="P1190">
        <v>2.56</v>
      </c>
      <c r="Q1190" t="s">
        <v>10</v>
      </c>
    </row>
    <row r="1191" spans="13:17" x14ac:dyDescent="0.25">
      <c r="M1191" t="s">
        <v>116</v>
      </c>
      <c r="N1191" t="s">
        <v>112</v>
      </c>
      <c r="O1191">
        <v>1.5</v>
      </c>
      <c r="P1191">
        <v>2.65</v>
      </c>
      <c r="Q1191" t="s">
        <v>10</v>
      </c>
    </row>
    <row r="1192" spans="13:17" x14ac:dyDescent="0.25">
      <c r="M1192" t="s">
        <v>116</v>
      </c>
      <c r="N1192" t="s">
        <v>112</v>
      </c>
      <c r="O1192">
        <v>1.55</v>
      </c>
      <c r="P1192">
        <v>2.56</v>
      </c>
      <c r="Q1192" t="s">
        <v>10</v>
      </c>
    </row>
    <row r="1193" spans="13:17" x14ac:dyDescent="0.25">
      <c r="M1193" t="s">
        <v>116</v>
      </c>
      <c r="N1193" t="s">
        <v>112</v>
      </c>
      <c r="O1193">
        <v>1.54</v>
      </c>
      <c r="P1193">
        <v>2.54</v>
      </c>
      <c r="Q1193" t="s">
        <v>10</v>
      </c>
    </row>
    <row r="1194" spans="13:17" x14ac:dyDescent="0.25">
      <c r="M1194" t="s">
        <v>116</v>
      </c>
      <c r="N1194" t="s">
        <v>112</v>
      </c>
      <c r="O1194">
        <v>1.54</v>
      </c>
      <c r="P1194">
        <v>2.5499999999999998</v>
      </c>
      <c r="Q1194" t="s">
        <v>10</v>
      </c>
    </row>
    <row r="1195" spans="13:17" x14ac:dyDescent="0.25">
      <c r="M1195" t="s">
        <v>116</v>
      </c>
      <c r="N1195" t="s">
        <v>112</v>
      </c>
      <c r="O1195">
        <v>1.51</v>
      </c>
      <c r="P1195">
        <v>2.52</v>
      </c>
      <c r="Q1195" t="s">
        <v>10</v>
      </c>
    </row>
    <row r="1196" spans="13:17" x14ac:dyDescent="0.25">
      <c r="M1196" t="s">
        <v>116</v>
      </c>
      <c r="N1196" t="s">
        <v>112</v>
      </c>
      <c r="O1196">
        <v>1.5</v>
      </c>
      <c r="P1196">
        <v>2.6</v>
      </c>
      <c r="Q1196" t="s">
        <v>10</v>
      </c>
    </row>
    <row r="1197" spans="13:17" x14ac:dyDescent="0.25">
      <c r="M1197" t="s">
        <v>116</v>
      </c>
      <c r="N1197" t="s">
        <v>112</v>
      </c>
      <c r="O1197">
        <v>1.5</v>
      </c>
      <c r="P1197">
        <v>2.6</v>
      </c>
      <c r="Q1197" t="s">
        <v>10</v>
      </c>
    </row>
    <row r="1198" spans="13:17" x14ac:dyDescent="0.25">
      <c r="M1198" t="s">
        <v>116</v>
      </c>
      <c r="N1198" t="s">
        <v>112</v>
      </c>
      <c r="O1198">
        <v>1.53</v>
      </c>
      <c r="P1198">
        <v>2.6</v>
      </c>
      <c r="Q1198" t="s">
        <v>10</v>
      </c>
    </row>
    <row r="1199" spans="13:17" x14ac:dyDescent="0.25">
      <c r="M1199" t="s">
        <v>116</v>
      </c>
      <c r="N1199" t="s">
        <v>112</v>
      </c>
      <c r="O1199">
        <v>1.56</v>
      </c>
      <c r="P1199">
        <v>2.5</v>
      </c>
      <c r="Q1199" t="s">
        <v>10</v>
      </c>
    </row>
    <row r="1200" spans="13:17" x14ac:dyDescent="0.25">
      <c r="M1200" t="s">
        <v>116</v>
      </c>
      <c r="N1200" t="s">
        <v>112</v>
      </c>
      <c r="O1200">
        <v>1.5</v>
      </c>
      <c r="P1200">
        <v>2.6</v>
      </c>
      <c r="Q1200" t="s">
        <v>10</v>
      </c>
    </row>
    <row r="1201" spans="13:17" x14ac:dyDescent="0.25">
      <c r="M1201" t="s">
        <v>118</v>
      </c>
      <c r="N1201" t="s">
        <v>112</v>
      </c>
      <c r="O1201">
        <v>3.7</v>
      </c>
      <c r="P1201">
        <v>1.3</v>
      </c>
      <c r="Q1201" t="s">
        <v>10</v>
      </c>
    </row>
    <row r="1202" spans="13:17" x14ac:dyDescent="0.25">
      <c r="M1202" t="s">
        <v>118</v>
      </c>
      <c r="N1202" t="s">
        <v>112</v>
      </c>
      <c r="O1202">
        <v>3.7</v>
      </c>
      <c r="P1202">
        <v>1.3</v>
      </c>
      <c r="Q1202" t="s">
        <v>10</v>
      </c>
    </row>
    <row r="1203" spans="13:17" x14ac:dyDescent="0.25">
      <c r="M1203" t="s">
        <v>118</v>
      </c>
      <c r="N1203" t="s">
        <v>112</v>
      </c>
      <c r="O1203">
        <v>3.95</v>
      </c>
      <c r="P1203">
        <v>1.27</v>
      </c>
      <c r="Q1203" t="s">
        <v>10</v>
      </c>
    </row>
    <row r="1204" spans="13:17" x14ac:dyDescent="0.25">
      <c r="M1204" t="s">
        <v>118</v>
      </c>
      <c r="N1204" t="s">
        <v>112</v>
      </c>
      <c r="O1204">
        <v>3.8</v>
      </c>
      <c r="P1204">
        <v>1.29</v>
      </c>
      <c r="Q1204" t="s">
        <v>10</v>
      </c>
    </row>
    <row r="1205" spans="13:17" x14ac:dyDescent="0.25">
      <c r="M1205" t="s">
        <v>118</v>
      </c>
      <c r="N1205" t="s">
        <v>112</v>
      </c>
      <c r="O1205">
        <v>3.5</v>
      </c>
      <c r="P1205">
        <v>1.29</v>
      </c>
      <c r="Q1205" t="s">
        <v>10</v>
      </c>
    </row>
    <row r="1206" spans="13:17" x14ac:dyDescent="0.25">
      <c r="M1206" t="s">
        <v>118</v>
      </c>
      <c r="N1206" t="s">
        <v>112</v>
      </c>
      <c r="O1206">
        <v>3.65</v>
      </c>
      <c r="P1206">
        <v>1.27</v>
      </c>
      <c r="Q1206" t="s">
        <v>10</v>
      </c>
    </row>
    <row r="1207" spans="13:17" x14ac:dyDescent="0.25">
      <c r="M1207" t="s">
        <v>118</v>
      </c>
      <c r="N1207" t="s">
        <v>112</v>
      </c>
      <c r="O1207">
        <v>3.7</v>
      </c>
      <c r="P1207">
        <v>1.28</v>
      </c>
      <c r="Q1207" t="s">
        <v>10</v>
      </c>
    </row>
    <row r="1208" spans="13:17" x14ac:dyDescent="0.25">
      <c r="M1208" t="s">
        <v>118</v>
      </c>
      <c r="N1208" t="s">
        <v>112</v>
      </c>
      <c r="O1208">
        <v>3.7</v>
      </c>
      <c r="P1208">
        <v>1.28</v>
      </c>
      <c r="Q1208" t="s">
        <v>10</v>
      </c>
    </row>
    <row r="1209" spans="13:17" x14ac:dyDescent="0.25">
      <c r="M1209" t="s">
        <v>118</v>
      </c>
      <c r="N1209" t="s">
        <v>112</v>
      </c>
      <c r="O1209">
        <v>3.65</v>
      </c>
      <c r="P1209">
        <v>1.29</v>
      </c>
      <c r="Q1209" t="s">
        <v>10</v>
      </c>
    </row>
    <row r="1210" spans="13:17" x14ac:dyDescent="0.25">
      <c r="M1210" t="s">
        <v>118</v>
      </c>
      <c r="N1210" t="s">
        <v>112</v>
      </c>
      <c r="O1210">
        <v>3.6</v>
      </c>
      <c r="P1210">
        <v>1.3</v>
      </c>
      <c r="Q1210" t="s">
        <v>10</v>
      </c>
    </row>
    <row r="1211" spans="13:17" x14ac:dyDescent="0.25">
      <c r="M1211" t="s">
        <v>117</v>
      </c>
      <c r="N1211" t="s">
        <v>647</v>
      </c>
      <c r="O1211">
        <v>2.7</v>
      </c>
      <c r="P1211">
        <v>1.5</v>
      </c>
      <c r="Q1211" t="s">
        <v>10</v>
      </c>
    </row>
    <row r="1212" spans="13:17" x14ac:dyDescent="0.25">
      <c r="M1212" t="s">
        <v>117</v>
      </c>
      <c r="N1212" t="s">
        <v>647</v>
      </c>
      <c r="O1212">
        <v>2.67</v>
      </c>
      <c r="P1212">
        <v>1.5</v>
      </c>
      <c r="Q1212" t="s">
        <v>10</v>
      </c>
    </row>
    <row r="1213" spans="13:17" x14ac:dyDescent="0.25">
      <c r="M1213" t="s">
        <v>117</v>
      </c>
      <c r="N1213" t="s">
        <v>647</v>
      </c>
      <c r="O1213">
        <v>2.7</v>
      </c>
      <c r="P1213">
        <v>1.5</v>
      </c>
      <c r="Q1213" t="s">
        <v>10</v>
      </c>
    </row>
    <row r="1214" spans="13:17" x14ac:dyDescent="0.25">
      <c r="M1214" t="s">
        <v>117</v>
      </c>
      <c r="N1214" t="s">
        <v>647</v>
      </c>
      <c r="O1214">
        <v>2.7</v>
      </c>
      <c r="P1214">
        <v>1.49</v>
      </c>
      <c r="Q1214" t="s">
        <v>10</v>
      </c>
    </row>
    <row r="1215" spans="13:17" x14ac:dyDescent="0.25">
      <c r="M1215" t="s">
        <v>117</v>
      </c>
      <c r="N1215" t="s">
        <v>647</v>
      </c>
      <c r="O1215">
        <v>2.65</v>
      </c>
      <c r="P1215">
        <v>1.5</v>
      </c>
      <c r="Q1215" t="s">
        <v>10</v>
      </c>
    </row>
    <row r="1216" spans="13:17" x14ac:dyDescent="0.25">
      <c r="M1216" t="s">
        <v>117</v>
      </c>
      <c r="N1216" t="s">
        <v>647</v>
      </c>
      <c r="O1216">
        <v>2.64</v>
      </c>
      <c r="P1216">
        <v>1.47</v>
      </c>
      <c r="Q1216" t="s">
        <v>10</v>
      </c>
    </row>
    <row r="1217" spans="13:17" x14ac:dyDescent="0.25">
      <c r="M1217" t="s">
        <v>117</v>
      </c>
      <c r="N1217" t="s">
        <v>647</v>
      </c>
      <c r="O1217">
        <v>2.5499999999999998</v>
      </c>
      <c r="P1217">
        <v>1.51</v>
      </c>
      <c r="Q1217" t="s">
        <v>10</v>
      </c>
    </row>
    <row r="1218" spans="13:17" x14ac:dyDescent="0.25">
      <c r="M1218" t="s">
        <v>117</v>
      </c>
      <c r="N1218" t="s">
        <v>647</v>
      </c>
      <c r="O1218">
        <v>2.5499999999999998</v>
      </c>
      <c r="P1218">
        <v>1.51</v>
      </c>
      <c r="Q1218" t="s">
        <v>10</v>
      </c>
    </row>
    <row r="1219" spans="13:17" x14ac:dyDescent="0.25">
      <c r="M1219" t="s">
        <v>117</v>
      </c>
      <c r="N1219" t="s">
        <v>647</v>
      </c>
      <c r="O1219">
        <v>2.6</v>
      </c>
      <c r="P1219">
        <v>1.53</v>
      </c>
      <c r="Q1219" t="s">
        <v>10</v>
      </c>
    </row>
    <row r="1220" spans="13:17" x14ac:dyDescent="0.25">
      <c r="M1220" t="s">
        <v>117</v>
      </c>
      <c r="N1220" t="s">
        <v>647</v>
      </c>
      <c r="O1220">
        <v>2.7</v>
      </c>
      <c r="P1220">
        <v>1.5</v>
      </c>
      <c r="Q1220" t="s">
        <v>10</v>
      </c>
    </row>
    <row r="1221" spans="13:17" x14ac:dyDescent="0.25">
      <c r="M1221" t="s">
        <v>117</v>
      </c>
      <c r="N1221" t="s">
        <v>647</v>
      </c>
      <c r="O1221">
        <v>2.65</v>
      </c>
      <c r="P1221">
        <v>1.5</v>
      </c>
      <c r="Q1221" t="s">
        <v>10</v>
      </c>
    </row>
    <row r="1222" spans="13:17" x14ac:dyDescent="0.25">
      <c r="M1222" t="s">
        <v>115</v>
      </c>
      <c r="N1222" t="s">
        <v>648</v>
      </c>
      <c r="O1222">
        <v>2.0499999999999998</v>
      </c>
      <c r="P1222">
        <v>1.8</v>
      </c>
      <c r="Q1222" t="s">
        <v>10</v>
      </c>
    </row>
    <row r="1223" spans="13:17" x14ac:dyDescent="0.25">
      <c r="M1223" t="s">
        <v>115</v>
      </c>
      <c r="N1223" t="s">
        <v>648</v>
      </c>
      <c r="O1223">
        <v>2.0499999999999998</v>
      </c>
      <c r="P1223">
        <v>1.8</v>
      </c>
      <c r="Q1223" t="s">
        <v>10</v>
      </c>
    </row>
    <row r="1224" spans="13:17" x14ac:dyDescent="0.25">
      <c r="M1224" t="s">
        <v>115</v>
      </c>
      <c r="N1224" t="s">
        <v>648</v>
      </c>
      <c r="O1224">
        <v>2.0499999999999998</v>
      </c>
      <c r="P1224">
        <v>1.8</v>
      </c>
      <c r="Q1224" t="s">
        <v>10</v>
      </c>
    </row>
    <row r="1225" spans="13:17" x14ac:dyDescent="0.25">
      <c r="M1225" t="s">
        <v>115</v>
      </c>
      <c r="N1225" t="s">
        <v>648</v>
      </c>
      <c r="O1225">
        <v>2.1</v>
      </c>
      <c r="P1225">
        <v>1.77</v>
      </c>
      <c r="Q1225" t="s">
        <v>10</v>
      </c>
    </row>
    <row r="1226" spans="13:17" x14ac:dyDescent="0.25">
      <c r="M1226" t="s">
        <v>115</v>
      </c>
      <c r="N1226" t="s">
        <v>648</v>
      </c>
      <c r="O1226">
        <v>2.0499999999999998</v>
      </c>
      <c r="P1226">
        <v>1.8</v>
      </c>
      <c r="Q1226" t="s">
        <v>10</v>
      </c>
    </row>
    <row r="1227" spans="13:17" x14ac:dyDescent="0.25">
      <c r="M1227" t="s">
        <v>115</v>
      </c>
      <c r="N1227" t="s">
        <v>648</v>
      </c>
      <c r="O1227">
        <v>1.95</v>
      </c>
      <c r="P1227">
        <v>1.8</v>
      </c>
      <c r="Q1227" t="s">
        <v>10</v>
      </c>
    </row>
    <row r="1228" spans="13:17" x14ac:dyDescent="0.25">
      <c r="M1228" t="s">
        <v>115</v>
      </c>
      <c r="N1228" t="s">
        <v>648</v>
      </c>
      <c r="O1228">
        <v>2.08</v>
      </c>
      <c r="P1228">
        <v>1.72</v>
      </c>
      <c r="Q1228" t="s">
        <v>10</v>
      </c>
    </row>
    <row r="1229" spans="13:17" x14ac:dyDescent="0.25">
      <c r="M1229" t="s">
        <v>115</v>
      </c>
      <c r="N1229" t="s">
        <v>648</v>
      </c>
      <c r="O1229">
        <v>2.0499999999999998</v>
      </c>
      <c r="P1229">
        <v>1.77</v>
      </c>
      <c r="Q1229" t="s">
        <v>10</v>
      </c>
    </row>
    <row r="1230" spans="13:17" x14ac:dyDescent="0.25">
      <c r="M1230" t="s">
        <v>115</v>
      </c>
      <c r="N1230" t="s">
        <v>648</v>
      </c>
      <c r="O1230">
        <v>2.0499999999999998</v>
      </c>
      <c r="P1230">
        <v>1.77</v>
      </c>
      <c r="Q1230" t="s">
        <v>10</v>
      </c>
    </row>
    <row r="1231" spans="13:17" x14ac:dyDescent="0.25">
      <c r="M1231" t="s">
        <v>115</v>
      </c>
      <c r="N1231" t="s">
        <v>648</v>
      </c>
      <c r="O1231">
        <v>2.1</v>
      </c>
      <c r="P1231">
        <v>1.77</v>
      </c>
      <c r="Q1231" t="s">
        <v>10</v>
      </c>
    </row>
    <row r="1232" spans="13:17" x14ac:dyDescent="0.25">
      <c r="M1232" t="s">
        <v>115</v>
      </c>
      <c r="N1232" t="s">
        <v>648</v>
      </c>
      <c r="O1232">
        <v>2.1</v>
      </c>
      <c r="P1232">
        <v>1.77</v>
      </c>
      <c r="Q1232" t="s">
        <v>10</v>
      </c>
    </row>
    <row r="1233" spans="13:17" x14ac:dyDescent="0.25">
      <c r="M1233" t="s">
        <v>115</v>
      </c>
      <c r="N1233" t="s">
        <v>648</v>
      </c>
      <c r="O1233">
        <v>2.0499999999999998</v>
      </c>
      <c r="P1233">
        <v>1.8</v>
      </c>
      <c r="Q1233" t="s">
        <v>10</v>
      </c>
    </row>
    <row r="1234" spans="13:17" x14ac:dyDescent="0.25">
      <c r="M1234" t="s">
        <v>48</v>
      </c>
      <c r="N1234" t="s">
        <v>649</v>
      </c>
      <c r="O1234">
        <v>1.44</v>
      </c>
      <c r="P1234">
        <v>2.95</v>
      </c>
      <c r="Q1234" t="s">
        <v>10</v>
      </c>
    </row>
    <row r="1235" spans="13:17" x14ac:dyDescent="0.25">
      <c r="M1235" t="s">
        <v>48</v>
      </c>
      <c r="N1235" t="s">
        <v>649</v>
      </c>
      <c r="O1235">
        <v>1.42</v>
      </c>
      <c r="P1235">
        <v>2.95</v>
      </c>
      <c r="Q1235" t="s">
        <v>10</v>
      </c>
    </row>
    <row r="1236" spans="13:17" x14ac:dyDescent="0.25">
      <c r="M1236" t="s">
        <v>48</v>
      </c>
      <c r="N1236" t="s">
        <v>649</v>
      </c>
      <c r="O1236">
        <v>1.44</v>
      </c>
      <c r="P1236">
        <v>2.95</v>
      </c>
      <c r="Q1236" t="s">
        <v>10</v>
      </c>
    </row>
    <row r="1237" spans="13:17" x14ac:dyDescent="0.25">
      <c r="M1237" t="s">
        <v>48</v>
      </c>
      <c r="N1237" t="s">
        <v>649</v>
      </c>
      <c r="O1237">
        <v>1.42</v>
      </c>
      <c r="P1237">
        <v>2.95</v>
      </c>
      <c r="Q1237" t="s">
        <v>10</v>
      </c>
    </row>
    <row r="1238" spans="13:17" x14ac:dyDescent="0.25">
      <c r="M1238" t="s">
        <v>48</v>
      </c>
      <c r="N1238" t="s">
        <v>649</v>
      </c>
      <c r="O1238">
        <v>1.43</v>
      </c>
      <c r="P1238">
        <v>2.95</v>
      </c>
      <c r="Q1238" t="s">
        <v>10</v>
      </c>
    </row>
    <row r="1239" spans="13:17" x14ac:dyDescent="0.25">
      <c r="M1239" t="s">
        <v>48</v>
      </c>
      <c r="N1239" t="s">
        <v>649</v>
      </c>
      <c r="O1239">
        <v>1.42</v>
      </c>
      <c r="P1239">
        <v>3</v>
      </c>
      <c r="Q1239" t="s">
        <v>10</v>
      </c>
    </row>
    <row r="1240" spans="13:17" x14ac:dyDescent="0.25">
      <c r="M1240" t="s">
        <v>48</v>
      </c>
      <c r="N1240" t="s">
        <v>649</v>
      </c>
      <c r="O1240">
        <v>1.43</v>
      </c>
      <c r="P1240">
        <v>2.9</v>
      </c>
      <c r="Q1240" t="s">
        <v>10</v>
      </c>
    </row>
    <row r="1241" spans="13:17" x14ac:dyDescent="0.25">
      <c r="M1241" t="s">
        <v>48</v>
      </c>
      <c r="N1241" t="s">
        <v>649</v>
      </c>
      <c r="O1241">
        <v>1.38</v>
      </c>
      <c r="P1241">
        <v>3</v>
      </c>
      <c r="Q1241" t="s">
        <v>10</v>
      </c>
    </row>
    <row r="1242" spans="13:17" x14ac:dyDescent="0.25">
      <c r="M1242" t="s">
        <v>48</v>
      </c>
      <c r="N1242" t="s">
        <v>649</v>
      </c>
      <c r="O1242">
        <v>1.42</v>
      </c>
      <c r="P1242">
        <v>2.85</v>
      </c>
      <c r="Q1242" t="s">
        <v>10</v>
      </c>
    </row>
    <row r="1243" spans="13:17" x14ac:dyDescent="0.25">
      <c r="M1243" t="s">
        <v>48</v>
      </c>
      <c r="N1243" t="s">
        <v>649</v>
      </c>
      <c r="O1243">
        <v>1.42</v>
      </c>
      <c r="P1243">
        <v>2.85</v>
      </c>
      <c r="Q1243" t="s">
        <v>10</v>
      </c>
    </row>
    <row r="1244" spans="13:17" x14ac:dyDescent="0.25">
      <c r="M1244" t="s">
        <v>48</v>
      </c>
      <c r="N1244" t="s">
        <v>649</v>
      </c>
      <c r="O1244">
        <v>1.4</v>
      </c>
      <c r="P1244">
        <v>3</v>
      </c>
      <c r="Q1244" t="s">
        <v>10</v>
      </c>
    </row>
    <row r="1245" spans="13:17" x14ac:dyDescent="0.25">
      <c r="M1245" t="s">
        <v>48</v>
      </c>
      <c r="N1245" t="s">
        <v>649</v>
      </c>
      <c r="O1245">
        <v>1.4</v>
      </c>
      <c r="P1245">
        <v>2.9</v>
      </c>
      <c r="Q1245" t="s">
        <v>10</v>
      </c>
    </row>
    <row r="1246" spans="13:17" x14ac:dyDescent="0.25">
      <c r="M1246" t="s">
        <v>119</v>
      </c>
      <c r="N1246" t="s">
        <v>120</v>
      </c>
      <c r="O1246">
        <v>6</v>
      </c>
      <c r="P1246">
        <v>1.1200000000000001</v>
      </c>
      <c r="Q1246" t="s">
        <v>10</v>
      </c>
    </row>
    <row r="1247" spans="13:17" x14ac:dyDescent="0.25">
      <c r="M1247" t="s">
        <v>119</v>
      </c>
      <c r="N1247" t="s">
        <v>120</v>
      </c>
      <c r="O1247">
        <v>6.5</v>
      </c>
      <c r="P1247">
        <v>1.1200000000000001</v>
      </c>
      <c r="Q1247" t="s">
        <v>10</v>
      </c>
    </row>
    <row r="1248" spans="13:17" x14ac:dyDescent="0.25">
      <c r="M1248" t="s">
        <v>119</v>
      </c>
      <c r="N1248" t="s">
        <v>120</v>
      </c>
      <c r="O1248">
        <v>6.25</v>
      </c>
      <c r="P1248">
        <v>1.1200000000000001</v>
      </c>
      <c r="Q1248" t="s">
        <v>10</v>
      </c>
    </row>
    <row r="1249" spans="13:17" x14ac:dyDescent="0.25">
      <c r="M1249" t="s">
        <v>119</v>
      </c>
      <c r="N1249" t="s">
        <v>120</v>
      </c>
      <c r="O1249">
        <v>5.8</v>
      </c>
      <c r="P1249">
        <v>1.1299999999999999</v>
      </c>
      <c r="Q1249" t="s">
        <v>10</v>
      </c>
    </row>
    <row r="1250" spans="13:17" x14ac:dyDescent="0.25">
      <c r="M1250" t="s">
        <v>119</v>
      </c>
      <c r="N1250" t="s">
        <v>120</v>
      </c>
      <c r="O1250">
        <v>6.5</v>
      </c>
      <c r="P1250">
        <v>1.1200000000000001</v>
      </c>
      <c r="Q1250" t="s">
        <v>10</v>
      </c>
    </row>
    <row r="1251" spans="13:17" x14ac:dyDescent="0.25">
      <c r="M1251" t="s">
        <v>119</v>
      </c>
      <c r="N1251" t="s">
        <v>120</v>
      </c>
      <c r="O1251">
        <v>6.5</v>
      </c>
      <c r="P1251">
        <v>1.1200000000000001</v>
      </c>
      <c r="Q1251" t="s">
        <v>10</v>
      </c>
    </row>
    <row r="1252" spans="13:17" x14ac:dyDescent="0.25">
      <c r="M1252" t="s">
        <v>119</v>
      </c>
      <c r="N1252" t="s">
        <v>120</v>
      </c>
      <c r="O1252">
        <v>6.5</v>
      </c>
      <c r="P1252">
        <v>1.1200000000000001</v>
      </c>
      <c r="Q1252" t="s">
        <v>10</v>
      </c>
    </row>
    <row r="1253" spans="13:17" x14ac:dyDescent="0.25">
      <c r="M1253" t="s">
        <v>119</v>
      </c>
      <c r="N1253" t="s">
        <v>120</v>
      </c>
      <c r="O1253">
        <v>6.25</v>
      </c>
      <c r="P1253">
        <v>1.1299999999999999</v>
      </c>
      <c r="Q1253" t="s">
        <v>10</v>
      </c>
    </row>
    <row r="1254" spans="13:17" x14ac:dyDescent="0.25">
      <c r="M1254" t="s">
        <v>119</v>
      </c>
      <c r="N1254" t="s">
        <v>120</v>
      </c>
      <c r="O1254">
        <v>6.25</v>
      </c>
      <c r="P1254">
        <v>1.1299999999999999</v>
      </c>
      <c r="Q1254" t="s">
        <v>10</v>
      </c>
    </row>
    <row r="1255" spans="13:17" x14ac:dyDescent="0.25">
      <c r="M1255" t="s">
        <v>119</v>
      </c>
      <c r="N1255" t="s">
        <v>120</v>
      </c>
      <c r="O1255">
        <v>6.25</v>
      </c>
      <c r="P1255">
        <v>1.1200000000000001</v>
      </c>
      <c r="Q1255" t="s">
        <v>10</v>
      </c>
    </row>
    <row r="1256" spans="13:17" x14ac:dyDescent="0.25">
      <c r="M1256" t="s">
        <v>119</v>
      </c>
      <c r="N1256" t="s">
        <v>120</v>
      </c>
      <c r="O1256">
        <v>6</v>
      </c>
      <c r="P1256">
        <v>1.1299999999999999</v>
      </c>
      <c r="Q1256" t="s">
        <v>10</v>
      </c>
    </row>
    <row r="1257" spans="13:17" x14ac:dyDescent="0.25">
      <c r="M1257" t="s">
        <v>40</v>
      </c>
      <c r="N1257" t="s">
        <v>451</v>
      </c>
      <c r="O1257">
        <v>1.5</v>
      </c>
      <c r="P1257">
        <v>2.7</v>
      </c>
      <c r="Q1257" t="s">
        <v>10</v>
      </c>
    </row>
    <row r="1258" spans="13:17" x14ac:dyDescent="0.25">
      <c r="M1258" t="s">
        <v>40</v>
      </c>
      <c r="N1258" t="s">
        <v>451</v>
      </c>
      <c r="O1258">
        <v>1.5</v>
      </c>
      <c r="P1258">
        <v>2.7</v>
      </c>
      <c r="Q1258" t="s">
        <v>10</v>
      </c>
    </row>
    <row r="1259" spans="13:17" x14ac:dyDescent="0.25">
      <c r="M1259" t="s">
        <v>40</v>
      </c>
      <c r="N1259" t="s">
        <v>451</v>
      </c>
      <c r="O1259">
        <v>1.49</v>
      </c>
      <c r="P1259">
        <v>2.7</v>
      </c>
      <c r="Q1259" t="s">
        <v>10</v>
      </c>
    </row>
    <row r="1260" spans="13:17" x14ac:dyDescent="0.25">
      <c r="M1260" t="s">
        <v>40</v>
      </c>
      <c r="N1260" t="s">
        <v>451</v>
      </c>
      <c r="O1260">
        <v>1.47</v>
      </c>
      <c r="P1260">
        <v>2.75</v>
      </c>
      <c r="Q1260" t="s">
        <v>10</v>
      </c>
    </row>
    <row r="1261" spans="13:17" x14ac:dyDescent="0.25">
      <c r="M1261" t="s">
        <v>40</v>
      </c>
      <c r="N1261" t="s">
        <v>451</v>
      </c>
      <c r="O1261">
        <v>1.49</v>
      </c>
      <c r="P1261">
        <v>2.72</v>
      </c>
      <c r="Q1261" t="s">
        <v>10</v>
      </c>
    </row>
    <row r="1262" spans="13:17" x14ac:dyDescent="0.25">
      <c r="M1262" t="s">
        <v>40</v>
      </c>
      <c r="N1262" t="s">
        <v>451</v>
      </c>
      <c r="O1262">
        <v>1.48</v>
      </c>
      <c r="P1262">
        <v>2.75</v>
      </c>
      <c r="Q1262" t="s">
        <v>10</v>
      </c>
    </row>
    <row r="1263" spans="13:17" x14ac:dyDescent="0.25">
      <c r="M1263" t="s">
        <v>40</v>
      </c>
      <c r="N1263" t="s">
        <v>451</v>
      </c>
      <c r="O1263">
        <v>1.48</v>
      </c>
      <c r="P1263">
        <v>2.7</v>
      </c>
      <c r="Q1263" t="s">
        <v>10</v>
      </c>
    </row>
    <row r="1264" spans="13:17" x14ac:dyDescent="0.25">
      <c r="M1264" t="s">
        <v>40</v>
      </c>
      <c r="N1264" t="s">
        <v>451</v>
      </c>
      <c r="O1264">
        <v>1.43</v>
      </c>
      <c r="P1264">
        <v>2.8</v>
      </c>
      <c r="Q1264" t="s">
        <v>10</v>
      </c>
    </row>
    <row r="1265" spans="11:17" x14ac:dyDescent="0.25">
      <c r="K1265" s="1"/>
      <c r="M1265" t="s">
        <v>40</v>
      </c>
      <c r="N1265" t="s">
        <v>451</v>
      </c>
      <c r="O1265">
        <v>1.49</v>
      </c>
      <c r="P1265">
        <v>2.63</v>
      </c>
      <c r="Q1265" t="s">
        <v>10</v>
      </c>
    </row>
    <row r="1266" spans="11:17" x14ac:dyDescent="0.25">
      <c r="K1266" s="1"/>
      <c r="M1266" t="s">
        <v>40</v>
      </c>
      <c r="N1266" t="s">
        <v>451</v>
      </c>
      <c r="O1266">
        <v>1.49</v>
      </c>
      <c r="P1266">
        <v>2.63</v>
      </c>
      <c r="Q1266" t="s">
        <v>10</v>
      </c>
    </row>
    <row r="1267" spans="11:17" x14ac:dyDescent="0.25">
      <c r="K1267" s="1"/>
      <c r="M1267" t="s">
        <v>40</v>
      </c>
      <c r="N1267" t="s">
        <v>451</v>
      </c>
      <c r="O1267">
        <v>1.45</v>
      </c>
      <c r="P1267">
        <v>2.8</v>
      </c>
      <c r="Q1267" t="s">
        <v>10</v>
      </c>
    </row>
    <row r="1268" spans="11:17" x14ac:dyDescent="0.25">
      <c r="K1268" s="1"/>
      <c r="M1268" t="s">
        <v>40</v>
      </c>
      <c r="N1268" t="s">
        <v>451</v>
      </c>
      <c r="O1268">
        <v>1.44</v>
      </c>
      <c r="P1268">
        <v>2.8</v>
      </c>
      <c r="Q1268" t="s">
        <v>10</v>
      </c>
    </row>
    <row r="1269" spans="11:17" x14ac:dyDescent="0.25">
      <c r="K1269" s="1"/>
      <c r="M1269" t="s">
        <v>39</v>
      </c>
      <c r="N1269" t="s">
        <v>452</v>
      </c>
      <c r="O1269">
        <v>3.6</v>
      </c>
      <c r="P1269">
        <v>1.32</v>
      </c>
      <c r="Q1269" t="s">
        <v>10</v>
      </c>
    </row>
    <row r="1270" spans="11:17" x14ac:dyDescent="0.25">
      <c r="K1270" s="1"/>
      <c r="M1270" t="s">
        <v>39</v>
      </c>
      <c r="N1270" t="s">
        <v>452</v>
      </c>
      <c r="O1270">
        <v>3.6</v>
      </c>
      <c r="P1270">
        <v>1.32</v>
      </c>
      <c r="Q1270" t="s">
        <v>10</v>
      </c>
    </row>
    <row r="1271" spans="11:17" x14ac:dyDescent="0.25">
      <c r="K1271" s="1"/>
      <c r="M1271" t="s">
        <v>39</v>
      </c>
      <c r="N1271" t="s">
        <v>452</v>
      </c>
      <c r="O1271">
        <v>3.45</v>
      </c>
      <c r="P1271">
        <v>1.33</v>
      </c>
      <c r="Q1271" t="s">
        <v>10</v>
      </c>
    </row>
    <row r="1272" spans="11:17" x14ac:dyDescent="0.25">
      <c r="K1272" s="1"/>
      <c r="M1272" t="s">
        <v>39</v>
      </c>
      <c r="N1272" t="s">
        <v>452</v>
      </c>
      <c r="O1272">
        <v>3.4</v>
      </c>
      <c r="P1272">
        <v>1.33</v>
      </c>
      <c r="Q1272" t="s">
        <v>10</v>
      </c>
    </row>
    <row r="1273" spans="11:17" x14ac:dyDescent="0.25">
      <c r="K1273" s="1"/>
      <c r="M1273" t="s">
        <v>39</v>
      </c>
      <c r="N1273" t="s">
        <v>452</v>
      </c>
      <c r="O1273">
        <v>3.6</v>
      </c>
      <c r="P1273">
        <v>1.3</v>
      </c>
      <c r="Q1273" t="s">
        <v>10</v>
      </c>
    </row>
    <row r="1274" spans="11:17" x14ac:dyDescent="0.25">
      <c r="K1274" s="1"/>
      <c r="M1274" t="s">
        <v>39</v>
      </c>
      <c r="N1274" t="s">
        <v>452</v>
      </c>
      <c r="O1274">
        <v>3.3</v>
      </c>
      <c r="P1274">
        <v>1.33</v>
      </c>
      <c r="Q1274" t="s">
        <v>10</v>
      </c>
    </row>
    <row r="1275" spans="11:17" x14ac:dyDescent="0.25">
      <c r="K1275" s="1"/>
      <c r="M1275" t="s">
        <v>39</v>
      </c>
      <c r="N1275" t="s">
        <v>452</v>
      </c>
      <c r="O1275">
        <v>3.3</v>
      </c>
      <c r="P1275">
        <v>1.32</v>
      </c>
      <c r="Q1275" t="s">
        <v>10</v>
      </c>
    </row>
    <row r="1276" spans="11:17" x14ac:dyDescent="0.25">
      <c r="K1276" s="1"/>
      <c r="M1276" t="s">
        <v>39</v>
      </c>
      <c r="N1276" t="s">
        <v>452</v>
      </c>
      <c r="O1276">
        <v>3.45</v>
      </c>
      <c r="P1276">
        <v>1.32</v>
      </c>
      <c r="Q1276" t="s">
        <v>10</v>
      </c>
    </row>
    <row r="1277" spans="11:17" x14ac:dyDescent="0.25">
      <c r="K1277" s="1"/>
      <c r="M1277" t="s">
        <v>39</v>
      </c>
      <c r="N1277" t="s">
        <v>452</v>
      </c>
      <c r="O1277">
        <v>3.45</v>
      </c>
      <c r="P1277">
        <v>1.32</v>
      </c>
      <c r="Q1277" t="s">
        <v>10</v>
      </c>
    </row>
    <row r="1278" spans="11:17" x14ac:dyDescent="0.25">
      <c r="K1278" s="1"/>
      <c r="M1278" t="s">
        <v>39</v>
      </c>
      <c r="N1278" t="s">
        <v>452</v>
      </c>
      <c r="O1278">
        <v>3.3</v>
      </c>
      <c r="P1278">
        <v>1.36</v>
      </c>
      <c r="Q1278" t="s">
        <v>10</v>
      </c>
    </row>
    <row r="1279" spans="11:17" x14ac:dyDescent="0.25">
      <c r="K1279" s="1"/>
      <c r="M1279" t="s">
        <v>39</v>
      </c>
      <c r="N1279" t="s">
        <v>452</v>
      </c>
      <c r="O1279">
        <v>3.4</v>
      </c>
      <c r="P1279">
        <v>1.33</v>
      </c>
      <c r="Q1279" t="s">
        <v>10</v>
      </c>
    </row>
    <row r="1280" spans="11:17" x14ac:dyDescent="0.25">
      <c r="K1280" s="1"/>
      <c r="M1280" t="s">
        <v>41</v>
      </c>
      <c r="N1280" t="s">
        <v>453</v>
      </c>
      <c r="O1280">
        <v>1.23</v>
      </c>
      <c r="P1280">
        <v>4.3</v>
      </c>
      <c r="Q1280" t="s">
        <v>10</v>
      </c>
    </row>
    <row r="1281" spans="11:17" x14ac:dyDescent="0.25">
      <c r="K1281" s="1"/>
      <c r="M1281" t="s">
        <v>41</v>
      </c>
      <c r="N1281" t="s">
        <v>453</v>
      </c>
      <c r="O1281">
        <v>1.23</v>
      </c>
      <c r="P1281">
        <v>4.3</v>
      </c>
      <c r="Q1281" t="s">
        <v>10</v>
      </c>
    </row>
    <row r="1282" spans="11:17" x14ac:dyDescent="0.25">
      <c r="K1282" s="1"/>
      <c r="M1282" t="s">
        <v>41</v>
      </c>
      <c r="N1282" t="s">
        <v>453</v>
      </c>
      <c r="O1282">
        <v>1.24</v>
      </c>
      <c r="P1282">
        <v>4.3</v>
      </c>
      <c r="Q1282" t="s">
        <v>10</v>
      </c>
    </row>
    <row r="1283" spans="11:17" x14ac:dyDescent="0.25">
      <c r="K1283" s="1"/>
      <c r="M1283" t="s">
        <v>41</v>
      </c>
      <c r="N1283" t="s">
        <v>453</v>
      </c>
      <c r="O1283">
        <v>1.24</v>
      </c>
      <c r="P1283">
        <v>4.25</v>
      </c>
      <c r="Q1283" t="s">
        <v>10</v>
      </c>
    </row>
    <row r="1284" spans="11:17" x14ac:dyDescent="0.25">
      <c r="K1284" s="1"/>
      <c r="M1284" t="s">
        <v>41</v>
      </c>
      <c r="N1284" t="s">
        <v>453</v>
      </c>
      <c r="O1284">
        <v>1.23</v>
      </c>
      <c r="P1284">
        <v>4.3499999999999996</v>
      </c>
      <c r="Q1284" t="s">
        <v>10</v>
      </c>
    </row>
    <row r="1285" spans="11:17" x14ac:dyDescent="0.25">
      <c r="K1285" s="1"/>
      <c r="M1285" t="s">
        <v>41</v>
      </c>
      <c r="N1285" t="s">
        <v>453</v>
      </c>
      <c r="O1285">
        <v>1.22</v>
      </c>
      <c r="P1285">
        <v>4.5</v>
      </c>
      <c r="Q1285" t="s">
        <v>10</v>
      </c>
    </row>
    <row r="1286" spans="11:17" x14ac:dyDescent="0.25">
      <c r="K1286" s="1"/>
      <c r="M1286" t="s">
        <v>41</v>
      </c>
      <c r="N1286" t="s">
        <v>453</v>
      </c>
      <c r="O1286">
        <v>1.23</v>
      </c>
      <c r="P1286">
        <v>4.3</v>
      </c>
      <c r="Q1286" t="s">
        <v>10</v>
      </c>
    </row>
    <row r="1287" spans="11:17" x14ac:dyDescent="0.25">
      <c r="K1287" s="1"/>
      <c r="M1287" t="s">
        <v>41</v>
      </c>
      <c r="N1287" t="s">
        <v>453</v>
      </c>
      <c r="O1287">
        <v>1.23</v>
      </c>
      <c r="P1287">
        <v>4.3</v>
      </c>
      <c r="Q1287" t="s">
        <v>10</v>
      </c>
    </row>
    <row r="1288" spans="11:17" x14ac:dyDescent="0.25">
      <c r="K1288" s="1"/>
      <c r="M1288" t="s">
        <v>41</v>
      </c>
      <c r="N1288" t="s">
        <v>453</v>
      </c>
      <c r="O1288">
        <v>1.23</v>
      </c>
      <c r="P1288">
        <v>4.3</v>
      </c>
      <c r="Q1288" t="s">
        <v>10</v>
      </c>
    </row>
    <row r="1289" spans="11:17" x14ac:dyDescent="0.25">
      <c r="K1289" s="1"/>
      <c r="M1289" t="s">
        <v>41</v>
      </c>
      <c r="N1289" t="s">
        <v>453</v>
      </c>
      <c r="O1289">
        <v>1.23</v>
      </c>
      <c r="P1289">
        <v>4.0999999999999996</v>
      </c>
      <c r="Q1289" t="s">
        <v>10</v>
      </c>
    </row>
    <row r="1290" spans="11:17" x14ac:dyDescent="0.25">
      <c r="K1290" s="1"/>
      <c r="M1290" t="s">
        <v>41</v>
      </c>
      <c r="N1290" t="s">
        <v>453</v>
      </c>
      <c r="O1290">
        <v>1.24</v>
      </c>
      <c r="P1290">
        <v>4.25</v>
      </c>
      <c r="Q1290" t="s">
        <v>10</v>
      </c>
    </row>
    <row r="1291" spans="11:17" x14ac:dyDescent="0.25">
      <c r="K1291" s="1"/>
      <c r="M1291" t="s">
        <v>41</v>
      </c>
      <c r="N1291" t="s">
        <v>453</v>
      </c>
      <c r="O1291">
        <v>1.22</v>
      </c>
      <c r="P1291">
        <v>4.33</v>
      </c>
      <c r="Q1291" t="s">
        <v>10</v>
      </c>
    </row>
    <row r="1292" spans="11:17" x14ac:dyDescent="0.25">
      <c r="K1292" s="1"/>
      <c r="M1292" t="s">
        <v>650</v>
      </c>
      <c r="N1292" t="s">
        <v>651</v>
      </c>
      <c r="O1292">
        <v>2.9</v>
      </c>
      <c r="P1292">
        <v>1.44</v>
      </c>
      <c r="Q1292" t="s">
        <v>10</v>
      </c>
    </row>
    <row r="1293" spans="11:17" x14ac:dyDescent="0.25">
      <c r="K1293" s="1"/>
      <c r="M1293" t="s">
        <v>650</v>
      </c>
      <c r="N1293" t="s">
        <v>651</v>
      </c>
      <c r="O1293">
        <v>2.9</v>
      </c>
      <c r="P1293">
        <v>1.44</v>
      </c>
      <c r="Q1293" t="s">
        <v>10</v>
      </c>
    </row>
    <row r="1294" spans="11:17" x14ac:dyDescent="0.25">
      <c r="K1294" s="1"/>
      <c r="M1294" t="s">
        <v>650</v>
      </c>
      <c r="N1294" t="s">
        <v>651</v>
      </c>
      <c r="O1294">
        <v>2.85</v>
      </c>
      <c r="P1294">
        <v>1.44</v>
      </c>
      <c r="Q1294" t="s">
        <v>10</v>
      </c>
    </row>
    <row r="1295" spans="11:17" x14ac:dyDescent="0.25">
      <c r="K1295" s="1"/>
      <c r="M1295" t="s">
        <v>650</v>
      </c>
      <c r="N1295" t="s">
        <v>651</v>
      </c>
      <c r="O1295">
        <v>2.65</v>
      </c>
      <c r="P1295">
        <v>1.48</v>
      </c>
      <c r="Q1295" t="s">
        <v>10</v>
      </c>
    </row>
    <row r="1296" spans="11:17" x14ac:dyDescent="0.25">
      <c r="K1296" s="1"/>
      <c r="M1296" t="s">
        <v>650</v>
      </c>
      <c r="N1296" t="s">
        <v>651</v>
      </c>
      <c r="O1296">
        <v>2.65</v>
      </c>
      <c r="P1296">
        <v>1.48</v>
      </c>
      <c r="Q1296" t="s">
        <v>10</v>
      </c>
    </row>
    <row r="1297" spans="11:17" x14ac:dyDescent="0.25">
      <c r="K1297" s="1"/>
      <c r="M1297" t="s">
        <v>650</v>
      </c>
      <c r="N1297" t="s">
        <v>651</v>
      </c>
      <c r="O1297">
        <v>2.85</v>
      </c>
      <c r="P1297">
        <v>1.44</v>
      </c>
      <c r="Q1297" t="s">
        <v>10</v>
      </c>
    </row>
    <row r="1298" spans="11:17" x14ac:dyDescent="0.25">
      <c r="K1298" s="1"/>
      <c r="M1298" t="s">
        <v>650</v>
      </c>
      <c r="N1298" t="s">
        <v>651</v>
      </c>
      <c r="O1298">
        <v>2.86</v>
      </c>
      <c r="P1298">
        <v>1.41</v>
      </c>
      <c r="Q1298" t="s">
        <v>10</v>
      </c>
    </row>
    <row r="1299" spans="11:17" x14ac:dyDescent="0.25">
      <c r="K1299" s="1"/>
      <c r="M1299" t="s">
        <v>650</v>
      </c>
      <c r="N1299" t="s">
        <v>651</v>
      </c>
      <c r="O1299">
        <v>2.9</v>
      </c>
      <c r="P1299">
        <v>1.43</v>
      </c>
      <c r="Q1299" t="s">
        <v>10</v>
      </c>
    </row>
    <row r="1300" spans="11:17" x14ac:dyDescent="0.25">
      <c r="K1300" s="1"/>
      <c r="M1300" t="s">
        <v>652</v>
      </c>
      <c r="N1300" t="s">
        <v>651</v>
      </c>
      <c r="O1300">
        <v>1.62</v>
      </c>
      <c r="P1300">
        <v>2.42</v>
      </c>
      <c r="Q1300" t="s">
        <v>10</v>
      </c>
    </row>
    <row r="1301" spans="11:17" x14ac:dyDescent="0.25">
      <c r="K1301" s="1"/>
      <c r="M1301" t="s">
        <v>652</v>
      </c>
      <c r="N1301" t="s">
        <v>651</v>
      </c>
      <c r="O1301">
        <v>1.59</v>
      </c>
      <c r="P1301">
        <v>2.4</v>
      </c>
      <c r="Q1301" t="s">
        <v>10</v>
      </c>
    </row>
    <row r="1302" spans="11:17" x14ac:dyDescent="0.25">
      <c r="K1302" s="1"/>
      <c r="M1302" t="s">
        <v>652</v>
      </c>
      <c r="N1302" t="s">
        <v>651</v>
      </c>
      <c r="O1302">
        <v>1.62</v>
      </c>
      <c r="P1302">
        <v>2.42</v>
      </c>
      <c r="Q1302" t="s">
        <v>10</v>
      </c>
    </row>
    <row r="1303" spans="11:17" x14ac:dyDescent="0.25">
      <c r="K1303" s="1"/>
      <c r="M1303" t="s">
        <v>652</v>
      </c>
      <c r="N1303" t="s">
        <v>651</v>
      </c>
      <c r="O1303">
        <v>1.61</v>
      </c>
      <c r="P1303">
        <v>2.35</v>
      </c>
      <c r="Q1303" t="s">
        <v>10</v>
      </c>
    </row>
    <row r="1304" spans="11:17" x14ac:dyDescent="0.25">
      <c r="K1304" s="1"/>
      <c r="M1304" t="s">
        <v>652</v>
      </c>
      <c r="N1304" t="s">
        <v>651</v>
      </c>
      <c r="O1304">
        <v>1.57</v>
      </c>
      <c r="P1304">
        <v>2.38</v>
      </c>
      <c r="Q1304" t="s">
        <v>10</v>
      </c>
    </row>
    <row r="1305" spans="11:17" x14ac:dyDescent="0.25">
      <c r="K1305" s="1"/>
      <c r="M1305" t="s">
        <v>652</v>
      </c>
      <c r="N1305" t="s">
        <v>651</v>
      </c>
      <c r="O1305">
        <v>1.57</v>
      </c>
      <c r="P1305">
        <v>2.38</v>
      </c>
      <c r="Q1305" t="s">
        <v>10</v>
      </c>
    </row>
    <row r="1306" spans="11:17" x14ac:dyDescent="0.25">
      <c r="K1306" s="1"/>
      <c r="M1306" t="s">
        <v>652</v>
      </c>
      <c r="N1306" t="s">
        <v>651</v>
      </c>
      <c r="O1306">
        <v>1.59</v>
      </c>
      <c r="P1306">
        <v>2.42</v>
      </c>
      <c r="Q1306" t="s">
        <v>10</v>
      </c>
    </row>
    <row r="1307" spans="11:17" x14ac:dyDescent="0.25">
      <c r="K1307" s="1"/>
      <c r="M1307" t="s">
        <v>652</v>
      </c>
      <c r="N1307" t="s">
        <v>651</v>
      </c>
      <c r="O1307">
        <v>1.57</v>
      </c>
      <c r="P1307">
        <v>2.36</v>
      </c>
      <c r="Q1307" t="s">
        <v>10</v>
      </c>
    </row>
    <row r="1308" spans="11:17" x14ac:dyDescent="0.25">
      <c r="K1308" s="1"/>
      <c r="M1308" t="s">
        <v>652</v>
      </c>
      <c r="N1308" t="s">
        <v>651</v>
      </c>
      <c r="O1308">
        <v>1.61</v>
      </c>
      <c r="P1308">
        <v>2.4</v>
      </c>
      <c r="Q1308" t="s">
        <v>10</v>
      </c>
    </row>
    <row r="1309" spans="11:17" x14ac:dyDescent="0.25">
      <c r="K1309" s="1"/>
      <c r="M1309" t="s">
        <v>653</v>
      </c>
      <c r="N1309" t="s">
        <v>651</v>
      </c>
      <c r="O1309">
        <v>1.8</v>
      </c>
      <c r="P1309">
        <v>2.0499999999999998</v>
      </c>
      <c r="Q1309" t="s">
        <v>10</v>
      </c>
    </row>
    <row r="1310" spans="11:17" x14ac:dyDescent="0.25">
      <c r="K1310" s="1"/>
      <c r="M1310" t="s">
        <v>653</v>
      </c>
      <c r="N1310" t="s">
        <v>651</v>
      </c>
      <c r="O1310">
        <v>1.83</v>
      </c>
      <c r="P1310">
        <v>2</v>
      </c>
      <c r="Q1310" t="s">
        <v>10</v>
      </c>
    </row>
    <row r="1311" spans="11:17" x14ac:dyDescent="0.25">
      <c r="K1311" s="1"/>
      <c r="M1311" t="s">
        <v>653</v>
      </c>
      <c r="N1311" t="s">
        <v>651</v>
      </c>
      <c r="O1311">
        <v>1.8</v>
      </c>
      <c r="P1311">
        <v>2.0499999999999998</v>
      </c>
      <c r="Q1311" t="s">
        <v>10</v>
      </c>
    </row>
    <row r="1312" spans="11:17" x14ac:dyDescent="0.25">
      <c r="K1312" s="1"/>
      <c r="M1312" t="s">
        <v>653</v>
      </c>
      <c r="N1312" t="s">
        <v>651</v>
      </c>
      <c r="O1312">
        <v>1.8</v>
      </c>
      <c r="P1312">
        <v>1.95</v>
      </c>
      <c r="Q1312" t="s">
        <v>10</v>
      </c>
    </row>
    <row r="1313" spans="11:17" x14ac:dyDescent="0.25">
      <c r="K1313" s="1"/>
      <c r="M1313" t="s">
        <v>653</v>
      </c>
      <c r="N1313" t="s">
        <v>651</v>
      </c>
      <c r="O1313">
        <v>1.85</v>
      </c>
      <c r="P1313">
        <v>1.93</v>
      </c>
      <c r="Q1313" t="s">
        <v>10</v>
      </c>
    </row>
    <row r="1314" spans="11:17" x14ac:dyDescent="0.25">
      <c r="K1314" s="1"/>
      <c r="M1314" t="s">
        <v>653</v>
      </c>
      <c r="N1314" t="s">
        <v>651</v>
      </c>
      <c r="O1314">
        <v>1.85</v>
      </c>
      <c r="P1314">
        <v>1.93</v>
      </c>
      <c r="Q1314" t="s">
        <v>10</v>
      </c>
    </row>
    <row r="1315" spans="11:17" x14ac:dyDescent="0.25">
      <c r="K1315" s="1"/>
      <c r="M1315" t="s">
        <v>653</v>
      </c>
      <c r="N1315" t="s">
        <v>651</v>
      </c>
      <c r="O1315">
        <v>1.85</v>
      </c>
      <c r="P1315">
        <v>1.98</v>
      </c>
      <c r="Q1315" t="s">
        <v>10</v>
      </c>
    </row>
    <row r="1316" spans="11:17" x14ac:dyDescent="0.25">
      <c r="K1316" s="1"/>
      <c r="M1316" t="s">
        <v>653</v>
      </c>
      <c r="N1316" t="s">
        <v>651</v>
      </c>
      <c r="O1316">
        <v>1.82</v>
      </c>
      <c r="P1316">
        <v>1.96</v>
      </c>
      <c r="Q1316" t="s">
        <v>10</v>
      </c>
    </row>
    <row r="1317" spans="11:17" x14ac:dyDescent="0.25">
      <c r="K1317" s="1"/>
      <c r="M1317" t="s">
        <v>653</v>
      </c>
      <c r="N1317" t="s">
        <v>651</v>
      </c>
      <c r="O1317">
        <v>1.83</v>
      </c>
      <c r="P1317">
        <v>2</v>
      </c>
      <c r="Q1317" t="s">
        <v>10</v>
      </c>
    </row>
    <row r="1318" spans="11:17" x14ac:dyDescent="0.25">
      <c r="K1318" s="1"/>
      <c r="M1318" t="s">
        <v>654</v>
      </c>
      <c r="N1318" t="s">
        <v>651</v>
      </c>
      <c r="O1318">
        <v>2.68</v>
      </c>
      <c r="P1318">
        <v>1.52</v>
      </c>
      <c r="Q1318" t="s">
        <v>10</v>
      </c>
    </row>
    <row r="1319" spans="11:17" x14ac:dyDescent="0.25">
      <c r="K1319" s="1"/>
      <c r="M1319" t="s">
        <v>654</v>
      </c>
      <c r="N1319" t="s">
        <v>651</v>
      </c>
      <c r="O1319">
        <v>2.6</v>
      </c>
      <c r="P1319">
        <v>1.51</v>
      </c>
      <c r="Q1319" t="s">
        <v>10</v>
      </c>
    </row>
    <row r="1320" spans="11:17" x14ac:dyDescent="0.25">
      <c r="K1320" s="1"/>
      <c r="M1320" t="s">
        <v>654</v>
      </c>
      <c r="N1320" t="s">
        <v>651</v>
      </c>
      <c r="O1320">
        <v>2.68</v>
      </c>
      <c r="P1320">
        <v>1.52</v>
      </c>
      <c r="Q1320" t="s">
        <v>10</v>
      </c>
    </row>
    <row r="1321" spans="11:17" x14ac:dyDescent="0.25">
      <c r="K1321" s="1"/>
      <c r="M1321" t="s">
        <v>654</v>
      </c>
      <c r="N1321" t="s">
        <v>651</v>
      </c>
      <c r="O1321">
        <v>2.6</v>
      </c>
      <c r="P1321">
        <v>1.53</v>
      </c>
      <c r="Q1321" t="s">
        <v>10</v>
      </c>
    </row>
    <row r="1322" spans="11:17" x14ac:dyDescent="0.25">
      <c r="K1322" s="1"/>
      <c r="M1322" t="s">
        <v>654</v>
      </c>
      <c r="N1322" t="s">
        <v>651</v>
      </c>
      <c r="O1322">
        <v>2.5499999999999998</v>
      </c>
      <c r="P1322">
        <v>1.51</v>
      </c>
      <c r="Q1322" t="s">
        <v>10</v>
      </c>
    </row>
    <row r="1323" spans="11:17" x14ac:dyDescent="0.25">
      <c r="K1323" s="1"/>
      <c r="M1323" t="s">
        <v>654</v>
      </c>
      <c r="N1323" t="s">
        <v>651</v>
      </c>
      <c r="O1323">
        <v>2.5499999999999998</v>
      </c>
      <c r="P1323">
        <v>1.51</v>
      </c>
      <c r="Q1323" t="s">
        <v>10</v>
      </c>
    </row>
    <row r="1324" spans="11:17" x14ac:dyDescent="0.25">
      <c r="K1324" s="1"/>
      <c r="M1324" t="s">
        <v>654</v>
      </c>
      <c r="N1324" t="s">
        <v>651</v>
      </c>
      <c r="O1324">
        <v>2.64</v>
      </c>
      <c r="P1324">
        <v>1.51</v>
      </c>
      <c r="Q1324" t="s">
        <v>10</v>
      </c>
    </row>
    <row r="1325" spans="11:17" x14ac:dyDescent="0.25">
      <c r="K1325" s="1"/>
      <c r="M1325" t="s">
        <v>654</v>
      </c>
      <c r="N1325" t="s">
        <v>651</v>
      </c>
      <c r="O1325">
        <v>2.62</v>
      </c>
      <c r="P1325">
        <v>1.48</v>
      </c>
      <c r="Q1325" t="s">
        <v>10</v>
      </c>
    </row>
    <row r="1326" spans="11:17" x14ac:dyDescent="0.25">
      <c r="K1326" s="1"/>
      <c r="M1326" t="s">
        <v>654</v>
      </c>
      <c r="N1326" t="s">
        <v>651</v>
      </c>
      <c r="O1326">
        <v>2.65</v>
      </c>
      <c r="P1326">
        <v>1.51</v>
      </c>
      <c r="Q1326" t="s">
        <v>10</v>
      </c>
    </row>
    <row r="1327" spans="11:17" x14ac:dyDescent="0.25">
      <c r="K1327" s="1"/>
      <c r="M1327" t="s">
        <v>655</v>
      </c>
      <c r="N1327" t="s">
        <v>651</v>
      </c>
      <c r="O1327">
        <v>3.35</v>
      </c>
      <c r="P1327">
        <v>1.36</v>
      </c>
      <c r="Q1327" t="s">
        <v>10</v>
      </c>
    </row>
    <row r="1328" spans="11:17" x14ac:dyDescent="0.25">
      <c r="K1328" s="1"/>
      <c r="M1328" t="s">
        <v>655</v>
      </c>
      <c r="N1328" t="s">
        <v>651</v>
      </c>
      <c r="O1328">
        <v>3.2</v>
      </c>
      <c r="P1328">
        <v>1.36</v>
      </c>
      <c r="Q1328" t="s">
        <v>10</v>
      </c>
    </row>
    <row r="1329" spans="11:17" x14ac:dyDescent="0.25">
      <c r="K1329" s="1"/>
      <c r="M1329" t="s">
        <v>655</v>
      </c>
      <c r="N1329" t="s">
        <v>651</v>
      </c>
      <c r="O1329">
        <v>3.35</v>
      </c>
      <c r="P1329">
        <v>1.36</v>
      </c>
      <c r="Q1329" t="s">
        <v>10</v>
      </c>
    </row>
    <row r="1330" spans="11:17" x14ac:dyDescent="0.25">
      <c r="K1330" s="1"/>
      <c r="M1330" t="s">
        <v>655</v>
      </c>
      <c r="N1330" t="s">
        <v>651</v>
      </c>
      <c r="O1330">
        <v>3.2</v>
      </c>
      <c r="P1330">
        <v>1.36</v>
      </c>
      <c r="Q1330" t="s">
        <v>10</v>
      </c>
    </row>
    <row r="1331" spans="11:17" x14ac:dyDescent="0.25">
      <c r="K1331" s="1"/>
      <c r="M1331" t="s">
        <v>655</v>
      </c>
      <c r="N1331" t="s">
        <v>651</v>
      </c>
      <c r="O1331">
        <v>2.95</v>
      </c>
      <c r="P1331">
        <v>1.4</v>
      </c>
      <c r="Q1331" t="s">
        <v>10</v>
      </c>
    </row>
    <row r="1332" spans="11:17" x14ac:dyDescent="0.25">
      <c r="K1332" s="1"/>
      <c r="M1332" t="s">
        <v>655</v>
      </c>
      <c r="N1332" t="s">
        <v>651</v>
      </c>
      <c r="O1332">
        <v>2.95</v>
      </c>
      <c r="P1332">
        <v>1.4</v>
      </c>
      <c r="Q1332" t="s">
        <v>10</v>
      </c>
    </row>
    <row r="1333" spans="11:17" x14ac:dyDescent="0.25">
      <c r="K1333" s="1"/>
      <c r="M1333" t="s">
        <v>655</v>
      </c>
      <c r="N1333" t="s">
        <v>651</v>
      </c>
      <c r="O1333">
        <v>3.3</v>
      </c>
      <c r="P1333">
        <v>1.35</v>
      </c>
      <c r="Q1333" t="s">
        <v>10</v>
      </c>
    </row>
    <row r="1334" spans="11:17" x14ac:dyDescent="0.25">
      <c r="K1334" s="1"/>
      <c r="M1334" t="s">
        <v>655</v>
      </c>
      <c r="N1334" t="s">
        <v>651</v>
      </c>
      <c r="O1334">
        <v>3.3</v>
      </c>
      <c r="P1334">
        <v>1.32</v>
      </c>
      <c r="Q1334" t="s">
        <v>10</v>
      </c>
    </row>
    <row r="1335" spans="11:17" x14ac:dyDescent="0.25">
      <c r="K1335" s="1"/>
      <c r="M1335" t="s">
        <v>655</v>
      </c>
      <c r="N1335" t="s">
        <v>651</v>
      </c>
      <c r="O1335">
        <v>3.3</v>
      </c>
      <c r="P1335">
        <v>1.36</v>
      </c>
      <c r="Q1335" t="s">
        <v>10</v>
      </c>
    </row>
    <row r="1336" spans="11:17" x14ac:dyDescent="0.25">
      <c r="K1336" s="1"/>
      <c r="M1336" t="s">
        <v>656</v>
      </c>
      <c r="N1336" t="s">
        <v>651</v>
      </c>
      <c r="O1336">
        <v>1.56</v>
      </c>
      <c r="P1336">
        <v>2.5499999999999998</v>
      </c>
      <c r="Q1336" t="s">
        <v>10</v>
      </c>
    </row>
    <row r="1337" spans="11:17" x14ac:dyDescent="0.25">
      <c r="M1337" t="s">
        <v>656</v>
      </c>
      <c r="N1337" t="s">
        <v>651</v>
      </c>
      <c r="O1337">
        <v>1.56</v>
      </c>
      <c r="P1337">
        <v>2.5499999999999998</v>
      </c>
      <c r="Q1337" t="s">
        <v>10</v>
      </c>
    </row>
    <row r="1338" spans="11:17" x14ac:dyDescent="0.25">
      <c r="M1338" t="s">
        <v>656</v>
      </c>
      <c r="N1338" t="s">
        <v>651</v>
      </c>
      <c r="O1338">
        <v>1.56</v>
      </c>
      <c r="P1338">
        <v>2.5</v>
      </c>
      <c r="Q1338" t="s">
        <v>10</v>
      </c>
    </row>
    <row r="1339" spans="11:17" x14ac:dyDescent="0.25">
      <c r="M1339" t="s">
        <v>656</v>
      </c>
      <c r="N1339" t="s">
        <v>651</v>
      </c>
      <c r="O1339">
        <v>1.5</v>
      </c>
      <c r="P1339">
        <v>2.54</v>
      </c>
      <c r="Q1339" t="s">
        <v>10</v>
      </c>
    </row>
    <row r="1340" spans="11:17" x14ac:dyDescent="0.25">
      <c r="M1340" t="s">
        <v>656</v>
      </c>
      <c r="N1340" t="s">
        <v>651</v>
      </c>
      <c r="O1340">
        <v>1.56</v>
      </c>
      <c r="P1340">
        <v>2.5499999999999998</v>
      </c>
      <c r="Q1340" t="s">
        <v>10</v>
      </c>
    </row>
    <row r="1341" spans="11:17" x14ac:dyDescent="0.25">
      <c r="M1341" t="s">
        <v>657</v>
      </c>
      <c r="N1341" t="s">
        <v>651</v>
      </c>
      <c r="O1341">
        <v>1.67</v>
      </c>
      <c r="P1341">
        <v>2.2000000000000002</v>
      </c>
      <c r="Q1341" t="s">
        <v>10</v>
      </c>
    </row>
    <row r="1342" spans="11:17" x14ac:dyDescent="0.25">
      <c r="M1342" t="s">
        <v>657</v>
      </c>
      <c r="N1342" t="s">
        <v>651</v>
      </c>
      <c r="O1342">
        <v>1.67</v>
      </c>
      <c r="P1342">
        <v>2.2000000000000002</v>
      </c>
      <c r="Q1342" t="s">
        <v>10</v>
      </c>
    </row>
    <row r="1343" spans="11:17" x14ac:dyDescent="0.25">
      <c r="M1343" t="s">
        <v>657</v>
      </c>
      <c r="N1343" t="s">
        <v>651</v>
      </c>
      <c r="O1343">
        <v>1.67</v>
      </c>
      <c r="P1343">
        <v>2.25</v>
      </c>
      <c r="Q1343" t="s">
        <v>10</v>
      </c>
    </row>
    <row r="1344" spans="11:17" x14ac:dyDescent="0.25">
      <c r="M1344" t="s">
        <v>657</v>
      </c>
      <c r="N1344" t="s">
        <v>651</v>
      </c>
      <c r="O1344">
        <v>1.68</v>
      </c>
      <c r="P1344">
        <v>2.2400000000000002</v>
      </c>
      <c r="Q1344" t="s">
        <v>10</v>
      </c>
    </row>
    <row r="1345" spans="13:17" x14ac:dyDescent="0.25">
      <c r="M1345" t="s">
        <v>657</v>
      </c>
      <c r="N1345" t="s">
        <v>651</v>
      </c>
      <c r="O1345">
        <v>1.71</v>
      </c>
      <c r="P1345">
        <v>2.1</v>
      </c>
      <c r="Q1345" t="s">
        <v>10</v>
      </c>
    </row>
    <row r="1346" spans="13:17" x14ac:dyDescent="0.25">
      <c r="M1346" t="s">
        <v>657</v>
      </c>
      <c r="N1346" t="s">
        <v>651</v>
      </c>
      <c r="O1346">
        <v>1.71</v>
      </c>
      <c r="P1346">
        <v>2.2000000000000002</v>
      </c>
      <c r="Q1346" t="s">
        <v>10</v>
      </c>
    </row>
    <row r="1347" spans="13:17" x14ac:dyDescent="0.25">
      <c r="M1347" t="s">
        <v>657</v>
      </c>
      <c r="N1347" t="s">
        <v>651</v>
      </c>
      <c r="O1347">
        <v>1.71</v>
      </c>
      <c r="P1347">
        <v>2.2000000000000002</v>
      </c>
      <c r="Q1347" t="s">
        <v>10</v>
      </c>
    </row>
    <row r="1348" spans="13:17" x14ac:dyDescent="0.25">
      <c r="M1348" t="s">
        <v>657</v>
      </c>
      <c r="N1348" t="s">
        <v>651</v>
      </c>
      <c r="O1348">
        <v>1.62</v>
      </c>
      <c r="P1348">
        <v>2.2599999999999998</v>
      </c>
      <c r="Q1348" t="s">
        <v>10</v>
      </c>
    </row>
    <row r="1349" spans="13:17" x14ac:dyDescent="0.25">
      <c r="M1349" t="s">
        <v>657</v>
      </c>
      <c r="N1349" t="s">
        <v>651</v>
      </c>
      <c r="O1349">
        <v>1.69</v>
      </c>
      <c r="P1349">
        <v>2.2200000000000002</v>
      </c>
      <c r="Q1349" t="s">
        <v>10</v>
      </c>
    </row>
    <row r="1350" spans="13:17" x14ac:dyDescent="0.25">
      <c r="M1350" t="s">
        <v>658</v>
      </c>
      <c r="N1350" t="s">
        <v>659</v>
      </c>
      <c r="O1350">
        <v>4</v>
      </c>
      <c r="P1350">
        <v>1.23</v>
      </c>
      <c r="Q1350" t="s">
        <v>10</v>
      </c>
    </row>
    <row r="1351" spans="13:17" x14ac:dyDescent="0.25">
      <c r="M1351" t="s">
        <v>658</v>
      </c>
      <c r="N1351" t="s">
        <v>659</v>
      </c>
      <c r="O1351">
        <v>4</v>
      </c>
      <c r="P1351">
        <v>1.25</v>
      </c>
      <c r="Q1351" t="s">
        <v>10</v>
      </c>
    </row>
    <row r="1352" spans="13:17" x14ac:dyDescent="0.25">
      <c r="M1352" t="s">
        <v>658</v>
      </c>
      <c r="N1352" t="s">
        <v>659</v>
      </c>
      <c r="O1352">
        <v>4.3</v>
      </c>
      <c r="P1352">
        <v>1.25</v>
      </c>
      <c r="Q1352" t="s">
        <v>10</v>
      </c>
    </row>
    <row r="1353" spans="13:17" x14ac:dyDescent="0.25">
      <c r="M1353" t="s">
        <v>658</v>
      </c>
      <c r="N1353" t="s">
        <v>659</v>
      </c>
      <c r="O1353">
        <v>4.3</v>
      </c>
      <c r="P1353">
        <v>1.25</v>
      </c>
      <c r="Q1353" t="s">
        <v>10</v>
      </c>
    </row>
    <row r="1354" spans="13:17" x14ac:dyDescent="0.25">
      <c r="M1354" t="s">
        <v>658</v>
      </c>
      <c r="N1354" t="s">
        <v>659</v>
      </c>
      <c r="O1354">
        <v>4.0999999999999996</v>
      </c>
      <c r="P1354">
        <v>1.25</v>
      </c>
      <c r="Q1354" t="s">
        <v>10</v>
      </c>
    </row>
    <row r="1355" spans="13:17" x14ac:dyDescent="0.25">
      <c r="M1355" t="s">
        <v>660</v>
      </c>
      <c r="N1355" t="s">
        <v>661</v>
      </c>
      <c r="O1355">
        <v>1.68</v>
      </c>
      <c r="P1355">
        <v>2.27</v>
      </c>
      <c r="Q1355" t="s">
        <v>10</v>
      </c>
    </row>
    <row r="1356" spans="13:17" x14ac:dyDescent="0.25">
      <c r="M1356" t="s">
        <v>660</v>
      </c>
      <c r="N1356" t="s">
        <v>661</v>
      </c>
      <c r="O1356">
        <v>1.68</v>
      </c>
      <c r="P1356">
        <v>2.27</v>
      </c>
      <c r="Q1356" t="s">
        <v>10</v>
      </c>
    </row>
    <row r="1357" spans="13:17" x14ac:dyDescent="0.25">
      <c r="M1357" t="s">
        <v>660</v>
      </c>
      <c r="N1357" t="s">
        <v>661</v>
      </c>
      <c r="O1357">
        <v>1.68</v>
      </c>
      <c r="P1357">
        <v>2.2400000000000002</v>
      </c>
      <c r="Q1357" t="s">
        <v>10</v>
      </c>
    </row>
    <row r="1358" spans="13:17" x14ac:dyDescent="0.25">
      <c r="M1358" t="s">
        <v>660</v>
      </c>
      <c r="N1358" t="s">
        <v>661</v>
      </c>
      <c r="O1358">
        <v>1.65</v>
      </c>
      <c r="P1358">
        <v>2.2000000000000002</v>
      </c>
      <c r="Q1358" t="s">
        <v>10</v>
      </c>
    </row>
    <row r="1359" spans="13:17" x14ac:dyDescent="0.25">
      <c r="M1359" t="s">
        <v>660</v>
      </c>
      <c r="N1359" t="s">
        <v>661</v>
      </c>
      <c r="O1359">
        <v>1.69</v>
      </c>
      <c r="P1359">
        <v>2.15</v>
      </c>
      <c r="Q1359" t="s">
        <v>10</v>
      </c>
    </row>
    <row r="1360" spans="13:17" x14ac:dyDescent="0.25">
      <c r="M1360" t="s">
        <v>660</v>
      </c>
      <c r="N1360" t="s">
        <v>661</v>
      </c>
      <c r="O1360">
        <v>1.69</v>
      </c>
      <c r="P1360">
        <v>2.2000000000000002</v>
      </c>
      <c r="Q1360" t="s">
        <v>10</v>
      </c>
    </row>
    <row r="1361" spans="13:17" x14ac:dyDescent="0.25">
      <c r="M1361" t="s">
        <v>660</v>
      </c>
      <c r="N1361" t="s">
        <v>661</v>
      </c>
      <c r="O1361">
        <v>1.69</v>
      </c>
      <c r="P1361">
        <v>2.2200000000000002</v>
      </c>
      <c r="Q1361" t="s">
        <v>10</v>
      </c>
    </row>
    <row r="1362" spans="13:17" x14ac:dyDescent="0.25">
      <c r="M1362" t="s">
        <v>660</v>
      </c>
      <c r="N1362" t="s">
        <v>661</v>
      </c>
      <c r="O1362">
        <v>1.68</v>
      </c>
      <c r="P1362">
        <v>2.2000000000000002</v>
      </c>
      <c r="Q1362" t="s">
        <v>10</v>
      </c>
    </row>
    <row r="1363" spans="13:17" x14ac:dyDescent="0.25">
      <c r="M1363" t="s">
        <v>660</v>
      </c>
      <c r="N1363" t="s">
        <v>661</v>
      </c>
      <c r="O1363">
        <v>1.68</v>
      </c>
      <c r="P1363">
        <v>2.2000000000000002</v>
      </c>
      <c r="Q1363" t="s">
        <v>10</v>
      </c>
    </row>
    <row r="1364" spans="13:17" x14ac:dyDescent="0.25">
      <c r="M1364" t="s">
        <v>662</v>
      </c>
      <c r="N1364" t="s">
        <v>661</v>
      </c>
      <c r="O1364">
        <v>3.4</v>
      </c>
      <c r="P1364">
        <v>1.36</v>
      </c>
      <c r="Q1364" t="s">
        <v>10</v>
      </c>
    </row>
    <row r="1365" spans="13:17" x14ac:dyDescent="0.25">
      <c r="M1365" t="s">
        <v>662</v>
      </c>
      <c r="N1365" t="s">
        <v>661</v>
      </c>
      <c r="O1365">
        <v>3.2</v>
      </c>
      <c r="P1365">
        <v>1.36</v>
      </c>
      <c r="Q1365" t="s">
        <v>10</v>
      </c>
    </row>
    <row r="1366" spans="13:17" x14ac:dyDescent="0.25">
      <c r="M1366" t="s">
        <v>662</v>
      </c>
      <c r="N1366" t="s">
        <v>661</v>
      </c>
      <c r="O1366">
        <v>3.4</v>
      </c>
      <c r="P1366">
        <v>1.36</v>
      </c>
      <c r="Q1366" t="s">
        <v>10</v>
      </c>
    </row>
    <row r="1367" spans="13:17" x14ac:dyDescent="0.25">
      <c r="M1367" t="s">
        <v>662</v>
      </c>
      <c r="N1367" t="s">
        <v>661</v>
      </c>
      <c r="O1367">
        <v>3.4</v>
      </c>
      <c r="P1367">
        <v>1.33</v>
      </c>
      <c r="Q1367" t="s">
        <v>10</v>
      </c>
    </row>
    <row r="1368" spans="13:17" x14ac:dyDescent="0.25">
      <c r="M1368" t="s">
        <v>662</v>
      </c>
      <c r="N1368" t="s">
        <v>661</v>
      </c>
      <c r="O1368">
        <v>3.4</v>
      </c>
      <c r="P1368">
        <v>1.34</v>
      </c>
      <c r="Q1368" t="s">
        <v>10</v>
      </c>
    </row>
    <row r="1369" spans="13:17" x14ac:dyDescent="0.25">
      <c r="M1369" t="s">
        <v>662</v>
      </c>
      <c r="N1369" t="s">
        <v>661</v>
      </c>
      <c r="O1369">
        <v>3.3</v>
      </c>
      <c r="P1369">
        <v>1.36</v>
      </c>
      <c r="Q1369" t="s">
        <v>10</v>
      </c>
    </row>
    <row r="1370" spans="13:17" x14ac:dyDescent="0.25">
      <c r="M1370" t="s">
        <v>662</v>
      </c>
      <c r="N1370" t="s">
        <v>661</v>
      </c>
      <c r="O1370">
        <v>3.25</v>
      </c>
      <c r="P1370">
        <v>1.34</v>
      </c>
      <c r="Q1370" t="s">
        <v>10</v>
      </c>
    </row>
    <row r="1371" spans="13:17" x14ac:dyDescent="0.25">
      <c r="M1371" t="s">
        <v>662</v>
      </c>
      <c r="N1371" t="s">
        <v>661</v>
      </c>
      <c r="O1371">
        <v>3.25</v>
      </c>
      <c r="P1371">
        <v>1.34</v>
      </c>
      <c r="Q1371" t="s">
        <v>10</v>
      </c>
    </row>
    <row r="1372" spans="13:17" x14ac:dyDescent="0.25">
      <c r="M1372" t="s">
        <v>662</v>
      </c>
      <c r="N1372" t="s">
        <v>661</v>
      </c>
      <c r="O1372">
        <v>3.35</v>
      </c>
      <c r="P1372">
        <v>1.31</v>
      </c>
      <c r="Q1372" t="s">
        <v>10</v>
      </c>
    </row>
    <row r="1373" spans="13:17" x14ac:dyDescent="0.25">
      <c r="M1373" t="s">
        <v>663</v>
      </c>
      <c r="N1373" t="s">
        <v>664</v>
      </c>
      <c r="O1373">
        <v>2.1</v>
      </c>
      <c r="P1373">
        <v>1.77</v>
      </c>
      <c r="Q1373" t="s">
        <v>10</v>
      </c>
    </row>
    <row r="1374" spans="13:17" x14ac:dyDescent="0.25">
      <c r="M1374" t="s">
        <v>663</v>
      </c>
      <c r="N1374" t="s">
        <v>664</v>
      </c>
      <c r="O1374">
        <v>2.1</v>
      </c>
      <c r="P1374">
        <v>1.77</v>
      </c>
      <c r="Q1374" t="s">
        <v>10</v>
      </c>
    </row>
    <row r="1375" spans="13:17" x14ac:dyDescent="0.25">
      <c r="M1375" t="s">
        <v>663</v>
      </c>
      <c r="N1375" t="s">
        <v>664</v>
      </c>
      <c r="O1375">
        <v>2.0499999999999998</v>
      </c>
      <c r="P1375">
        <v>1.8</v>
      </c>
      <c r="Q1375" t="s">
        <v>10</v>
      </c>
    </row>
    <row r="1376" spans="13:17" x14ac:dyDescent="0.25">
      <c r="M1376" t="s">
        <v>663</v>
      </c>
      <c r="N1376" t="s">
        <v>664</v>
      </c>
      <c r="O1376">
        <v>2.0499999999999998</v>
      </c>
      <c r="P1376">
        <v>1.8</v>
      </c>
      <c r="Q1376" t="s">
        <v>10</v>
      </c>
    </row>
    <row r="1377" spans="13:17" x14ac:dyDescent="0.25">
      <c r="M1377" t="s">
        <v>663</v>
      </c>
      <c r="N1377" t="s">
        <v>664</v>
      </c>
      <c r="O1377">
        <v>2</v>
      </c>
      <c r="P1377">
        <v>1.78</v>
      </c>
      <c r="Q1377" t="s">
        <v>10</v>
      </c>
    </row>
    <row r="1378" spans="13:17" x14ac:dyDescent="0.25">
      <c r="M1378" t="s">
        <v>663</v>
      </c>
      <c r="N1378" t="s">
        <v>664</v>
      </c>
      <c r="O1378">
        <v>2.0499999999999998</v>
      </c>
      <c r="P1378">
        <v>1.8</v>
      </c>
      <c r="Q1378" t="s">
        <v>10</v>
      </c>
    </row>
    <row r="1379" spans="13:17" x14ac:dyDescent="0.25">
      <c r="M1379" t="s">
        <v>663</v>
      </c>
      <c r="N1379" t="s">
        <v>664</v>
      </c>
      <c r="O1379">
        <v>2</v>
      </c>
      <c r="P1379">
        <v>1.77</v>
      </c>
      <c r="Q1379" t="s">
        <v>10</v>
      </c>
    </row>
    <row r="1380" spans="13:17" x14ac:dyDescent="0.25">
      <c r="M1380" t="s">
        <v>663</v>
      </c>
      <c r="N1380" t="s">
        <v>664</v>
      </c>
      <c r="O1380">
        <v>2.02</v>
      </c>
      <c r="P1380">
        <v>1.79</v>
      </c>
      <c r="Q1380" t="s">
        <v>10</v>
      </c>
    </row>
    <row r="1381" spans="13:17" x14ac:dyDescent="0.25">
      <c r="M1381" t="s">
        <v>663</v>
      </c>
      <c r="N1381" t="s">
        <v>664</v>
      </c>
      <c r="O1381">
        <v>2.02</v>
      </c>
      <c r="P1381">
        <v>1.79</v>
      </c>
      <c r="Q1381" t="s">
        <v>10</v>
      </c>
    </row>
    <row r="1382" spans="13:17" x14ac:dyDescent="0.25">
      <c r="M1382" t="s">
        <v>665</v>
      </c>
      <c r="N1382" t="s">
        <v>666</v>
      </c>
      <c r="O1382">
        <v>2.48</v>
      </c>
      <c r="P1382">
        <v>1.56</v>
      </c>
      <c r="Q1382" t="s">
        <v>10</v>
      </c>
    </row>
    <row r="1383" spans="13:17" x14ac:dyDescent="0.25">
      <c r="M1383" t="s">
        <v>665</v>
      </c>
      <c r="N1383" t="s">
        <v>666</v>
      </c>
      <c r="O1383">
        <v>2.5</v>
      </c>
      <c r="P1383">
        <v>1.56</v>
      </c>
      <c r="Q1383" t="s">
        <v>10</v>
      </c>
    </row>
    <row r="1384" spans="13:17" x14ac:dyDescent="0.25">
      <c r="M1384" t="s">
        <v>665</v>
      </c>
      <c r="N1384" t="s">
        <v>666</v>
      </c>
      <c r="O1384">
        <v>2.6</v>
      </c>
      <c r="P1384">
        <v>1.54</v>
      </c>
      <c r="Q1384" t="s">
        <v>10</v>
      </c>
    </row>
    <row r="1385" spans="13:17" x14ac:dyDescent="0.25">
      <c r="M1385" t="s">
        <v>665</v>
      </c>
      <c r="N1385" t="s">
        <v>666</v>
      </c>
      <c r="O1385">
        <v>2.6</v>
      </c>
      <c r="P1385">
        <v>1.54</v>
      </c>
      <c r="Q1385" t="s">
        <v>10</v>
      </c>
    </row>
    <row r="1386" spans="13:17" x14ac:dyDescent="0.25">
      <c r="M1386" t="s">
        <v>665</v>
      </c>
      <c r="N1386" t="s">
        <v>666</v>
      </c>
      <c r="O1386">
        <v>2.42</v>
      </c>
      <c r="P1386">
        <v>1.54</v>
      </c>
      <c r="Q1386" t="s">
        <v>10</v>
      </c>
    </row>
    <row r="1387" spans="13:17" x14ac:dyDescent="0.25">
      <c r="M1387" t="s">
        <v>665</v>
      </c>
      <c r="N1387" t="s">
        <v>666</v>
      </c>
      <c r="O1387">
        <v>2.5499999999999998</v>
      </c>
      <c r="P1387">
        <v>1.54</v>
      </c>
      <c r="Q1387" t="s">
        <v>10</v>
      </c>
    </row>
    <row r="1388" spans="13:17" x14ac:dyDescent="0.25">
      <c r="M1388" t="s">
        <v>665</v>
      </c>
      <c r="N1388" t="s">
        <v>666</v>
      </c>
      <c r="O1388">
        <v>2.6</v>
      </c>
      <c r="P1388">
        <v>1.53</v>
      </c>
      <c r="Q1388" t="s">
        <v>10</v>
      </c>
    </row>
    <row r="1389" spans="13:17" x14ac:dyDescent="0.25">
      <c r="M1389" t="s">
        <v>665</v>
      </c>
      <c r="N1389" t="s">
        <v>666</v>
      </c>
      <c r="O1389">
        <v>2.38</v>
      </c>
      <c r="P1389">
        <v>1.57</v>
      </c>
      <c r="Q1389" t="s">
        <v>10</v>
      </c>
    </row>
    <row r="1390" spans="13:17" x14ac:dyDescent="0.25">
      <c r="M1390" t="s">
        <v>665</v>
      </c>
      <c r="N1390" t="s">
        <v>666</v>
      </c>
      <c r="O1390">
        <v>2.38</v>
      </c>
      <c r="P1390">
        <v>1.57</v>
      </c>
      <c r="Q1390" t="s">
        <v>10</v>
      </c>
    </row>
    <row r="1391" spans="13:17" x14ac:dyDescent="0.25">
      <c r="M1391" t="s">
        <v>667</v>
      </c>
      <c r="N1391" t="s">
        <v>668</v>
      </c>
      <c r="O1391">
        <v>2.2599999999999998</v>
      </c>
      <c r="P1391">
        <v>1.68</v>
      </c>
      <c r="Q1391" t="s">
        <v>10</v>
      </c>
    </row>
    <row r="1392" spans="13:17" x14ac:dyDescent="0.25">
      <c r="M1392" t="s">
        <v>667</v>
      </c>
      <c r="N1392" t="s">
        <v>668</v>
      </c>
      <c r="O1392">
        <v>2.2599999999999998</v>
      </c>
      <c r="P1392">
        <v>1.69</v>
      </c>
      <c r="Q1392" t="s">
        <v>10</v>
      </c>
    </row>
    <row r="1393" spans="13:17" x14ac:dyDescent="0.25">
      <c r="M1393" t="s">
        <v>667</v>
      </c>
      <c r="N1393" t="s">
        <v>668</v>
      </c>
      <c r="O1393">
        <v>2.2000000000000002</v>
      </c>
      <c r="P1393">
        <v>1.7</v>
      </c>
      <c r="Q1393" t="s">
        <v>10</v>
      </c>
    </row>
    <row r="1394" spans="13:17" x14ac:dyDescent="0.25">
      <c r="M1394" t="s">
        <v>667</v>
      </c>
      <c r="N1394" t="s">
        <v>668</v>
      </c>
      <c r="O1394">
        <v>2.23</v>
      </c>
      <c r="P1394">
        <v>1.67</v>
      </c>
      <c r="Q1394" t="s">
        <v>10</v>
      </c>
    </row>
    <row r="1395" spans="13:17" x14ac:dyDescent="0.25">
      <c r="M1395" t="s">
        <v>667</v>
      </c>
      <c r="N1395" t="s">
        <v>668</v>
      </c>
      <c r="O1395">
        <v>2.2400000000000002</v>
      </c>
      <c r="P1395">
        <v>1.63</v>
      </c>
      <c r="Q1395" t="s">
        <v>10</v>
      </c>
    </row>
    <row r="1396" spans="13:17" x14ac:dyDescent="0.25">
      <c r="M1396" t="s">
        <v>667</v>
      </c>
      <c r="N1396" t="s">
        <v>668</v>
      </c>
      <c r="O1396">
        <v>2.2000000000000002</v>
      </c>
      <c r="P1396">
        <v>1.67</v>
      </c>
      <c r="Q1396" t="s">
        <v>10</v>
      </c>
    </row>
    <row r="1397" spans="13:17" x14ac:dyDescent="0.25">
      <c r="M1397" t="s">
        <v>667</v>
      </c>
      <c r="N1397" t="s">
        <v>668</v>
      </c>
      <c r="O1397">
        <v>2.2200000000000002</v>
      </c>
      <c r="P1397">
        <v>1.69</v>
      </c>
      <c r="Q1397" t="s">
        <v>10</v>
      </c>
    </row>
    <row r="1398" spans="13:17" x14ac:dyDescent="0.25">
      <c r="M1398" t="s">
        <v>667</v>
      </c>
      <c r="N1398" t="s">
        <v>668</v>
      </c>
      <c r="O1398">
        <v>2.2000000000000002</v>
      </c>
      <c r="P1398">
        <v>1.67</v>
      </c>
      <c r="Q1398" t="s">
        <v>10</v>
      </c>
    </row>
    <row r="1399" spans="13:17" x14ac:dyDescent="0.25">
      <c r="M1399" t="s">
        <v>667</v>
      </c>
      <c r="N1399" t="s">
        <v>668</v>
      </c>
      <c r="O1399">
        <v>2.2000000000000002</v>
      </c>
      <c r="P1399">
        <v>1.67</v>
      </c>
      <c r="Q1399" t="s">
        <v>10</v>
      </c>
    </row>
    <row r="1400" spans="13:17" x14ac:dyDescent="0.25">
      <c r="M1400" t="s">
        <v>669</v>
      </c>
      <c r="N1400" t="s">
        <v>670</v>
      </c>
      <c r="O1400">
        <v>1.53</v>
      </c>
      <c r="P1400">
        <v>2.65</v>
      </c>
      <c r="Q1400" t="s">
        <v>10</v>
      </c>
    </row>
    <row r="1401" spans="13:17" x14ac:dyDescent="0.25">
      <c r="M1401" t="s">
        <v>669</v>
      </c>
      <c r="N1401" t="s">
        <v>670</v>
      </c>
      <c r="O1401">
        <v>1.53</v>
      </c>
      <c r="P1401">
        <v>2.65</v>
      </c>
      <c r="Q1401" t="s">
        <v>10</v>
      </c>
    </row>
    <row r="1402" spans="13:17" x14ac:dyDescent="0.25">
      <c r="M1402" t="s">
        <v>669</v>
      </c>
      <c r="N1402" t="s">
        <v>670</v>
      </c>
      <c r="O1402">
        <v>1.56</v>
      </c>
      <c r="P1402">
        <v>2.5</v>
      </c>
      <c r="Q1402" t="s">
        <v>10</v>
      </c>
    </row>
    <row r="1403" spans="13:17" x14ac:dyDescent="0.25">
      <c r="M1403" t="s">
        <v>669</v>
      </c>
      <c r="N1403" t="s">
        <v>670</v>
      </c>
      <c r="O1403">
        <v>1.51</v>
      </c>
      <c r="P1403">
        <v>2.6</v>
      </c>
      <c r="Q1403" t="s">
        <v>10</v>
      </c>
    </row>
    <row r="1404" spans="13:17" x14ac:dyDescent="0.25">
      <c r="M1404" t="s">
        <v>669</v>
      </c>
      <c r="N1404" t="s">
        <v>670</v>
      </c>
      <c r="O1404">
        <v>1.53</v>
      </c>
      <c r="P1404">
        <v>2.46</v>
      </c>
      <c r="Q1404" t="s">
        <v>10</v>
      </c>
    </row>
    <row r="1405" spans="13:17" x14ac:dyDescent="0.25">
      <c r="M1405" t="s">
        <v>669</v>
      </c>
      <c r="N1405" t="s">
        <v>670</v>
      </c>
      <c r="O1405">
        <v>1.53</v>
      </c>
      <c r="P1405">
        <v>2.6</v>
      </c>
      <c r="Q1405" t="s">
        <v>10</v>
      </c>
    </row>
    <row r="1406" spans="13:17" x14ac:dyDescent="0.25">
      <c r="M1406" t="s">
        <v>669</v>
      </c>
      <c r="N1406" t="s">
        <v>670</v>
      </c>
      <c r="O1406">
        <v>1.51</v>
      </c>
      <c r="P1406">
        <v>2.65</v>
      </c>
      <c r="Q1406" t="s">
        <v>10</v>
      </c>
    </row>
    <row r="1407" spans="13:17" x14ac:dyDescent="0.25">
      <c r="M1407" t="s">
        <v>669</v>
      </c>
      <c r="N1407" t="s">
        <v>670</v>
      </c>
      <c r="O1407">
        <v>1.53</v>
      </c>
      <c r="P1407">
        <v>2.5</v>
      </c>
      <c r="Q1407" t="s">
        <v>10</v>
      </c>
    </row>
    <row r="1408" spans="13:17" x14ac:dyDescent="0.25">
      <c r="M1408" t="s">
        <v>669</v>
      </c>
      <c r="N1408" t="s">
        <v>670</v>
      </c>
      <c r="O1408">
        <v>1.53</v>
      </c>
      <c r="P1408">
        <v>2.5</v>
      </c>
      <c r="Q1408" t="s">
        <v>10</v>
      </c>
    </row>
    <row r="1409" spans="13:17" x14ac:dyDescent="0.25">
      <c r="M1409" t="s">
        <v>671</v>
      </c>
      <c r="N1409" t="s">
        <v>672</v>
      </c>
      <c r="O1409">
        <v>1.57</v>
      </c>
      <c r="P1409">
        <v>2.4500000000000002</v>
      </c>
      <c r="Q1409" t="s">
        <v>10</v>
      </c>
    </row>
    <row r="1410" spans="13:17" x14ac:dyDescent="0.25">
      <c r="M1410" t="s">
        <v>671</v>
      </c>
      <c r="N1410" t="s">
        <v>672</v>
      </c>
      <c r="O1410">
        <v>1.57</v>
      </c>
      <c r="P1410">
        <v>2.5</v>
      </c>
      <c r="Q1410" t="s">
        <v>10</v>
      </c>
    </row>
    <row r="1411" spans="13:17" x14ac:dyDescent="0.25">
      <c r="M1411" t="s">
        <v>671</v>
      </c>
      <c r="N1411" t="s">
        <v>672</v>
      </c>
      <c r="O1411">
        <v>1.52</v>
      </c>
      <c r="P1411">
        <v>2.48</v>
      </c>
      <c r="Q1411" t="s">
        <v>10</v>
      </c>
    </row>
    <row r="1412" spans="13:17" x14ac:dyDescent="0.25">
      <c r="M1412" t="s">
        <v>671</v>
      </c>
      <c r="N1412" t="s">
        <v>672</v>
      </c>
      <c r="O1412">
        <v>1.57</v>
      </c>
      <c r="P1412">
        <v>2.5</v>
      </c>
      <c r="Q1412" t="s">
        <v>10</v>
      </c>
    </row>
    <row r="1413" spans="13:17" x14ac:dyDescent="0.25">
      <c r="M1413" t="s">
        <v>673</v>
      </c>
      <c r="N1413" t="s">
        <v>674</v>
      </c>
      <c r="O1413">
        <v>2.8</v>
      </c>
      <c r="P1413">
        <v>1.46</v>
      </c>
      <c r="Q1413" t="s">
        <v>10</v>
      </c>
    </row>
    <row r="1414" spans="13:17" x14ac:dyDescent="0.25">
      <c r="M1414" t="s">
        <v>673</v>
      </c>
      <c r="N1414" t="s">
        <v>674</v>
      </c>
      <c r="O1414">
        <v>2.85</v>
      </c>
      <c r="P1414">
        <v>1.46</v>
      </c>
      <c r="Q1414" t="s">
        <v>10</v>
      </c>
    </row>
    <row r="1415" spans="13:17" x14ac:dyDescent="0.25">
      <c r="M1415" t="s">
        <v>673</v>
      </c>
      <c r="N1415" t="s">
        <v>674</v>
      </c>
      <c r="O1415">
        <v>2.8</v>
      </c>
      <c r="P1415">
        <v>1.43</v>
      </c>
      <c r="Q1415" t="s">
        <v>10</v>
      </c>
    </row>
    <row r="1416" spans="13:17" x14ac:dyDescent="0.25">
      <c r="M1416" t="s">
        <v>673</v>
      </c>
      <c r="N1416" t="s">
        <v>674</v>
      </c>
      <c r="O1416">
        <v>2.85</v>
      </c>
      <c r="P1416">
        <v>1.46</v>
      </c>
      <c r="Q1416" t="s">
        <v>10</v>
      </c>
    </row>
    <row r="1417" spans="13:17" x14ac:dyDescent="0.25">
      <c r="M1417" t="s">
        <v>675</v>
      </c>
      <c r="N1417" t="s">
        <v>676</v>
      </c>
      <c r="O1417">
        <v>2.5</v>
      </c>
      <c r="P1417">
        <v>1.56</v>
      </c>
      <c r="Q1417" t="s">
        <v>10</v>
      </c>
    </row>
    <row r="1418" spans="13:17" x14ac:dyDescent="0.25">
      <c r="M1418" t="s">
        <v>675</v>
      </c>
      <c r="N1418" t="s">
        <v>676</v>
      </c>
      <c r="O1418">
        <v>2.5499999999999998</v>
      </c>
      <c r="P1418">
        <v>1.56</v>
      </c>
      <c r="Q1418" t="s">
        <v>10</v>
      </c>
    </row>
    <row r="1419" spans="13:17" x14ac:dyDescent="0.25">
      <c r="M1419" t="s">
        <v>675</v>
      </c>
      <c r="N1419" t="s">
        <v>676</v>
      </c>
      <c r="O1419">
        <v>2.48</v>
      </c>
      <c r="P1419">
        <v>1.52</v>
      </c>
      <c r="Q1419" t="s">
        <v>10</v>
      </c>
    </row>
    <row r="1420" spans="13:17" x14ac:dyDescent="0.25">
      <c r="M1420" t="s">
        <v>675</v>
      </c>
      <c r="N1420" t="s">
        <v>676</v>
      </c>
      <c r="O1420">
        <v>2.5499999999999998</v>
      </c>
      <c r="P1420">
        <v>1.56</v>
      </c>
      <c r="Q1420" t="s">
        <v>10</v>
      </c>
    </row>
    <row r="1421" spans="13:17" x14ac:dyDescent="0.25">
      <c r="M1421" t="s">
        <v>677</v>
      </c>
      <c r="N1421" t="s">
        <v>678</v>
      </c>
      <c r="O1421">
        <v>1.6</v>
      </c>
      <c r="P1421">
        <v>2.4</v>
      </c>
      <c r="Q1421" t="s">
        <v>10</v>
      </c>
    </row>
    <row r="1422" spans="13:17" x14ac:dyDescent="0.25">
      <c r="M1422" t="s">
        <v>677</v>
      </c>
      <c r="N1422" t="s">
        <v>678</v>
      </c>
      <c r="O1422">
        <v>1.58</v>
      </c>
      <c r="P1422">
        <v>2.48</v>
      </c>
      <c r="Q1422" t="s">
        <v>10</v>
      </c>
    </row>
    <row r="1423" spans="13:17" x14ac:dyDescent="0.25">
      <c r="M1423" t="s">
        <v>677</v>
      </c>
      <c r="N1423" t="s">
        <v>678</v>
      </c>
      <c r="O1423">
        <v>1.56</v>
      </c>
      <c r="P1423">
        <v>2.4</v>
      </c>
      <c r="Q1423" t="s">
        <v>10</v>
      </c>
    </row>
    <row r="1424" spans="13:17" x14ac:dyDescent="0.25">
      <c r="M1424" t="s">
        <v>677</v>
      </c>
      <c r="N1424" t="s">
        <v>678</v>
      </c>
      <c r="O1424">
        <v>1.58</v>
      </c>
      <c r="P1424">
        <v>2.48</v>
      </c>
      <c r="Q1424" t="s">
        <v>10</v>
      </c>
    </row>
    <row r="1425" spans="13:17" x14ac:dyDescent="0.25">
      <c r="M1425" t="s">
        <v>679</v>
      </c>
      <c r="N1425" t="s">
        <v>680</v>
      </c>
      <c r="O1425">
        <v>1.39</v>
      </c>
      <c r="P1425">
        <v>3.1</v>
      </c>
      <c r="Q1425" t="s">
        <v>10</v>
      </c>
    </row>
    <row r="1426" spans="13:17" x14ac:dyDescent="0.25">
      <c r="M1426" t="s">
        <v>679</v>
      </c>
      <c r="N1426" t="s">
        <v>680</v>
      </c>
      <c r="O1426">
        <v>1.43</v>
      </c>
      <c r="P1426">
        <v>3</v>
      </c>
      <c r="Q1426" t="s">
        <v>10</v>
      </c>
    </row>
    <row r="1427" spans="13:17" x14ac:dyDescent="0.25">
      <c r="M1427" t="s">
        <v>679</v>
      </c>
      <c r="N1427" t="s">
        <v>680</v>
      </c>
      <c r="O1427">
        <v>1.36</v>
      </c>
      <c r="P1427">
        <v>3.1</v>
      </c>
      <c r="Q1427" t="s">
        <v>10</v>
      </c>
    </row>
    <row r="1428" spans="13:17" x14ac:dyDescent="0.25">
      <c r="M1428" t="s">
        <v>679</v>
      </c>
      <c r="N1428" t="s">
        <v>680</v>
      </c>
      <c r="O1428">
        <v>1.43</v>
      </c>
      <c r="P1428">
        <v>3</v>
      </c>
      <c r="Q1428" t="s">
        <v>10</v>
      </c>
    </row>
    <row r="1429" spans="13:17" x14ac:dyDescent="0.25">
      <c r="M1429" t="s">
        <v>681</v>
      </c>
      <c r="N1429" t="s">
        <v>682</v>
      </c>
      <c r="O1429">
        <v>1.4</v>
      </c>
      <c r="P1429">
        <v>3.1</v>
      </c>
      <c r="Q1429" t="s">
        <v>10</v>
      </c>
    </row>
    <row r="1430" spans="13:17" x14ac:dyDescent="0.25">
      <c r="M1430" t="s">
        <v>681</v>
      </c>
      <c r="N1430" t="s">
        <v>682</v>
      </c>
      <c r="O1430">
        <v>1.4</v>
      </c>
      <c r="P1430">
        <v>3.1</v>
      </c>
      <c r="Q1430" t="s">
        <v>10</v>
      </c>
    </row>
    <row r="1431" spans="13:17" x14ac:dyDescent="0.25">
      <c r="M1431" t="s">
        <v>681</v>
      </c>
      <c r="N1431" t="s">
        <v>682</v>
      </c>
      <c r="O1431">
        <v>1.31</v>
      </c>
      <c r="P1431">
        <v>3.35</v>
      </c>
      <c r="Q1431" t="s">
        <v>10</v>
      </c>
    </row>
    <row r="1432" spans="13:17" x14ac:dyDescent="0.25">
      <c r="M1432" t="s">
        <v>681</v>
      </c>
      <c r="N1432" t="s">
        <v>682</v>
      </c>
      <c r="O1432">
        <v>1.31</v>
      </c>
      <c r="P1432">
        <v>3.6</v>
      </c>
      <c r="Q1432" t="s">
        <v>10</v>
      </c>
    </row>
    <row r="1433" spans="13:17" x14ac:dyDescent="0.25">
      <c r="M1433" t="s">
        <v>681</v>
      </c>
      <c r="N1433" t="s">
        <v>682</v>
      </c>
      <c r="O1433">
        <v>1.34</v>
      </c>
      <c r="P1433">
        <v>3.4</v>
      </c>
      <c r="Q1433" t="s">
        <v>10</v>
      </c>
    </row>
    <row r="1434" spans="13:17" x14ac:dyDescent="0.25">
      <c r="M1434" t="s">
        <v>681</v>
      </c>
      <c r="N1434" t="s">
        <v>682</v>
      </c>
      <c r="O1434">
        <v>1.3</v>
      </c>
      <c r="P1434">
        <v>3.5</v>
      </c>
      <c r="Q1434" t="s">
        <v>10</v>
      </c>
    </row>
    <row r="1435" spans="13:17" x14ac:dyDescent="0.25">
      <c r="M1435" t="s">
        <v>681</v>
      </c>
      <c r="N1435" t="s">
        <v>682</v>
      </c>
      <c r="O1435">
        <v>1.3</v>
      </c>
      <c r="P1435">
        <v>3.5</v>
      </c>
      <c r="Q1435" t="s">
        <v>10</v>
      </c>
    </row>
    <row r="1436" spans="13:17" x14ac:dyDescent="0.25">
      <c r="M1436" t="s">
        <v>681</v>
      </c>
      <c r="N1436" t="s">
        <v>682</v>
      </c>
      <c r="O1436">
        <v>1.4</v>
      </c>
      <c r="P1436">
        <v>3</v>
      </c>
      <c r="Q1436" t="s">
        <v>10</v>
      </c>
    </row>
    <row r="1437" spans="13:17" x14ac:dyDescent="0.25">
      <c r="M1437" t="s">
        <v>683</v>
      </c>
      <c r="N1437" t="s">
        <v>684</v>
      </c>
      <c r="O1437">
        <v>1.18</v>
      </c>
      <c r="P1437">
        <v>4.8499999999999996</v>
      </c>
      <c r="Q1437" t="s">
        <v>10</v>
      </c>
    </row>
    <row r="1438" spans="13:17" x14ac:dyDescent="0.25">
      <c r="M1438" t="s">
        <v>683</v>
      </c>
      <c r="N1438" t="s">
        <v>684</v>
      </c>
      <c r="O1438">
        <v>1.18</v>
      </c>
      <c r="P1438">
        <v>4.8499999999999996</v>
      </c>
      <c r="Q1438" t="s">
        <v>10</v>
      </c>
    </row>
    <row r="1439" spans="13:17" x14ac:dyDescent="0.25">
      <c r="M1439" t="s">
        <v>683</v>
      </c>
      <c r="N1439" t="s">
        <v>684</v>
      </c>
      <c r="O1439">
        <v>1.19</v>
      </c>
      <c r="P1439">
        <v>4.5</v>
      </c>
      <c r="Q1439" t="s">
        <v>10</v>
      </c>
    </row>
    <row r="1440" spans="13:17" x14ac:dyDescent="0.25">
      <c r="M1440" t="s">
        <v>683</v>
      </c>
      <c r="N1440" t="s">
        <v>684</v>
      </c>
      <c r="O1440">
        <v>1.2</v>
      </c>
      <c r="P1440">
        <v>4.8</v>
      </c>
      <c r="Q1440" t="s">
        <v>10</v>
      </c>
    </row>
    <row r="1441" spans="13:17" x14ac:dyDescent="0.25">
      <c r="M1441" t="s">
        <v>683</v>
      </c>
      <c r="N1441" t="s">
        <v>684</v>
      </c>
      <c r="O1441">
        <v>1.22</v>
      </c>
      <c r="P1441">
        <v>4.5</v>
      </c>
      <c r="Q1441" t="s">
        <v>10</v>
      </c>
    </row>
    <row r="1442" spans="13:17" x14ac:dyDescent="0.25">
      <c r="M1442" t="s">
        <v>683</v>
      </c>
      <c r="N1442" t="s">
        <v>684</v>
      </c>
      <c r="O1442">
        <v>1.19</v>
      </c>
      <c r="P1442">
        <v>4.8</v>
      </c>
      <c r="Q1442" t="s">
        <v>10</v>
      </c>
    </row>
    <row r="1443" spans="13:17" x14ac:dyDescent="0.25">
      <c r="M1443" t="s">
        <v>683</v>
      </c>
      <c r="N1443" t="s">
        <v>684</v>
      </c>
      <c r="O1443">
        <v>1.19</v>
      </c>
      <c r="P1443">
        <v>4.8</v>
      </c>
      <c r="Q1443" t="s">
        <v>10</v>
      </c>
    </row>
    <row r="1444" spans="13:17" x14ac:dyDescent="0.25">
      <c r="M1444" t="s">
        <v>683</v>
      </c>
      <c r="N1444" t="s">
        <v>684</v>
      </c>
      <c r="O1444">
        <v>1.2</v>
      </c>
      <c r="P1444">
        <v>4.8</v>
      </c>
      <c r="Q1444" t="s">
        <v>10</v>
      </c>
    </row>
    <row r="1445" spans="13:17" x14ac:dyDescent="0.25">
      <c r="M1445" t="s">
        <v>685</v>
      </c>
      <c r="N1445" t="s">
        <v>686</v>
      </c>
      <c r="O1445">
        <v>2.13</v>
      </c>
      <c r="P1445">
        <v>1.75</v>
      </c>
      <c r="Q1445" t="s">
        <v>10</v>
      </c>
    </row>
    <row r="1446" spans="13:17" x14ac:dyDescent="0.25">
      <c r="M1446" t="s">
        <v>685</v>
      </c>
      <c r="N1446" t="s">
        <v>686</v>
      </c>
      <c r="O1446">
        <v>2.0499999999999998</v>
      </c>
      <c r="P1446">
        <v>1.8</v>
      </c>
      <c r="Q1446" t="s">
        <v>10</v>
      </c>
    </row>
    <row r="1447" spans="13:17" x14ac:dyDescent="0.25">
      <c r="M1447" t="s">
        <v>685</v>
      </c>
      <c r="N1447" t="s">
        <v>686</v>
      </c>
      <c r="O1447">
        <v>2.13</v>
      </c>
      <c r="P1447">
        <v>1.75</v>
      </c>
      <c r="Q1447" t="s">
        <v>10</v>
      </c>
    </row>
    <row r="1448" spans="13:17" x14ac:dyDescent="0.25">
      <c r="M1448" t="s">
        <v>685</v>
      </c>
      <c r="N1448" t="s">
        <v>686</v>
      </c>
      <c r="O1448">
        <v>2.0499999999999998</v>
      </c>
      <c r="P1448">
        <v>1.8</v>
      </c>
      <c r="Q1448" t="s">
        <v>10</v>
      </c>
    </row>
    <row r="1449" spans="13:17" x14ac:dyDescent="0.25">
      <c r="M1449" t="s">
        <v>685</v>
      </c>
      <c r="N1449" t="s">
        <v>686</v>
      </c>
      <c r="O1449">
        <v>2.02</v>
      </c>
      <c r="P1449">
        <v>1.77</v>
      </c>
      <c r="Q1449" t="s">
        <v>10</v>
      </c>
    </row>
    <row r="1450" spans="13:17" x14ac:dyDescent="0.25">
      <c r="M1450" t="s">
        <v>685</v>
      </c>
      <c r="N1450" t="s">
        <v>686</v>
      </c>
      <c r="O1450">
        <v>2.04</v>
      </c>
      <c r="P1450">
        <v>1.78</v>
      </c>
      <c r="Q1450" t="s">
        <v>10</v>
      </c>
    </row>
    <row r="1451" spans="13:17" x14ac:dyDescent="0.25">
      <c r="M1451" t="s">
        <v>685</v>
      </c>
      <c r="N1451" t="s">
        <v>686</v>
      </c>
      <c r="O1451">
        <v>2.04</v>
      </c>
      <c r="P1451">
        <v>1.78</v>
      </c>
      <c r="Q1451" t="s">
        <v>10</v>
      </c>
    </row>
    <row r="1452" spans="13:17" x14ac:dyDescent="0.25">
      <c r="M1452" t="s">
        <v>685</v>
      </c>
      <c r="N1452" t="s">
        <v>686</v>
      </c>
      <c r="O1452">
        <v>2</v>
      </c>
      <c r="P1452">
        <v>1.83</v>
      </c>
      <c r="Q1452" t="s">
        <v>10</v>
      </c>
    </row>
    <row r="1453" spans="13:17" x14ac:dyDescent="0.25">
      <c r="M1453" t="s">
        <v>687</v>
      </c>
      <c r="N1453" t="s">
        <v>686</v>
      </c>
      <c r="O1453">
        <v>1.41</v>
      </c>
      <c r="P1453">
        <v>2.9</v>
      </c>
      <c r="Q1453" t="s">
        <v>10</v>
      </c>
    </row>
    <row r="1454" spans="13:17" x14ac:dyDescent="0.25">
      <c r="M1454" t="s">
        <v>687</v>
      </c>
      <c r="N1454" t="s">
        <v>686</v>
      </c>
      <c r="O1454">
        <v>1.46</v>
      </c>
      <c r="P1454">
        <v>2.7</v>
      </c>
      <c r="Q1454" t="s">
        <v>10</v>
      </c>
    </row>
    <row r="1455" spans="13:17" x14ac:dyDescent="0.25">
      <c r="M1455" t="s">
        <v>687</v>
      </c>
      <c r="N1455" t="s">
        <v>686</v>
      </c>
      <c r="O1455">
        <v>1.46</v>
      </c>
      <c r="P1455">
        <v>2.8</v>
      </c>
      <c r="Q1455" t="s">
        <v>10</v>
      </c>
    </row>
    <row r="1456" spans="13:17" x14ac:dyDescent="0.25">
      <c r="M1456" t="s">
        <v>687</v>
      </c>
      <c r="N1456" t="s">
        <v>686</v>
      </c>
      <c r="O1456">
        <v>1.41</v>
      </c>
      <c r="P1456">
        <v>2.9</v>
      </c>
      <c r="Q1456" t="s">
        <v>10</v>
      </c>
    </row>
    <row r="1457" spans="13:17" x14ac:dyDescent="0.25">
      <c r="M1457" t="s">
        <v>687</v>
      </c>
      <c r="N1457" t="s">
        <v>686</v>
      </c>
      <c r="O1457">
        <v>1.46</v>
      </c>
      <c r="P1457">
        <v>2.7</v>
      </c>
      <c r="Q1457" t="s">
        <v>10</v>
      </c>
    </row>
    <row r="1458" spans="13:17" x14ac:dyDescent="0.25">
      <c r="M1458" t="s">
        <v>687</v>
      </c>
      <c r="N1458" t="s">
        <v>686</v>
      </c>
      <c r="O1458">
        <v>1.41</v>
      </c>
      <c r="P1458">
        <v>2.86</v>
      </c>
      <c r="Q1458" t="s">
        <v>10</v>
      </c>
    </row>
    <row r="1459" spans="13:17" x14ac:dyDescent="0.25">
      <c r="M1459" t="s">
        <v>687</v>
      </c>
      <c r="N1459" t="s">
        <v>686</v>
      </c>
      <c r="O1459">
        <v>1.44</v>
      </c>
      <c r="P1459">
        <v>2.85</v>
      </c>
      <c r="Q1459" t="s">
        <v>10</v>
      </c>
    </row>
    <row r="1460" spans="13:17" x14ac:dyDescent="0.25">
      <c r="M1460" t="s">
        <v>688</v>
      </c>
      <c r="N1460" t="s">
        <v>689</v>
      </c>
      <c r="O1460">
        <v>2.25</v>
      </c>
      <c r="P1460">
        <v>1.69</v>
      </c>
      <c r="Q1460" t="s">
        <v>10</v>
      </c>
    </row>
    <row r="1461" spans="13:17" x14ac:dyDescent="0.25">
      <c r="M1461" t="s">
        <v>688</v>
      </c>
      <c r="N1461" t="s">
        <v>689</v>
      </c>
      <c r="O1461">
        <v>2.25</v>
      </c>
      <c r="P1461">
        <v>1.69</v>
      </c>
      <c r="Q1461" t="s">
        <v>10</v>
      </c>
    </row>
    <row r="1462" spans="13:17" x14ac:dyDescent="0.25">
      <c r="M1462" t="s">
        <v>688</v>
      </c>
      <c r="N1462" t="s">
        <v>689</v>
      </c>
      <c r="O1462">
        <v>2.25</v>
      </c>
      <c r="P1462">
        <v>1.67</v>
      </c>
      <c r="Q1462" t="s">
        <v>10</v>
      </c>
    </row>
    <row r="1463" spans="13:17" x14ac:dyDescent="0.25">
      <c r="M1463" t="s">
        <v>688</v>
      </c>
      <c r="N1463" t="s">
        <v>689</v>
      </c>
      <c r="O1463">
        <v>2.3199999999999998</v>
      </c>
      <c r="P1463">
        <v>1.59</v>
      </c>
      <c r="Q1463" t="s">
        <v>10</v>
      </c>
    </row>
    <row r="1464" spans="13:17" x14ac:dyDescent="0.25">
      <c r="M1464" t="s">
        <v>688</v>
      </c>
      <c r="N1464" t="s">
        <v>689</v>
      </c>
      <c r="O1464">
        <v>2.3199999999999998</v>
      </c>
      <c r="P1464">
        <v>1.61</v>
      </c>
      <c r="Q1464" t="s">
        <v>10</v>
      </c>
    </row>
    <row r="1465" spans="13:17" x14ac:dyDescent="0.25">
      <c r="M1465" t="s">
        <v>688</v>
      </c>
      <c r="N1465" t="s">
        <v>689</v>
      </c>
      <c r="O1465">
        <v>2.3199999999999998</v>
      </c>
      <c r="P1465">
        <v>1.61</v>
      </c>
      <c r="Q1465" t="s">
        <v>10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DFD774-0199-4408-BC65-F592C28FED1F}">
  <sheetPr codeName="Sheet9"/>
  <dimension ref="B2:AG89"/>
  <sheetViews>
    <sheetView topLeftCell="A69" zoomScale="75" zoomScaleNormal="75" workbookViewId="0">
      <pane ySplit="4275" topLeftCell="A18"/>
      <selection activeCell="F74" sqref="F1:F1048576"/>
      <selection pane="bottomLeft" activeCell="D80" sqref="D80"/>
    </sheetView>
  </sheetViews>
  <sheetFormatPr defaultRowHeight="15" x14ac:dyDescent="0.25"/>
  <cols>
    <col min="4" max="4" width="43.5703125" customWidth="1"/>
    <col min="6" max="6" width="31" customWidth="1"/>
    <col min="7" max="7" width="15.7109375" customWidth="1"/>
    <col min="8" max="8" width="16.42578125" customWidth="1"/>
    <col min="9" max="10" width="23.7109375" style="16" customWidth="1"/>
    <col min="11" max="11" width="18.5703125" bestFit="1" customWidth="1"/>
    <col min="13" max="13" width="16.5703125" customWidth="1"/>
    <col min="20" max="20" width="22.85546875" bestFit="1" customWidth="1"/>
  </cols>
  <sheetData>
    <row r="2" spans="2:33" x14ac:dyDescent="0.25">
      <c r="D2" s="52" t="s">
        <v>11</v>
      </c>
      <c r="E2" s="52" t="s">
        <v>12</v>
      </c>
      <c r="F2" s="52" t="s">
        <v>13</v>
      </c>
      <c r="G2" s="52" t="s">
        <v>14</v>
      </c>
      <c r="H2" s="52" t="s">
        <v>32</v>
      </c>
      <c r="I2" s="52" t="s">
        <v>33</v>
      </c>
      <c r="J2"/>
    </row>
    <row r="3" spans="2:33" x14ac:dyDescent="0.25">
      <c r="C3">
        <v>1</v>
      </c>
      <c r="D3" s="53" t="s">
        <v>39</v>
      </c>
      <c r="E3" s="53" t="s">
        <v>10</v>
      </c>
      <c r="F3" s="53" t="s">
        <v>460</v>
      </c>
      <c r="G3" s="54">
        <v>1700352899</v>
      </c>
      <c r="H3" s="54">
        <v>218</v>
      </c>
      <c r="I3" s="55">
        <v>1.3490909090909089</v>
      </c>
      <c r="J3"/>
      <c r="K3" s="11">
        <f t="shared" ref="K3:K34" si="0">G3/86400+25569-6/24</f>
        <v>45248.760405092587</v>
      </c>
    </row>
    <row r="4" spans="2:33" x14ac:dyDescent="0.25">
      <c r="C4">
        <v>1</v>
      </c>
      <c r="D4" s="53" t="s">
        <v>41</v>
      </c>
      <c r="E4" s="53" t="s">
        <v>10</v>
      </c>
      <c r="F4" s="53" t="s">
        <v>463</v>
      </c>
      <c r="G4" s="54">
        <v>1700354700</v>
      </c>
      <c r="H4" s="54">
        <v>292</v>
      </c>
      <c r="I4" s="55">
        <v>1.2269999999999999</v>
      </c>
      <c r="J4"/>
      <c r="K4" s="11">
        <f t="shared" si="0"/>
        <v>45248.78125</v>
      </c>
      <c r="Y4" s="13"/>
      <c r="Z4" s="13"/>
      <c r="AG4" s="13"/>
    </row>
    <row r="5" spans="2:33" x14ac:dyDescent="0.25">
      <c r="B5" s="1"/>
      <c r="C5">
        <v>1</v>
      </c>
      <c r="D5" s="53" t="s">
        <v>376</v>
      </c>
      <c r="E5" s="53" t="s">
        <v>8</v>
      </c>
      <c r="F5" s="53" t="s">
        <v>542</v>
      </c>
      <c r="G5" s="54">
        <v>1700337600</v>
      </c>
      <c r="H5" s="54">
        <v>229</v>
      </c>
      <c r="I5" s="55">
        <v>1.3316666666666668</v>
      </c>
      <c r="J5"/>
      <c r="K5" s="11">
        <f t="shared" si="0"/>
        <v>45248.583333333328</v>
      </c>
      <c r="Y5" s="13"/>
      <c r="Z5" s="13"/>
      <c r="AG5" s="13"/>
    </row>
    <row r="6" spans="2:33" x14ac:dyDescent="0.25">
      <c r="B6" s="1"/>
      <c r="C6" s="12">
        <v>1</v>
      </c>
      <c r="D6" s="53" t="s">
        <v>372</v>
      </c>
      <c r="E6" s="53" t="s">
        <v>8</v>
      </c>
      <c r="F6" s="53" t="s">
        <v>541</v>
      </c>
      <c r="G6" s="54">
        <v>1700337600</v>
      </c>
      <c r="H6" s="54">
        <v>124</v>
      </c>
      <c r="I6" s="55">
        <v>1.5508333333333333</v>
      </c>
      <c r="J6"/>
      <c r="K6" s="11">
        <f t="shared" si="0"/>
        <v>45248.583333333328</v>
      </c>
      <c r="Y6" s="13"/>
      <c r="Z6" s="13"/>
      <c r="AG6" s="13"/>
    </row>
    <row r="7" spans="2:33" x14ac:dyDescent="0.25">
      <c r="B7" s="1"/>
      <c r="C7" s="12">
        <v>1</v>
      </c>
      <c r="D7" s="53" t="s">
        <v>42</v>
      </c>
      <c r="E7" s="53" t="s">
        <v>8</v>
      </c>
      <c r="F7" s="53" t="s">
        <v>465</v>
      </c>
      <c r="G7" s="54">
        <v>1700339399</v>
      </c>
      <c r="H7" s="54">
        <v>280</v>
      </c>
      <c r="I7" s="55">
        <v>1.2466666666666668</v>
      </c>
      <c r="J7"/>
      <c r="K7" s="11">
        <f t="shared" si="0"/>
        <v>45248.604155092587</v>
      </c>
      <c r="Y7" s="13"/>
      <c r="Z7" s="13"/>
      <c r="AG7" s="13"/>
    </row>
    <row r="8" spans="2:33" x14ac:dyDescent="0.25">
      <c r="B8" s="1"/>
      <c r="C8" s="12">
        <v>1</v>
      </c>
      <c r="D8" s="53" t="s">
        <v>385</v>
      </c>
      <c r="E8" s="53" t="s">
        <v>8</v>
      </c>
      <c r="F8" s="53" t="s">
        <v>548</v>
      </c>
      <c r="G8" s="54">
        <v>1700339399</v>
      </c>
      <c r="H8" s="54">
        <v>321</v>
      </c>
      <c r="I8" s="55">
        <v>1.1849999999999998</v>
      </c>
      <c r="J8"/>
      <c r="K8" s="11">
        <f t="shared" si="0"/>
        <v>45248.604155092587</v>
      </c>
      <c r="Y8" s="13"/>
      <c r="Z8" s="13"/>
      <c r="AG8" s="13"/>
    </row>
    <row r="9" spans="2:33" x14ac:dyDescent="0.25">
      <c r="B9" s="1"/>
      <c r="C9" s="12">
        <v>1</v>
      </c>
      <c r="D9" s="53" t="s">
        <v>488</v>
      </c>
      <c r="E9" s="53" t="s">
        <v>8</v>
      </c>
      <c r="F9" s="53" t="s">
        <v>550</v>
      </c>
      <c r="G9" s="54">
        <v>1700339399</v>
      </c>
      <c r="H9" s="54">
        <v>67</v>
      </c>
      <c r="I9" s="55">
        <v>1.6991666666666669</v>
      </c>
      <c r="J9"/>
      <c r="K9" s="11">
        <f t="shared" si="0"/>
        <v>45248.604155092587</v>
      </c>
      <c r="Y9" s="13"/>
      <c r="Z9" s="13"/>
      <c r="AG9" s="13"/>
    </row>
    <row r="10" spans="2:33" x14ac:dyDescent="0.25">
      <c r="B10" s="1"/>
      <c r="C10" s="12">
        <v>1</v>
      </c>
      <c r="D10" s="53" t="s">
        <v>381</v>
      </c>
      <c r="E10" s="53" t="s">
        <v>8</v>
      </c>
      <c r="F10" s="53" t="s">
        <v>549</v>
      </c>
      <c r="G10" s="54">
        <v>1700339399</v>
      </c>
      <c r="H10" s="54">
        <v>99</v>
      </c>
      <c r="I10" s="55">
        <v>1.6141666666666667</v>
      </c>
      <c r="J10"/>
      <c r="K10" s="11">
        <f t="shared" si="0"/>
        <v>45248.604155092587</v>
      </c>
      <c r="Y10" s="13"/>
      <c r="Z10" s="13"/>
      <c r="AG10" s="13"/>
    </row>
    <row r="11" spans="2:33" x14ac:dyDescent="0.25">
      <c r="B11" s="1"/>
      <c r="C11" s="12">
        <v>1</v>
      </c>
      <c r="D11" s="53" t="s">
        <v>504</v>
      </c>
      <c r="E11" s="53" t="s">
        <v>8</v>
      </c>
      <c r="F11" s="53" t="s">
        <v>544</v>
      </c>
      <c r="G11" s="54">
        <v>1700339399</v>
      </c>
      <c r="H11" s="54">
        <v>200</v>
      </c>
      <c r="I11" s="55">
        <v>1.3833333333333335</v>
      </c>
      <c r="J11"/>
      <c r="K11" s="11">
        <f t="shared" si="0"/>
        <v>45248.604155092587</v>
      </c>
      <c r="Y11" s="13"/>
      <c r="Z11" s="13"/>
      <c r="AG11" s="13"/>
    </row>
    <row r="12" spans="2:33" x14ac:dyDescent="0.25">
      <c r="B12" s="1"/>
      <c r="C12" s="12">
        <v>1</v>
      </c>
      <c r="D12" s="53" t="s">
        <v>379</v>
      </c>
      <c r="E12" s="53" t="s">
        <v>8</v>
      </c>
      <c r="F12" s="53" t="s">
        <v>547</v>
      </c>
      <c r="G12" s="54">
        <v>1700339399</v>
      </c>
      <c r="H12" s="54">
        <v>95</v>
      </c>
      <c r="I12" s="55">
        <v>1.625</v>
      </c>
      <c r="J12"/>
      <c r="K12" s="11">
        <f t="shared" si="0"/>
        <v>45248.604155092587</v>
      </c>
      <c r="Y12" s="13"/>
      <c r="Z12" s="13"/>
      <c r="AG12" s="13"/>
    </row>
    <row r="13" spans="2:33" ht="30" x14ac:dyDescent="0.25">
      <c r="B13" s="1"/>
      <c r="C13" s="12">
        <v>1</v>
      </c>
      <c r="D13" s="53" t="s">
        <v>489</v>
      </c>
      <c r="E13" s="53" t="s">
        <v>8</v>
      </c>
      <c r="F13" s="53" t="s">
        <v>546</v>
      </c>
      <c r="G13" s="54">
        <v>1700339399</v>
      </c>
      <c r="H13" s="54">
        <v>308</v>
      </c>
      <c r="I13" s="55">
        <v>1.2050000000000001</v>
      </c>
      <c r="J13"/>
      <c r="K13" s="11">
        <f t="shared" si="0"/>
        <v>45248.604155092587</v>
      </c>
      <c r="Y13" s="13"/>
      <c r="Z13" s="13"/>
      <c r="AG13" s="13"/>
    </row>
    <row r="14" spans="2:33" x14ac:dyDescent="0.25">
      <c r="B14" s="1"/>
      <c r="C14" s="12">
        <v>1</v>
      </c>
      <c r="D14" s="53" t="s">
        <v>380</v>
      </c>
      <c r="E14" s="53" t="s">
        <v>8</v>
      </c>
      <c r="F14" s="53" t="s">
        <v>545</v>
      </c>
      <c r="G14" s="54">
        <v>1700339399</v>
      </c>
      <c r="H14" s="54">
        <v>196</v>
      </c>
      <c r="I14" s="55">
        <v>1.3916666666666668</v>
      </c>
      <c r="J14"/>
      <c r="K14" s="11">
        <f t="shared" si="0"/>
        <v>45248.604155092587</v>
      </c>
      <c r="Y14" s="13"/>
      <c r="Z14" s="13"/>
      <c r="AG14" s="13"/>
    </row>
    <row r="15" spans="2:33" ht="30" x14ac:dyDescent="0.25">
      <c r="B15" s="1"/>
      <c r="C15" s="12">
        <v>1</v>
      </c>
      <c r="D15" s="53" t="s">
        <v>493</v>
      </c>
      <c r="E15" s="53" t="s">
        <v>8</v>
      </c>
      <c r="F15" s="53" t="s">
        <v>551</v>
      </c>
      <c r="G15" s="54">
        <v>1700341200</v>
      </c>
      <c r="H15" s="54">
        <v>212</v>
      </c>
      <c r="I15" s="55">
        <v>1.3625</v>
      </c>
      <c r="J15"/>
      <c r="K15" s="11">
        <f t="shared" si="0"/>
        <v>45248.625</v>
      </c>
      <c r="Y15" s="13"/>
      <c r="Z15" s="13"/>
      <c r="AG15" s="13"/>
    </row>
    <row r="16" spans="2:33" x14ac:dyDescent="0.25">
      <c r="B16" s="1"/>
      <c r="C16" s="12">
        <v>1</v>
      </c>
      <c r="D16" s="53" t="s">
        <v>505</v>
      </c>
      <c r="E16" s="53" t="s">
        <v>8</v>
      </c>
      <c r="F16" s="53" t="s">
        <v>552</v>
      </c>
      <c r="G16" s="54">
        <v>1700344799</v>
      </c>
      <c r="H16" s="54">
        <v>76</v>
      </c>
      <c r="I16" s="55">
        <v>1.6775000000000002</v>
      </c>
      <c r="J16"/>
      <c r="K16" s="11">
        <f t="shared" si="0"/>
        <v>45248.666655092587</v>
      </c>
      <c r="Y16" s="13"/>
      <c r="Z16" s="13"/>
      <c r="AG16" s="13"/>
    </row>
    <row r="17" spans="2:33" ht="30" x14ac:dyDescent="0.25">
      <c r="B17" s="1"/>
      <c r="C17" s="12">
        <v>1</v>
      </c>
      <c r="D17" s="53" t="s">
        <v>501</v>
      </c>
      <c r="E17" s="53" t="s">
        <v>8</v>
      </c>
      <c r="F17" s="53" t="s">
        <v>553</v>
      </c>
      <c r="G17" s="54">
        <v>1700344799</v>
      </c>
      <c r="H17" s="54">
        <v>280</v>
      </c>
      <c r="I17" s="55">
        <v>1.2458333333333333</v>
      </c>
      <c r="J17"/>
      <c r="K17" s="11">
        <f t="shared" si="0"/>
        <v>45248.666655092587</v>
      </c>
      <c r="Y17" s="13"/>
      <c r="Z17" s="13"/>
      <c r="AG17" s="13"/>
    </row>
    <row r="18" spans="2:33" ht="30" x14ac:dyDescent="0.25">
      <c r="B18" s="1"/>
      <c r="C18" s="12">
        <v>1</v>
      </c>
      <c r="D18" s="53" t="s">
        <v>395</v>
      </c>
      <c r="E18" s="53" t="s">
        <v>8</v>
      </c>
      <c r="F18" s="53" t="s">
        <v>554</v>
      </c>
      <c r="G18" s="54">
        <v>1700348400</v>
      </c>
      <c r="H18" s="54">
        <v>187</v>
      </c>
      <c r="I18" s="55">
        <v>1.4118181818181816</v>
      </c>
      <c r="J18"/>
      <c r="K18" s="11">
        <f t="shared" si="0"/>
        <v>45248.708333333328</v>
      </c>
      <c r="Y18" s="13"/>
      <c r="Z18" s="13"/>
      <c r="AG18" s="13"/>
    </row>
    <row r="19" spans="2:33" x14ac:dyDescent="0.25">
      <c r="B19" s="1"/>
      <c r="C19" s="12">
        <v>1</v>
      </c>
      <c r="D19" s="53" t="s">
        <v>397</v>
      </c>
      <c r="E19" s="53" t="s">
        <v>8</v>
      </c>
      <c r="F19" s="53" t="s">
        <v>555</v>
      </c>
      <c r="G19" s="54">
        <v>1700350199</v>
      </c>
      <c r="H19" s="54">
        <v>199</v>
      </c>
      <c r="I19" s="55">
        <v>1.3863636363636365</v>
      </c>
      <c r="J19"/>
      <c r="K19" s="11">
        <f t="shared" si="0"/>
        <v>45248.729155092587</v>
      </c>
      <c r="Y19" s="13"/>
      <c r="Z19" s="13"/>
      <c r="AG19" s="13"/>
    </row>
    <row r="20" spans="2:33" x14ac:dyDescent="0.25">
      <c r="B20" s="1"/>
      <c r="C20" s="12">
        <v>1</v>
      </c>
      <c r="D20" s="53" t="s">
        <v>494</v>
      </c>
      <c r="E20" s="53" t="s">
        <v>8</v>
      </c>
      <c r="F20" s="53" t="s">
        <v>556</v>
      </c>
      <c r="G20" s="54">
        <v>1700352000</v>
      </c>
      <c r="H20" s="54">
        <v>99</v>
      </c>
      <c r="I20" s="55">
        <v>1.6145454545454547</v>
      </c>
      <c r="J20"/>
      <c r="K20" s="11">
        <f t="shared" si="0"/>
        <v>45248.75</v>
      </c>
      <c r="Y20" s="13"/>
      <c r="Z20" s="13"/>
      <c r="AG20" s="13"/>
    </row>
    <row r="21" spans="2:33" ht="30" x14ac:dyDescent="0.25">
      <c r="B21" s="1"/>
      <c r="C21" s="12">
        <v>1</v>
      </c>
      <c r="D21" s="53" t="s">
        <v>495</v>
      </c>
      <c r="E21" s="53" t="s">
        <v>8</v>
      </c>
      <c r="F21" s="53" t="s">
        <v>560</v>
      </c>
      <c r="G21" s="54">
        <v>1700353800</v>
      </c>
      <c r="H21" s="54">
        <v>50</v>
      </c>
      <c r="I21" s="55">
        <v>1.749090909090909</v>
      </c>
      <c r="J21"/>
      <c r="K21" s="11">
        <f t="shared" si="0"/>
        <v>45248.770833333328</v>
      </c>
      <c r="Y21" s="13"/>
      <c r="Z21" s="13"/>
      <c r="AG21" s="13"/>
    </row>
    <row r="22" spans="2:33" x14ac:dyDescent="0.25">
      <c r="B22" s="1"/>
      <c r="C22" s="12">
        <v>1</v>
      </c>
      <c r="D22" s="53" t="s">
        <v>405</v>
      </c>
      <c r="E22" s="53" t="s">
        <v>8</v>
      </c>
      <c r="F22" s="53" t="s">
        <v>558</v>
      </c>
      <c r="G22" s="54">
        <v>1700353800</v>
      </c>
      <c r="H22" s="54">
        <v>146</v>
      </c>
      <c r="I22" s="55">
        <v>1.499090909090909</v>
      </c>
      <c r="J22"/>
      <c r="K22" s="11">
        <f t="shared" si="0"/>
        <v>45248.770833333328</v>
      </c>
      <c r="Y22" s="13"/>
      <c r="Z22" s="13"/>
      <c r="AG22" s="13"/>
    </row>
    <row r="23" spans="2:33" ht="30" x14ac:dyDescent="0.25">
      <c r="B23" s="1"/>
      <c r="C23" s="12">
        <v>1</v>
      </c>
      <c r="D23" s="53" t="s">
        <v>502</v>
      </c>
      <c r="E23" s="53" t="s">
        <v>8</v>
      </c>
      <c r="F23" s="53" t="s">
        <v>559</v>
      </c>
      <c r="G23" s="54">
        <v>1700353800</v>
      </c>
      <c r="H23" s="54">
        <v>30</v>
      </c>
      <c r="I23" s="55">
        <v>1.810909090909091</v>
      </c>
      <c r="J23"/>
      <c r="K23" s="11">
        <f t="shared" si="0"/>
        <v>45248.770833333328</v>
      </c>
      <c r="Y23" s="13"/>
      <c r="Z23" s="13"/>
      <c r="AG23" s="13"/>
    </row>
    <row r="24" spans="2:33" x14ac:dyDescent="0.25">
      <c r="B24" s="1"/>
      <c r="C24">
        <v>1</v>
      </c>
      <c r="D24" s="53" t="s">
        <v>135</v>
      </c>
      <c r="E24" s="53" t="s">
        <v>9</v>
      </c>
      <c r="F24" s="53" t="s">
        <v>466</v>
      </c>
      <c r="G24" s="54">
        <v>1700416860</v>
      </c>
      <c r="H24" s="54">
        <v>305</v>
      </c>
      <c r="I24" s="55">
        <v>1.2092857142857143</v>
      </c>
      <c r="J24"/>
      <c r="K24" s="11">
        <f t="shared" si="0"/>
        <v>45249.500694444447</v>
      </c>
      <c r="Y24" s="13"/>
      <c r="Z24" s="13"/>
      <c r="AG24" s="13"/>
    </row>
    <row r="25" spans="2:33" x14ac:dyDescent="0.25">
      <c r="B25" s="1"/>
      <c r="C25">
        <v>1</v>
      </c>
      <c r="D25" s="53" t="s">
        <v>130</v>
      </c>
      <c r="E25" s="53" t="s">
        <v>9</v>
      </c>
      <c r="F25" s="53" t="s">
        <v>470</v>
      </c>
      <c r="G25" s="54">
        <v>1700416860</v>
      </c>
      <c r="H25" s="54">
        <v>223</v>
      </c>
      <c r="I25" s="55">
        <v>1.340714285714286</v>
      </c>
      <c r="J25"/>
      <c r="K25" s="11">
        <f t="shared" si="0"/>
        <v>45249.500694444447</v>
      </c>
      <c r="Y25" s="13"/>
      <c r="Z25" s="13"/>
      <c r="AG25" s="13"/>
    </row>
    <row r="26" spans="2:33" x14ac:dyDescent="0.25">
      <c r="B26" s="1"/>
      <c r="C26">
        <v>1</v>
      </c>
      <c r="D26" s="53" t="s">
        <v>128</v>
      </c>
      <c r="E26" s="53" t="s">
        <v>9</v>
      </c>
      <c r="F26" s="53" t="s">
        <v>468</v>
      </c>
      <c r="G26" s="54">
        <v>1700416860</v>
      </c>
      <c r="H26" s="54">
        <v>106</v>
      </c>
      <c r="I26" s="55">
        <v>1.5957142857142859</v>
      </c>
      <c r="J26"/>
      <c r="K26" s="11">
        <f t="shared" si="0"/>
        <v>45249.500694444447</v>
      </c>
      <c r="Y26" s="13"/>
      <c r="Z26" s="13"/>
      <c r="AG26" s="13"/>
    </row>
    <row r="27" spans="2:33" x14ac:dyDescent="0.25">
      <c r="B27" s="1"/>
      <c r="C27">
        <v>1</v>
      </c>
      <c r="D27" s="53" t="s">
        <v>132</v>
      </c>
      <c r="E27" s="53" t="s">
        <v>9</v>
      </c>
      <c r="F27" s="53" t="s">
        <v>472</v>
      </c>
      <c r="G27" s="54">
        <v>1700416860</v>
      </c>
      <c r="H27" s="54">
        <v>331</v>
      </c>
      <c r="I27" s="55">
        <v>1.1728571428571428</v>
      </c>
      <c r="J27"/>
      <c r="K27" s="11">
        <f t="shared" si="0"/>
        <v>45249.500694444447</v>
      </c>
      <c r="Y27" s="13"/>
      <c r="Z27" s="13"/>
      <c r="AG27" s="13"/>
    </row>
    <row r="28" spans="2:33" x14ac:dyDescent="0.25">
      <c r="B28" s="1"/>
      <c r="C28">
        <v>1</v>
      </c>
      <c r="D28" s="53" t="s">
        <v>134</v>
      </c>
      <c r="E28" s="53" t="s">
        <v>9</v>
      </c>
      <c r="F28" s="53" t="s">
        <v>471</v>
      </c>
      <c r="G28" s="54">
        <v>1700416860</v>
      </c>
      <c r="H28" s="54">
        <v>144</v>
      </c>
      <c r="I28" s="55">
        <v>1.5028571428571429</v>
      </c>
      <c r="J28"/>
      <c r="K28" s="11">
        <f t="shared" si="0"/>
        <v>45249.500694444447</v>
      </c>
      <c r="Y28" s="13"/>
      <c r="Z28" s="13"/>
      <c r="AG28" s="13"/>
    </row>
    <row r="29" spans="2:33" x14ac:dyDescent="0.25">
      <c r="B29" s="1"/>
      <c r="C29">
        <v>1</v>
      </c>
      <c r="D29" s="53" t="s">
        <v>136</v>
      </c>
      <c r="E29" s="53" t="s">
        <v>9</v>
      </c>
      <c r="F29" s="53" t="s">
        <v>469</v>
      </c>
      <c r="G29" s="54">
        <v>1700416860</v>
      </c>
      <c r="H29" s="54">
        <v>309</v>
      </c>
      <c r="I29" s="55">
        <v>1.2035714285714285</v>
      </c>
      <c r="J29"/>
      <c r="K29" s="11">
        <f t="shared" si="0"/>
        <v>45249.500694444447</v>
      </c>
      <c r="Y29" s="13"/>
      <c r="Z29" s="13"/>
      <c r="AG29" s="13"/>
    </row>
    <row r="30" spans="2:33" x14ac:dyDescent="0.25">
      <c r="B30" s="1"/>
      <c r="C30">
        <v>1</v>
      </c>
      <c r="D30" s="53" t="s">
        <v>133</v>
      </c>
      <c r="E30" s="53" t="s">
        <v>9</v>
      </c>
      <c r="F30" s="53" t="s">
        <v>467</v>
      </c>
      <c r="G30" s="54">
        <v>1700416860</v>
      </c>
      <c r="H30" s="54">
        <v>148</v>
      </c>
      <c r="I30" s="55">
        <v>1.4935714285714288</v>
      </c>
      <c r="J30"/>
      <c r="K30" s="11">
        <f t="shared" si="0"/>
        <v>45249.500694444447</v>
      </c>
      <c r="Y30" s="13"/>
      <c r="Z30" s="13"/>
      <c r="AG30" s="13"/>
    </row>
    <row r="31" spans="2:33" x14ac:dyDescent="0.25">
      <c r="B31" s="1"/>
      <c r="C31">
        <v>1</v>
      </c>
      <c r="D31" s="53" t="s">
        <v>141</v>
      </c>
      <c r="E31" s="53" t="s">
        <v>9</v>
      </c>
      <c r="F31" s="53" t="s">
        <v>473</v>
      </c>
      <c r="G31" s="54">
        <v>1700429160</v>
      </c>
      <c r="H31" s="54">
        <v>10</v>
      </c>
      <c r="I31" s="55">
        <v>1.8709090909090911</v>
      </c>
      <c r="J31"/>
      <c r="K31" s="11">
        <f t="shared" si="0"/>
        <v>45249.643055555556</v>
      </c>
      <c r="Y31" s="13"/>
      <c r="Z31" s="13"/>
      <c r="AG31" s="13"/>
    </row>
    <row r="32" spans="2:33" x14ac:dyDescent="0.25">
      <c r="B32" s="1"/>
      <c r="C32">
        <v>1</v>
      </c>
      <c r="D32" s="53" t="s">
        <v>139</v>
      </c>
      <c r="E32" s="53" t="s">
        <v>9</v>
      </c>
      <c r="F32" s="53" t="s">
        <v>474</v>
      </c>
      <c r="G32" s="54">
        <v>1700429160</v>
      </c>
      <c r="H32" s="54">
        <v>241</v>
      </c>
      <c r="I32" s="55">
        <v>1.3121428571428575</v>
      </c>
      <c r="J32"/>
      <c r="K32" s="11">
        <f t="shared" si="0"/>
        <v>45249.643055555556</v>
      </c>
      <c r="Y32" s="13"/>
      <c r="Z32" s="13"/>
      <c r="AG32" s="13"/>
    </row>
    <row r="33" spans="2:33" x14ac:dyDescent="0.25">
      <c r="B33" s="1"/>
      <c r="C33">
        <v>1</v>
      </c>
      <c r="D33" s="53" t="s">
        <v>142</v>
      </c>
      <c r="E33" s="53" t="s">
        <v>9</v>
      </c>
      <c r="F33" s="53" t="s">
        <v>475</v>
      </c>
      <c r="G33" s="54">
        <v>1700443260</v>
      </c>
      <c r="H33" s="54">
        <v>47</v>
      </c>
      <c r="I33" s="55">
        <v>1.7592857142857139</v>
      </c>
      <c r="J33"/>
      <c r="K33" s="11">
        <f t="shared" si="0"/>
        <v>45249.806250000001</v>
      </c>
      <c r="Y33" s="13"/>
      <c r="Z33" s="13"/>
      <c r="AG33" s="13"/>
    </row>
    <row r="34" spans="2:33" x14ac:dyDescent="0.25">
      <c r="B34" s="1"/>
      <c r="C34">
        <v>1</v>
      </c>
      <c r="D34" s="53" t="s">
        <v>144</v>
      </c>
      <c r="E34" s="53" t="s">
        <v>9</v>
      </c>
      <c r="F34" s="53" t="s">
        <v>476</v>
      </c>
      <c r="G34" s="54">
        <v>1700529359</v>
      </c>
      <c r="H34" s="54">
        <v>84</v>
      </c>
      <c r="I34" s="55">
        <v>1.6542857142857146</v>
      </c>
      <c r="J34"/>
      <c r="K34" s="11">
        <f t="shared" si="0"/>
        <v>45250.802766203706</v>
      </c>
      <c r="Y34" s="13"/>
      <c r="Z34" s="13"/>
      <c r="AG34" s="13"/>
    </row>
    <row r="35" spans="2:33" x14ac:dyDescent="0.25">
      <c r="B35" s="1"/>
      <c r="D35" s="53" t="s">
        <v>439</v>
      </c>
      <c r="E35" s="53" t="s">
        <v>10</v>
      </c>
      <c r="F35" s="53" t="s">
        <v>512</v>
      </c>
      <c r="G35" s="54">
        <v>1700258399</v>
      </c>
      <c r="H35" s="54">
        <v>93</v>
      </c>
      <c r="I35" s="55">
        <v>1.6125</v>
      </c>
      <c r="J35"/>
      <c r="K35" s="11">
        <f t="shared" ref="K35:K66" si="1">G35/86400+25569-6/24</f>
        <v>45247.666655092587</v>
      </c>
      <c r="Y35" s="13"/>
      <c r="Z35" s="13"/>
      <c r="AG35" s="13"/>
    </row>
    <row r="36" spans="2:33" x14ac:dyDescent="0.25">
      <c r="B36" s="1"/>
      <c r="D36" s="53" t="s">
        <v>441</v>
      </c>
      <c r="E36" s="53" t="s">
        <v>10</v>
      </c>
      <c r="F36" s="53" t="s">
        <v>511</v>
      </c>
      <c r="G36" s="54">
        <v>1700258399</v>
      </c>
      <c r="H36" s="54">
        <v>29</v>
      </c>
      <c r="I36" s="55">
        <v>1.7950000000000002</v>
      </c>
      <c r="J36"/>
      <c r="K36" s="11">
        <f t="shared" si="1"/>
        <v>45247.666655092587</v>
      </c>
    </row>
    <row r="37" spans="2:33" x14ac:dyDescent="0.25">
      <c r="D37" s="53" t="s">
        <v>442</v>
      </c>
      <c r="E37" s="53" t="s">
        <v>10</v>
      </c>
      <c r="F37" s="53" t="s">
        <v>510</v>
      </c>
      <c r="G37" s="54">
        <v>1700258399</v>
      </c>
      <c r="H37" s="54">
        <v>251</v>
      </c>
      <c r="I37" s="55">
        <v>1.2875000000000001</v>
      </c>
      <c r="J37"/>
      <c r="K37" s="11">
        <f t="shared" si="1"/>
        <v>45247.666655092587</v>
      </c>
      <c r="Y37" s="13"/>
      <c r="Z37" s="13"/>
    </row>
    <row r="38" spans="2:33" x14ac:dyDescent="0.25">
      <c r="D38" s="53" t="s">
        <v>440</v>
      </c>
      <c r="E38" s="53" t="s">
        <v>10</v>
      </c>
      <c r="F38" s="53" t="s">
        <v>513</v>
      </c>
      <c r="G38" s="54">
        <v>1700258399</v>
      </c>
      <c r="H38" s="54">
        <v>54</v>
      </c>
      <c r="I38" s="55">
        <v>1.72</v>
      </c>
      <c r="J38"/>
      <c r="K38" s="11">
        <f t="shared" si="1"/>
        <v>45247.666655092587</v>
      </c>
    </row>
    <row r="39" spans="2:33" x14ac:dyDescent="0.25">
      <c r="D39" s="53" t="s">
        <v>445</v>
      </c>
      <c r="E39" s="53" t="s">
        <v>10</v>
      </c>
      <c r="F39" s="53" t="s">
        <v>508</v>
      </c>
      <c r="G39" s="54">
        <v>1700258399</v>
      </c>
      <c r="H39" s="54">
        <v>107</v>
      </c>
      <c r="I39" s="55">
        <v>1.5866666666666667</v>
      </c>
      <c r="J39"/>
      <c r="K39" s="11">
        <f t="shared" si="1"/>
        <v>45247.666655092587</v>
      </c>
    </row>
    <row r="40" spans="2:33" x14ac:dyDescent="0.25">
      <c r="D40" s="53" t="s">
        <v>436</v>
      </c>
      <c r="E40" s="53" t="s">
        <v>10</v>
      </c>
      <c r="F40" s="53" t="s">
        <v>515</v>
      </c>
      <c r="G40" s="54">
        <v>1700258399</v>
      </c>
      <c r="H40" s="54">
        <v>3</v>
      </c>
      <c r="I40" s="55">
        <v>1.8650000000000002</v>
      </c>
      <c r="J40"/>
      <c r="K40" s="11">
        <f t="shared" si="1"/>
        <v>45247.666655092587</v>
      </c>
    </row>
    <row r="41" spans="2:33" x14ac:dyDescent="0.25">
      <c r="D41" s="53" t="s">
        <v>444</v>
      </c>
      <c r="E41" s="53" t="s">
        <v>10</v>
      </c>
      <c r="F41" s="53" t="s">
        <v>509</v>
      </c>
      <c r="G41" s="54">
        <v>1700258399</v>
      </c>
      <c r="H41" s="54">
        <v>155</v>
      </c>
      <c r="I41" s="55">
        <v>1.4674999999999998</v>
      </c>
      <c r="J41"/>
      <c r="K41" s="11">
        <f t="shared" si="1"/>
        <v>45247.666655092587</v>
      </c>
    </row>
    <row r="42" spans="2:33" x14ac:dyDescent="0.25">
      <c r="D42" s="53" t="s">
        <v>438</v>
      </c>
      <c r="E42" s="53" t="s">
        <v>10</v>
      </c>
      <c r="F42" s="53" t="s">
        <v>514</v>
      </c>
      <c r="G42" s="54">
        <v>1700258399</v>
      </c>
      <c r="H42" s="54">
        <v>313</v>
      </c>
      <c r="I42" s="55">
        <v>1.1850000000000001</v>
      </c>
      <c r="J42"/>
      <c r="K42" s="11">
        <f t="shared" si="1"/>
        <v>45247.666655092587</v>
      </c>
    </row>
    <row r="43" spans="2:33" x14ac:dyDescent="0.25">
      <c r="D43" s="53" t="s">
        <v>446</v>
      </c>
      <c r="E43" s="53" t="s">
        <v>10</v>
      </c>
      <c r="F43" s="53" t="s">
        <v>516</v>
      </c>
      <c r="G43" s="54">
        <v>1700260200</v>
      </c>
      <c r="H43" s="54">
        <v>211</v>
      </c>
      <c r="I43" s="55">
        <v>1.3540000000000001</v>
      </c>
      <c r="J43"/>
      <c r="K43" s="11">
        <f t="shared" si="1"/>
        <v>45247.6875</v>
      </c>
    </row>
    <row r="44" spans="2:33" x14ac:dyDescent="0.25">
      <c r="D44" s="53" t="s">
        <v>450</v>
      </c>
      <c r="E44" s="53" t="s">
        <v>10</v>
      </c>
      <c r="F44" s="53" t="s">
        <v>517</v>
      </c>
      <c r="G44" s="54">
        <v>1700272800</v>
      </c>
      <c r="H44" s="54">
        <v>320</v>
      </c>
      <c r="I44" s="55">
        <v>1.18</v>
      </c>
      <c r="J44"/>
      <c r="K44" s="11">
        <f t="shared" si="1"/>
        <v>45247.833333333328</v>
      </c>
    </row>
    <row r="45" spans="2:33" x14ac:dyDescent="0.25">
      <c r="D45" s="53" t="s">
        <v>448</v>
      </c>
      <c r="E45" s="53" t="s">
        <v>10</v>
      </c>
      <c r="F45" s="53" t="s">
        <v>518</v>
      </c>
      <c r="G45" s="54">
        <v>1700272800</v>
      </c>
      <c r="H45" s="54">
        <v>279</v>
      </c>
      <c r="I45" s="55">
        <v>1.24</v>
      </c>
      <c r="J45"/>
      <c r="K45" s="11">
        <f t="shared" si="1"/>
        <v>45247.833333333328</v>
      </c>
    </row>
    <row r="46" spans="2:33" x14ac:dyDescent="0.25">
      <c r="D46" s="53" t="s">
        <v>449</v>
      </c>
      <c r="E46" s="53" t="s">
        <v>10</v>
      </c>
      <c r="F46" s="53" t="s">
        <v>519</v>
      </c>
      <c r="G46" s="54">
        <v>1700272800</v>
      </c>
      <c r="H46" s="54">
        <v>231</v>
      </c>
      <c r="I46" s="55">
        <v>1.32</v>
      </c>
      <c r="J46"/>
      <c r="K46" s="11">
        <f t="shared" si="1"/>
        <v>45247.833333333328</v>
      </c>
    </row>
    <row r="47" spans="2:33" x14ac:dyDescent="0.25">
      <c r="D47" s="53" t="s">
        <v>116</v>
      </c>
      <c r="E47" s="53" t="s">
        <v>10</v>
      </c>
      <c r="F47" s="53" t="s">
        <v>455</v>
      </c>
      <c r="G47" s="54">
        <v>1700334599</v>
      </c>
      <c r="H47" s="54">
        <v>133</v>
      </c>
      <c r="I47" s="55">
        <v>1.5263636363636364</v>
      </c>
      <c r="J47"/>
      <c r="K47" s="11">
        <f t="shared" si="1"/>
        <v>45248.54859953704</v>
      </c>
    </row>
    <row r="48" spans="2:33" x14ac:dyDescent="0.25">
      <c r="D48" s="53" t="s">
        <v>111</v>
      </c>
      <c r="E48" s="53" t="s">
        <v>10</v>
      </c>
      <c r="F48" s="53" t="s">
        <v>459</v>
      </c>
      <c r="G48" s="54">
        <v>1700334599</v>
      </c>
      <c r="H48" s="54">
        <v>47</v>
      </c>
      <c r="I48" s="55">
        <v>1.7509090909090907</v>
      </c>
      <c r="J48"/>
      <c r="K48" s="11">
        <f t="shared" si="1"/>
        <v>45248.54859953704</v>
      </c>
    </row>
    <row r="49" spans="4:11" x14ac:dyDescent="0.25">
      <c r="D49" s="53" t="s">
        <v>117</v>
      </c>
      <c r="E49" s="53" t="s">
        <v>10</v>
      </c>
      <c r="F49" s="53" t="s">
        <v>457</v>
      </c>
      <c r="G49" s="54">
        <v>1700334599</v>
      </c>
      <c r="H49" s="54">
        <v>133</v>
      </c>
      <c r="I49" s="55">
        <v>1.5263636363636364</v>
      </c>
      <c r="J49"/>
      <c r="K49" s="11">
        <f t="shared" si="1"/>
        <v>45248.54859953704</v>
      </c>
    </row>
    <row r="50" spans="4:11" x14ac:dyDescent="0.25">
      <c r="D50" s="53" t="s">
        <v>113</v>
      </c>
      <c r="E50" s="53" t="s">
        <v>10</v>
      </c>
      <c r="F50" s="53" t="s">
        <v>520</v>
      </c>
      <c r="G50" s="54">
        <v>1700334599</v>
      </c>
      <c r="H50" s="54">
        <v>55</v>
      </c>
      <c r="I50" s="55">
        <v>1.7245454545454548</v>
      </c>
      <c r="J50"/>
      <c r="K50" s="11">
        <f t="shared" si="1"/>
        <v>45248.54859953704</v>
      </c>
    </row>
    <row r="51" spans="4:11" x14ac:dyDescent="0.25">
      <c r="D51" s="53" t="s">
        <v>114</v>
      </c>
      <c r="E51" s="53" t="s">
        <v>10</v>
      </c>
      <c r="F51" s="53" t="s">
        <v>456</v>
      </c>
      <c r="G51" s="54">
        <v>1700334599</v>
      </c>
      <c r="H51" s="54">
        <v>301</v>
      </c>
      <c r="I51" s="55">
        <v>1.2145454545454546</v>
      </c>
      <c r="J51"/>
      <c r="K51" s="11">
        <f t="shared" si="1"/>
        <v>45248.54859953704</v>
      </c>
    </row>
    <row r="52" spans="4:11" x14ac:dyDescent="0.25">
      <c r="D52" s="53" t="s">
        <v>118</v>
      </c>
      <c r="E52" s="53" t="s">
        <v>10</v>
      </c>
      <c r="F52" s="53" t="s">
        <v>454</v>
      </c>
      <c r="G52" s="54">
        <v>1700334599</v>
      </c>
      <c r="H52" s="54">
        <v>252</v>
      </c>
      <c r="I52" s="55">
        <v>1.2881818181818181</v>
      </c>
      <c r="J52"/>
      <c r="K52" s="11">
        <f t="shared" si="1"/>
        <v>45248.54859953704</v>
      </c>
    </row>
    <row r="53" spans="4:11" x14ac:dyDescent="0.25">
      <c r="D53" s="53" t="s">
        <v>115</v>
      </c>
      <c r="E53" s="53" t="s">
        <v>10</v>
      </c>
      <c r="F53" s="53" t="s">
        <v>458</v>
      </c>
      <c r="G53" s="54">
        <v>1700334599</v>
      </c>
      <c r="H53" s="54">
        <v>43</v>
      </c>
      <c r="I53" s="55">
        <v>1.7627272727272725</v>
      </c>
      <c r="J53"/>
      <c r="K53" s="11">
        <f t="shared" si="1"/>
        <v>45248.54859953704</v>
      </c>
    </row>
    <row r="54" spans="4:11" x14ac:dyDescent="0.25">
      <c r="D54" s="53" t="s">
        <v>48</v>
      </c>
      <c r="E54" s="53" t="s">
        <v>10</v>
      </c>
      <c r="F54" s="53" t="s">
        <v>461</v>
      </c>
      <c r="G54" s="54">
        <v>1700345700</v>
      </c>
      <c r="H54" s="54">
        <v>187</v>
      </c>
      <c r="I54" s="55">
        <v>1.4090909090909089</v>
      </c>
      <c r="J54"/>
      <c r="K54" s="11">
        <f t="shared" si="1"/>
        <v>45248.677083333328</v>
      </c>
    </row>
    <row r="55" spans="4:11" x14ac:dyDescent="0.25">
      <c r="D55" s="53" t="s">
        <v>49</v>
      </c>
      <c r="E55" s="53" t="s">
        <v>10</v>
      </c>
      <c r="F55" s="53" t="s">
        <v>462</v>
      </c>
      <c r="G55" s="54">
        <v>1700345700</v>
      </c>
      <c r="H55" s="54">
        <v>180</v>
      </c>
      <c r="I55" s="55">
        <v>1.4266666666666665</v>
      </c>
      <c r="J55"/>
      <c r="K55" s="11">
        <f t="shared" si="1"/>
        <v>45248.677083333328</v>
      </c>
    </row>
    <row r="56" spans="4:11" x14ac:dyDescent="0.25">
      <c r="D56" s="53" t="s">
        <v>40</v>
      </c>
      <c r="E56" s="53" t="s">
        <v>10</v>
      </c>
      <c r="F56" s="53" t="s">
        <v>464</v>
      </c>
      <c r="G56" s="54">
        <v>1700351100</v>
      </c>
      <c r="H56" s="54">
        <v>165</v>
      </c>
      <c r="I56" s="55">
        <v>1.4518181818181815</v>
      </c>
      <c r="J56"/>
      <c r="K56" s="11">
        <f t="shared" si="1"/>
        <v>45248.739583333328</v>
      </c>
    </row>
    <row r="57" spans="4:11" ht="30" x14ac:dyDescent="0.25">
      <c r="D57" s="53" t="s">
        <v>478</v>
      </c>
      <c r="E57" s="53" t="s">
        <v>8</v>
      </c>
      <c r="F57" s="53" t="s">
        <v>521</v>
      </c>
      <c r="G57" s="54">
        <v>1700278200</v>
      </c>
      <c r="H57" s="54">
        <v>139</v>
      </c>
      <c r="I57" s="55">
        <v>1.5149999999999999</v>
      </c>
      <c r="J57"/>
      <c r="K57" s="11">
        <f t="shared" si="1"/>
        <v>45247.895833333328</v>
      </c>
    </row>
    <row r="58" spans="4:11" x14ac:dyDescent="0.25">
      <c r="D58" s="53" t="s">
        <v>346</v>
      </c>
      <c r="E58" s="53" t="s">
        <v>8</v>
      </c>
      <c r="F58" s="53" t="s">
        <v>528</v>
      </c>
      <c r="G58" s="54">
        <v>1700326800</v>
      </c>
      <c r="H58" s="54">
        <v>12</v>
      </c>
      <c r="I58" s="55">
        <v>1.8649999999999995</v>
      </c>
      <c r="J58"/>
      <c r="K58" s="11">
        <f t="shared" si="1"/>
        <v>45248.458333333328</v>
      </c>
    </row>
    <row r="59" spans="4:11" ht="30" x14ac:dyDescent="0.25">
      <c r="D59" s="53" t="s">
        <v>353</v>
      </c>
      <c r="E59" s="53" t="s">
        <v>8</v>
      </c>
      <c r="F59" s="53" t="s">
        <v>522</v>
      </c>
      <c r="G59" s="54">
        <v>1700326800</v>
      </c>
      <c r="H59" s="54">
        <v>130</v>
      </c>
      <c r="I59" s="55">
        <v>1.5366666666666668</v>
      </c>
      <c r="J59"/>
      <c r="K59" s="11">
        <f t="shared" si="1"/>
        <v>45248.458333333328</v>
      </c>
    </row>
    <row r="60" spans="4:11" x14ac:dyDescent="0.25">
      <c r="D60" s="53" t="s">
        <v>351</v>
      </c>
      <c r="E60" s="53" t="s">
        <v>8</v>
      </c>
      <c r="F60" s="53" t="s">
        <v>529</v>
      </c>
      <c r="G60" s="54">
        <v>1700326800</v>
      </c>
      <c r="H60" s="54">
        <v>69</v>
      </c>
      <c r="I60" s="55">
        <v>1.6975</v>
      </c>
      <c r="J60"/>
      <c r="K60" s="11">
        <f t="shared" si="1"/>
        <v>45248.458333333328</v>
      </c>
    </row>
    <row r="61" spans="4:11" x14ac:dyDescent="0.25">
      <c r="D61" s="53" t="s">
        <v>355</v>
      </c>
      <c r="E61" s="53" t="s">
        <v>8</v>
      </c>
      <c r="F61" s="53" t="s">
        <v>524</v>
      </c>
      <c r="G61" s="54">
        <v>1700326800</v>
      </c>
      <c r="H61" s="54">
        <v>63</v>
      </c>
      <c r="I61" s="55">
        <v>1.7108333333333334</v>
      </c>
      <c r="J61"/>
      <c r="K61" s="11">
        <f t="shared" si="1"/>
        <v>45248.458333333328</v>
      </c>
    </row>
    <row r="62" spans="4:11" x14ac:dyDescent="0.25">
      <c r="D62" s="53" t="s">
        <v>349</v>
      </c>
      <c r="E62" s="53" t="s">
        <v>8</v>
      </c>
      <c r="F62" s="53" t="s">
        <v>526</v>
      </c>
      <c r="G62" s="54">
        <v>1700326800</v>
      </c>
      <c r="H62" s="54">
        <v>242</v>
      </c>
      <c r="I62" s="55">
        <v>1.3083333333333336</v>
      </c>
      <c r="J62"/>
      <c r="K62" s="11">
        <f t="shared" si="1"/>
        <v>45248.458333333328</v>
      </c>
    </row>
    <row r="63" spans="4:11" x14ac:dyDescent="0.25">
      <c r="D63" s="53" t="s">
        <v>354</v>
      </c>
      <c r="E63" s="53" t="s">
        <v>8</v>
      </c>
      <c r="F63" s="53" t="s">
        <v>523</v>
      </c>
      <c r="G63" s="54">
        <v>1700326800</v>
      </c>
      <c r="H63" s="54">
        <v>259</v>
      </c>
      <c r="I63" s="55">
        <v>1.2799999999999998</v>
      </c>
      <c r="J63"/>
      <c r="K63" s="11">
        <f t="shared" si="1"/>
        <v>45248.458333333328</v>
      </c>
    </row>
    <row r="64" spans="4:11" x14ac:dyDescent="0.25">
      <c r="D64" s="53" t="s">
        <v>479</v>
      </c>
      <c r="E64" s="53" t="s">
        <v>8</v>
      </c>
      <c r="F64" s="53" t="s">
        <v>527</v>
      </c>
      <c r="G64" s="54">
        <v>1700326800</v>
      </c>
      <c r="H64" s="54">
        <v>135</v>
      </c>
      <c r="I64" s="55">
        <v>1.5258333333333332</v>
      </c>
      <c r="J64"/>
      <c r="K64" s="11">
        <f t="shared" si="1"/>
        <v>45248.458333333328</v>
      </c>
    </row>
    <row r="65" spans="4:11" ht="30" x14ac:dyDescent="0.25">
      <c r="D65" s="53" t="s">
        <v>480</v>
      </c>
      <c r="E65" s="53" t="s">
        <v>8</v>
      </c>
      <c r="F65" s="53" t="s">
        <v>525</v>
      </c>
      <c r="G65" s="54">
        <v>1700326800</v>
      </c>
      <c r="H65" s="54">
        <v>326</v>
      </c>
      <c r="I65" s="55">
        <v>1.1783333333333332</v>
      </c>
      <c r="J65"/>
      <c r="K65" s="11">
        <f t="shared" si="1"/>
        <v>45248.458333333328</v>
      </c>
    </row>
    <row r="66" spans="4:11" x14ac:dyDescent="0.25">
      <c r="D66" s="53" t="s">
        <v>482</v>
      </c>
      <c r="E66" s="53" t="s">
        <v>8</v>
      </c>
      <c r="F66" s="53" t="s">
        <v>530</v>
      </c>
      <c r="G66" s="54">
        <v>1700330400</v>
      </c>
      <c r="H66" s="54">
        <v>232</v>
      </c>
      <c r="I66" s="55">
        <v>1.3263636363636364</v>
      </c>
      <c r="J66"/>
      <c r="K66" s="11">
        <f t="shared" si="1"/>
        <v>45248.5</v>
      </c>
    </row>
    <row r="67" spans="4:11" x14ac:dyDescent="0.25">
      <c r="D67" s="53" t="s">
        <v>484</v>
      </c>
      <c r="E67" s="53" t="s">
        <v>8</v>
      </c>
      <c r="F67" s="53" t="s">
        <v>534</v>
      </c>
      <c r="G67" s="54">
        <v>1700333999</v>
      </c>
      <c r="H67" s="54">
        <v>311</v>
      </c>
      <c r="I67" s="55">
        <v>1.200833333333333</v>
      </c>
      <c r="J67"/>
      <c r="K67" s="11">
        <f t="shared" ref="K67:K80" si="2">G67/86400+25569-6/24</f>
        <v>45248.541655092587</v>
      </c>
    </row>
    <row r="68" spans="4:11" x14ac:dyDescent="0.25">
      <c r="D68" s="53" t="s">
        <v>365</v>
      </c>
      <c r="E68" s="53" t="s">
        <v>8</v>
      </c>
      <c r="F68" s="53" t="s">
        <v>533</v>
      </c>
      <c r="G68" s="54">
        <v>1700333999</v>
      </c>
      <c r="H68" s="54">
        <v>64</v>
      </c>
      <c r="I68" s="55">
        <v>1.7083333333333333</v>
      </c>
      <c r="J68"/>
      <c r="K68" s="11">
        <f t="shared" si="2"/>
        <v>45248.541655092587</v>
      </c>
    </row>
    <row r="69" spans="4:11" x14ac:dyDescent="0.25">
      <c r="D69" s="53" t="s">
        <v>366</v>
      </c>
      <c r="E69" s="53" t="s">
        <v>8</v>
      </c>
      <c r="F69" s="53" t="s">
        <v>532</v>
      </c>
      <c r="G69" s="54">
        <v>1700333999</v>
      </c>
      <c r="H69" s="54">
        <v>232</v>
      </c>
      <c r="I69" s="55">
        <v>1.3266666666666669</v>
      </c>
      <c r="J69"/>
      <c r="K69" s="11">
        <f t="shared" si="2"/>
        <v>45248.541655092587</v>
      </c>
    </row>
    <row r="70" spans="4:11" x14ac:dyDescent="0.25">
      <c r="D70" s="53" t="s">
        <v>368</v>
      </c>
      <c r="E70" s="53" t="s">
        <v>8</v>
      </c>
      <c r="F70" s="53" t="s">
        <v>536</v>
      </c>
      <c r="G70" s="54">
        <v>1700333999</v>
      </c>
      <c r="H70" s="54">
        <v>333</v>
      </c>
      <c r="I70" s="55">
        <v>1.1683333333333332</v>
      </c>
      <c r="J70"/>
      <c r="K70" s="11">
        <f t="shared" si="2"/>
        <v>45248.541655092587</v>
      </c>
    </row>
    <row r="71" spans="4:11" ht="30" x14ac:dyDescent="0.25">
      <c r="D71" s="53" t="s">
        <v>485</v>
      </c>
      <c r="E71" s="53" t="s">
        <v>8</v>
      </c>
      <c r="F71" s="53" t="s">
        <v>531</v>
      </c>
      <c r="G71" s="54">
        <v>1700333999</v>
      </c>
      <c r="H71" s="54">
        <v>244</v>
      </c>
      <c r="I71" s="55">
        <v>1.3049999999999999</v>
      </c>
      <c r="J71"/>
      <c r="K71" s="11">
        <f t="shared" si="2"/>
        <v>45248.541655092587</v>
      </c>
    </row>
    <row r="72" spans="4:11" ht="30" x14ac:dyDescent="0.25">
      <c r="D72" s="53" t="s">
        <v>483</v>
      </c>
      <c r="E72" s="53" t="s">
        <v>8</v>
      </c>
      <c r="F72" s="53" t="s">
        <v>535</v>
      </c>
      <c r="G72" s="54">
        <v>1700333999</v>
      </c>
      <c r="H72" s="54">
        <v>252</v>
      </c>
      <c r="I72" s="55">
        <v>1.2925</v>
      </c>
      <c r="J72"/>
      <c r="K72" s="11">
        <f t="shared" si="2"/>
        <v>45248.541655092587</v>
      </c>
    </row>
    <row r="73" spans="4:11" ht="30" x14ac:dyDescent="0.25">
      <c r="D73" s="53" t="s">
        <v>507</v>
      </c>
      <c r="E73" s="53" t="s">
        <v>8</v>
      </c>
      <c r="F73" s="53" t="s">
        <v>537</v>
      </c>
      <c r="G73" s="54">
        <v>1700335800</v>
      </c>
      <c r="H73" s="54">
        <v>196</v>
      </c>
      <c r="I73" s="55">
        <v>1.3925000000000001</v>
      </c>
      <c r="J73"/>
      <c r="K73" s="11">
        <f t="shared" si="2"/>
        <v>45248.5625</v>
      </c>
    </row>
    <row r="74" spans="4:11" x14ac:dyDescent="0.25">
      <c r="D74" s="53" t="s">
        <v>369</v>
      </c>
      <c r="E74" s="53" t="s">
        <v>8</v>
      </c>
      <c r="F74" s="53" t="s">
        <v>538</v>
      </c>
      <c r="G74" s="54">
        <v>1700335800</v>
      </c>
      <c r="H74" s="54">
        <v>2</v>
      </c>
      <c r="I74" s="55">
        <v>1.9033333333333333</v>
      </c>
      <c r="J74"/>
      <c r="K74" s="11">
        <f t="shared" si="2"/>
        <v>45248.5625</v>
      </c>
    </row>
    <row r="75" spans="4:11" ht="30" x14ac:dyDescent="0.25">
      <c r="D75" s="53" t="s">
        <v>503</v>
      </c>
      <c r="E75" s="53" t="s">
        <v>8</v>
      </c>
      <c r="F75" s="53" t="s">
        <v>543</v>
      </c>
      <c r="G75" s="54">
        <v>1700337600</v>
      </c>
      <c r="H75" s="54">
        <v>53</v>
      </c>
      <c r="I75" s="55">
        <v>1.7391666666666665</v>
      </c>
      <c r="J75"/>
      <c r="K75" s="11">
        <f t="shared" si="2"/>
        <v>45248.583333333328</v>
      </c>
    </row>
    <row r="76" spans="4:11" x14ac:dyDescent="0.25">
      <c r="D76" s="53" t="s">
        <v>487</v>
      </c>
      <c r="E76" s="53" t="s">
        <v>8</v>
      </c>
      <c r="F76" s="53" t="s">
        <v>539</v>
      </c>
      <c r="G76" s="54">
        <v>1700337600</v>
      </c>
      <c r="H76" s="54">
        <v>301</v>
      </c>
      <c r="I76" s="55">
        <v>1.2150000000000003</v>
      </c>
      <c r="J76"/>
      <c r="K76" s="11">
        <f t="shared" si="2"/>
        <v>45248.583333333328</v>
      </c>
    </row>
    <row r="77" spans="4:11" ht="30" x14ac:dyDescent="0.25">
      <c r="D77" s="53" t="s">
        <v>486</v>
      </c>
      <c r="E77" s="53" t="s">
        <v>8</v>
      </c>
      <c r="F77" s="53" t="s">
        <v>540</v>
      </c>
      <c r="G77" s="54">
        <v>1700337600</v>
      </c>
      <c r="H77" s="54">
        <v>117</v>
      </c>
      <c r="I77" s="55">
        <v>1.5674999999999999</v>
      </c>
      <c r="J77"/>
      <c r="K77" s="11">
        <f t="shared" si="2"/>
        <v>45248.583333333328</v>
      </c>
    </row>
    <row r="78" spans="4:11" x14ac:dyDescent="0.25">
      <c r="D78" s="53" t="s">
        <v>404</v>
      </c>
      <c r="E78" s="53" t="s">
        <v>8</v>
      </c>
      <c r="F78" s="53" t="s">
        <v>557</v>
      </c>
      <c r="G78" s="54">
        <v>1700353800</v>
      </c>
      <c r="H78" s="54">
        <v>292</v>
      </c>
      <c r="I78" s="55">
        <v>1.2290909090909092</v>
      </c>
      <c r="J78"/>
      <c r="K78" s="11">
        <f t="shared" si="2"/>
        <v>45248.770833333328</v>
      </c>
    </row>
    <row r="79" spans="4:11" x14ac:dyDescent="0.25">
      <c r="D79" s="53" t="s">
        <v>496</v>
      </c>
      <c r="E79" s="53" t="s">
        <v>8</v>
      </c>
      <c r="F79" s="53" t="s">
        <v>562</v>
      </c>
      <c r="G79" s="54">
        <v>1700355599</v>
      </c>
      <c r="H79" s="54">
        <v>234</v>
      </c>
      <c r="I79" s="55">
        <v>1.3227272727272728</v>
      </c>
      <c r="J79"/>
      <c r="K79" s="11">
        <f t="shared" si="2"/>
        <v>45248.791655092587</v>
      </c>
    </row>
    <row r="80" spans="4:11" x14ac:dyDescent="0.25">
      <c r="D80" s="53" t="s">
        <v>409</v>
      </c>
      <c r="E80" s="53" t="s">
        <v>8</v>
      </c>
      <c r="F80" s="53" t="s">
        <v>561</v>
      </c>
      <c r="G80" s="54">
        <v>1700355599</v>
      </c>
      <c r="H80" s="54">
        <v>189</v>
      </c>
      <c r="I80" s="55">
        <v>1.4063636363636365</v>
      </c>
      <c r="J80"/>
      <c r="K80" s="11">
        <f t="shared" si="2"/>
        <v>45248.791655092587</v>
      </c>
    </row>
    <row r="81" spans="3:9" x14ac:dyDescent="0.25">
      <c r="I81"/>
    </row>
    <row r="82" spans="3:9" x14ac:dyDescent="0.25">
      <c r="C82">
        <f>SUM(C8:C80)</f>
        <v>27</v>
      </c>
      <c r="I82"/>
    </row>
    <row r="83" spans="3:9" x14ac:dyDescent="0.25">
      <c r="I83"/>
    </row>
    <row r="84" spans="3:9" x14ac:dyDescent="0.25">
      <c r="I84"/>
    </row>
    <row r="85" spans="3:9" x14ac:dyDescent="0.25">
      <c r="I85"/>
    </row>
    <row r="86" spans="3:9" x14ac:dyDescent="0.25">
      <c r="I86"/>
    </row>
    <row r="87" spans="3:9" x14ac:dyDescent="0.25">
      <c r="I87"/>
    </row>
    <row r="88" spans="3:9" x14ac:dyDescent="0.25">
      <c r="C88" s="12"/>
    </row>
    <row r="89" spans="3:9" x14ac:dyDescent="0.25">
      <c r="C89" s="12">
        <f>SUM(C6:C87)</f>
        <v>56</v>
      </c>
    </row>
  </sheetData>
  <sortState xmlns:xlrd2="http://schemas.microsoft.com/office/spreadsheetml/2017/richdata2" ref="D3:I34">
    <sortCondition ref="E3:E34"/>
    <sortCondition ref="G3:G34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3A7A72-E20A-49C4-A5CB-B024CCEFD548}">
  <sheetPr codeName="Sheet8"/>
  <dimension ref="B2:J1465"/>
  <sheetViews>
    <sheetView zoomScaleNormal="100" workbookViewId="0">
      <pane ySplit="5100" topLeftCell="A1116"/>
      <selection activeCell="B3" sqref="B3:F1127"/>
      <selection pane="bottomLeft" activeCell="D1079" sqref="D1079"/>
    </sheetView>
  </sheetViews>
  <sheetFormatPr defaultRowHeight="15" x14ac:dyDescent="0.25"/>
  <cols>
    <col min="2" max="2" width="57.28515625" style="10" customWidth="1"/>
    <col min="3" max="3" width="25.28515625" customWidth="1"/>
    <col min="5" max="5" width="17.5703125" customWidth="1"/>
    <col min="8" max="8" width="8.7109375" customWidth="1"/>
    <col min="9" max="9" width="14" customWidth="1"/>
    <col min="10" max="10" width="19.28515625" customWidth="1"/>
    <col min="11" max="11" width="15.42578125" customWidth="1"/>
  </cols>
  <sheetData>
    <row r="2" spans="2:10" x14ac:dyDescent="0.25">
      <c r="B2" s="1" t="s">
        <v>11</v>
      </c>
      <c r="C2" s="1" t="s">
        <v>147</v>
      </c>
      <c r="D2" s="1" t="s">
        <v>17</v>
      </c>
      <c r="E2" s="1" t="s">
        <v>16</v>
      </c>
      <c r="F2" s="1" t="s">
        <v>12</v>
      </c>
    </row>
    <row r="3" spans="2:10" x14ac:dyDescent="0.25">
      <c r="B3" t="s">
        <v>340</v>
      </c>
      <c r="C3" t="s">
        <v>341</v>
      </c>
      <c r="D3">
        <v>2.02</v>
      </c>
      <c r="E3">
        <v>1.82</v>
      </c>
      <c r="F3" t="s">
        <v>8</v>
      </c>
      <c r="I3" t="s">
        <v>149</v>
      </c>
      <c r="J3" t="s">
        <v>28</v>
      </c>
    </row>
    <row r="4" spans="2:10" x14ac:dyDescent="0.25">
      <c r="B4" t="s">
        <v>340</v>
      </c>
      <c r="C4" t="s">
        <v>341</v>
      </c>
      <c r="D4">
        <v>2</v>
      </c>
      <c r="E4">
        <v>1.83</v>
      </c>
      <c r="F4" t="s">
        <v>8</v>
      </c>
      <c r="I4" t="s">
        <v>150</v>
      </c>
      <c r="J4" t="s">
        <v>27</v>
      </c>
    </row>
    <row r="5" spans="2:10" x14ac:dyDescent="0.25">
      <c r="B5" t="s">
        <v>340</v>
      </c>
      <c r="C5" t="s">
        <v>341</v>
      </c>
      <c r="D5">
        <v>2.13</v>
      </c>
      <c r="E5">
        <v>1.75</v>
      </c>
      <c r="F5" t="s">
        <v>8</v>
      </c>
      <c r="I5" t="s">
        <v>151</v>
      </c>
      <c r="J5" t="s">
        <v>26</v>
      </c>
    </row>
    <row r="6" spans="2:10" x14ac:dyDescent="0.25">
      <c r="B6" t="s">
        <v>340</v>
      </c>
      <c r="C6" t="s">
        <v>341</v>
      </c>
      <c r="D6">
        <v>2.08</v>
      </c>
      <c r="E6">
        <v>1.72</v>
      </c>
      <c r="F6" t="s">
        <v>8</v>
      </c>
      <c r="I6" t="s">
        <v>25</v>
      </c>
      <c r="J6" t="s">
        <v>25</v>
      </c>
    </row>
    <row r="7" spans="2:10" x14ac:dyDescent="0.25">
      <c r="B7" t="s">
        <v>340</v>
      </c>
      <c r="C7" t="s">
        <v>341</v>
      </c>
      <c r="D7">
        <v>2.15</v>
      </c>
      <c r="E7">
        <v>1.74</v>
      </c>
      <c r="F7" t="s">
        <v>8</v>
      </c>
      <c r="I7" t="s">
        <v>24</v>
      </c>
      <c r="J7" t="s">
        <v>24</v>
      </c>
    </row>
    <row r="8" spans="2:10" x14ac:dyDescent="0.25">
      <c r="B8" t="s">
        <v>340</v>
      </c>
      <c r="C8" t="s">
        <v>341</v>
      </c>
      <c r="D8">
        <v>2.1</v>
      </c>
      <c r="E8">
        <v>1.77</v>
      </c>
      <c r="F8" t="s">
        <v>8</v>
      </c>
      <c r="I8" t="s">
        <v>23</v>
      </c>
      <c r="J8" t="s">
        <v>23</v>
      </c>
    </row>
    <row r="9" spans="2:10" x14ac:dyDescent="0.25">
      <c r="B9" t="s">
        <v>340</v>
      </c>
      <c r="C9" t="s">
        <v>341</v>
      </c>
      <c r="D9">
        <v>2.13</v>
      </c>
      <c r="E9">
        <v>1.75</v>
      </c>
      <c r="F9" t="s">
        <v>8</v>
      </c>
      <c r="I9" t="s">
        <v>22</v>
      </c>
      <c r="J9" t="s">
        <v>22</v>
      </c>
    </row>
    <row r="10" spans="2:10" x14ac:dyDescent="0.25">
      <c r="B10" t="s">
        <v>340</v>
      </c>
      <c r="C10" t="s">
        <v>341</v>
      </c>
      <c r="D10">
        <v>2.08</v>
      </c>
      <c r="E10">
        <v>1.72</v>
      </c>
      <c r="F10" t="s">
        <v>8</v>
      </c>
      <c r="I10" t="s">
        <v>152</v>
      </c>
      <c r="J10" t="s">
        <v>21</v>
      </c>
    </row>
    <row r="11" spans="2:10" x14ac:dyDescent="0.25">
      <c r="B11" t="s">
        <v>340</v>
      </c>
      <c r="C11" t="s">
        <v>341</v>
      </c>
      <c r="D11">
        <v>2.15</v>
      </c>
      <c r="E11">
        <v>1.74</v>
      </c>
      <c r="F11" t="s">
        <v>8</v>
      </c>
      <c r="I11" t="s">
        <v>153</v>
      </c>
      <c r="J11" t="s">
        <v>31</v>
      </c>
    </row>
    <row r="12" spans="2:10" x14ac:dyDescent="0.25">
      <c r="B12" t="s">
        <v>340</v>
      </c>
      <c r="C12" t="s">
        <v>341</v>
      </c>
      <c r="D12">
        <v>2.1</v>
      </c>
      <c r="E12">
        <v>1.77</v>
      </c>
      <c r="F12" t="s">
        <v>8</v>
      </c>
      <c r="I12" t="s">
        <v>154</v>
      </c>
      <c r="J12" t="s">
        <v>20</v>
      </c>
    </row>
    <row r="13" spans="2:10" x14ac:dyDescent="0.25">
      <c r="B13" t="s">
        <v>340</v>
      </c>
      <c r="C13" t="s">
        <v>341</v>
      </c>
      <c r="D13">
        <v>2.1</v>
      </c>
      <c r="E13">
        <v>1.77</v>
      </c>
      <c r="F13" t="s">
        <v>8</v>
      </c>
      <c r="I13" t="s">
        <v>38</v>
      </c>
      <c r="J13" t="s">
        <v>38</v>
      </c>
    </row>
    <row r="14" spans="2:10" x14ac:dyDescent="0.25">
      <c r="B14" t="s">
        <v>340</v>
      </c>
      <c r="C14" t="s">
        <v>341</v>
      </c>
      <c r="D14">
        <v>2.1</v>
      </c>
      <c r="E14">
        <v>1.77</v>
      </c>
      <c r="F14" t="s">
        <v>8</v>
      </c>
      <c r="I14" t="s">
        <v>124</v>
      </c>
      <c r="J14" t="s">
        <v>124</v>
      </c>
    </row>
    <row r="15" spans="2:10" x14ac:dyDescent="0.25">
      <c r="B15" t="s">
        <v>126</v>
      </c>
      <c r="C15" t="s">
        <v>127</v>
      </c>
      <c r="D15">
        <v>1.51</v>
      </c>
      <c r="E15">
        <v>2.66</v>
      </c>
      <c r="F15" t="s">
        <v>9</v>
      </c>
      <c r="I15" t="s">
        <v>125</v>
      </c>
      <c r="J15" t="s">
        <v>125</v>
      </c>
    </row>
    <row r="16" spans="2:10" x14ac:dyDescent="0.25">
      <c r="B16" t="s">
        <v>126</v>
      </c>
      <c r="C16" t="s">
        <v>127</v>
      </c>
      <c r="D16">
        <v>1.49</v>
      </c>
      <c r="E16">
        <v>2.7</v>
      </c>
      <c r="F16" t="s">
        <v>9</v>
      </c>
    </row>
    <row r="17" spans="2:6" x14ac:dyDescent="0.25">
      <c r="B17" t="s">
        <v>126</v>
      </c>
      <c r="C17" t="s">
        <v>127</v>
      </c>
      <c r="D17">
        <v>1.5</v>
      </c>
      <c r="E17">
        <v>2.7</v>
      </c>
      <c r="F17" t="s">
        <v>9</v>
      </c>
    </row>
    <row r="18" spans="2:6" x14ac:dyDescent="0.25">
      <c r="B18" t="s">
        <v>126</v>
      </c>
      <c r="C18" t="s">
        <v>127</v>
      </c>
      <c r="D18">
        <v>1.51</v>
      </c>
      <c r="E18">
        <v>2.71</v>
      </c>
      <c r="F18" t="s">
        <v>9</v>
      </c>
    </row>
    <row r="19" spans="2:6" x14ac:dyDescent="0.25">
      <c r="B19" t="s">
        <v>126</v>
      </c>
      <c r="C19" t="s">
        <v>127</v>
      </c>
      <c r="D19">
        <v>1.51</v>
      </c>
      <c r="E19">
        <v>2.71</v>
      </c>
      <c r="F19" t="s">
        <v>9</v>
      </c>
    </row>
    <row r="20" spans="2:6" x14ac:dyDescent="0.25">
      <c r="B20" t="s">
        <v>126</v>
      </c>
      <c r="C20" t="s">
        <v>127</v>
      </c>
      <c r="D20">
        <v>1.48</v>
      </c>
      <c r="E20">
        <v>2.75</v>
      </c>
      <c r="F20" t="s">
        <v>9</v>
      </c>
    </row>
    <row r="21" spans="2:6" x14ac:dyDescent="0.25">
      <c r="B21" t="s">
        <v>126</v>
      </c>
      <c r="C21" t="s">
        <v>127</v>
      </c>
      <c r="D21">
        <v>1.53</v>
      </c>
      <c r="E21">
        <v>2.6</v>
      </c>
      <c r="F21" t="s">
        <v>9</v>
      </c>
    </row>
    <row r="22" spans="2:6" x14ac:dyDescent="0.25">
      <c r="B22" t="s">
        <v>126</v>
      </c>
      <c r="C22" t="s">
        <v>127</v>
      </c>
      <c r="D22">
        <v>1.49</v>
      </c>
      <c r="E22">
        <v>2.65</v>
      </c>
      <c r="F22" t="s">
        <v>9</v>
      </c>
    </row>
    <row r="23" spans="2:6" x14ac:dyDescent="0.25">
      <c r="B23" t="s">
        <v>126</v>
      </c>
      <c r="C23" t="s">
        <v>127</v>
      </c>
      <c r="D23">
        <v>1.49</v>
      </c>
      <c r="E23">
        <v>2.65</v>
      </c>
      <c r="F23" t="s">
        <v>9</v>
      </c>
    </row>
    <row r="24" spans="2:6" x14ac:dyDescent="0.25">
      <c r="B24" t="s">
        <v>126</v>
      </c>
      <c r="C24" t="s">
        <v>127</v>
      </c>
      <c r="D24">
        <v>1.49</v>
      </c>
      <c r="E24">
        <v>2.65</v>
      </c>
      <c r="F24" t="s">
        <v>9</v>
      </c>
    </row>
    <row r="25" spans="2:6" x14ac:dyDescent="0.25">
      <c r="B25" t="s">
        <v>126</v>
      </c>
      <c r="C25" t="s">
        <v>127</v>
      </c>
      <c r="D25">
        <v>1.5</v>
      </c>
      <c r="E25">
        <v>2.65</v>
      </c>
      <c r="F25" t="s">
        <v>9</v>
      </c>
    </row>
    <row r="26" spans="2:6" x14ac:dyDescent="0.25">
      <c r="B26" t="s">
        <v>126</v>
      </c>
      <c r="C26" t="s">
        <v>127</v>
      </c>
      <c r="D26">
        <v>1.5</v>
      </c>
      <c r="E26">
        <v>2.7</v>
      </c>
      <c r="F26" t="s">
        <v>9</v>
      </c>
    </row>
    <row r="27" spans="2:6" x14ac:dyDescent="0.25">
      <c r="B27" t="s">
        <v>126</v>
      </c>
      <c r="C27" t="s">
        <v>127</v>
      </c>
      <c r="D27">
        <v>1.53</v>
      </c>
      <c r="E27">
        <v>2.5499999999999998</v>
      </c>
      <c r="F27" t="s">
        <v>9</v>
      </c>
    </row>
    <row r="28" spans="2:6" x14ac:dyDescent="0.25">
      <c r="B28" t="s">
        <v>126</v>
      </c>
      <c r="C28" t="s">
        <v>127</v>
      </c>
      <c r="D28">
        <v>1.5</v>
      </c>
      <c r="E28">
        <v>2.65</v>
      </c>
      <c r="F28" t="s">
        <v>9</v>
      </c>
    </row>
    <row r="29" spans="2:6" x14ac:dyDescent="0.25">
      <c r="B29" t="s">
        <v>126</v>
      </c>
      <c r="C29" t="s">
        <v>127</v>
      </c>
      <c r="D29">
        <v>1.51</v>
      </c>
      <c r="E29">
        <v>2.65</v>
      </c>
      <c r="F29" t="s">
        <v>9</v>
      </c>
    </row>
    <row r="30" spans="2:6" x14ac:dyDescent="0.25">
      <c r="B30" t="s">
        <v>436</v>
      </c>
      <c r="C30" t="s">
        <v>437</v>
      </c>
      <c r="D30">
        <v>1.77</v>
      </c>
      <c r="E30">
        <v>2.1</v>
      </c>
      <c r="F30" t="s">
        <v>10</v>
      </c>
    </row>
    <row r="31" spans="2:6" x14ac:dyDescent="0.25">
      <c r="B31" t="s">
        <v>436</v>
      </c>
      <c r="C31" t="s">
        <v>437</v>
      </c>
      <c r="D31">
        <v>1.75</v>
      </c>
      <c r="E31">
        <v>2.02</v>
      </c>
      <c r="F31" t="s">
        <v>10</v>
      </c>
    </row>
    <row r="32" spans="2:6" x14ac:dyDescent="0.25">
      <c r="B32" t="s">
        <v>436</v>
      </c>
      <c r="C32" t="s">
        <v>437</v>
      </c>
      <c r="D32">
        <v>1.74</v>
      </c>
      <c r="E32">
        <v>2.0499999999999998</v>
      </c>
      <c r="F32" t="s">
        <v>10</v>
      </c>
    </row>
    <row r="33" spans="2:6" x14ac:dyDescent="0.25">
      <c r="B33" t="s">
        <v>436</v>
      </c>
      <c r="C33" t="s">
        <v>437</v>
      </c>
      <c r="D33">
        <v>1.82</v>
      </c>
      <c r="E33">
        <v>2</v>
      </c>
      <c r="F33" t="s">
        <v>10</v>
      </c>
    </row>
    <row r="34" spans="2:6" x14ac:dyDescent="0.25">
      <c r="B34" t="s">
        <v>438</v>
      </c>
      <c r="C34" t="s">
        <v>437</v>
      </c>
      <c r="D34">
        <v>1.1599999999999999</v>
      </c>
      <c r="E34">
        <v>4.8</v>
      </c>
      <c r="F34" t="s">
        <v>10</v>
      </c>
    </row>
    <row r="35" spans="2:6" x14ac:dyDescent="0.25">
      <c r="B35" t="s">
        <v>438</v>
      </c>
      <c r="C35" t="s">
        <v>437</v>
      </c>
      <c r="D35">
        <v>1.1499999999999999</v>
      </c>
      <c r="E35">
        <v>5.25</v>
      </c>
      <c r="F35" t="s">
        <v>10</v>
      </c>
    </row>
    <row r="36" spans="2:6" x14ac:dyDescent="0.25">
      <c r="B36" t="s">
        <v>438</v>
      </c>
      <c r="C36" t="s">
        <v>437</v>
      </c>
      <c r="D36">
        <v>1.1399999999999999</v>
      </c>
      <c r="E36">
        <v>6.4</v>
      </c>
      <c r="F36" t="s">
        <v>10</v>
      </c>
    </row>
    <row r="37" spans="2:6" x14ac:dyDescent="0.25">
      <c r="B37" t="s">
        <v>438</v>
      </c>
      <c r="C37" t="s">
        <v>437</v>
      </c>
      <c r="D37">
        <v>1.2</v>
      </c>
      <c r="E37">
        <v>4.5999999999999996</v>
      </c>
      <c r="F37" t="s">
        <v>10</v>
      </c>
    </row>
    <row r="38" spans="2:6" x14ac:dyDescent="0.25">
      <c r="B38" t="s">
        <v>438</v>
      </c>
      <c r="C38" t="s">
        <v>437</v>
      </c>
      <c r="D38">
        <v>1.1299999999999999</v>
      </c>
      <c r="E38">
        <v>5.6</v>
      </c>
      <c r="F38" t="s">
        <v>10</v>
      </c>
    </row>
    <row r="39" spans="2:6" x14ac:dyDescent="0.25">
      <c r="B39" t="s">
        <v>624</v>
      </c>
      <c r="C39" t="s">
        <v>437</v>
      </c>
      <c r="D39">
        <v>2.85</v>
      </c>
      <c r="E39">
        <v>1.46</v>
      </c>
      <c r="F39" t="s">
        <v>10</v>
      </c>
    </row>
    <row r="40" spans="2:6" x14ac:dyDescent="0.25">
      <c r="B40" t="s">
        <v>624</v>
      </c>
      <c r="C40" t="s">
        <v>437</v>
      </c>
      <c r="D40">
        <v>2.64</v>
      </c>
      <c r="E40">
        <v>1.49</v>
      </c>
      <c r="F40" t="s">
        <v>10</v>
      </c>
    </row>
    <row r="41" spans="2:6" x14ac:dyDescent="0.25">
      <c r="B41" t="s">
        <v>624</v>
      </c>
      <c r="C41" t="s">
        <v>437</v>
      </c>
      <c r="D41">
        <v>2.65</v>
      </c>
      <c r="E41">
        <v>1.45</v>
      </c>
      <c r="F41" t="s">
        <v>10</v>
      </c>
    </row>
    <row r="42" spans="2:6" x14ac:dyDescent="0.25">
      <c r="B42" t="s">
        <v>624</v>
      </c>
      <c r="C42" t="s">
        <v>437</v>
      </c>
      <c r="D42">
        <v>2.65</v>
      </c>
      <c r="E42">
        <v>1.5</v>
      </c>
      <c r="F42" t="s">
        <v>10</v>
      </c>
    </row>
    <row r="43" spans="2:6" x14ac:dyDescent="0.25">
      <c r="B43" t="s">
        <v>624</v>
      </c>
      <c r="C43" t="s">
        <v>437</v>
      </c>
      <c r="D43">
        <v>2.5</v>
      </c>
      <c r="E43">
        <v>1.47</v>
      </c>
      <c r="F43" t="s">
        <v>10</v>
      </c>
    </row>
    <row r="44" spans="2:6" x14ac:dyDescent="0.25">
      <c r="B44" t="s">
        <v>625</v>
      </c>
      <c r="C44" t="s">
        <v>626</v>
      </c>
      <c r="D44">
        <v>1.04</v>
      </c>
      <c r="E44">
        <v>12</v>
      </c>
      <c r="F44" t="s">
        <v>10</v>
      </c>
    </row>
    <row r="45" spans="2:6" x14ac:dyDescent="0.25">
      <c r="B45" t="s">
        <v>625</v>
      </c>
      <c r="C45" t="s">
        <v>626</v>
      </c>
      <c r="D45">
        <v>1.17</v>
      </c>
      <c r="E45">
        <v>5.0999999999999996</v>
      </c>
      <c r="F45" t="s">
        <v>10</v>
      </c>
    </row>
    <row r="46" spans="2:6" x14ac:dyDescent="0.25">
      <c r="B46" t="s">
        <v>625</v>
      </c>
      <c r="C46" t="s">
        <v>626</v>
      </c>
      <c r="D46">
        <v>1.1000000000000001</v>
      </c>
      <c r="E46">
        <v>6.75</v>
      </c>
      <c r="F46" t="s">
        <v>10</v>
      </c>
    </row>
    <row r="47" spans="2:6" x14ac:dyDescent="0.25">
      <c r="B47" t="s">
        <v>446</v>
      </c>
      <c r="C47" t="s">
        <v>447</v>
      </c>
      <c r="D47">
        <v>1.48</v>
      </c>
      <c r="E47">
        <v>2.8</v>
      </c>
      <c r="F47" t="s">
        <v>10</v>
      </c>
    </row>
    <row r="48" spans="2:6" x14ac:dyDescent="0.25">
      <c r="B48" t="s">
        <v>446</v>
      </c>
      <c r="C48" t="s">
        <v>447</v>
      </c>
      <c r="D48">
        <v>1.5</v>
      </c>
      <c r="E48">
        <v>2.4500000000000002</v>
      </c>
      <c r="F48" t="s">
        <v>10</v>
      </c>
    </row>
    <row r="49" spans="2:6" x14ac:dyDescent="0.25">
      <c r="B49" t="s">
        <v>446</v>
      </c>
      <c r="C49" t="s">
        <v>447</v>
      </c>
      <c r="D49">
        <v>1.5</v>
      </c>
      <c r="E49">
        <v>2.65</v>
      </c>
      <c r="F49" t="s">
        <v>10</v>
      </c>
    </row>
    <row r="50" spans="2:6" x14ac:dyDescent="0.25">
      <c r="B50" t="s">
        <v>446</v>
      </c>
      <c r="C50" t="s">
        <v>447</v>
      </c>
      <c r="D50">
        <v>1.48</v>
      </c>
      <c r="E50">
        <v>2.6</v>
      </c>
      <c r="F50" t="s">
        <v>10</v>
      </c>
    </row>
    <row r="51" spans="2:6" x14ac:dyDescent="0.25">
      <c r="B51" t="s">
        <v>446</v>
      </c>
      <c r="C51" t="s">
        <v>447</v>
      </c>
      <c r="D51">
        <v>1.43</v>
      </c>
      <c r="E51">
        <v>2.84</v>
      </c>
      <c r="F51" t="s">
        <v>10</v>
      </c>
    </row>
    <row r="52" spans="2:6" x14ac:dyDescent="0.25">
      <c r="B52" t="s">
        <v>627</v>
      </c>
      <c r="C52" t="s">
        <v>447</v>
      </c>
      <c r="D52">
        <v>1.36</v>
      </c>
      <c r="E52">
        <v>3.4</v>
      </c>
      <c r="F52" t="s">
        <v>10</v>
      </c>
    </row>
    <row r="53" spans="2:6" x14ac:dyDescent="0.25">
      <c r="B53" t="s">
        <v>627</v>
      </c>
      <c r="C53" t="s">
        <v>447</v>
      </c>
      <c r="D53">
        <v>1.41</v>
      </c>
      <c r="E53">
        <v>2.96</v>
      </c>
      <c r="F53" t="s">
        <v>10</v>
      </c>
    </row>
    <row r="54" spans="2:6" x14ac:dyDescent="0.25">
      <c r="B54" t="s">
        <v>627</v>
      </c>
      <c r="C54" t="s">
        <v>447</v>
      </c>
      <c r="D54">
        <v>1.33</v>
      </c>
      <c r="E54">
        <v>3.2</v>
      </c>
      <c r="F54" t="s">
        <v>10</v>
      </c>
    </row>
    <row r="55" spans="2:6" x14ac:dyDescent="0.25">
      <c r="B55" t="s">
        <v>627</v>
      </c>
      <c r="C55" t="s">
        <v>447</v>
      </c>
      <c r="D55">
        <v>1.36</v>
      </c>
      <c r="E55">
        <v>3.2</v>
      </c>
      <c r="F55" t="s">
        <v>10</v>
      </c>
    </row>
    <row r="56" spans="2:6" x14ac:dyDescent="0.25">
      <c r="B56" t="s">
        <v>627</v>
      </c>
      <c r="C56" t="s">
        <v>447</v>
      </c>
      <c r="D56">
        <v>1.3</v>
      </c>
      <c r="E56">
        <v>3.2</v>
      </c>
      <c r="F56" t="s">
        <v>10</v>
      </c>
    </row>
    <row r="57" spans="2:6" x14ac:dyDescent="0.25">
      <c r="B57" t="s">
        <v>445</v>
      </c>
      <c r="C57" t="s">
        <v>628</v>
      </c>
      <c r="D57">
        <v>1.63</v>
      </c>
      <c r="E57">
        <v>2.39</v>
      </c>
      <c r="F57" t="s">
        <v>10</v>
      </c>
    </row>
    <row r="58" spans="2:6" x14ac:dyDescent="0.25">
      <c r="B58" t="s">
        <v>445</v>
      </c>
      <c r="C58" t="s">
        <v>628</v>
      </c>
      <c r="D58">
        <v>1.62</v>
      </c>
      <c r="E58">
        <v>2.2999999999999998</v>
      </c>
      <c r="F58" t="s">
        <v>10</v>
      </c>
    </row>
    <row r="59" spans="2:6" x14ac:dyDescent="0.25">
      <c r="B59" t="s">
        <v>445</v>
      </c>
      <c r="C59" t="s">
        <v>628</v>
      </c>
      <c r="D59">
        <v>1.56</v>
      </c>
      <c r="E59">
        <v>2.46</v>
      </c>
      <c r="F59" t="s">
        <v>10</v>
      </c>
    </row>
    <row r="60" spans="2:6" x14ac:dyDescent="0.25">
      <c r="B60" t="s">
        <v>445</v>
      </c>
      <c r="C60" t="s">
        <v>628</v>
      </c>
      <c r="D60">
        <v>1.55</v>
      </c>
      <c r="E60">
        <v>2.3199999999999998</v>
      </c>
      <c r="F60" t="s">
        <v>10</v>
      </c>
    </row>
    <row r="61" spans="2:6" x14ac:dyDescent="0.25">
      <c r="B61" t="s">
        <v>629</v>
      </c>
      <c r="C61" t="s">
        <v>628</v>
      </c>
      <c r="D61">
        <v>4.5999999999999996</v>
      </c>
      <c r="E61">
        <v>1.2</v>
      </c>
      <c r="F61" t="s">
        <v>10</v>
      </c>
    </row>
    <row r="62" spans="2:6" x14ac:dyDescent="0.25">
      <c r="B62" t="s">
        <v>629</v>
      </c>
      <c r="C62" t="s">
        <v>628</v>
      </c>
      <c r="D62">
        <v>4.25</v>
      </c>
      <c r="E62">
        <v>1.24</v>
      </c>
      <c r="F62" t="s">
        <v>10</v>
      </c>
    </row>
    <row r="63" spans="2:6" x14ac:dyDescent="0.25">
      <c r="B63" t="s">
        <v>629</v>
      </c>
      <c r="C63" t="s">
        <v>628</v>
      </c>
      <c r="D63">
        <v>3.8</v>
      </c>
      <c r="E63">
        <v>1.24</v>
      </c>
      <c r="F63" t="s">
        <v>10</v>
      </c>
    </row>
    <row r="64" spans="2:6" x14ac:dyDescent="0.25">
      <c r="B64" t="s">
        <v>629</v>
      </c>
      <c r="C64" t="s">
        <v>628</v>
      </c>
      <c r="D64">
        <v>4.0999999999999996</v>
      </c>
      <c r="E64">
        <v>1.23</v>
      </c>
      <c r="F64" t="s">
        <v>10</v>
      </c>
    </row>
    <row r="65" spans="2:6" x14ac:dyDescent="0.25">
      <c r="B65" t="s">
        <v>629</v>
      </c>
      <c r="C65" t="s">
        <v>628</v>
      </c>
      <c r="D65">
        <v>4.25</v>
      </c>
      <c r="E65">
        <v>1.21</v>
      </c>
      <c r="F65" t="s">
        <v>10</v>
      </c>
    </row>
    <row r="66" spans="2:6" x14ac:dyDescent="0.25">
      <c r="B66" t="s">
        <v>444</v>
      </c>
      <c r="C66" t="s">
        <v>630</v>
      </c>
      <c r="D66">
        <v>1.45</v>
      </c>
      <c r="E66">
        <v>2.69</v>
      </c>
      <c r="F66" t="s">
        <v>10</v>
      </c>
    </row>
    <row r="67" spans="2:6" x14ac:dyDescent="0.25">
      <c r="B67" t="s">
        <v>444</v>
      </c>
      <c r="C67" t="s">
        <v>630</v>
      </c>
      <c r="D67">
        <v>1.5</v>
      </c>
      <c r="E67">
        <v>2.7</v>
      </c>
      <c r="F67" t="s">
        <v>10</v>
      </c>
    </row>
    <row r="68" spans="2:6" x14ac:dyDescent="0.25">
      <c r="B68" t="s">
        <v>444</v>
      </c>
      <c r="C68" t="s">
        <v>630</v>
      </c>
      <c r="D68">
        <v>1.5</v>
      </c>
      <c r="E68">
        <v>2.65</v>
      </c>
      <c r="F68" t="s">
        <v>10</v>
      </c>
    </row>
    <row r="69" spans="2:6" x14ac:dyDescent="0.25">
      <c r="B69" t="s">
        <v>444</v>
      </c>
      <c r="C69" t="s">
        <v>630</v>
      </c>
      <c r="D69">
        <v>1.44</v>
      </c>
      <c r="E69">
        <v>2.8</v>
      </c>
      <c r="F69" t="s">
        <v>10</v>
      </c>
    </row>
    <row r="70" spans="2:6" x14ac:dyDescent="0.25">
      <c r="B70" t="s">
        <v>444</v>
      </c>
      <c r="C70" t="s">
        <v>630</v>
      </c>
      <c r="D70">
        <v>1.43</v>
      </c>
      <c r="E70">
        <v>2.63</v>
      </c>
      <c r="F70" t="s">
        <v>10</v>
      </c>
    </row>
    <row r="71" spans="2:6" x14ac:dyDescent="0.25">
      <c r="B71" t="s">
        <v>631</v>
      </c>
      <c r="C71" t="s">
        <v>632</v>
      </c>
      <c r="D71">
        <v>1.44</v>
      </c>
      <c r="E71">
        <v>2.95</v>
      </c>
      <c r="F71" t="s">
        <v>10</v>
      </c>
    </row>
    <row r="72" spans="2:6" x14ac:dyDescent="0.25">
      <c r="B72" t="s">
        <v>631</v>
      </c>
      <c r="C72" t="s">
        <v>632</v>
      </c>
      <c r="D72">
        <v>1.48</v>
      </c>
      <c r="E72">
        <v>2.7</v>
      </c>
      <c r="F72" t="s">
        <v>10</v>
      </c>
    </row>
    <row r="73" spans="2:6" x14ac:dyDescent="0.25">
      <c r="B73" t="s">
        <v>631</v>
      </c>
      <c r="C73" t="s">
        <v>632</v>
      </c>
      <c r="D73">
        <v>1.44</v>
      </c>
      <c r="E73">
        <v>2.7</v>
      </c>
      <c r="F73" t="s">
        <v>10</v>
      </c>
    </row>
    <row r="74" spans="2:6" x14ac:dyDescent="0.25">
      <c r="B74" t="s">
        <v>631</v>
      </c>
      <c r="C74" t="s">
        <v>632</v>
      </c>
      <c r="D74">
        <v>1.44</v>
      </c>
      <c r="E74">
        <v>2.85</v>
      </c>
      <c r="F74" t="s">
        <v>10</v>
      </c>
    </row>
    <row r="75" spans="2:6" x14ac:dyDescent="0.25">
      <c r="B75" t="s">
        <v>631</v>
      </c>
      <c r="C75" t="s">
        <v>632</v>
      </c>
      <c r="D75">
        <v>1.44</v>
      </c>
      <c r="E75">
        <v>2.5499999999999998</v>
      </c>
      <c r="F75" t="s">
        <v>10</v>
      </c>
    </row>
    <row r="76" spans="2:6" x14ac:dyDescent="0.25">
      <c r="B76" t="s">
        <v>633</v>
      </c>
      <c r="C76" t="s">
        <v>634</v>
      </c>
      <c r="D76">
        <v>1.42</v>
      </c>
      <c r="E76">
        <v>3.05</v>
      </c>
      <c r="F76" t="s">
        <v>10</v>
      </c>
    </row>
    <row r="77" spans="2:6" x14ac:dyDescent="0.25">
      <c r="B77" t="s">
        <v>633</v>
      </c>
      <c r="C77" t="s">
        <v>634</v>
      </c>
      <c r="D77">
        <v>1.43</v>
      </c>
      <c r="E77">
        <v>2.84</v>
      </c>
      <c r="F77" t="s">
        <v>10</v>
      </c>
    </row>
    <row r="78" spans="2:6" x14ac:dyDescent="0.25">
      <c r="B78" t="s">
        <v>633</v>
      </c>
      <c r="C78" t="s">
        <v>634</v>
      </c>
      <c r="D78">
        <v>1.4</v>
      </c>
      <c r="E78">
        <v>2.85</v>
      </c>
      <c r="F78" t="s">
        <v>10</v>
      </c>
    </row>
    <row r="79" spans="2:6" x14ac:dyDescent="0.25">
      <c r="B79" t="s">
        <v>443</v>
      </c>
      <c r="C79" t="s">
        <v>635</v>
      </c>
      <c r="D79">
        <v>1.08</v>
      </c>
      <c r="E79">
        <v>7.5</v>
      </c>
      <c r="F79" t="s">
        <v>10</v>
      </c>
    </row>
    <row r="80" spans="2:6" x14ac:dyDescent="0.25">
      <c r="B80" t="s">
        <v>443</v>
      </c>
      <c r="C80" t="s">
        <v>635</v>
      </c>
      <c r="D80">
        <v>1.0900000000000001</v>
      </c>
      <c r="E80">
        <v>8.25</v>
      </c>
      <c r="F80" t="s">
        <v>10</v>
      </c>
    </row>
    <row r="81" spans="2:6" x14ac:dyDescent="0.25">
      <c r="B81" t="s">
        <v>443</v>
      </c>
      <c r="C81" t="s">
        <v>635</v>
      </c>
      <c r="D81">
        <v>1.0900000000000001</v>
      </c>
      <c r="E81">
        <v>7.75</v>
      </c>
      <c r="F81" t="s">
        <v>10</v>
      </c>
    </row>
    <row r="82" spans="2:6" x14ac:dyDescent="0.25">
      <c r="B82" t="s">
        <v>443</v>
      </c>
      <c r="C82" t="s">
        <v>635</v>
      </c>
      <c r="D82">
        <v>1.08</v>
      </c>
      <c r="E82">
        <v>7.6</v>
      </c>
      <c r="F82" t="s">
        <v>10</v>
      </c>
    </row>
    <row r="83" spans="2:6" x14ac:dyDescent="0.25">
      <c r="B83" t="s">
        <v>443</v>
      </c>
      <c r="C83" t="s">
        <v>635</v>
      </c>
      <c r="D83">
        <v>1.08</v>
      </c>
      <c r="E83">
        <v>7</v>
      </c>
      <c r="F83" t="s">
        <v>10</v>
      </c>
    </row>
    <row r="84" spans="2:6" x14ac:dyDescent="0.25">
      <c r="B84" t="s">
        <v>442</v>
      </c>
      <c r="C84" t="s">
        <v>636</v>
      </c>
      <c r="D84">
        <v>4.0999999999999996</v>
      </c>
      <c r="E84">
        <v>1.25</v>
      </c>
      <c r="F84" t="s">
        <v>10</v>
      </c>
    </row>
    <row r="85" spans="2:6" x14ac:dyDescent="0.25">
      <c r="B85" t="s">
        <v>442</v>
      </c>
      <c r="C85" t="s">
        <v>636</v>
      </c>
      <c r="D85">
        <v>3.7</v>
      </c>
      <c r="E85">
        <v>1.27</v>
      </c>
      <c r="F85" t="s">
        <v>10</v>
      </c>
    </row>
    <row r="86" spans="2:6" x14ac:dyDescent="0.25">
      <c r="B86" t="s">
        <v>442</v>
      </c>
      <c r="C86" t="s">
        <v>636</v>
      </c>
      <c r="D86">
        <v>4.0999999999999996</v>
      </c>
      <c r="E86">
        <v>1.22</v>
      </c>
      <c r="F86" t="s">
        <v>10</v>
      </c>
    </row>
    <row r="87" spans="2:6" x14ac:dyDescent="0.25">
      <c r="B87" t="s">
        <v>442</v>
      </c>
      <c r="C87" t="s">
        <v>636</v>
      </c>
      <c r="D87">
        <v>4.25</v>
      </c>
      <c r="E87">
        <v>1.24</v>
      </c>
      <c r="F87" t="s">
        <v>10</v>
      </c>
    </row>
    <row r="88" spans="2:6" x14ac:dyDescent="0.25">
      <c r="B88" t="s">
        <v>442</v>
      </c>
      <c r="C88" t="s">
        <v>636</v>
      </c>
      <c r="D88">
        <v>4</v>
      </c>
      <c r="E88">
        <v>1.22</v>
      </c>
      <c r="F88" t="s">
        <v>10</v>
      </c>
    </row>
    <row r="89" spans="2:6" x14ac:dyDescent="0.25">
      <c r="B89" t="s">
        <v>441</v>
      </c>
      <c r="C89" t="s">
        <v>637</v>
      </c>
      <c r="D89">
        <v>2.2999999999999998</v>
      </c>
      <c r="E89">
        <v>1.62</v>
      </c>
      <c r="F89" t="s">
        <v>10</v>
      </c>
    </row>
    <row r="90" spans="2:6" x14ac:dyDescent="0.25">
      <c r="B90" t="s">
        <v>441</v>
      </c>
      <c r="C90" t="s">
        <v>637</v>
      </c>
      <c r="D90">
        <v>2.06</v>
      </c>
      <c r="E90">
        <v>1.77</v>
      </c>
      <c r="F90" t="s">
        <v>10</v>
      </c>
    </row>
    <row r="91" spans="2:6" x14ac:dyDescent="0.25">
      <c r="B91" t="s">
        <v>441</v>
      </c>
      <c r="C91" t="s">
        <v>637</v>
      </c>
      <c r="D91">
        <v>2.15</v>
      </c>
      <c r="E91">
        <v>1.67</v>
      </c>
      <c r="F91" t="s">
        <v>10</v>
      </c>
    </row>
    <row r="92" spans="2:6" x14ac:dyDescent="0.25">
      <c r="B92" t="s">
        <v>441</v>
      </c>
      <c r="C92" t="s">
        <v>637</v>
      </c>
      <c r="D92">
        <v>2.2999999999999998</v>
      </c>
      <c r="E92">
        <v>1.67</v>
      </c>
      <c r="F92" t="s">
        <v>10</v>
      </c>
    </row>
    <row r="93" spans="2:6" x14ac:dyDescent="0.25">
      <c r="B93" t="s">
        <v>441</v>
      </c>
      <c r="C93" t="s">
        <v>637</v>
      </c>
      <c r="D93">
        <v>2.15</v>
      </c>
      <c r="E93">
        <v>1.63</v>
      </c>
      <c r="F93" t="s">
        <v>10</v>
      </c>
    </row>
    <row r="94" spans="2:6" x14ac:dyDescent="0.25">
      <c r="B94" t="s">
        <v>439</v>
      </c>
      <c r="C94" t="s">
        <v>638</v>
      </c>
      <c r="D94">
        <v>2.25</v>
      </c>
      <c r="E94">
        <v>1.65</v>
      </c>
      <c r="F94" t="s">
        <v>10</v>
      </c>
    </row>
    <row r="95" spans="2:6" x14ac:dyDescent="0.25">
      <c r="B95" t="s">
        <v>439</v>
      </c>
      <c r="C95" t="s">
        <v>638</v>
      </c>
      <c r="D95">
        <v>2.38</v>
      </c>
      <c r="E95">
        <v>1.59</v>
      </c>
      <c r="F95" t="s">
        <v>10</v>
      </c>
    </row>
    <row r="96" spans="2:6" x14ac:dyDescent="0.25">
      <c r="B96" t="s">
        <v>439</v>
      </c>
      <c r="C96" t="s">
        <v>638</v>
      </c>
      <c r="D96">
        <v>2.35</v>
      </c>
      <c r="E96">
        <v>1.57</v>
      </c>
      <c r="F96" t="s">
        <v>10</v>
      </c>
    </row>
    <row r="97" spans="2:6" x14ac:dyDescent="0.25">
      <c r="B97" t="s">
        <v>439</v>
      </c>
      <c r="C97" t="s">
        <v>638</v>
      </c>
      <c r="D97">
        <v>2.4</v>
      </c>
      <c r="E97">
        <v>1.62</v>
      </c>
      <c r="F97" t="s">
        <v>10</v>
      </c>
    </row>
    <row r="98" spans="2:6" x14ac:dyDescent="0.25">
      <c r="B98" t="s">
        <v>439</v>
      </c>
      <c r="C98" t="s">
        <v>638</v>
      </c>
      <c r="D98">
        <v>2.25</v>
      </c>
      <c r="E98">
        <v>1.56</v>
      </c>
      <c r="F98" t="s">
        <v>10</v>
      </c>
    </row>
    <row r="99" spans="2:6" x14ac:dyDescent="0.25">
      <c r="B99" t="s">
        <v>500</v>
      </c>
      <c r="C99" t="s">
        <v>343</v>
      </c>
      <c r="D99">
        <v>6.75</v>
      </c>
      <c r="E99">
        <v>1.1200000000000001</v>
      </c>
      <c r="F99" t="s">
        <v>8</v>
      </c>
    </row>
    <row r="100" spans="2:6" x14ac:dyDescent="0.25">
      <c r="B100" t="s">
        <v>500</v>
      </c>
      <c r="C100" t="s">
        <v>343</v>
      </c>
      <c r="D100">
        <v>6.7</v>
      </c>
      <c r="E100">
        <v>1.1200000000000001</v>
      </c>
      <c r="F100" t="s">
        <v>8</v>
      </c>
    </row>
    <row r="101" spans="2:6" x14ac:dyDescent="0.25">
      <c r="B101" t="s">
        <v>500</v>
      </c>
      <c r="C101" t="s">
        <v>343</v>
      </c>
      <c r="D101">
        <v>6.2</v>
      </c>
      <c r="E101">
        <v>1.1399999999999999</v>
      </c>
      <c r="F101" t="s">
        <v>8</v>
      </c>
    </row>
    <row r="102" spans="2:6" x14ac:dyDescent="0.25">
      <c r="B102" t="s">
        <v>500</v>
      </c>
      <c r="C102" t="s">
        <v>343</v>
      </c>
      <c r="D102">
        <v>6.25</v>
      </c>
      <c r="E102">
        <v>1.1200000000000001</v>
      </c>
      <c r="F102" t="s">
        <v>8</v>
      </c>
    </row>
    <row r="103" spans="2:6" x14ac:dyDescent="0.25">
      <c r="B103" t="s">
        <v>500</v>
      </c>
      <c r="C103" t="s">
        <v>343</v>
      </c>
      <c r="D103">
        <v>6.25</v>
      </c>
      <c r="E103">
        <v>1.1200000000000001</v>
      </c>
      <c r="F103" t="s">
        <v>8</v>
      </c>
    </row>
    <row r="104" spans="2:6" x14ac:dyDescent="0.25">
      <c r="B104" t="s">
        <v>500</v>
      </c>
      <c r="C104" t="s">
        <v>343</v>
      </c>
      <c r="D104">
        <v>6.5</v>
      </c>
      <c r="E104">
        <v>1.1200000000000001</v>
      </c>
      <c r="F104" t="s">
        <v>8</v>
      </c>
    </row>
    <row r="105" spans="2:6" x14ac:dyDescent="0.25">
      <c r="B105" t="s">
        <v>500</v>
      </c>
      <c r="C105" t="s">
        <v>343</v>
      </c>
      <c r="D105">
        <v>6.2</v>
      </c>
      <c r="E105">
        <v>1.1399999999999999</v>
      </c>
      <c r="F105" t="s">
        <v>8</v>
      </c>
    </row>
    <row r="106" spans="2:6" x14ac:dyDescent="0.25">
      <c r="B106" t="s">
        <v>500</v>
      </c>
      <c r="C106" t="s">
        <v>343</v>
      </c>
      <c r="D106">
        <v>6.25</v>
      </c>
      <c r="E106">
        <v>1.1200000000000001</v>
      </c>
      <c r="F106" t="s">
        <v>8</v>
      </c>
    </row>
    <row r="107" spans="2:6" x14ac:dyDescent="0.25">
      <c r="B107" t="s">
        <v>500</v>
      </c>
      <c r="C107" t="s">
        <v>343</v>
      </c>
      <c r="D107">
        <v>5.9</v>
      </c>
      <c r="E107">
        <v>1.1399999999999999</v>
      </c>
      <c r="F107" t="s">
        <v>8</v>
      </c>
    </row>
    <row r="108" spans="2:6" x14ac:dyDescent="0.25">
      <c r="B108" t="s">
        <v>500</v>
      </c>
      <c r="C108" t="s">
        <v>343</v>
      </c>
      <c r="D108">
        <v>6.5</v>
      </c>
      <c r="E108">
        <v>1.1200000000000001</v>
      </c>
      <c r="F108" t="s">
        <v>8</v>
      </c>
    </row>
    <row r="109" spans="2:6" x14ac:dyDescent="0.25">
      <c r="B109" t="s">
        <v>500</v>
      </c>
      <c r="C109" t="s">
        <v>343</v>
      </c>
      <c r="D109">
        <v>6.5</v>
      </c>
      <c r="E109">
        <v>1.1200000000000001</v>
      </c>
      <c r="F109" t="s">
        <v>8</v>
      </c>
    </row>
    <row r="110" spans="2:6" x14ac:dyDescent="0.25">
      <c r="B110" t="s">
        <v>500</v>
      </c>
      <c r="C110" t="s">
        <v>343</v>
      </c>
      <c r="D110">
        <v>6.3</v>
      </c>
      <c r="E110">
        <v>1.1200000000000001</v>
      </c>
      <c r="F110" t="s">
        <v>8</v>
      </c>
    </row>
    <row r="111" spans="2:6" x14ac:dyDescent="0.25">
      <c r="B111" t="s">
        <v>500</v>
      </c>
      <c r="C111" t="s">
        <v>343</v>
      </c>
      <c r="D111">
        <v>6.5</v>
      </c>
      <c r="E111">
        <v>1.1299999999999999</v>
      </c>
      <c r="F111" t="s">
        <v>8</v>
      </c>
    </row>
    <row r="112" spans="2:6" x14ac:dyDescent="0.25">
      <c r="B112" t="s">
        <v>449</v>
      </c>
      <c r="C112" t="s">
        <v>639</v>
      </c>
      <c r="D112">
        <v>1.37</v>
      </c>
      <c r="E112">
        <v>3.1</v>
      </c>
      <c r="F112" t="s">
        <v>10</v>
      </c>
    </row>
    <row r="113" spans="2:6" x14ac:dyDescent="0.25">
      <c r="B113" t="s">
        <v>449</v>
      </c>
      <c r="C113" t="s">
        <v>639</v>
      </c>
      <c r="D113">
        <v>1.4</v>
      </c>
      <c r="E113">
        <v>2.85</v>
      </c>
      <c r="F113" t="s">
        <v>10</v>
      </c>
    </row>
    <row r="114" spans="2:6" x14ac:dyDescent="0.25">
      <c r="B114" t="s">
        <v>449</v>
      </c>
      <c r="C114" t="s">
        <v>639</v>
      </c>
      <c r="D114">
        <v>1.36</v>
      </c>
      <c r="E114">
        <v>3.2</v>
      </c>
      <c r="F114" t="s">
        <v>10</v>
      </c>
    </row>
    <row r="115" spans="2:6" x14ac:dyDescent="0.25">
      <c r="B115" t="s">
        <v>449</v>
      </c>
      <c r="C115" t="s">
        <v>639</v>
      </c>
      <c r="D115">
        <v>1.36</v>
      </c>
      <c r="E115">
        <v>3.35</v>
      </c>
      <c r="F115" t="s">
        <v>10</v>
      </c>
    </row>
    <row r="116" spans="2:6" x14ac:dyDescent="0.25">
      <c r="B116" t="s">
        <v>478</v>
      </c>
      <c r="C116" t="s">
        <v>345</v>
      </c>
      <c r="D116">
        <v>2.54</v>
      </c>
      <c r="E116">
        <v>1.54</v>
      </c>
      <c r="F116" t="s">
        <v>8</v>
      </c>
    </row>
    <row r="117" spans="2:6" x14ac:dyDescent="0.25">
      <c r="B117" t="s">
        <v>478</v>
      </c>
      <c r="C117" t="s">
        <v>345</v>
      </c>
      <c r="D117">
        <v>2.62</v>
      </c>
      <c r="E117">
        <v>1.51</v>
      </c>
      <c r="F117" t="s">
        <v>8</v>
      </c>
    </row>
    <row r="118" spans="2:6" x14ac:dyDescent="0.25">
      <c r="B118" t="s">
        <v>478</v>
      </c>
      <c r="C118" t="s">
        <v>345</v>
      </c>
      <c r="D118">
        <v>2.6</v>
      </c>
      <c r="E118">
        <v>1.56</v>
      </c>
      <c r="F118" t="s">
        <v>8</v>
      </c>
    </row>
    <row r="119" spans="2:6" x14ac:dyDescent="0.25">
      <c r="B119" t="s">
        <v>478</v>
      </c>
      <c r="C119" t="s">
        <v>345</v>
      </c>
      <c r="D119">
        <v>2.6</v>
      </c>
      <c r="E119">
        <v>1.5</v>
      </c>
      <c r="F119" t="s">
        <v>8</v>
      </c>
    </row>
    <row r="120" spans="2:6" x14ac:dyDescent="0.25">
      <c r="B120" t="s">
        <v>478</v>
      </c>
      <c r="C120" t="s">
        <v>345</v>
      </c>
      <c r="D120">
        <v>2.6</v>
      </c>
      <c r="E120">
        <v>1.54</v>
      </c>
      <c r="F120" t="s">
        <v>8</v>
      </c>
    </row>
    <row r="121" spans="2:6" x14ac:dyDescent="0.25">
      <c r="B121" t="s">
        <v>478</v>
      </c>
      <c r="C121" t="s">
        <v>345</v>
      </c>
      <c r="D121">
        <v>2.58</v>
      </c>
      <c r="E121">
        <v>1.53</v>
      </c>
      <c r="F121" t="s">
        <v>8</v>
      </c>
    </row>
    <row r="122" spans="2:6" x14ac:dyDescent="0.25">
      <c r="B122" t="s">
        <v>478</v>
      </c>
      <c r="C122" t="s">
        <v>345</v>
      </c>
      <c r="D122">
        <v>2.6</v>
      </c>
      <c r="E122">
        <v>1.56</v>
      </c>
      <c r="F122" t="s">
        <v>8</v>
      </c>
    </row>
    <row r="123" spans="2:6" x14ac:dyDescent="0.25">
      <c r="B123" t="s">
        <v>478</v>
      </c>
      <c r="C123" t="s">
        <v>345</v>
      </c>
      <c r="D123">
        <v>2.6</v>
      </c>
      <c r="E123">
        <v>1.5</v>
      </c>
      <c r="F123" t="s">
        <v>8</v>
      </c>
    </row>
    <row r="124" spans="2:6" x14ac:dyDescent="0.25">
      <c r="B124" t="s">
        <v>478</v>
      </c>
      <c r="C124" t="s">
        <v>345</v>
      </c>
      <c r="D124">
        <v>2.5499999999999998</v>
      </c>
      <c r="E124">
        <v>1.56</v>
      </c>
      <c r="F124" t="s">
        <v>8</v>
      </c>
    </row>
    <row r="125" spans="2:6" x14ac:dyDescent="0.25">
      <c r="B125" t="s">
        <v>478</v>
      </c>
      <c r="C125" t="s">
        <v>345</v>
      </c>
      <c r="D125">
        <v>2.6</v>
      </c>
      <c r="E125">
        <v>1.53</v>
      </c>
      <c r="F125" t="s">
        <v>8</v>
      </c>
    </row>
    <row r="126" spans="2:6" x14ac:dyDescent="0.25">
      <c r="B126" t="s">
        <v>478</v>
      </c>
      <c r="C126" t="s">
        <v>345</v>
      </c>
      <c r="D126">
        <v>2.65</v>
      </c>
      <c r="E126">
        <v>1.51</v>
      </c>
      <c r="F126" t="s">
        <v>8</v>
      </c>
    </row>
    <row r="127" spans="2:6" x14ac:dyDescent="0.25">
      <c r="B127" t="s">
        <v>478</v>
      </c>
      <c r="C127" t="s">
        <v>345</v>
      </c>
      <c r="D127">
        <v>2.6</v>
      </c>
      <c r="E127">
        <v>1.51</v>
      </c>
      <c r="F127" t="s">
        <v>8</v>
      </c>
    </row>
    <row r="128" spans="2:6" x14ac:dyDescent="0.25">
      <c r="B128" t="s">
        <v>478</v>
      </c>
      <c r="C128" t="s">
        <v>345</v>
      </c>
      <c r="D128">
        <v>2.63</v>
      </c>
      <c r="E128">
        <v>1.53</v>
      </c>
      <c r="F128" t="s">
        <v>8</v>
      </c>
    </row>
    <row r="129" spans="2:6" x14ac:dyDescent="0.25">
      <c r="B129" t="s">
        <v>346</v>
      </c>
      <c r="C129" t="s">
        <v>347</v>
      </c>
      <c r="D129">
        <v>1.91</v>
      </c>
      <c r="E129">
        <v>1.91</v>
      </c>
      <c r="F129" t="s">
        <v>8</v>
      </c>
    </row>
    <row r="130" spans="2:6" x14ac:dyDescent="0.25">
      <c r="B130" t="s">
        <v>346</v>
      </c>
      <c r="C130" t="s">
        <v>347</v>
      </c>
      <c r="D130">
        <v>1.91</v>
      </c>
      <c r="E130">
        <v>1.91</v>
      </c>
      <c r="F130" t="s">
        <v>8</v>
      </c>
    </row>
    <row r="131" spans="2:6" x14ac:dyDescent="0.25">
      <c r="B131" t="s">
        <v>346</v>
      </c>
      <c r="C131" t="s">
        <v>347</v>
      </c>
      <c r="D131">
        <v>1.88</v>
      </c>
      <c r="E131">
        <v>1.93</v>
      </c>
      <c r="F131" t="s">
        <v>8</v>
      </c>
    </row>
    <row r="132" spans="2:6" x14ac:dyDescent="0.25">
      <c r="B132" t="s">
        <v>346</v>
      </c>
      <c r="C132" t="s">
        <v>347</v>
      </c>
      <c r="D132">
        <v>1.95</v>
      </c>
      <c r="E132">
        <v>1.87</v>
      </c>
      <c r="F132" t="s">
        <v>8</v>
      </c>
    </row>
    <row r="133" spans="2:6" x14ac:dyDescent="0.25">
      <c r="B133" t="s">
        <v>346</v>
      </c>
      <c r="C133" t="s">
        <v>347</v>
      </c>
      <c r="D133">
        <v>1.91</v>
      </c>
      <c r="E133">
        <v>1.91</v>
      </c>
      <c r="F133" t="s">
        <v>8</v>
      </c>
    </row>
    <row r="134" spans="2:6" x14ac:dyDescent="0.25">
      <c r="B134" t="s">
        <v>346</v>
      </c>
      <c r="C134" t="s">
        <v>347</v>
      </c>
      <c r="D134">
        <v>1.88</v>
      </c>
      <c r="E134">
        <v>1.93</v>
      </c>
      <c r="F134" t="s">
        <v>8</v>
      </c>
    </row>
    <row r="135" spans="2:6" x14ac:dyDescent="0.25">
      <c r="B135" t="s">
        <v>346</v>
      </c>
      <c r="C135" t="s">
        <v>347</v>
      </c>
      <c r="D135">
        <v>1.91</v>
      </c>
      <c r="E135">
        <v>1.91</v>
      </c>
      <c r="F135" t="s">
        <v>8</v>
      </c>
    </row>
    <row r="136" spans="2:6" x14ac:dyDescent="0.25">
      <c r="B136" t="s">
        <v>346</v>
      </c>
      <c r="C136" t="s">
        <v>347</v>
      </c>
      <c r="D136">
        <v>1.91</v>
      </c>
      <c r="E136">
        <v>1.91</v>
      </c>
      <c r="F136" t="s">
        <v>8</v>
      </c>
    </row>
    <row r="137" spans="2:6" x14ac:dyDescent="0.25">
      <c r="B137" t="s">
        <v>346</v>
      </c>
      <c r="C137" t="s">
        <v>347</v>
      </c>
      <c r="D137">
        <v>1.91</v>
      </c>
      <c r="E137">
        <v>1.91</v>
      </c>
      <c r="F137" t="s">
        <v>8</v>
      </c>
    </row>
    <row r="138" spans="2:6" x14ac:dyDescent="0.25">
      <c r="B138" t="s">
        <v>346</v>
      </c>
      <c r="C138" t="s">
        <v>347</v>
      </c>
      <c r="D138">
        <v>1.93</v>
      </c>
      <c r="E138">
        <v>1.93</v>
      </c>
      <c r="F138" t="s">
        <v>8</v>
      </c>
    </row>
    <row r="139" spans="2:6" x14ac:dyDescent="0.25">
      <c r="B139" t="s">
        <v>348</v>
      </c>
      <c r="C139" t="s">
        <v>347</v>
      </c>
      <c r="D139">
        <v>8</v>
      </c>
      <c r="E139">
        <v>1.0900000000000001</v>
      </c>
      <c r="F139" t="s">
        <v>8</v>
      </c>
    </row>
    <row r="140" spans="2:6" x14ac:dyDescent="0.25">
      <c r="B140" t="s">
        <v>348</v>
      </c>
      <c r="C140" t="s">
        <v>347</v>
      </c>
      <c r="D140">
        <v>8.6</v>
      </c>
      <c r="E140">
        <v>1.08</v>
      </c>
      <c r="F140" t="s">
        <v>8</v>
      </c>
    </row>
    <row r="141" spans="2:6" x14ac:dyDescent="0.25">
      <c r="B141" t="s">
        <v>348</v>
      </c>
      <c r="C141" t="s">
        <v>347</v>
      </c>
      <c r="D141">
        <v>8.9</v>
      </c>
      <c r="E141">
        <v>1.08</v>
      </c>
      <c r="F141" t="s">
        <v>8</v>
      </c>
    </row>
    <row r="142" spans="2:6" x14ac:dyDescent="0.25">
      <c r="B142" t="s">
        <v>348</v>
      </c>
      <c r="C142" t="s">
        <v>347</v>
      </c>
      <c r="D142">
        <v>8.5</v>
      </c>
      <c r="E142">
        <v>1.08</v>
      </c>
      <c r="F142" t="s">
        <v>8</v>
      </c>
    </row>
    <row r="143" spans="2:6" x14ac:dyDescent="0.25">
      <c r="B143" t="s">
        <v>348</v>
      </c>
      <c r="C143" t="s">
        <v>347</v>
      </c>
      <c r="D143">
        <v>8.5</v>
      </c>
      <c r="E143">
        <v>1.07</v>
      </c>
      <c r="F143" t="s">
        <v>8</v>
      </c>
    </row>
    <row r="144" spans="2:6" x14ac:dyDescent="0.25">
      <c r="B144" t="s">
        <v>348</v>
      </c>
      <c r="C144" t="s">
        <v>347</v>
      </c>
      <c r="D144">
        <v>8</v>
      </c>
      <c r="E144">
        <v>1.0900000000000001</v>
      </c>
      <c r="F144" t="s">
        <v>8</v>
      </c>
    </row>
    <row r="145" spans="2:6" x14ac:dyDescent="0.25">
      <c r="B145" t="s">
        <v>348</v>
      </c>
      <c r="C145" t="s">
        <v>347</v>
      </c>
      <c r="D145">
        <v>8.9</v>
      </c>
      <c r="E145">
        <v>1.08</v>
      </c>
      <c r="F145" t="s">
        <v>8</v>
      </c>
    </row>
    <row r="146" spans="2:6" x14ac:dyDescent="0.25">
      <c r="B146" t="s">
        <v>348</v>
      </c>
      <c r="C146" t="s">
        <v>347</v>
      </c>
      <c r="D146">
        <v>8.5</v>
      </c>
      <c r="E146">
        <v>1.08</v>
      </c>
      <c r="F146" t="s">
        <v>8</v>
      </c>
    </row>
    <row r="147" spans="2:6" x14ac:dyDescent="0.25">
      <c r="B147" t="s">
        <v>348</v>
      </c>
      <c r="C147" t="s">
        <v>347</v>
      </c>
      <c r="D147">
        <v>9.1999999999999993</v>
      </c>
      <c r="E147">
        <v>1.07</v>
      </c>
      <c r="F147" t="s">
        <v>8</v>
      </c>
    </row>
    <row r="148" spans="2:6" x14ac:dyDescent="0.25">
      <c r="B148" t="s">
        <v>348</v>
      </c>
      <c r="C148" t="s">
        <v>347</v>
      </c>
      <c r="D148">
        <v>9</v>
      </c>
      <c r="E148">
        <v>1.07</v>
      </c>
      <c r="F148" t="s">
        <v>8</v>
      </c>
    </row>
    <row r="149" spans="2:6" x14ac:dyDescent="0.25">
      <c r="B149" t="s">
        <v>348</v>
      </c>
      <c r="C149" t="s">
        <v>347</v>
      </c>
      <c r="D149">
        <v>8.5</v>
      </c>
      <c r="E149">
        <v>1.07</v>
      </c>
      <c r="F149" t="s">
        <v>8</v>
      </c>
    </row>
    <row r="150" spans="2:6" x14ac:dyDescent="0.25">
      <c r="B150" t="s">
        <v>348</v>
      </c>
      <c r="C150" t="s">
        <v>347</v>
      </c>
      <c r="D150">
        <v>8.65</v>
      </c>
      <c r="E150">
        <v>1.07</v>
      </c>
      <c r="F150" t="s">
        <v>8</v>
      </c>
    </row>
    <row r="151" spans="2:6" x14ac:dyDescent="0.25">
      <c r="B151" t="s">
        <v>348</v>
      </c>
      <c r="C151" t="s">
        <v>347</v>
      </c>
      <c r="D151">
        <v>9.25</v>
      </c>
      <c r="E151">
        <v>1.08</v>
      </c>
      <c r="F151" t="s">
        <v>8</v>
      </c>
    </row>
    <row r="152" spans="2:6" x14ac:dyDescent="0.25">
      <c r="B152" t="s">
        <v>349</v>
      </c>
      <c r="C152" t="s">
        <v>347</v>
      </c>
      <c r="D152">
        <v>3.7</v>
      </c>
      <c r="E152">
        <v>1.29</v>
      </c>
      <c r="F152" t="s">
        <v>8</v>
      </c>
    </row>
    <row r="153" spans="2:6" x14ac:dyDescent="0.25">
      <c r="B153" t="s">
        <v>349</v>
      </c>
      <c r="C153" t="s">
        <v>347</v>
      </c>
      <c r="D153">
        <v>3.75</v>
      </c>
      <c r="E153">
        <v>1.29</v>
      </c>
      <c r="F153" t="s">
        <v>8</v>
      </c>
    </row>
    <row r="154" spans="2:6" x14ac:dyDescent="0.25">
      <c r="B154" t="s">
        <v>349</v>
      </c>
      <c r="C154" t="s">
        <v>347</v>
      </c>
      <c r="D154">
        <v>3.8</v>
      </c>
      <c r="E154">
        <v>1.29</v>
      </c>
      <c r="F154" t="s">
        <v>8</v>
      </c>
    </row>
    <row r="155" spans="2:6" x14ac:dyDescent="0.25">
      <c r="B155" t="s">
        <v>349</v>
      </c>
      <c r="C155" t="s">
        <v>347</v>
      </c>
      <c r="D155">
        <v>3.3</v>
      </c>
      <c r="E155">
        <v>1.33</v>
      </c>
      <c r="F155" t="s">
        <v>8</v>
      </c>
    </row>
    <row r="156" spans="2:6" x14ac:dyDescent="0.25">
      <c r="B156" t="s">
        <v>349</v>
      </c>
      <c r="C156" t="s">
        <v>347</v>
      </c>
      <c r="D156">
        <v>3.7</v>
      </c>
      <c r="E156">
        <v>1.29</v>
      </c>
      <c r="F156" t="s">
        <v>8</v>
      </c>
    </row>
    <row r="157" spans="2:6" x14ac:dyDescent="0.25">
      <c r="B157" t="s">
        <v>349</v>
      </c>
      <c r="C157" t="s">
        <v>347</v>
      </c>
      <c r="D157">
        <v>3.6</v>
      </c>
      <c r="E157">
        <v>1.3</v>
      </c>
      <c r="F157" t="s">
        <v>8</v>
      </c>
    </row>
    <row r="158" spans="2:6" x14ac:dyDescent="0.25">
      <c r="B158" t="s">
        <v>349</v>
      </c>
      <c r="C158" t="s">
        <v>347</v>
      </c>
      <c r="D158">
        <v>3.8</v>
      </c>
      <c r="E158">
        <v>1.29</v>
      </c>
      <c r="F158" t="s">
        <v>8</v>
      </c>
    </row>
    <row r="159" spans="2:6" x14ac:dyDescent="0.25">
      <c r="B159" t="s">
        <v>349</v>
      </c>
      <c r="C159" t="s">
        <v>347</v>
      </c>
      <c r="D159">
        <v>3.3</v>
      </c>
      <c r="E159">
        <v>1.33</v>
      </c>
      <c r="F159" t="s">
        <v>8</v>
      </c>
    </row>
    <row r="160" spans="2:6" x14ac:dyDescent="0.25">
      <c r="B160" t="s">
        <v>349</v>
      </c>
      <c r="C160" t="s">
        <v>347</v>
      </c>
      <c r="D160">
        <v>3.8</v>
      </c>
      <c r="E160">
        <v>1.29</v>
      </c>
      <c r="F160" t="s">
        <v>8</v>
      </c>
    </row>
    <row r="161" spans="2:6" x14ac:dyDescent="0.25">
      <c r="B161" t="s">
        <v>349</v>
      </c>
      <c r="C161" t="s">
        <v>347</v>
      </c>
      <c r="D161">
        <v>3.7</v>
      </c>
      <c r="E161">
        <v>1.29</v>
      </c>
      <c r="F161" t="s">
        <v>8</v>
      </c>
    </row>
    <row r="162" spans="2:6" x14ac:dyDescent="0.25">
      <c r="B162" t="s">
        <v>349</v>
      </c>
      <c r="C162" t="s">
        <v>347</v>
      </c>
      <c r="D162">
        <v>3.6</v>
      </c>
      <c r="E162">
        <v>1.3</v>
      </c>
      <c r="F162" t="s">
        <v>8</v>
      </c>
    </row>
    <row r="163" spans="2:6" x14ac:dyDescent="0.25">
      <c r="B163" t="s">
        <v>349</v>
      </c>
      <c r="C163" t="s">
        <v>347</v>
      </c>
      <c r="D163">
        <v>3.65</v>
      </c>
      <c r="E163">
        <v>1.29</v>
      </c>
      <c r="F163" t="s">
        <v>8</v>
      </c>
    </row>
    <row r="164" spans="2:6" x14ac:dyDescent="0.25">
      <c r="B164" t="s">
        <v>349</v>
      </c>
      <c r="C164" t="s">
        <v>347</v>
      </c>
      <c r="D164">
        <v>3.7</v>
      </c>
      <c r="E164">
        <v>1.3</v>
      </c>
      <c r="F164" t="s">
        <v>8</v>
      </c>
    </row>
    <row r="165" spans="2:6" x14ac:dyDescent="0.25">
      <c r="B165" t="s">
        <v>479</v>
      </c>
      <c r="C165" t="s">
        <v>347</v>
      </c>
      <c r="D165">
        <v>1.57</v>
      </c>
      <c r="E165">
        <v>2.4500000000000002</v>
      </c>
      <c r="F165" t="s">
        <v>8</v>
      </c>
    </row>
    <row r="166" spans="2:6" x14ac:dyDescent="0.25">
      <c r="B166" t="s">
        <v>479</v>
      </c>
      <c r="C166" t="s">
        <v>347</v>
      </c>
      <c r="D166">
        <v>1.56</v>
      </c>
      <c r="E166">
        <v>2.46</v>
      </c>
      <c r="F166" t="s">
        <v>8</v>
      </c>
    </row>
    <row r="167" spans="2:6" x14ac:dyDescent="0.25">
      <c r="B167" t="s">
        <v>479</v>
      </c>
      <c r="C167" t="s">
        <v>347</v>
      </c>
      <c r="D167">
        <v>1.59</v>
      </c>
      <c r="E167">
        <v>2.5</v>
      </c>
      <c r="F167" t="s">
        <v>8</v>
      </c>
    </row>
    <row r="168" spans="2:6" x14ac:dyDescent="0.25">
      <c r="B168" t="s">
        <v>479</v>
      </c>
      <c r="C168" t="s">
        <v>347</v>
      </c>
      <c r="D168">
        <v>1.56</v>
      </c>
      <c r="E168">
        <v>2.4500000000000002</v>
      </c>
      <c r="F168" t="s">
        <v>8</v>
      </c>
    </row>
    <row r="169" spans="2:6" x14ac:dyDescent="0.25">
      <c r="B169" t="s">
        <v>479</v>
      </c>
      <c r="C169" t="s">
        <v>347</v>
      </c>
      <c r="D169">
        <v>1.61</v>
      </c>
      <c r="E169">
        <v>2.4</v>
      </c>
      <c r="F169" t="s">
        <v>8</v>
      </c>
    </row>
    <row r="170" spans="2:6" x14ac:dyDescent="0.25">
      <c r="B170" t="s">
        <v>479</v>
      </c>
      <c r="C170" t="s">
        <v>347</v>
      </c>
      <c r="D170">
        <v>1.59</v>
      </c>
      <c r="E170">
        <v>2.4300000000000002</v>
      </c>
      <c r="F170" t="s">
        <v>8</v>
      </c>
    </row>
    <row r="171" spans="2:6" x14ac:dyDescent="0.25">
      <c r="B171" t="s">
        <v>479</v>
      </c>
      <c r="C171" t="s">
        <v>347</v>
      </c>
      <c r="D171">
        <v>1.59</v>
      </c>
      <c r="E171">
        <v>2.5</v>
      </c>
      <c r="F171" t="s">
        <v>8</v>
      </c>
    </row>
    <row r="172" spans="2:6" x14ac:dyDescent="0.25">
      <c r="B172" t="s">
        <v>479</v>
      </c>
      <c r="C172" t="s">
        <v>347</v>
      </c>
      <c r="D172">
        <v>1.56</v>
      </c>
      <c r="E172">
        <v>2.4500000000000002</v>
      </c>
      <c r="F172" t="s">
        <v>8</v>
      </c>
    </row>
    <row r="173" spans="2:6" x14ac:dyDescent="0.25">
      <c r="B173" t="s">
        <v>479</v>
      </c>
      <c r="C173" t="s">
        <v>347</v>
      </c>
      <c r="D173">
        <v>1.59</v>
      </c>
      <c r="E173">
        <v>2.48</v>
      </c>
      <c r="F173" t="s">
        <v>8</v>
      </c>
    </row>
    <row r="174" spans="2:6" x14ac:dyDescent="0.25">
      <c r="B174" t="s">
        <v>479</v>
      </c>
      <c r="C174" t="s">
        <v>347</v>
      </c>
      <c r="D174">
        <v>1.54</v>
      </c>
      <c r="E174">
        <v>2.5</v>
      </c>
      <c r="F174" t="s">
        <v>8</v>
      </c>
    </row>
    <row r="175" spans="2:6" x14ac:dyDescent="0.25">
      <c r="B175" t="s">
        <v>479</v>
      </c>
      <c r="C175" t="s">
        <v>347</v>
      </c>
      <c r="D175">
        <v>1.59</v>
      </c>
      <c r="E175">
        <v>2.4500000000000002</v>
      </c>
      <c r="F175" t="s">
        <v>8</v>
      </c>
    </row>
    <row r="176" spans="2:6" x14ac:dyDescent="0.25">
      <c r="B176" t="s">
        <v>479</v>
      </c>
      <c r="C176" t="s">
        <v>347</v>
      </c>
      <c r="D176">
        <v>1.56</v>
      </c>
      <c r="E176">
        <v>2.5</v>
      </c>
      <c r="F176" t="s">
        <v>8</v>
      </c>
    </row>
    <row r="177" spans="2:6" x14ac:dyDescent="0.25">
      <c r="B177" t="s">
        <v>479</v>
      </c>
      <c r="C177" t="s">
        <v>347</v>
      </c>
      <c r="D177">
        <v>1.54</v>
      </c>
      <c r="E177">
        <v>2.58</v>
      </c>
      <c r="F177" t="s">
        <v>8</v>
      </c>
    </row>
    <row r="178" spans="2:6" x14ac:dyDescent="0.25">
      <c r="B178" t="s">
        <v>351</v>
      </c>
      <c r="C178" t="s">
        <v>347</v>
      </c>
      <c r="D178">
        <v>2.12</v>
      </c>
      <c r="E178">
        <v>1.75</v>
      </c>
      <c r="F178" t="s">
        <v>8</v>
      </c>
    </row>
    <row r="179" spans="2:6" x14ac:dyDescent="0.25">
      <c r="B179" t="s">
        <v>351</v>
      </c>
      <c r="C179" t="s">
        <v>347</v>
      </c>
      <c r="D179">
        <v>2.27</v>
      </c>
      <c r="E179">
        <v>1.68</v>
      </c>
      <c r="F179" t="s">
        <v>8</v>
      </c>
    </row>
    <row r="180" spans="2:6" x14ac:dyDescent="0.25">
      <c r="B180" t="s">
        <v>351</v>
      </c>
      <c r="C180" t="s">
        <v>347</v>
      </c>
      <c r="D180">
        <v>2.15</v>
      </c>
      <c r="E180">
        <v>1.74</v>
      </c>
      <c r="F180" t="s">
        <v>8</v>
      </c>
    </row>
    <row r="181" spans="2:6" x14ac:dyDescent="0.25">
      <c r="B181" t="s">
        <v>351</v>
      </c>
      <c r="C181" t="s">
        <v>347</v>
      </c>
      <c r="D181">
        <v>2.12</v>
      </c>
      <c r="E181">
        <v>1.73</v>
      </c>
      <c r="F181" t="s">
        <v>8</v>
      </c>
    </row>
    <row r="182" spans="2:6" x14ac:dyDescent="0.25">
      <c r="B182" t="s">
        <v>351</v>
      </c>
      <c r="C182" t="s">
        <v>347</v>
      </c>
      <c r="D182">
        <v>2.2599999999999998</v>
      </c>
      <c r="E182">
        <v>1.67</v>
      </c>
      <c r="F182" t="s">
        <v>8</v>
      </c>
    </row>
    <row r="183" spans="2:6" x14ac:dyDescent="0.25">
      <c r="B183" t="s">
        <v>351</v>
      </c>
      <c r="C183" t="s">
        <v>347</v>
      </c>
      <c r="D183">
        <v>2.27</v>
      </c>
      <c r="E183">
        <v>1.68</v>
      </c>
      <c r="F183" t="s">
        <v>8</v>
      </c>
    </row>
    <row r="184" spans="2:6" x14ac:dyDescent="0.25">
      <c r="B184" t="s">
        <v>351</v>
      </c>
      <c r="C184" t="s">
        <v>347</v>
      </c>
      <c r="D184">
        <v>2.12</v>
      </c>
      <c r="E184">
        <v>1.73</v>
      </c>
      <c r="F184" t="s">
        <v>8</v>
      </c>
    </row>
    <row r="185" spans="2:6" x14ac:dyDescent="0.25">
      <c r="B185" t="s">
        <v>351</v>
      </c>
      <c r="C185" t="s">
        <v>347</v>
      </c>
      <c r="D185">
        <v>2.25</v>
      </c>
      <c r="E185">
        <v>1.69</v>
      </c>
      <c r="F185" t="s">
        <v>8</v>
      </c>
    </row>
    <row r="186" spans="2:6" x14ac:dyDescent="0.25">
      <c r="B186" t="s">
        <v>351</v>
      </c>
      <c r="C186" t="s">
        <v>347</v>
      </c>
      <c r="D186">
        <v>2.25</v>
      </c>
      <c r="E186">
        <v>1.67</v>
      </c>
      <c r="F186" t="s">
        <v>8</v>
      </c>
    </row>
    <row r="187" spans="2:6" x14ac:dyDescent="0.25">
      <c r="B187" t="s">
        <v>351</v>
      </c>
      <c r="C187" t="s">
        <v>347</v>
      </c>
      <c r="D187">
        <v>2.2999999999999998</v>
      </c>
      <c r="E187">
        <v>1.67</v>
      </c>
      <c r="F187" t="s">
        <v>8</v>
      </c>
    </row>
    <row r="188" spans="2:6" x14ac:dyDescent="0.25">
      <c r="B188" t="s">
        <v>351</v>
      </c>
      <c r="C188" t="s">
        <v>347</v>
      </c>
      <c r="D188">
        <v>2.25</v>
      </c>
      <c r="E188">
        <v>1.69</v>
      </c>
      <c r="F188" t="s">
        <v>8</v>
      </c>
    </row>
    <row r="189" spans="2:6" x14ac:dyDescent="0.25">
      <c r="B189" t="s">
        <v>351</v>
      </c>
      <c r="C189" t="s">
        <v>347</v>
      </c>
      <c r="D189">
        <v>2.2799999999999998</v>
      </c>
      <c r="E189">
        <v>1.67</v>
      </c>
      <c r="F189" t="s">
        <v>8</v>
      </c>
    </row>
    <row r="190" spans="2:6" x14ac:dyDescent="0.25">
      <c r="B190" t="s">
        <v>352</v>
      </c>
      <c r="C190" t="s">
        <v>347</v>
      </c>
      <c r="D190">
        <v>12</v>
      </c>
      <c r="E190">
        <v>1.05</v>
      </c>
      <c r="F190" t="s">
        <v>8</v>
      </c>
    </row>
    <row r="191" spans="2:6" x14ac:dyDescent="0.25">
      <c r="B191" t="s">
        <v>352</v>
      </c>
      <c r="C191" t="s">
        <v>347</v>
      </c>
      <c r="D191">
        <v>13</v>
      </c>
      <c r="E191">
        <v>1.03</v>
      </c>
      <c r="F191" t="s">
        <v>8</v>
      </c>
    </row>
    <row r="192" spans="2:6" x14ac:dyDescent="0.25">
      <c r="B192" t="s">
        <v>352</v>
      </c>
      <c r="C192" t="s">
        <v>347</v>
      </c>
      <c r="D192">
        <v>12.5</v>
      </c>
      <c r="E192">
        <v>1.04</v>
      </c>
      <c r="F192" t="s">
        <v>8</v>
      </c>
    </row>
    <row r="193" spans="2:6" x14ac:dyDescent="0.25">
      <c r="B193" t="s">
        <v>352</v>
      </c>
      <c r="C193" t="s">
        <v>347</v>
      </c>
      <c r="D193">
        <v>13</v>
      </c>
      <c r="E193">
        <v>1.03</v>
      </c>
      <c r="F193" t="s">
        <v>8</v>
      </c>
    </row>
    <row r="194" spans="2:6" x14ac:dyDescent="0.25">
      <c r="B194" t="s">
        <v>352</v>
      </c>
      <c r="C194" t="s">
        <v>347</v>
      </c>
      <c r="D194">
        <v>12</v>
      </c>
      <c r="E194">
        <v>1.03</v>
      </c>
      <c r="F194" t="s">
        <v>8</v>
      </c>
    </row>
    <row r="195" spans="2:6" x14ac:dyDescent="0.25">
      <c r="B195" t="s">
        <v>352</v>
      </c>
      <c r="C195" t="s">
        <v>347</v>
      </c>
      <c r="D195">
        <v>14.5</v>
      </c>
      <c r="E195">
        <v>1.03</v>
      </c>
      <c r="F195" t="s">
        <v>8</v>
      </c>
    </row>
    <row r="196" spans="2:6" x14ac:dyDescent="0.25">
      <c r="B196" t="s">
        <v>352</v>
      </c>
      <c r="C196" t="s">
        <v>347</v>
      </c>
      <c r="D196">
        <v>12.5</v>
      </c>
      <c r="E196">
        <v>1.04</v>
      </c>
      <c r="F196" t="s">
        <v>8</v>
      </c>
    </row>
    <row r="197" spans="2:6" x14ac:dyDescent="0.25">
      <c r="B197" t="s">
        <v>352</v>
      </c>
      <c r="C197" t="s">
        <v>347</v>
      </c>
      <c r="D197">
        <v>13</v>
      </c>
      <c r="E197">
        <v>1.03</v>
      </c>
      <c r="F197" t="s">
        <v>8</v>
      </c>
    </row>
    <row r="198" spans="2:6" x14ac:dyDescent="0.25">
      <c r="B198" t="s">
        <v>352</v>
      </c>
      <c r="C198" t="s">
        <v>347</v>
      </c>
      <c r="D198">
        <v>15</v>
      </c>
      <c r="E198">
        <v>1.03</v>
      </c>
      <c r="F198" t="s">
        <v>8</v>
      </c>
    </row>
    <row r="199" spans="2:6" x14ac:dyDescent="0.25">
      <c r="B199" t="s">
        <v>352</v>
      </c>
      <c r="C199" t="s">
        <v>347</v>
      </c>
      <c r="D199">
        <v>13</v>
      </c>
      <c r="E199">
        <v>1.03</v>
      </c>
      <c r="F199" t="s">
        <v>8</v>
      </c>
    </row>
    <row r="200" spans="2:6" x14ac:dyDescent="0.25">
      <c r="B200" t="s">
        <v>352</v>
      </c>
      <c r="C200" t="s">
        <v>347</v>
      </c>
      <c r="D200">
        <v>15</v>
      </c>
      <c r="E200">
        <v>1.02</v>
      </c>
      <c r="F200" t="s">
        <v>8</v>
      </c>
    </row>
    <row r="201" spans="2:6" x14ac:dyDescent="0.25">
      <c r="B201" t="s">
        <v>352</v>
      </c>
      <c r="C201" t="s">
        <v>347</v>
      </c>
      <c r="D201">
        <v>14.45</v>
      </c>
      <c r="E201">
        <v>1.02</v>
      </c>
      <c r="F201" t="s">
        <v>8</v>
      </c>
    </row>
    <row r="202" spans="2:6" x14ac:dyDescent="0.25">
      <c r="B202" t="s">
        <v>352</v>
      </c>
      <c r="C202" t="s">
        <v>347</v>
      </c>
      <c r="D202">
        <v>13.5</v>
      </c>
      <c r="E202">
        <v>1.04</v>
      </c>
      <c r="F202" t="s">
        <v>8</v>
      </c>
    </row>
    <row r="203" spans="2:6" x14ac:dyDescent="0.25">
      <c r="B203" t="s">
        <v>353</v>
      </c>
      <c r="C203" t="s">
        <v>347</v>
      </c>
      <c r="D203">
        <v>2.4</v>
      </c>
      <c r="E203">
        <v>1.6</v>
      </c>
      <c r="F203" t="s">
        <v>8</v>
      </c>
    </row>
    <row r="204" spans="2:6" x14ac:dyDescent="0.25">
      <c r="B204" t="s">
        <v>353</v>
      </c>
      <c r="C204" t="s">
        <v>347</v>
      </c>
      <c r="D204">
        <v>2.38</v>
      </c>
      <c r="E204">
        <v>1.6</v>
      </c>
      <c r="F204" t="s">
        <v>8</v>
      </c>
    </row>
    <row r="205" spans="2:6" x14ac:dyDescent="0.25">
      <c r="B205" t="s">
        <v>353</v>
      </c>
      <c r="C205" t="s">
        <v>347</v>
      </c>
      <c r="D205">
        <v>2.4500000000000002</v>
      </c>
      <c r="E205">
        <v>1.61</v>
      </c>
      <c r="F205" t="s">
        <v>8</v>
      </c>
    </row>
    <row r="206" spans="2:6" x14ac:dyDescent="0.25">
      <c r="B206" t="s">
        <v>353</v>
      </c>
      <c r="C206" t="s">
        <v>347</v>
      </c>
      <c r="D206">
        <v>2.4500000000000002</v>
      </c>
      <c r="E206">
        <v>1.56</v>
      </c>
      <c r="F206" t="s">
        <v>8</v>
      </c>
    </row>
    <row r="207" spans="2:6" x14ac:dyDescent="0.25">
      <c r="B207" t="s">
        <v>353</v>
      </c>
      <c r="C207" t="s">
        <v>347</v>
      </c>
      <c r="D207">
        <v>2.4500000000000002</v>
      </c>
      <c r="E207">
        <v>1.59</v>
      </c>
      <c r="F207" t="s">
        <v>8</v>
      </c>
    </row>
    <row r="208" spans="2:6" x14ac:dyDescent="0.25">
      <c r="B208" t="s">
        <v>353</v>
      </c>
      <c r="C208" t="s">
        <v>347</v>
      </c>
      <c r="D208">
        <v>2.4300000000000002</v>
      </c>
      <c r="E208">
        <v>1.59</v>
      </c>
      <c r="F208" t="s">
        <v>8</v>
      </c>
    </row>
    <row r="209" spans="2:6" x14ac:dyDescent="0.25">
      <c r="B209" t="s">
        <v>353</v>
      </c>
      <c r="C209" t="s">
        <v>347</v>
      </c>
      <c r="D209">
        <v>2.4500000000000002</v>
      </c>
      <c r="E209">
        <v>1.61</v>
      </c>
      <c r="F209" t="s">
        <v>8</v>
      </c>
    </row>
    <row r="210" spans="2:6" x14ac:dyDescent="0.25">
      <c r="B210" t="s">
        <v>353</v>
      </c>
      <c r="C210" t="s">
        <v>347</v>
      </c>
      <c r="D210">
        <v>2.4500000000000002</v>
      </c>
      <c r="E210">
        <v>1.56</v>
      </c>
      <c r="F210" t="s">
        <v>8</v>
      </c>
    </row>
    <row r="211" spans="2:6" x14ac:dyDescent="0.25">
      <c r="B211" t="s">
        <v>353</v>
      </c>
      <c r="C211" t="s">
        <v>347</v>
      </c>
      <c r="D211">
        <v>2.4</v>
      </c>
      <c r="E211">
        <v>1.62</v>
      </c>
      <c r="F211" t="s">
        <v>8</v>
      </c>
    </row>
    <row r="212" spans="2:6" x14ac:dyDescent="0.25">
      <c r="B212" t="s">
        <v>353</v>
      </c>
      <c r="C212" t="s">
        <v>347</v>
      </c>
      <c r="D212">
        <v>2.4500000000000002</v>
      </c>
      <c r="E212">
        <v>1.57</v>
      </c>
      <c r="F212" t="s">
        <v>8</v>
      </c>
    </row>
    <row r="213" spans="2:6" x14ac:dyDescent="0.25">
      <c r="B213" t="s">
        <v>353</v>
      </c>
      <c r="C213" t="s">
        <v>347</v>
      </c>
      <c r="D213">
        <v>2.42</v>
      </c>
      <c r="E213">
        <v>1.61</v>
      </c>
      <c r="F213" t="s">
        <v>8</v>
      </c>
    </row>
    <row r="214" spans="2:6" x14ac:dyDescent="0.25">
      <c r="B214" t="s">
        <v>353</v>
      </c>
      <c r="C214" t="s">
        <v>347</v>
      </c>
      <c r="D214">
        <v>2.4</v>
      </c>
      <c r="E214">
        <v>1.61</v>
      </c>
      <c r="F214" t="s">
        <v>8</v>
      </c>
    </row>
    <row r="215" spans="2:6" x14ac:dyDescent="0.25">
      <c r="B215" t="s">
        <v>353</v>
      </c>
      <c r="C215" t="s">
        <v>347</v>
      </c>
      <c r="D215">
        <v>2.63</v>
      </c>
      <c r="E215">
        <v>1.53</v>
      </c>
      <c r="F215" t="s">
        <v>8</v>
      </c>
    </row>
    <row r="216" spans="2:6" x14ac:dyDescent="0.25">
      <c r="B216" t="s">
        <v>354</v>
      </c>
      <c r="C216" t="s">
        <v>347</v>
      </c>
      <c r="D216">
        <v>3.95</v>
      </c>
      <c r="E216">
        <v>1.27</v>
      </c>
      <c r="F216" t="s">
        <v>8</v>
      </c>
    </row>
    <row r="217" spans="2:6" x14ac:dyDescent="0.25">
      <c r="B217" t="s">
        <v>354</v>
      </c>
      <c r="C217" t="s">
        <v>347</v>
      </c>
      <c r="D217">
        <v>3.85</v>
      </c>
      <c r="E217">
        <v>1.27</v>
      </c>
      <c r="F217" t="s">
        <v>8</v>
      </c>
    </row>
    <row r="218" spans="2:6" x14ac:dyDescent="0.25">
      <c r="B218" t="s">
        <v>354</v>
      </c>
      <c r="C218" t="s">
        <v>347</v>
      </c>
      <c r="D218">
        <v>3.8</v>
      </c>
      <c r="E218">
        <v>1.3</v>
      </c>
      <c r="F218" t="s">
        <v>8</v>
      </c>
    </row>
    <row r="219" spans="2:6" x14ac:dyDescent="0.25">
      <c r="B219" t="s">
        <v>354</v>
      </c>
      <c r="C219" t="s">
        <v>347</v>
      </c>
      <c r="D219">
        <v>3.75</v>
      </c>
      <c r="E219">
        <v>1.28</v>
      </c>
      <c r="F219" t="s">
        <v>8</v>
      </c>
    </row>
    <row r="220" spans="2:6" x14ac:dyDescent="0.25">
      <c r="B220" t="s">
        <v>354</v>
      </c>
      <c r="C220" t="s">
        <v>347</v>
      </c>
      <c r="D220">
        <v>3.7</v>
      </c>
      <c r="E220">
        <v>1.29</v>
      </c>
      <c r="F220" t="s">
        <v>8</v>
      </c>
    </row>
    <row r="221" spans="2:6" x14ac:dyDescent="0.25">
      <c r="B221" t="s">
        <v>354</v>
      </c>
      <c r="C221" t="s">
        <v>347</v>
      </c>
      <c r="D221">
        <v>3.78</v>
      </c>
      <c r="E221">
        <v>1.28</v>
      </c>
      <c r="F221" t="s">
        <v>8</v>
      </c>
    </row>
    <row r="222" spans="2:6" x14ac:dyDescent="0.25">
      <c r="B222" t="s">
        <v>354</v>
      </c>
      <c r="C222" t="s">
        <v>347</v>
      </c>
      <c r="D222">
        <v>3.8</v>
      </c>
      <c r="E222">
        <v>1.3</v>
      </c>
      <c r="F222" t="s">
        <v>8</v>
      </c>
    </row>
    <row r="223" spans="2:6" x14ac:dyDescent="0.25">
      <c r="B223" t="s">
        <v>354</v>
      </c>
      <c r="C223" t="s">
        <v>347</v>
      </c>
      <c r="D223">
        <v>3.75</v>
      </c>
      <c r="E223">
        <v>1.28</v>
      </c>
      <c r="F223" t="s">
        <v>8</v>
      </c>
    </row>
    <row r="224" spans="2:6" x14ac:dyDescent="0.25">
      <c r="B224" t="s">
        <v>354</v>
      </c>
      <c r="C224" t="s">
        <v>347</v>
      </c>
      <c r="D224">
        <v>3.8</v>
      </c>
      <c r="E224">
        <v>1.29</v>
      </c>
      <c r="F224" t="s">
        <v>8</v>
      </c>
    </row>
    <row r="225" spans="2:6" x14ac:dyDescent="0.25">
      <c r="B225" t="s">
        <v>354</v>
      </c>
      <c r="C225" t="s">
        <v>347</v>
      </c>
      <c r="D225">
        <v>3.8</v>
      </c>
      <c r="E225">
        <v>1.29</v>
      </c>
      <c r="F225" t="s">
        <v>8</v>
      </c>
    </row>
    <row r="226" spans="2:6" x14ac:dyDescent="0.25">
      <c r="B226" t="s">
        <v>354</v>
      </c>
      <c r="C226" t="s">
        <v>347</v>
      </c>
      <c r="D226">
        <v>3.75</v>
      </c>
      <c r="E226">
        <v>1.29</v>
      </c>
      <c r="F226" t="s">
        <v>8</v>
      </c>
    </row>
    <row r="227" spans="2:6" x14ac:dyDescent="0.25">
      <c r="B227" t="s">
        <v>354</v>
      </c>
      <c r="C227" t="s">
        <v>347</v>
      </c>
      <c r="D227">
        <v>3.75</v>
      </c>
      <c r="E227">
        <v>1.28</v>
      </c>
      <c r="F227" t="s">
        <v>8</v>
      </c>
    </row>
    <row r="228" spans="2:6" x14ac:dyDescent="0.25">
      <c r="B228" t="s">
        <v>354</v>
      </c>
      <c r="C228" t="s">
        <v>347</v>
      </c>
      <c r="D228">
        <v>3.7</v>
      </c>
      <c r="E228">
        <v>1.3</v>
      </c>
      <c r="F228" t="s">
        <v>8</v>
      </c>
    </row>
    <row r="229" spans="2:6" x14ac:dyDescent="0.25">
      <c r="B229" t="s">
        <v>355</v>
      </c>
      <c r="C229" t="s">
        <v>347</v>
      </c>
      <c r="D229">
        <v>2.14</v>
      </c>
      <c r="E229">
        <v>1.74</v>
      </c>
      <c r="F229" t="s">
        <v>8</v>
      </c>
    </row>
    <row r="230" spans="2:6" x14ac:dyDescent="0.25">
      <c r="B230" t="s">
        <v>355</v>
      </c>
      <c r="C230" t="s">
        <v>347</v>
      </c>
      <c r="D230">
        <v>2.2200000000000002</v>
      </c>
      <c r="E230">
        <v>1.68</v>
      </c>
      <c r="F230" t="s">
        <v>8</v>
      </c>
    </row>
    <row r="231" spans="2:6" x14ac:dyDescent="0.25">
      <c r="B231" t="s">
        <v>355</v>
      </c>
      <c r="C231" t="s">
        <v>347</v>
      </c>
      <c r="D231">
        <v>2.2200000000000002</v>
      </c>
      <c r="E231">
        <v>1.7</v>
      </c>
      <c r="F231" t="s">
        <v>8</v>
      </c>
    </row>
    <row r="232" spans="2:6" x14ac:dyDescent="0.25">
      <c r="B232" t="s">
        <v>355</v>
      </c>
      <c r="C232" t="s">
        <v>347</v>
      </c>
      <c r="D232">
        <v>2.25</v>
      </c>
      <c r="E232">
        <v>1.69</v>
      </c>
      <c r="F232" t="s">
        <v>8</v>
      </c>
    </row>
    <row r="233" spans="2:6" x14ac:dyDescent="0.25">
      <c r="B233" t="s">
        <v>355</v>
      </c>
      <c r="C233" t="s">
        <v>347</v>
      </c>
      <c r="D233">
        <v>2.08</v>
      </c>
      <c r="E233">
        <v>1.71</v>
      </c>
      <c r="F233" t="s">
        <v>8</v>
      </c>
    </row>
    <row r="234" spans="2:6" x14ac:dyDescent="0.25">
      <c r="B234" t="s">
        <v>355</v>
      </c>
      <c r="C234" t="s">
        <v>347</v>
      </c>
      <c r="D234">
        <v>2.1800000000000002</v>
      </c>
      <c r="E234">
        <v>1.71</v>
      </c>
      <c r="F234" t="s">
        <v>8</v>
      </c>
    </row>
    <row r="235" spans="2:6" x14ac:dyDescent="0.25">
      <c r="B235" t="s">
        <v>355</v>
      </c>
      <c r="C235" t="s">
        <v>347</v>
      </c>
      <c r="D235">
        <v>2.2200000000000002</v>
      </c>
      <c r="E235">
        <v>1.7</v>
      </c>
      <c r="F235" t="s">
        <v>8</v>
      </c>
    </row>
    <row r="236" spans="2:6" x14ac:dyDescent="0.25">
      <c r="B236" t="s">
        <v>355</v>
      </c>
      <c r="C236" t="s">
        <v>347</v>
      </c>
      <c r="D236">
        <v>2.08</v>
      </c>
      <c r="E236">
        <v>1.71</v>
      </c>
      <c r="F236" t="s">
        <v>8</v>
      </c>
    </row>
    <row r="237" spans="2:6" x14ac:dyDescent="0.25">
      <c r="B237" t="s">
        <v>355</v>
      </c>
      <c r="C237" t="s">
        <v>347</v>
      </c>
      <c r="D237">
        <v>2.2000000000000002</v>
      </c>
      <c r="E237">
        <v>1.71</v>
      </c>
      <c r="F237" t="s">
        <v>8</v>
      </c>
    </row>
    <row r="238" spans="2:6" x14ac:dyDescent="0.25">
      <c r="B238" t="s">
        <v>355</v>
      </c>
      <c r="C238" t="s">
        <v>347</v>
      </c>
      <c r="D238">
        <v>2.15</v>
      </c>
      <c r="E238">
        <v>1.71</v>
      </c>
      <c r="F238" t="s">
        <v>8</v>
      </c>
    </row>
    <row r="239" spans="2:6" x14ac:dyDescent="0.25">
      <c r="B239" t="s">
        <v>355</v>
      </c>
      <c r="C239" t="s">
        <v>347</v>
      </c>
      <c r="D239">
        <v>2.2000000000000002</v>
      </c>
      <c r="E239">
        <v>1.71</v>
      </c>
      <c r="F239" t="s">
        <v>8</v>
      </c>
    </row>
    <row r="240" spans="2:6" x14ac:dyDescent="0.25">
      <c r="B240" t="s">
        <v>355</v>
      </c>
      <c r="C240" t="s">
        <v>347</v>
      </c>
      <c r="D240">
        <v>2.2000000000000002</v>
      </c>
      <c r="E240">
        <v>1.71</v>
      </c>
      <c r="F240" t="s">
        <v>8</v>
      </c>
    </row>
    <row r="241" spans="2:6" x14ac:dyDescent="0.25">
      <c r="B241" t="s">
        <v>355</v>
      </c>
      <c r="C241" t="s">
        <v>347</v>
      </c>
      <c r="D241">
        <v>2.2000000000000002</v>
      </c>
      <c r="E241">
        <v>1.71</v>
      </c>
      <c r="F241" t="s">
        <v>8</v>
      </c>
    </row>
    <row r="242" spans="2:6" x14ac:dyDescent="0.25">
      <c r="B242" t="s">
        <v>477</v>
      </c>
      <c r="C242" t="s">
        <v>347</v>
      </c>
      <c r="D242">
        <v>1</v>
      </c>
      <c r="E242">
        <v>41</v>
      </c>
      <c r="F242" t="s">
        <v>8</v>
      </c>
    </row>
    <row r="243" spans="2:6" x14ac:dyDescent="0.25">
      <c r="B243" t="s">
        <v>477</v>
      </c>
      <c r="C243" t="s">
        <v>347</v>
      </c>
      <c r="D243">
        <v>1</v>
      </c>
      <c r="E243">
        <v>41</v>
      </c>
      <c r="F243" t="s">
        <v>8</v>
      </c>
    </row>
    <row r="244" spans="2:6" x14ac:dyDescent="0.25">
      <c r="B244" t="s">
        <v>480</v>
      </c>
      <c r="C244" t="s">
        <v>347</v>
      </c>
      <c r="D244">
        <v>1.17</v>
      </c>
      <c r="E244">
        <v>5.4</v>
      </c>
      <c r="F244" t="s">
        <v>8</v>
      </c>
    </row>
    <row r="245" spans="2:6" x14ac:dyDescent="0.25">
      <c r="B245" t="s">
        <v>480</v>
      </c>
      <c r="C245" t="s">
        <v>347</v>
      </c>
      <c r="D245">
        <v>1.17</v>
      </c>
      <c r="E245">
        <v>5.3</v>
      </c>
      <c r="F245" t="s">
        <v>8</v>
      </c>
    </row>
    <row r="246" spans="2:6" x14ac:dyDescent="0.25">
      <c r="B246" t="s">
        <v>480</v>
      </c>
      <c r="C246" t="s">
        <v>347</v>
      </c>
      <c r="D246">
        <v>1.17</v>
      </c>
      <c r="E246">
        <v>5.6</v>
      </c>
      <c r="F246" t="s">
        <v>8</v>
      </c>
    </row>
    <row r="247" spans="2:6" x14ac:dyDescent="0.25">
      <c r="B247" t="s">
        <v>480</v>
      </c>
      <c r="C247" t="s">
        <v>347</v>
      </c>
      <c r="D247">
        <v>1.1599999999999999</v>
      </c>
      <c r="E247">
        <v>5.5</v>
      </c>
      <c r="F247" t="s">
        <v>8</v>
      </c>
    </row>
    <row r="248" spans="2:6" x14ac:dyDescent="0.25">
      <c r="B248" t="s">
        <v>480</v>
      </c>
      <c r="C248" t="s">
        <v>347</v>
      </c>
      <c r="D248">
        <v>1.1599999999999999</v>
      </c>
      <c r="E248">
        <v>5.3</v>
      </c>
      <c r="F248" t="s">
        <v>8</v>
      </c>
    </row>
    <row r="249" spans="2:6" x14ac:dyDescent="0.25">
      <c r="B249" t="s">
        <v>480</v>
      </c>
      <c r="C249" t="s">
        <v>347</v>
      </c>
      <c r="D249">
        <v>1.17</v>
      </c>
      <c r="E249">
        <v>5.3</v>
      </c>
      <c r="F249" t="s">
        <v>8</v>
      </c>
    </row>
    <row r="250" spans="2:6" x14ac:dyDescent="0.25">
      <c r="B250" t="s">
        <v>480</v>
      </c>
      <c r="C250" t="s">
        <v>347</v>
      </c>
      <c r="D250">
        <v>1.17</v>
      </c>
      <c r="E250">
        <v>5.6</v>
      </c>
      <c r="F250" t="s">
        <v>8</v>
      </c>
    </row>
    <row r="251" spans="2:6" x14ac:dyDescent="0.25">
      <c r="B251" t="s">
        <v>480</v>
      </c>
      <c r="C251" t="s">
        <v>347</v>
      </c>
      <c r="D251">
        <v>1.1599999999999999</v>
      </c>
      <c r="E251">
        <v>5.5</v>
      </c>
      <c r="F251" t="s">
        <v>8</v>
      </c>
    </row>
    <row r="252" spans="2:6" x14ac:dyDescent="0.25">
      <c r="B252" t="s">
        <v>480</v>
      </c>
      <c r="C252" t="s">
        <v>347</v>
      </c>
      <c r="D252">
        <v>1.17</v>
      </c>
      <c r="E252">
        <v>5.5</v>
      </c>
      <c r="F252" t="s">
        <v>8</v>
      </c>
    </row>
    <row r="253" spans="2:6" x14ac:dyDescent="0.25">
      <c r="B253" t="s">
        <v>480</v>
      </c>
      <c r="C253" t="s">
        <v>347</v>
      </c>
      <c r="D253">
        <v>1.17</v>
      </c>
      <c r="E253">
        <v>5.25</v>
      </c>
      <c r="F253" t="s">
        <v>8</v>
      </c>
    </row>
    <row r="254" spans="2:6" x14ac:dyDescent="0.25">
      <c r="B254" t="s">
        <v>480</v>
      </c>
      <c r="C254" t="s">
        <v>347</v>
      </c>
      <c r="D254">
        <v>1.17</v>
      </c>
      <c r="E254">
        <v>5.25</v>
      </c>
      <c r="F254" t="s">
        <v>8</v>
      </c>
    </row>
    <row r="255" spans="2:6" x14ac:dyDescent="0.25">
      <c r="B255" t="s">
        <v>480</v>
      </c>
      <c r="C255" t="s">
        <v>347</v>
      </c>
      <c r="D255">
        <v>1.1599999999999999</v>
      </c>
      <c r="E255">
        <v>5.35</v>
      </c>
      <c r="F255" t="s">
        <v>8</v>
      </c>
    </row>
    <row r="256" spans="2:6" x14ac:dyDescent="0.25">
      <c r="B256" t="s">
        <v>480</v>
      </c>
      <c r="C256" t="s">
        <v>347</v>
      </c>
      <c r="D256">
        <v>1.18</v>
      </c>
      <c r="E256">
        <v>5.25</v>
      </c>
      <c r="F256" t="s">
        <v>8</v>
      </c>
    </row>
    <row r="257" spans="2:6" x14ac:dyDescent="0.25">
      <c r="B257" t="s">
        <v>481</v>
      </c>
      <c r="C257" t="s">
        <v>347</v>
      </c>
      <c r="D257">
        <v>1.07</v>
      </c>
      <c r="E257">
        <v>9.25</v>
      </c>
      <c r="F257" t="s">
        <v>8</v>
      </c>
    </row>
    <row r="258" spans="2:6" x14ac:dyDescent="0.25">
      <c r="B258" t="s">
        <v>481</v>
      </c>
      <c r="C258" t="s">
        <v>347</v>
      </c>
      <c r="D258">
        <v>1.05</v>
      </c>
      <c r="E258">
        <v>11</v>
      </c>
      <c r="F258" t="s">
        <v>8</v>
      </c>
    </row>
    <row r="259" spans="2:6" x14ac:dyDescent="0.25">
      <c r="B259" t="s">
        <v>481</v>
      </c>
      <c r="C259" t="s">
        <v>347</v>
      </c>
      <c r="D259">
        <v>1.08</v>
      </c>
      <c r="E259">
        <v>8</v>
      </c>
      <c r="F259" t="s">
        <v>8</v>
      </c>
    </row>
    <row r="260" spans="2:6" x14ac:dyDescent="0.25">
      <c r="B260" t="s">
        <v>481</v>
      </c>
      <c r="C260" t="s">
        <v>347</v>
      </c>
      <c r="D260">
        <v>1.07</v>
      </c>
      <c r="E260">
        <v>9.1</v>
      </c>
      <c r="F260" t="s">
        <v>8</v>
      </c>
    </row>
    <row r="261" spans="2:6" x14ac:dyDescent="0.25">
      <c r="B261" t="s">
        <v>481</v>
      </c>
      <c r="C261" t="s">
        <v>347</v>
      </c>
      <c r="D261">
        <v>1.07</v>
      </c>
      <c r="E261">
        <v>9</v>
      </c>
      <c r="F261" t="s">
        <v>8</v>
      </c>
    </row>
    <row r="262" spans="2:6" x14ac:dyDescent="0.25">
      <c r="B262" t="s">
        <v>481</v>
      </c>
      <c r="C262" t="s">
        <v>347</v>
      </c>
      <c r="D262">
        <v>1.07</v>
      </c>
      <c r="E262">
        <v>9.25</v>
      </c>
      <c r="F262" t="s">
        <v>8</v>
      </c>
    </row>
    <row r="263" spans="2:6" x14ac:dyDescent="0.25">
      <c r="B263" t="s">
        <v>481</v>
      </c>
      <c r="C263" t="s">
        <v>347</v>
      </c>
      <c r="D263">
        <v>1.05</v>
      </c>
      <c r="E263">
        <v>11</v>
      </c>
      <c r="F263" t="s">
        <v>8</v>
      </c>
    </row>
    <row r="264" spans="2:6" x14ac:dyDescent="0.25">
      <c r="B264" t="s">
        <v>481</v>
      </c>
      <c r="C264" t="s">
        <v>347</v>
      </c>
      <c r="D264">
        <v>1.06</v>
      </c>
      <c r="E264">
        <v>10</v>
      </c>
      <c r="F264" t="s">
        <v>8</v>
      </c>
    </row>
    <row r="265" spans="2:6" x14ac:dyDescent="0.25">
      <c r="B265" t="s">
        <v>481</v>
      </c>
      <c r="C265" t="s">
        <v>347</v>
      </c>
      <c r="D265">
        <v>1.07</v>
      </c>
      <c r="E265">
        <v>9</v>
      </c>
      <c r="F265" t="s">
        <v>8</v>
      </c>
    </row>
    <row r="266" spans="2:6" x14ac:dyDescent="0.25">
      <c r="B266" t="s">
        <v>481</v>
      </c>
      <c r="C266" t="s">
        <v>347</v>
      </c>
      <c r="D266">
        <v>1.06</v>
      </c>
      <c r="E266">
        <v>9.5</v>
      </c>
      <c r="F266" t="s">
        <v>8</v>
      </c>
    </row>
    <row r="267" spans="2:6" x14ac:dyDescent="0.25">
      <c r="B267" t="s">
        <v>481</v>
      </c>
      <c r="C267" t="s">
        <v>347</v>
      </c>
      <c r="D267">
        <v>1.06</v>
      </c>
      <c r="E267">
        <v>9.4</v>
      </c>
      <c r="F267" t="s">
        <v>8</v>
      </c>
    </row>
    <row r="268" spans="2:6" x14ac:dyDescent="0.25">
      <c r="B268" t="s">
        <v>481</v>
      </c>
      <c r="C268" t="s">
        <v>347</v>
      </c>
      <c r="D268">
        <v>1.08</v>
      </c>
      <c r="E268">
        <v>9.25</v>
      </c>
      <c r="F268" t="s">
        <v>8</v>
      </c>
    </row>
    <row r="269" spans="2:6" x14ac:dyDescent="0.25">
      <c r="B269" t="s">
        <v>482</v>
      </c>
      <c r="C269" t="s">
        <v>360</v>
      </c>
      <c r="D269">
        <v>3.95</v>
      </c>
      <c r="E269">
        <v>1.27</v>
      </c>
      <c r="F269" t="s">
        <v>8</v>
      </c>
    </row>
    <row r="270" spans="2:6" x14ac:dyDescent="0.25">
      <c r="B270" t="s">
        <v>482</v>
      </c>
      <c r="C270" t="s">
        <v>360</v>
      </c>
      <c r="D270">
        <v>4.0999999999999996</v>
      </c>
      <c r="E270">
        <v>1.25</v>
      </c>
      <c r="F270" t="s">
        <v>8</v>
      </c>
    </row>
    <row r="271" spans="2:6" x14ac:dyDescent="0.25">
      <c r="B271" t="s">
        <v>482</v>
      </c>
      <c r="C271" t="s">
        <v>360</v>
      </c>
      <c r="D271">
        <v>3.9</v>
      </c>
      <c r="E271">
        <v>1.28</v>
      </c>
      <c r="F271" t="s">
        <v>8</v>
      </c>
    </row>
    <row r="272" spans="2:6" x14ac:dyDescent="0.25">
      <c r="B272" t="s">
        <v>482</v>
      </c>
      <c r="C272" t="s">
        <v>360</v>
      </c>
      <c r="D272">
        <v>3.75</v>
      </c>
      <c r="E272">
        <v>1.29</v>
      </c>
      <c r="F272" t="s">
        <v>8</v>
      </c>
    </row>
    <row r="273" spans="2:6" x14ac:dyDescent="0.25">
      <c r="B273" t="s">
        <v>482</v>
      </c>
      <c r="C273" t="s">
        <v>360</v>
      </c>
      <c r="D273">
        <v>3.85</v>
      </c>
      <c r="E273">
        <v>1.27</v>
      </c>
      <c r="F273" t="s">
        <v>8</v>
      </c>
    </row>
    <row r="274" spans="2:6" x14ac:dyDescent="0.25">
      <c r="B274" t="s">
        <v>482</v>
      </c>
      <c r="C274" t="s">
        <v>360</v>
      </c>
      <c r="D274">
        <v>3.7</v>
      </c>
      <c r="E274">
        <v>1.29</v>
      </c>
      <c r="F274" t="s">
        <v>8</v>
      </c>
    </row>
    <row r="275" spans="2:6" x14ac:dyDescent="0.25">
      <c r="B275" t="s">
        <v>482</v>
      </c>
      <c r="C275" t="s">
        <v>360</v>
      </c>
      <c r="D275">
        <v>3.9</v>
      </c>
      <c r="E275">
        <v>1.28</v>
      </c>
      <c r="F275" t="s">
        <v>8</v>
      </c>
    </row>
    <row r="276" spans="2:6" x14ac:dyDescent="0.25">
      <c r="B276" t="s">
        <v>482</v>
      </c>
      <c r="C276" t="s">
        <v>360</v>
      </c>
      <c r="D276">
        <v>3.7</v>
      </c>
      <c r="E276">
        <v>1.29</v>
      </c>
      <c r="F276" t="s">
        <v>8</v>
      </c>
    </row>
    <row r="277" spans="2:6" x14ac:dyDescent="0.25">
      <c r="B277" t="s">
        <v>482</v>
      </c>
      <c r="C277" t="s">
        <v>360</v>
      </c>
      <c r="D277">
        <v>3.8</v>
      </c>
      <c r="E277">
        <v>1.29</v>
      </c>
      <c r="F277" t="s">
        <v>8</v>
      </c>
    </row>
    <row r="278" spans="2:6" x14ac:dyDescent="0.25">
      <c r="B278" t="s">
        <v>482</v>
      </c>
      <c r="C278" t="s">
        <v>360</v>
      </c>
      <c r="D278">
        <v>3.75</v>
      </c>
      <c r="E278">
        <v>1.29</v>
      </c>
      <c r="F278" t="s">
        <v>8</v>
      </c>
    </row>
    <row r="279" spans="2:6" x14ac:dyDescent="0.25">
      <c r="B279" t="s">
        <v>482</v>
      </c>
      <c r="C279" t="s">
        <v>360</v>
      </c>
      <c r="D279">
        <v>3.85</v>
      </c>
      <c r="E279">
        <v>1.27</v>
      </c>
      <c r="F279" t="s">
        <v>8</v>
      </c>
    </row>
    <row r="280" spans="2:6" x14ac:dyDescent="0.25">
      <c r="B280" t="s">
        <v>482</v>
      </c>
      <c r="C280" t="s">
        <v>360</v>
      </c>
      <c r="D280">
        <v>3.7</v>
      </c>
      <c r="E280">
        <v>1.3</v>
      </c>
      <c r="F280" t="s">
        <v>8</v>
      </c>
    </row>
    <row r="281" spans="2:6" x14ac:dyDescent="0.25">
      <c r="B281" t="s">
        <v>361</v>
      </c>
      <c r="C281" t="s">
        <v>360</v>
      </c>
      <c r="D281">
        <v>1.03</v>
      </c>
      <c r="E281">
        <v>16</v>
      </c>
      <c r="F281" t="s">
        <v>8</v>
      </c>
    </row>
    <row r="282" spans="2:6" x14ac:dyDescent="0.25">
      <c r="B282" t="s">
        <v>361</v>
      </c>
      <c r="C282" t="s">
        <v>360</v>
      </c>
      <c r="D282">
        <v>1.01</v>
      </c>
      <c r="E282">
        <v>17</v>
      </c>
      <c r="F282" t="s">
        <v>8</v>
      </c>
    </row>
    <row r="283" spans="2:6" x14ac:dyDescent="0.25">
      <c r="B283" t="s">
        <v>361</v>
      </c>
      <c r="C283" t="s">
        <v>360</v>
      </c>
      <c r="D283">
        <v>1.01</v>
      </c>
      <c r="E283">
        <v>19</v>
      </c>
      <c r="F283" t="s">
        <v>8</v>
      </c>
    </row>
    <row r="284" spans="2:6" x14ac:dyDescent="0.25">
      <c r="B284" t="s">
        <v>361</v>
      </c>
      <c r="C284" t="s">
        <v>360</v>
      </c>
      <c r="D284">
        <v>1.01</v>
      </c>
      <c r="E284">
        <v>19</v>
      </c>
      <c r="F284" t="s">
        <v>8</v>
      </c>
    </row>
    <row r="285" spans="2:6" x14ac:dyDescent="0.25">
      <c r="B285" t="s">
        <v>361</v>
      </c>
      <c r="C285" t="s">
        <v>360</v>
      </c>
      <c r="D285">
        <v>1.01</v>
      </c>
      <c r="E285">
        <v>17</v>
      </c>
      <c r="F285" t="s">
        <v>8</v>
      </c>
    </row>
    <row r="286" spans="2:6" x14ac:dyDescent="0.25">
      <c r="B286" t="s">
        <v>361</v>
      </c>
      <c r="C286" t="s">
        <v>360</v>
      </c>
      <c r="D286">
        <v>1.02</v>
      </c>
      <c r="E286">
        <v>17</v>
      </c>
      <c r="F286" t="s">
        <v>8</v>
      </c>
    </row>
    <row r="287" spans="2:6" x14ac:dyDescent="0.25">
      <c r="B287" t="s">
        <v>361</v>
      </c>
      <c r="C287" t="s">
        <v>360</v>
      </c>
      <c r="D287">
        <v>1.01</v>
      </c>
      <c r="E287">
        <v>17</v>
      </c>
      <c r="F287" t="s">
        <v>8</v>
      </c>
    </row>
    <row r="288" spans="2:6" x14ac:dyDescent="0.25">
      <c r="B288" t="s">
        <v>361</v>
      </c>
      <c r="C288" t="s">
        <v>360</v>
      </c>
      <c r="D288">
        <v>1.02</v>
      </c>
      <c r="E288">
        <v>15</v>
      </c>
      <c r="F288" t="s">
        <v>8</v>
      </c>
    </row>
    <row r="289" spans="2:6" x14ac:dyDescent="0.25">
      <c r="B289" t="s">
        <v>483</v>
      </c>
      <c r="C289" t="s">
        <v>363</v>
      </c>
      <c r="D289">
        <v>3.6</v>
      </c>
      <c r="E289">
        <v>1.31</v>
      </c>
      <c r="F289" t="s">
        <v>8</v>
      </c>
    </row>
    <row r="290" spans="2:6" x14ac:dyDescent="0.25">
      <c r="B290" t="s">
        <v>483</v>
      </c>
      <c r="C290" t="s">
        <v>363</v>
      </c>
      <c r="D290">
        <v>4</v>
      </c>
      <c r="E290">
        <v>1.27</v>
      </c>
      <c r="F290" t="s">
        <v>8</v>
      </c>
    </row>
    <row r="291" spans="2:6" x14ac:dyDescent="0.25">
      <c r="B291" t="s">
        <v>483</v>
      </c>
      <c r="C291" t="s">
        <v>363</v>
      </c>
      <c r="D291">
        <v>4</v>
      </c>
      <c r="E291">
        <v>1.25</v>
      </c>
      <c r="F291" t="s">
        <v>8</v>
      </c>
    </row>
    <row r="292" spans="2:6" x14ac:dyDescent="0.25">
      <c r="B292" t="s">
        <v>483</v>
      </c>
      <c r="C292" t="s">
        <v>363</v>
      </c>
      <c r="D292">
        <v>3.7</v>
      </c>
      <c r="E292">
        <v>1.29</v>
      </c>
      <c r="F292" t="s">
        <v>8</v>
      </c>
    </row>
    <row r="293" spans="2:6" x14ac:dyDescent="0.25">
      <c r="B293" t="s">
        <v>483</v>
      </c>
      <c r="C293" t="s">
        <v>363</v>
      </c>
      <c r="D293">
        <v>3.7</v>
      </c>
      <c r="E293">
        <v>1.29</v>
      </c>
      <c r="F293" t="s">
        <v>8</v>
      </c>
    </row>
    <row r="294" spans="2:6" x14ac:dyDescent="0.25">
      <c r="B294" t="s">
        <v>483</v>
      </c>
      <c r="C294" t="s">
        <v>363</v>
      </c>
      <c r="D294">
        <v>4</v>
      </c>
      <c r="E294">
        <v>1.26</v>
      </c>
      <c r="F294" t="s">
        <v>8</v>
      </c>
    </row>
    <row r="295" spans="2:6" x14ac:dyDescent="0.25">
      <c r="B295" t="s">
        <v>483</v>
      </c>
      <c r="C295" t="s">
        <v>363</v>
      </c>
      <c r="D295">
        <v>4</v>
      </c>
      <c r="E295">
        <v>1.27</v>
      </c>
      <c r="F295" t="s">
        <v>8</v>
      </c>
    </row>
    <row r="296" spans="2:6" x14ac:dyDescent="0.25">
      <c r="B296" t="s">
        <v>483</v>
      </c>
      <c r="C296" t="s">
        <v>363</v>
      </c>
      <c r="D296">
        <v>3.7</v>
      </c>
      <c r="E296">
        <v>1.29</v>
      </c>
      <c r="F296" t="s">
        <v>8</v>
      </c>
    </row>
    <row r="297" spans="2:6" x14ac:dyDescent="0.25">
      <c r="B297" t="s">
        <v>483</v>
      </c>
      <c r="C297" t="s">
        <v>363</v>
      </c>
      <c r="D297">
        <v>3.9</v>
      </c>
      <c r="E297">
        <v>1.27</v>
      </c>
      <c r="F297" t="s">
        <v>8</v>
      </c>
    </row>
    <row r="298" spans="2:6" x14ac:dyDescent="0.25">
      <c r="B298" t="s">
        <v>483</v>
      </c>
      <c r="C298" t="s">
        <v>363</v>
      </c>
      <c r="D298">
        <v>3.7</v>
      </c>
      <c r="E298">
        <v>1.29</v>
      </c>
      <c r="F298" t="s">
        <v>8</v>
      </c>
    </row>
    <row r="299" spans="2:6" x14ac:dyDescent="0.25">
      <c r="B299" t="s">
        <v>483</v>
      </c>
      <c r="C299" t="s">
        <v>363</v>
      </c>
      <c r="D299">
        <v>3.6</v>
      </c>
      <c r="E299">
        <v>1.3</v>
      </c>
      <c r="F299" t="s">
        <v>8</v>
      </c>
    </row>
    <row r="300" spans="2:6" x14ac:dyDescent="0.25">
      <c r="B300" t="s">
        <v>483</v>
      </c>
      <c r="C300" t="s">
        <v>363</v>
      </c>
      <c r="D300">
        <v>3.75</v>
      </c>
      <c r="E300">
        <v>1.28</v>
      </c>
      <c r="F300" t="s">
        <v>8</v>
      </c>
    </row>
    <row r="301" spans="2:6" x14ac:dyDescent="0.25">
      <c r="B301" t="s">
        <v>483</v>
      </c>
      <c r="C301" t="s">
        <v>363</v>
      </c>
      <c r="D301">
        <v>3.85</v>
      </c>
      <c r="E301">
        <v>1.29</v>
      </c>
      <c r="F301" t="s">
        <v>8</v>
      </c>
    </row>
    <row r="302" spans="2:6" x14ac:dyDescent="0.25">
      <c r="B302" t="s">
        <v>484</v>
      </c>
      <c r="C302" t="s">
        <v>363</v>
      </c>
      <c r="D302">
        <v>1.21</v>
      </c>
      <c r="E302">
        <v>4.7</v>
      </c>
      <c r="F302" t="s">
        <v>8</v>
      </c>
    </row>
    <row r="303" spans="2:6" x14ac:dyDescent="0.25">
      <c r="B303" t="s">
        <v>484</v>
      </c>
      <c r="C303" t="s">
        <v>363</v>
      </c>
      <c r="D303">
        <v>1.22</v>
      </c>
      <c r="E303">
        <v>4.7</v>
      </c>
      <c r="F303" t="s">
        <v>8</v>
      </c>
    </row>
    <row r="304" spans="2:6" x14ac:dyDescent="0.25">
      <c r="B304" t="s">
        <v>484</v>
      </c>
      <c r="C304" t="s">
        <v>363</v>
      </c>
      <c r="D304">
        <v>1.19</v>
      </c>
      <c r="E304">
        <v>4.75</v>
      </c>
      <c r="F304" t="s">
        <v>8</v>
      </c>
    </row>
    <row r="305" spans="2:6" x14ac:dyDescent="0.25">
      <c r="B305" t="s">
        <v>484</v>
      </c>
      <c r="C305" t="s">
        <v>363</v>
      </c>
      <c r="D305">
        <v>1.2</v>
      </c>
      <c r="E305">
        <v>4.75</v>
      </c>
      <c r="F305" t="s">
        <v>8</v>
      </c>
    </row>
    <row r="306" spans="2:6" x14ac:dyDescent="0.25">
      <c r="B306" t="s">
        <v>484</v>
      </c>
      <c r="C306" t="s">
        <v>363</v>
      </c>
      <c r="D306">
        <v>1.21</v>
      </c>
      <c r="E306">
        <v>4.5999999999999996</v>
      </c>
      <c r="F306" t="s">
        <v>8</v>
      </c>
    </row>
    <row r="307" spans="2:6" x14ac:dyDescent="0.25">
      <c r="B307" t="s">
        <v>484</v>
      </c>
      <c r="C307" t="s">
        <v>363</v>
      </c>
      <c r="D307">
        <v>1.19</v>
      </c>
      <c r="E307">
        <v>4.8</v>
      </c>
      <c r="F307" t="s">
        <v>8</v>
      </c>
    </row>
    <row r="308" spans="2:6" x14ac:dyDescent="0.25">
      <c r="B308" t="s">
        <v>484</v>
      </c>
      <c r="C308" t="s">
        <v>363</v>
      </c>
      <c r="D308">
        <v>1.18</v>
      </c>
      <c r="E308">
        <v>5</v>
      </c>
      <c r="F308" t="s">
        <v>8</v>
      </c>
    </row>
    <row r="309" spans="2:6" x14ac:dyDescent="0.25">
      <c r="B309" t="s">
        <v>484</v>
      </c>
      <c r="C309" t="s">
        <v>363</v>
      </c>
      <c r="D309">
        <v>1.22</v>
      </c>
      <c r="E309">
        <v>4.7</v>
      </c>
      <c r="F309" t="s">
        <v>8</v>
      </c>
    </row>
    <row r="310" spans="2:6" x14ac:dyDescent="0.25">
      <c r="B310" t="s">
        <v>484</v>
      </c>
      <c r="C310" t="s">
        <v>363</v>
      </c>
      <c r="D310">
        <v>1.19</v>
      </c>
      <c r="E310">
        <v>4.8</v>
      </c>
      <c r="F310" t="s">
        <v>8</v>
      </c>
    </row>
    <row r="311" spans="2:6" x14ac:dyDescent="0.25">
      <c r="B311" t="s">
        <v>484</v>
      </c>
      <c r="C311" t="s">
        <v>363</v>
      </c>
      <c r="D311">
        <v>1.21</v>
      </c>
      <c r="E311">
        <v>4.5999999999999996</v>
      </c>
      <c r="F311" t="s">
        <v>8</v>
      </c>
    </row>
    <row r="312" spans="2:6" x14ac:dyDescent="0.25">
      <c r="B312" t="s">
        <v>484</v>
      </c>
      <c r="C312" t="s">
        <v>363</v>
      </c>
      <c r="D312">
        <v>1.2</v>
      </c>
      <c r="E312">
        <v>4.75</v>
      </c>
      <c r="F312" t="s">
        <v>8</v>
      </c>
    </row>
    <row r="313" spans="2:6" x14ac:dyDescent="0.25">
      <c r="B313" t="s">
        <v>484</v>
      </c>
      <c r="C313" t="s">
        <v>363</v>
      </c>
      <c r="D313">
        <v>1.2</v>
      </c>
      <c r="E313">
        <v>4.7</v>
      </c>
      <c r="F313" t="s">
        <v>8</v>
      </c>
    </row>
    <row r="314" spans="2:6" x14ac:dyDescent="0.25">
      <c r="B314" t="s">
        <v>484</v>
      </c>
      <c r="C314" t="s">
        <v>363</v>
      </c>
      <c r="D314">
        <v>1.22</v>
      </c>
      <c r="E314">
        <v>4.6500000000000004</v>
      </c>
      <c r="F314" t="s">
        <v>8</v>
      </c>
    </row>
    <row r="315" spans="2:6" x14ac:dyDescent="0.25">
      <c r="B315" t="s">
        <v>365</v>
      </c>
      <c r="C315" t="s">
        <v>363</v>
      </c>
      <c r="D315">
        <v>2.14</v>
      </c>
      <c r="E315">
        <v>1.74</v>
      </c>
      <c r="F315" t="s">
        <v>8</v>
      </c>
    </row>
    <row r="316" spans="2:6" x14ac:dyDescent="0.25">
      <c r="B316" t="s">
        <v>365</v>
      </c>
      <c r="C316" t="s">
        <v>363</v>
      </c>
      <c r="D316">
        <v>2.15</v>
      </c>
      <c r="E316">
        <v>1.74</v>
      </c>
      <c r="F316" t="s">
        <v>8</v>
      </c>
    </row>
    <row r="317" spans="2:6" x14ac:dyDescent="0.25">
      <c r="B317" t="s">
        <v>365</v>
      </c>
      <c r="C317" t="s">
        <v>363</v>
      </c>
      <c r="D317">
        <v>2.15</v>
      </c>
      <c r="E317">
        <v>1.74</v>
      </c>
      <c r="F317" t="s">
        <v>8</v>
      </c>
    </row>
    <row r="318" spans="2:6" x14ac:dyDescent="0.25">
      <c r="B318" t="s">
        <v>365</v>
      </c>
      <c r="C318" t="s">
        <v>363</v>
      </c>
      <c r="D318">
        <v>2.25</v>
      </c>
      <c r="E318">
        <v>1.69</v>
      </c>
      <c r="F318" t="s">
        <v>8</v>
      </c>
    </row>
    <row r="319" spans="2:6" x14ac:dyDescent="0.25">
      <c r="B319" t="s">
        <v>365</v>
      </c>
      <c r="C319" t="s">
        <v>363</v>
      </c>
      <c r="D319">
        <v>2.1800000000000002</v>
      </c>
      <c r="E319">
        <v>1.71</v>
      </c>
      <c r="F319" t="s">
        <v>8</v>
      </c>
    </row>
    <row r="320" spans="2:6" x14ac:dyDescent="0.25">
      <c r="B320" t="s">
        <v>365</v>
      </c>
      <c r="C320" t="s">
        <v>363</v>
      </c>
      <c r="D320">
        <v>2.1800000000000002</v>
      </c>
      <c r="E320">
        <v>1.7</v>
      </c>
      <c r="F320" t="s">
        <v>8</v>
      </c>
    </row>
    <row r="321" spans="2:6" x14ac:dyDescent="0.25">
      <c r="B321" t="s">
        <v>365</v>
      </c>
      <c r="C321" t="s">
        <v>363</v>
      </c>
      <c r="D321">
        <v>2.1800000000000002</v>
      </c>
      <c r="E321">
        <v>1.7</v>
      </c>
      <c r="F321" t="s">
        <v>8</v>
      </c>
    </row>
    <row r="322" spans="2:6" x14ac:dyDescent="0.25">
      <c r="B322" t="s">
        <v>365</v>
      </c>
      <c r="C322" t="s">
        <v>363</v>
      </c>
      <c r="D322">
        <v>2.15</v>
      </c>
      <c r="E322">
        <v>1.74</v>
      </c>
      <c r="F322" t="s">
        <v>8</v>
      </c>
    </row>
    <row r="323" spans="2:6" x14ac:dyDescent="0.25">
      <c r="B323" t="s">
        <v>365</v>
      </c>
      <c r="C323" t="s">
        <v>363</v>
      </c>
      <c r="D323">
        <v>2.1800000000000002</v>
      </c>
      <c r="E323">
        <v>1.7</v>
      </c>
      <c r="F323" t="s">
        <v>8</v>
      </c>
    </row>
    <row r="324" spans="2:6" x14ac:dyDescent="0.25">
      <c r="B324" t="s">
        <v>365</v>
      </c>
      <c r="C324" t="s">
        <v>363</v>
      </c>
      <c r="D324">
        <v>2.15</v>
      </c>
      <c r="E324">
        <v>1.74</v>
      </c>
      <c r="F324" t="s">
        <v>8</v>
      </c>
    </row>
    <row r="325" spans="2:6" x14ac:dyDescent="0.25">
      <c r="B325" t="s">
        <v>365</v>
      </c>
      <c r="C325" t="s">
        <v>363</v>
      </c>
      <c r="D325">
        <v>2.15</v>
      </c>
      <c r="E325">
        <v>1.71</v>
      </c>
      <c r="F325" t="s">
        <v>8</v>
      </c>
    </row>
    <row r="326" spans="2:6" x14ac:dyDescent="0.25">
      <c r="B326" t="s">
        <v>365</v>
      </c>
      <c r="C326" t="s">
        <v>363</v>
      </c>
      <c r="D326">
        <v>2.2000000000000002</v>
      </c>
      <c r="E326">
        <v>1.71</v>
      </c>
      <c r="F326" t="s">
        <v>8</v>
      </c>
    </row>
    <row r="327" spans="2:6" x14ac:dyDescent="0.25">
      <c r="B327" t="s">
        <v>365</v>
      </c>
      <c r="C327" t="s">
        <v>363</v>
      </c>
      <c r="D327">
        <v>2.12</v>
      </c>
      <c r="E327">
        <v>1.77</v>
      </c>
      <c r="F327" t="s">
        <v>8</v>
      </c>
    </row>
    <row r="328" spans="2:6" x14ac:dyDescent="0.25">
      <c r="B328" t="s">
        <v>366</v>
      </c>
      <c r="C328" t="s">
        <v>363</v>
      </c>
      <c r="D328">
        <v>1.33</v>
      </c>
      <c r="E328">
        <v>3.45</v>
      </c>
      <c r="F328" t="s">
        <v>8</v>
      </c>
    </row>
    <row r="329" spans="2:6" x14ac:dyDescent="0.25">
      <c r="B329" t="s">
        <v>366</v>
      </c>
      <c r="C329" t="s">
        <v>363</v>
      </c>
      <c r="D329">
        <v>1.36</v>
      </c>
      <c r="E329">
        <v>3.35</v>
      </c>
      <c r="F329" t="s">
        <v>8</v>
      </c>
    </row>
    <row r="330" spans="2:6" x14ac:dyDescent="0.25">
      <c r="B330" t="s">
        <v>366</v>
      </c>
      <c r="C330" t="s">
        <v>363</v>
      </c>
      <c r="D330">
        <v>1.34</v>
      </c>
      <c r="E330">
        <v>3.4</v>
      </c>
      <c r="F330" t="s">
        <v>8</v>
      </c>
    </row>
    <row r="331" spans="2:6" x14ac:dyDescent="0.25">
      <c r="B331" t="s">
        <v>366</v>
      </c>
      <c r="C331" t="s">
        <v>363</v>
      </c>
      <c r="D331">
        <v>1.33</v>
      </c>
      <c r="E331">
        <v>3.4</v>
      </c>
      <c r="F331" t="s">
        <v>8</v>
      </c>
    </row>
    <row r="332" spans="2:6" x14ac:dyDescent="0.25">
      <c r="B332" t="s">
        <v>366</v>
      </c>
      <c r="C332" t="s">
        <v>363</v>
      </c>
      <c r="D332">
        <v>1.33</v>
      </c>
      <c r="E332">
        <v>3.4</v>
      </c>
      <c r="F332" t="s">
        <v>8</v>
      </c>
    </row>
    <row r="333" spans="2:6" x14ac:dyDescent="0.25">
      <c r="B333" t="s">
        <v>366</v>
      </c>
      <c r="C333" t="s">
        <v>363</v>
      </c>
      <c r="D333">
        <v>1.3</v>
      </c>
      <c r="E333">
        <v>3.55</v>
      </c>
      <c r="F333" t="s">
        <v>8</v>
      </c>
    </row>
    <row r="334" spans="2:6" x14ac:dyDescent="0.25">
      <c r="B334" t="s">
        <v>366</v>
      </c>
      <c r="C334" t="s">
        <v>363</v>
      </c>
      <c r="D334">
        <v>1.3</v>
      </c>
      <c r="E334">
        <v>3.6</v>
      </c>
      <c r="F334" t="s">
        <v>8</v>
      </c>
    </row>
    <row r="335" spans="2:6" x14ac:dyDescent="0.25">
      <c r="B335" t="s">
        <v>366</v>
      </c>
      <c r="C335" t="s">
        <v>363</v>
      </c>
      <c r="D335">
        <v>1.36</v>
      </c>
      <c r="E335">
        <v>3.35</v>
      </c>
      <c r="F335" t="s">
        <v>8</v>
      </c>
    </row>
    <row r="336" spans="2:6" x14ac:dyDescent="0.25">
      <c r="B336" t="s">
        <v>366</v>
      </c>
      <c r="C336" t="s">
        <v>363</v>
      </c>
      <c r="D336">
        <v>1.3</v>
      </c>
      <c r="E336">
        <v>3.55</v>
      </c>
      <c r="F336" t="s">
        <v>8</v>
      </c>
    </row>
    <row r="337" spans="2:6" x14ac:dyDescent="0.25">
      <c r="B337" t="s">
        <v>366</v>
      </c>
      <c r="C337" t="s">
        <v>363</v>
      </c>
      <c r="D337">
        <v>1.36</v>
      </c>
      <c r="E337">
        <v>3.3</v>
      </c>
      <c r="F337" t="s">
        <v>8</v>
      </c>
    </row>
    <row r="338" spans="2:6" x14ac:dyDescent="0.25">
      <c r="B338" t="s">
        <v>366</v>
      </c>
      <c r="C338" t="s">
        <v>363</v>
      </c>
      <c r="D338">
        <v>1.33</v>
      </c>
      <c r="E338">
        <v>3.4</v>
      </c>
      <c r="F338" t="s">
        <v>8</v>
      </c>
    </row>
    <row r="339" spans="2:6" x14ac:dyDescent="0.25">
      <c r="B339" t="s">
        <v>366</v>
      </c>
      <c r="C339" t="s">
        <v>363</v>
      </c>
      <c r="D339">
        <v>1.34</v>
      </c>
      <c r="E339">
        <v>3.35</v>
      </c>
      <c r="F339" t="s">
        <v>8</v>
      </c>
    </row>
    <row r="340" spans="2:6" x14ac:dyDescent="0.25">
      <c r="B340" t="s">
        <v>366</v>
      </c>
      <c r="C340" t="s">
        <v>363</v>
      </c>
      <c r="D340">
        <v>1.32</v>
      </c>
      <c r="E340">
        <v>3.55</v>
      </c>
      <c r="F340" t="s">
        <v>8</v>
      </c>
    </row>
    <row r="341" spans="2:6" x14ac:dyDescent="0.25">
      <c r="B341" t="s">
        <v>485</v>
      </c>
      <c r="C341" t="s">
        <v>363</v>
      </c>
      <c r="D341">
        <v>1.31</v>
      </c>
      <c r="E341">
        <v>3.6</v>
      </c>
      <c r="F341" t="s">
        <v>8</v>
      </c>
    </row>
    <row r="342" spans="2:6" x14ac:dyDescent="0.25">
      <c r="B342" t="s">
        <v>485</v>
      </c>
      <c r="C342" t="s">
        <v>363</v>
      </c>
      <c r="D342">
        <v>1.32</v>
      </c>
      <c r="E342">
        <v>3.6</v>
      </c>
      <c r="F342" t="s">
        <v>8</v>
      </c>
    </row>
    <row r="343" spans="2:6" x14ac:dyDescent="0.25">
      <c r="B343" t="s">
        <v>485</v>
      </c>
      <c r="C343" t="s">
        <v>363</v>
      </c>
      <c r="D343">
        <v>1.3</v>
      </c>
      <c r="E343">
        <v>3.65</v>
      </c>
      <c r="F343" t="s">
        <v>8</v>
      </c>
    </row>
    <row r="344" spans="2:6" x14ac:dyDescent="0.25">
      <c r="B344" t="s">
        <v>485</v>
      </c>
      <c r="C344" t="s">
        <v>363</v>
      </c>
      <c r="D344">
        <v>1.3</v>
      </c>
      <c r="E344">
        <v>3.6</v>
      </c>
      <c r="F344" t="s">
        <v>8</v>
      </c>
    </row>
    <row r="345" spans="2:6" x14ac:dyDescent="0.25">
      <c r="B345" t="s">
        <v>485</v>
      </c>
      <c r="C345" t="s">
        <v>363</v>
      </c>
      <c r="D345">
        <v>1.3</v>
      </c>
      <c r="E345">
        <v>3.6</v>
      </c>
      <c r="F345" t="s">
        <v>8</v>
      </c>
    </row>
    <row r="346" spans="2:6" x14ac:dyDescent="0.25">
      <c r="B346" t="s">
        <v>485</v>
      </c>
      <c r="C346" t="s">
        <v>363</v>
      </c>
      <c r="D346">
        <v>1.3</v>
      </c>
      <c r="E346">
        <v>3.5</v>
      </c>
      <c r="F346" t="s">
        <v>8</v>
      </c>
    </row>
    <row r="347" spans="2:6" x14ac:dyDescent="0.25">
      <c r="B347" t="s">
        <v>485</v>
      </c>
      <c r="C347" t="s">
        <v>363</v>
      </c>
      <c r="D347">
        <v>1.29</v>
      </c>
      <c r="E347">
        <v>3.75</v>
      </c>
      <c r="F347" t="s">
        <v>8</v>
      </c>
    </row>
    <row r="348" spans="2:6" x14ac:dyDescent="0.25">
      <c r="B348" t="s">
        <v>485</v>
      </c>
      <c r="C348" t="s">
        <v>363</v>
      </c>
      <c r="D348">
        <v>1.32</v>
      </c>
      <c r="E348">
        <v>3.6</v>
      </c>
      <c r="F348" t="s">
        <v>8</v>
      </c>
    </row>
    <row r="349" spans="2:6" x14ac:dyDescent="0.25">
      <c r="B349" t="s">
        <v>485</v>
      </c>
      <c r="C349" t="s">
        <v>363</v>
      </c>
      <c r="D349">
        <v>1.3</v>
      </c>
      <c r="E349">
        <v>3.5</v>
      </c>
      <c r="F349" t="s">
        <v>8</v>
      </c>
    </row>
    <row r="350" spans="2:6" x14ac:dyDescent="0.25">
      <c r="B350" t="s">
        <v>485</v>
      </c>
      <c r="C350" t="s">
        <v>363</v>
      </c>
      <c r="D350">
        <v>1.32</v>
      </c>
      <c r="E350">
        <v>3.56</v>
      </c>
      <c r="F350" t="s">
        <v>8</v>
      </c>
    </row>
    <row r="351" spans="2:6" x14ac:dyDescent="0.25">
      <c r="B351" t="s">
        <v>485</v>
      </c>
      <c r="C351" t="s">
        <v>363</v>
      </c>
      <c r="D351">
        <v>1.29</v>
      </c>
      <c r="E351">
        <v>3.6</v>
      </c>
      <c r="F351" t="s">
        <v>8</v>
      </c>
    </row>
    <row r="352" spans="2:6" x14ac:dyDescent="0.25">
      <c r="B352" t="s">
        <v>485</v>
      </c>
      <c r="C352" t="s">
        <v>363</v>
      </c>
      <c r="D352">
        <v>1.3</v>
      </c>
      <c r="E352">
        <v>3.55</v>
      </c>
      <c r="F352" t="s">
        <v>8</v>
      </c>
    </row>
    <row r="353" spans="2:6" x14ac:dyDescent="0.25">
      <c r="B353" t="s">
        <v>485</v>
      </c>
      <c r="C353" t="s">
        <v>363</v>
      </c>
      <c r="D353">
        <v>1.3</v>
      </c>
      <c r="E353">
        <v>3.7</v>
      </c>
      <c r="F353" t="s">
        <v>8</v>
      </c>
    </row>
    <row r="354" spans="2:6" x14ac:dyDescent="0.25">
      <c r="B354" t="s">
        <v>368</v>
      </c>
      <c r="C354" t="s">
        <v>363</v>
      </c>
      <c r="D354">
        <v>5.25</v>
      </c>
      <c r="E354">
        <v>1.17</v>
      </c>
      <c r="F354" t="s">
        <v>8</v>
      </c>
    </row>
    <row r="355" spans="2:6" x14ac:dyDescent="0.25">
      <c r="B355" t="s">
        <v>368</v>
      </c>
      <c r="C355" t="s">
        <v>363</v>
      </c>
      <c r="D355">
        <v>5.05</v>
      </c>
      <c r="E355">
        <v>1.2</v>
      </c>
      <c r="F355" t="s">
        <v>8</v>
      </c>
    </row>
    <row r="356" spans="2:6" x14ac:dyDescent="0.25">
      <c r="B356" t="s">
        <v>368</v>
      </c>
      <c r="C356" t="s">
        <v>363</v>
      </c>
      <c r="D356">
        <v>5.0999999999999996</v>
      </c>
      <c r="E356">
        <v>1.17</v>
      </c>
      <c r="F356" t="s">
        <v>8</v>
      </c>
    </row>
    <row r="357" spans="2:6" x14ac:dyDescent="0.25">
      <c r="B357" t="s">
        <v>368</v>
      </c>
      <c r="C357" t="s">
        <v>363</v>
      </c>
      <c r="D357">
        <v>5</v>
      </c>
      <c r="E357">
        <v>1.18</v>
      </c>
      <c r="F357" t="s">
        <v>8</v>
      </c>
    </row>
    <row r="358" spans="2:6" x14ac:dyDescent="0.25">
      <c r="B358" t="s">
        <v>368</v>
      </c>
      <c r="C358" t="s">
        <v>363</v>
      </c>
      <c r="D358">
        <v>5</v>
      </c>
      <c r="E358">
        <v>1.18</v>
      </c>
      <c r="F358" t="s">
        <v>8</v>
      </c>
    </row>
    <row r="359" spans="2:6" x14ac:dyDescent="0.25">
      <c r="B359" t="s">
        <v>368</v>
      </c>
      <c r="C359" t="s">
        <v>363</v>
      </c>
      <c r="D359">
        <v>5.4</v>
      </c>
      <c r="E359">
        <v>1.1499999999999999</v>
      </c>
      <c r="F359" t="s">
        <v>8</v>
      </c>
    </row>
    <row r="360" spans="2:6" x14ac:dyDescent="0.25">
      <c r="B360" t="s">
        <v>368</v>
      </c>
      <c r="C360" t="s">
        <v>363</v>
      </c>
      <c r="D360">
        <v>5.2</v>
      </c>
      <c r="E360">
        <v>1.17</v>
      </c>
      <c r="F360" t="s">
        <v>8</v>
      </c>
    </row>
    <row r="361" spans="2:6" x14ac:dyDescent="0.25">
      <c r="B361" t="s">
        <v>368</v>
      </c>
      <c r="C361" t="s">
        <v>363</v>
      </c>
      <c r="D361">
        <v>5.05</v>
      </c>
      <c r="E361">
        <v>1.2</v>
      </c>
      <c r="F361" t="s">
        <v>8</v>
      </c>
    </row>
    <row r="362" spans="2:6" x14ac:dyDescent="0.25">
      <c r="B362" t="s">
        <v>368</v>
      </c>
      <c r="C362" t="s">
        <v>363</v>
      </c>
      <c r="D362">
        <v>5.4</v>
      </c>
      <c r="E362">
        <v>1.1499999999999999</v>
      </c>
      <c r="F362" t="s">
        <v>8</v>
      </c>
    </row>
    <row r="363" spans="2:6" x14ac:dyDescent="0.25">
      <c r="B363" t="s">
        <v>368</v>
      </c>
      <c r="C363" t="s">
        <v>363</v>
      </c>
      <c r="D363">
        <v>5.05</v>
      </c>
      <c r="E363">
        <v>1.19</v>
      </c>
      <c r="F363" t="s">
        <v>8</v>
      </c>
    </row>
    <row r="364" spans="2:6" x14ac:dyDescent="0.25">
      <c r="B364" t="s">
        <v>368</v>
      </c>
      <c r="C364" t="s">
        <v>363</v>
      </c>
      <c r="D364">
        <v>5.25</v>
      </c>
      <c r="E364">
        <v>1.17</v>
      </c>
      <c r="F364" t="s">
        <v>8</v>
      </c>
    </row>
    <row r="365" spans="2:6" x14ac:dyDescent="0.25">
      <c r="B365" t="s">
        <v>368</v>
      </c>
      <c r="C365" t="s">
        <v>363</v>
      </c>
      <c r="D365">
        <v>5.05</v>
      </c>
      <c r="E365">
        <v>1.18</v>
      </c>
      <c r="F365" t="s">
        <v>8</v>
      </c>
    </row>
    <row r="366" spans="2:6" x14ac:dyDescent="0.25">
      <c r="B366" t="s">
        <v>368</v>
      </c>
      <c r="C366" t="s">
        <v>363</v>
      </c>
      <c r="D366">
        <v>5.25</v>
      </c>
      <c r="E366">
        <v>1.18</v>
      </c>
      <c r="F366" t="s">
        <v>8</v>
      </c>
    </row>
    <row r="367" spans="2:6" x14ac:dyDescent="0.25">
      <c r="B367" t="s">
        <v>640</v>
      </c>
      <c r="C367" t="s">
        <v>363</v>
      </c>
      <c r="D367">
        <v>1.26</v>
      </c>
      <c r="E367">
        <v>3.95</v>
      </c>
      <c r="F367" t="s">
        <v>10</v>
      </c>
    </row>
    <row r="368" spans="2:6" x14ac:dyDescent="0.25">
      <c r="B368" t="s">
        <v>640</v>
      </c>
      <c r="C368" t="s">
        <v>363</v>
      </c>
      <c r="D368">
        <v>1.25</v>
      </c>
      <c r="E368">
        <v>4</v>
      </c>
      <c r="F368" t="s">
        <v>10</v>
      </c>
    </row>
    <row r="369" spans="2:6" x14ac:dyDescent="0.25">
      <c r="B369" t="s">
        <v>640</v>
      </c>
      <c r="C369" t="s">
        <v>363</v>
      </c>
      <c r="D369">
        <v>1.26</v>
      </c>
      <c r="E369">
        <v>3.95</v>
      </c>
      <c r="F369" t="s">
        <v>10</v>
      </c>
    </row>
    <row r="370" spans="2:6" x14ac:dyDescent="0.25">
      <c r="B370" t="s">
        <v>640</v>
      </c>
      <c r="C370" t="s">
        <v>363</v>
      </c>
      <c r="D370">
        <v>1.25</v>
      </c>
      <c r="E370">
        <v>3.85</v>
      </c>
      <c r="F370" t="s">
        <v>10</v>
      </c>
    </row>
    <row r="371" spans="2:6" x14ac:dyDescent="0.25">
      <c r="B371" t="s">
        <v>640</v>
      </c>
      <c r="C371" t="s">
        <v>363</v>
      </c>
      <c r="D371">
        <v>1.25</v>
      </c>
      <c r="E371">
        <v>4</v>
      </c>
      <c r="F371" t="s">
        <v>10</v>
      </c>
    </row>
    <row r="372" spans="2:6" x14ac:dyDescent="0.25">
      <c r="B372" t="s">
        <v>640</v>
      </c>
      <c r="C372" t="s">
        <v>363</v>
      </c>
      <c r="D372">
        <v>1.25</v>
      </c>
      <c r="E372">
        <v>4</v>
      </c>
      <c r="F372" t="s">
        <v>10</v>
      </c>
    </row>
    <row r="373" spans="2:6" x14ac:dyDescent="0.25">
      <c r="B373" t="s">
        <v>640</v>
      </c>
      <c r="C373" t="s">
        <v>363</v>
      </c>
      <c r="D373">
        <v>1.26</v>
      </c>
      <c r="E373">
        <v>4</v>
      </c>
      <c r="F373" t="s">
        <v>10</v>
      </c>
    </row>
    <row r="374" spans="2:6" x14ac:dyDescent="0.25">
      <c r="B374" t="s">
        <v>111</v>
      </c>
      <c r="C374" t="s">
        <v>112</v>
      </c>
      <c r="D374">
        <v>1.77</v>
      </c>
      <c r="E374">
        <v>2.1</v>
      </c>
      <c r="F374" t="s">
        <v>10</v>
      </c>
    </row>
    <row r="375" spans="2:6" x14ac:dyDescent="0.25">
      <c r="B375" t="s">
        <v>111</v>
      </c>
      <c r="C375" t="s">
        <v>112</v>
      </c>
      <c r="D375">
        <v>1.75</v>
      </c>
      <c r="E375">
        <v>2.12</v>
      </c>
      <c r="F375" t="s">
        <v>10</v>
      </c>
    </row>
    <row r="376" spans="2:6" x14ac:dyDescent="0.25">
      <c r="B376" t="s">
        <v>111</v>
      </c>
      <c r="C376" t="s">
        <v>112</v>
      </c>
      <c r="D376">
        <v>1.77</v>
      </c>
      <c r="E376">
        <v>2.1</v>
      </c>
      <c r="F376" t="s">
        <v>10</v>
      </c>
    </row>
    <row r="377" spans="2:6" x14ac:dyDescent="0.25">
      <c r="B377" t="s">
        <v>111</v>
      </c>
      <c r="C377" t="s">
        <v>112</v>
      </c>
      <c r="D377">
        <v>1.74</v>
      </c>
      <c r="E377">
        <v>2.14</v>
      </c>
      <c r="F377" t="s">
        <v>10</v>
      </c>
    </row>
    <row r="378" spans="2:6" x14ac:dyDescent="0.25">
      <c r="B378" t="s">
        <v>111</v>
      </c>
      <c r="C378" t="s">
        <v>112</v>
      </c>
      <c r="D378">
        <v>1.77</v>
      </c>
      <c r="E378">
        <v>2</v>
      </c>
      <c r="F378" t="s">
        <v>10</v>
      </c>
    </row>
    <row r="379" spans="2:6" x14ac:dyDescent="0.25">
      <c r="B379" t="s">
        <v>111</v>
      </c>
      <c r="C379" t="s">
        <v>112</v>
      </c>
      <c r="D379">
        <v>1.68</v>
      </c>
      <c r="E379">
        <v>2.14</v>
      </c>
      <c r="F379" t="s">
        <v>10</v>
      </c>
    </row>
    <row r="380" spans="2:6" x14ac:dyDescent="0.25">
      <c r="B380" t="s">
        <v>111</v>
      </c>
      <c r="C380" t="s">
        <v>112</v>
      </c>
      <c r="D380">
        <v>1.77</v>
      </c>
      <c r="E380">
        <v>2.0499999999999998</v>
      </c>
      <c r="F380" t="s">
        <v>10</v>
      </c>
    </row>
    <row r="381" spans="2:6" x14ac:dyDescent="0.25">
      <c r="B381" t="s">
        <v>111</v>
      </c>
      <c r="C381" t="s">
        <v>112</v>
      </c>
      <c r="D381">
        <v>1.77</v>
      </c>
      <c r="E381">
        <v>2.0499999999999998</v>
      </c>
      <c r="F381" t="s">
        <v>10</v>
      </c>
    </row>
    <row r="382" spans="2:6" x14ac:dyDescent="0.25">
      <c r="B382" t="s">
        <v>111</v>
      </c>
      <c r="C382" t="s">
        <v>112</v>
      </c>
      <c r="D382">
        <v>1.74</v>
      </c>
      <c r="E382">
        <v>2.15</v>
      </c>
      <c r="F382" t="s">
        <v>10</v>
      </c>
    </row>
    <row r="383" spans="2:6" x14ac:dyDescent="0.25">
      <c r="B383" t="s">
        <v>111</v>
      </c>
      <c r="C383" t="s">
        <v>112</v>
      </c>
      <c r="D383">
        <v>1.77</v>
      </c>
      <c r="E383">
        <v>2.1</v>
      </c>
      <c r="F383" t="s">
        <v>10</v>
      </c>
    </row>
    <row r="384" spans="2:6" x14ac:dyDescent="0.25">
      <c r="B384" t="s">
        <v>111</v>
      </c>
      <c r="C384" t="s">
        <v>112</v>
      </c>
      <c r="D384">
        <v>1.74</v>
      </c>
      <c r="E384">
        <v>2.1</v>
      </c>
      <c r="F384" t="s">
        <v>10</v>
      </c>
    </row>
    <row r="385" spans="2:6" x14ac:dyDescent="0.25">
      <c r="B385" t="s">
        <v>113</v>
      </c>
      <c r="C385" t="s">
        <v>112</v>
      </c>
      <c r="D385">
        <v>2.2999999999999998</v>
      </c>
      <c r="E385">
        <v>1.67</v>
      </c>
      <c r="F385" t="s">
        <v>10</v>
      </c>
    </row>
    <row r="386" spans="2:6" x14ac:dyDescent="0.25">
      <c r="B386" t="s">
        <v>113</v>
      </c>
      <c r="C386" t="s">
        <v>112</v>
      </c>
      <c r="D386">
        <v>2.2000000000000002</v>
      </c>
      <c r="E386">
        <v>1.69</v>
      </c>
      <c r="F386" t="s">
        <v>10</v>
      </c>
    </row>
    <row r="387" spans="2:6" x14ac:dyDescent="0.25">
      <c r="B387" t="s">
        <v>113</v>
      </c>
      <c r="C387" t="s">
        <v>112</v>
      </c>
      <c r="D387">
        <v>2.2999999999999998</v>
      </c>
      <c r="E387">
        <v>1.67</v>
      </c>
      <c r="F387" t="s">
        <v>10</v>
      </c>
    </row>
    <row r="388" spans="2:6" x14ac:dyDescent="0.25">
      <c r="B388" t="s">
        <v>113</v>
      </c>
      <c r="C388" t="s">
        <v>112</v>
      </c>
      <c r="D388">
        <v>2.2400000000000002</v>
      </c>
      <c r="E388">
        <v>1.68</v>
      </c>
      <c r="F388" t="s">
        <v>10</v>
      </c>
    </row>
    <row r="389" spans="2:6" x14ac:dyDescent="0.25">
      <c r="B389" t="s">
        <v>113</v>
      </c>
      <c r="C389" t="s">
        <v>112</v>
      </c>
      <c r="D389">
        <v>2.27</v>
      </c>
      <c r="E389">
        <v>1.67</v>
      </c>
      <c r="F389" t="s">
        <v>10</v>
      </c>
    </row>
    <row r="390" spans="2:6" x14ac:dyDescent="0.25">
      <c r="B390" t="s">
        <v>113</v>
      </c>
      <c r="C390" t="s">
        <v>112</v>
      </c>
      <c r="D390">
        <v>2.2000000000000002</v>
      </c>
      <c r="E390">
        <v>1.67</v>
      </c>
      <c r="F390" t="s">
        <v>10</v>
      </c>
    </row>
    <row r="391" spans="2:6" x14ac:dyDescent="0.25">
      <c r="B391" t="s">
        <v>113</v>
      </c>
      <c r="C391" t="s">
        <v>112</v>
      </c>
      <c r="D391">
        <v>2.06</v>
      </c>
      <c r="E391">
        <v>1.74</v>
      </c>
      <c r="F391" t="s">
        <v>10</v>
      </c>
    </row>
    <row r="392" spans="2:6" x14ac:dyDescent="0.25">
      <c r="B392" t="s">
        <v>113</v>
      </c>
      <c r="C392" t="s">
        <v>112</v>
      </c>
      <c r="D392">
        <v>2.23</v>
      </c>
      <c r="E392">
        <v>1.66</v>
      </c>
      <c r="F392" t="s">
        <v>10</v>
      </c>
    </row>
    <row r="393" spans="2:6" x14ac:dyDescent="0.25">
      <c r="B393" t="s">
        <v>113</v>
      </c>
      <c r="C393" t="s">
        <v>112</v>
      </c>
      <c r="D393">
        <v>2.23</v>
      </c>
      <c r="E393">
        <v>1.66</v>
      </c>
      <c r="F393" t="s">
        <v>10</v>
      </c>
    </row>
    <row r="394" spans="2:6" x14ac:dyDescent="0.25">
      <c r="B394" t="s">
        <v>113</v>
      </c>
      <c r="C394" t="s">
        <v>112</v>
      </c>
      <c r="D394">
        <v>2.25</v>
      </c>
      <c r="E394">
        <v>1.67</v>
      </c>
      <c r="F394" t="s">
        <v>10</v>
      </c>
    </row>
    <row r="395" spans="2:6" x14ac:dyDescent="0.25">
      <c r="B395" t="s">
        <v>113</v>
      </c>
      <c r="C395" t="s">
        <v>112</v>
      </c>
      <c r="D395">
        <v>2.2000000000000002</v>
      </c>
      <c r="E395">
        <v>1.71</v>
      </c>
      <c r="F395" t="s">
        <v>10</v>
      </c>
    </row>
    <row r="396" spans="2:6" x14ac:dyDescent="0.25">
      <c r="B396" t="s">
        <v>113</v>
      </c>
      <c r="C396" t="s">
        <v>112</v>
      </c>
      <c r="D396">
        <v>2.25</v>
      </c>
      <c r="E396">
        <v>1.67</v>
      </c>
      <c r="F396" t="s">
        <v>10</v>
      </c>
    </row>
    <row r="397" spans="2:6" x14ac:dyDescent="0.25">
      <c r="B397" t="s">
        <v>114</v>
      </c>
      <c r="C397" t="s">
        <v>112</v>
      </c>
      <c r="D397">
        <v>4.95</v>
      </c>
      <c r="E397">
        <v>1.2</v>
      </c>
      <c r="F397" t="s">
        <v>10</v>
      </c>
    </row>
    <row r="398" spans="2:6" x14ac:dyDescent="0.25">
      <c r="B398" t="s">
        <v>114</v>
      </c>
      <c r="C398" t="s">
        <v>112</v>
      </c>
      <c r="D398">
        <v>4.95</v>
      </c>
      <c r="E398">
        <v>1.2</v>
      </c>
      <c r="F398" t="s">
        <v>10</v>
      </c>
    </row>
    <row r="399" spans="2:6" x14ac:dyDescent="0.25">
      <c r="B399" t="s">
        <v>114</v>
      </c>
      <c r="C399" t="s">
        <v>112</v>
      </c>
      <c r="D399">
        <v>5</v>
      </c>
      <c r="E399">
        <v>1.19</v>
      </c>
      <c r="F399" t="s">
        <v>10</v>
      </c>
    </row>
    <row r="400" spans="2:6" x14ac:dyDescent="0.25">
      <c r="B400" t="s">
        <v>114</v>
      </c>
      <c r="C400" t="s">
        <v>112</v>
      </c>
      <c r="D400">
        <v>4.5999999999999996</v>
      </c>
      <c r="E400">
        <v>1.2</v>
      </c>
      <c r="F400" t="s">
        <v>10</v>
      </c>
    </row>
    <row r="401" spans="2:6" x14ac:dyDescent="0.25">
      <c r="B401" t="s">
        <v>114</v>
      </c>
      <c r="C401" t="s">
        <v>112</v>
      </c>
      <c r="D401">
        <v>4.5</v>
      </c>
      <c r="E401">
        <v>1.19</v>
      </c>
      <c r="F401" t="s">
        <v>10</v>
      </c>
    </row>
    <row r="402" spans="2:6" x14ac:dyDescent="0.25">
      <c r="B402" t="s">
        <v>114</v>
      </c>
      <c r="C402" t="s">
        <v>112</v>
      </c>
      <c r="D402">
        <v>5</v>
      </c>
      <c r="E402">
        <v>1.18</v>
      </c>
      <c r="F402" t="s">
        <v>10</v>
      </c>
    </row>
    <row r="403" spans="2:6" x14ac:dyDescent="0.25">
      <c r="B403" t="s">
        <v>114</v>
      </c>
      <c r="C403" t="s">
        <v>112</v>
      </c>
      <c r="D403">
        <v>5</v>
      </c>
      <c r="E403">
        <v>1.18</v>
      </c>
      <c r="F403" t="s">
        <v>10</v>
      </c>
    </row>
    <row r="404" spans="2:6" x14ac:dyDescent="0.25">
      <c r="B404" t="s">
        <v>114</v>
      </c>
      <c r="C404" t="s">
        <v>112</v>
      </c>
      <c r="D404">
        <v>4.8</v>
      </c>
      <c r="E404">
        <v>1.2</v>
      </c>
      <c r="F404" t="s">
        <v>10</v>
      </c>
    </row>
    <row r="405" spans="2:6" x14ac:dyDescent="0.25">
      <c r="B405" t="s">
        <v>114</v>
      </c>
      <c r="C405" t="s">
        <v>112</v>
      </c>
      <c r="D405">
        <v>4.75</v>
      </c>
      <c r="E405">
        <v>1.2</v>
      </c>
      <c r="F405" t="s">
        <v>10</v>
      </c>
    </row>
    <row r="406" spans="2:6" x14ac:dyDescent="0.25">
      <c r="B406" t="s">
        <v>114</v>
      </c>
      <c r="C406" t="s">
        <v>112</v>
      </c>
      <c r="D406">
        <v>5</v>
      </c>
      <c r="E406">
        <v>1.18</v>
      </c>
      <c r="F406" t="s">
        <v>10</v>
      </c>
    </row>
    <row r="407" spans="2:6" x14ac:dyDescent="0.25">
      <c r="B407" t="s">
        <v>114</v>
      </c>
      <c r="C407" t="s">
        <v>112</v>
      </c>
      <c r="D407">
        <v>4.95</v>
      </c>
      <c r="E407">
        <v>1.18</v>
      </c>
      <c r="F407" t="s">
        <v>10</v>
      </c>
    </row>
    <row r="408" spans="2:6" x14ac:dyDescent="0.25">
      <c r="B408" t="s">
        <v>116</v>
      </c>
      <c r="C408" t="s">
        <v>112</v>
      </c>
      <c r="D408">
        <v>1.55</v>
      </c>
      <c r="E408">
        <v>2.56</v>
      </c>
      <c r="F408" t="s">
        <v>10</v>
      </c>
    </row>
    <row r="409" spans="2:6" x14ac:dyDescent="0.25">
      <c r="B409" t="s">
        <v>116</v>
      </c>
      <c r="C409" t="s">
        <v>112</v>
      </c>
      <c r="D409">
        <v>1.5</v>
      </c>
      <c r="E409">
        <v>2.65</v>
      </c>
      <c r="F409" t="s">
        <v>10</v>
      </c>
    </row>
    <row r="410" spans="2:6" x14ac:dyDescent="0.25">
      <c r="B410" t="s">
        <v>116</v>
      </c>
      <c r="C410" t="s">
        <v>112</v>
      </c>
      <c r="D410">
        <v>1.55</v>
      </c>
      <c r="E410">
        <v>2.56</v>
      </c>
      <c r="F410" t="s">
        <v>10</v>
      </c>
    </row>
    <row r="411" spans="2:6" x14ac:dyDescent="0.25">
      <c r="B411" t="s">
        <v>116</v>
      </c>
      <c r="C411" t="s">
        <v>112</v>
      </c>
      <c r="D411">
        <v>1.54</v>
      </c>
      <c r="E411">
        <v>2.54</v>
      </c>
      <c r="F411" t="s">
        <v>10</v>
      </c>
    </row>
    <row r="412" spans="2:6" x14ac:dyDescent="0.25">
      <c r="B412" t="s">
        <v>116</v>
      </c>
      <c r="C412" t="s">
        <v>112</v>
      </c>
      <c r="D412">
        <v>1.54</v>
      </c>
      <c r="E412">
        <v>2.5499999999999998</v>
      </c>
      <c r="F412" t="s">
        <v>10</v>
      </c>
    </row>
    <row r="413" spans="2:6" x14ac:dyDescent="0.25">
      <c r="B413" t="s">
        <v>116</v>
      </c>
      <c r="C413" t="s">
        <v>112</v>
      </c>
      <c r="D413">
        <v>1.51</v>
      </c>
      <c r="E413">
        <v>2.52</v>
      </c>
      <c r="F413" t="s">
        <v>10</v>
      </c>
    </row>
    <row r="414" spans="2:6" x14ac:dyDescent="0.25">
      <c r="B414" t="s">
        <v>116</v>
      </c>
      <c r="C414" t="s">
        <v>112</v>
      </c>
      <c r="D414">
        <v>1.5</v>
      </c>
      <c r="E414">
        <v>2.6</v>
      </c>
      <c r="F414" t="s">
        <v>10</v>
      </c>
    </row>
    <row r="415" spans="2:6" x14ac:dyDescent="0.25">
      <c r="B415" t="s">
        <v>116</v>
      </c>
      <c r="C415" t="s">
        <v>112</v>
      </c>
      <c r="D415">
        <v>1.5</v>
      </c>
      <c r="E415">
        <v>2.6</v>
      </c>
      <c r="F415" t="s">
        <v>10</v>
      </c>
    </row>
    <row r="416" spans="2:6" x14ac:dyDescent="0.25">
      <c r="B416" t="s">
        <v>116</v>
      </c>
      <c r="C416" t="s">
        <v>112</v>
      </c>
      <c r="D416">
        <v>1.53</v>
      </c>
      <c r="E416">
        <v>2.6</v>
      </c>
      <c r="F416" t="s">
        <v>10</v>
      </c>
    </row>
    <row r="417" spans="2:6" x14ac:dyDescent="0.25">
      <c r="B417" t="s">
        <v>116</v>
      </c>
      <c r="C417" t="s">
        <v>112</v>
      </c>
      <c r="D417">
        <v>1.56</v>
      </c>
      <c r="E417">
        <v>2.5</v>
      </c>
      <c r="F417" t="s">
        <v>10</v>
      </c>
    </row>
    <row r="418" spans="2:6" x14ac:dyDescent="0.25">
      <c r="B418" t="s">
        <v>116</v>
      </c>
      <c r="C418" t="s">
        <v>112</v>
      </c>
      <c r="D418">
        <v>1.5</v>
      </c>
      <c r="E418">
        <v>2.6</v>
      </c>
      <c r="F418" t="s">
        <v>10</v>
      </c>
    </row>
    <row r="419" spans="2:6" x14ac:dyDescent="0.25">
      <c r="B419" t="s">
        <v>118</v>
      </c>
      <c r="C419" t="s">
        <v>112</v>
      </c>
      <c r="D419">
        <v>3.7</v>
      </c>
      <c r="E419">
        <v>1.3</v>
      </c>
      <c r="F419" t="s">
        <v>10</v>
      </c>
    </row>
    <row r="420" spans="2:6" x14ac:dyDescent="0.25">
      <c r="B420" t="s">
        <v>118</v>
      </c>
      <c r="C420" t="s">
        <v>112</v>
      </c>
      <c r="D420">
        <v>3.7</v>
      </c>
      <c r="E420">
        <v>1.3</v>
      </c>
      <c r="F420" t="s">
        <v>10</v>
      </c>
    </row>
    <row r="421" spans="2:6" x14ac:dyDescent="0.25">
      <c r="B421" t="s">
        <v>118</v>
      </c>
      <c r="C421" t="s">
        <v>112</v>
      </c>
      <c r="D421">
        <v>3.95</v>
      </c>
      <c r="E421">
        <v>1.27</v>
      </c>
      <c r="F421" t="s">
        <v>10</v>
      </c>
    </row>
    <row r="422" spans="2:6" x14ac:dyDescent="0.25">
      <c r="B422" t="s">
        <v>118</v>
      </c>
      <c r="C422" t="s">
        <v>112</v>
      </c>
      <c r="D422">
        <v>3.8</v>
      </c>
      <c r="E422">
        <v>1.29</v>
      </c>
      <c r="F422" t="s">
        <v>10</v>
      </c>
    </row>
    <row r="423" spans="2:6" x14ac:dyDescent="0.25">
      <c r="B423" t="s">
        <v>118</v>
      </c>
      <c r="C423" t="s">
        <v>112</v>
      </c>
      <c r="D423">
        <v>3.5</v>
      </c>
      <c r="E423">
        <v>1.29</v>
      </c>
      <c r="F423" t="s">
        <v>10</v>
      </c>
    </row>
    <row r="424" spans="2:6" x14ac:dyDescent="0.25">
      <c r="B424" t="s">
        <v>118</v>
      </c>
      <c r="C424" t="s">
        <v>112</v>
      </c>
      <c r="D424">
        <v>3.65</v>
      </c>
      <c r="E424">
        <v>1.27</v>
      </c>
      <c r="F424" t="s">
        <v>10</v>
      </c>
    </row>
    <row r="425" spans="2:6" x14ac:dyDescent="0.25">
      <c r="B425" t="s">
        <v>118</v>
      </c>
      <c r="C425" t="s">
        <v>112</v>
      </c>
      <c r="D425">
        <v>3.7</v>
      </c>
      <c r="E425">
        <v>1.28</v>
      </c>
      <c r="F425" t="s">
        <v>10</v>
      </c>
    </row>
    <row r="426" spans="2:6" x14ac:dyDescent="0.25">
      <c r="B426" t="s">
        <v>118</v>
      </c>
      <c r="C426" t="s">
        <v>112</v>
      </c>
      <c r="D426">
        <v>3.7</v>
      </c>
      <c r="E426">
        <v>1.28</v>
      </c>
      <c r="F426" t="s">
        <v>10</v>
      </c>
    </row>
    <row r="427" spans="2:6" x14ac:dyDescent="0.25">
      <c r="B427" t="s">
        <v>118</v>
      </c>
      <c r="C427" t="s">
        <v>112</v>
      </c>
      <c r="D427">
        <v>3.65</v>
      </c>
      <c r="E427">
        <v>1.29</v>
      </c>
      <c r="F427" t="s">
        <v>10</v>
      </c>
    </row>
    <row r="428" spans="2:6" x14ac:dyDescent="0.25">
      <c r="B428" t="s">
        <v>118</v>
      </c>
      <c r="C428" t="s">
        <v>112</v>
      </c>
      <c r="D428">
        <v>3.6</v>
      </c>
      <c r="E428">
        <v>1.3</v>
      </c>
      <c r="F428" t="s">
        <v>10</v>
      </c>
    </row>
    <row r="429" spans="2:6" x14ac:dyDescent="0.25">
      <c r="B429" t="s">
        <v>369</v>
      </c>
      <c r="C429" t="s">
        <v>370</v>
      </c>
      <c r="D429">
        <v>1.89</v>
      </c>
      <c r="E429">
        <v>1.93</v>
      </c>
      <c r="F429" t="s">
        <v>8</v>
      </c>
    </row>
    <row r="430" spans="2:6" x14ac:dyDescent="0.25">
      <c r="B430" t="s">
        <v>369</v>
      </c>
      <c r="C430" t="s">
        <v>370</v>
      </c>
      <c r="D430">
        <v>1.87</v>
      </c>
      <c r="E430">
        <v>1.95</v>
      </c>
      <c r="F430" t="s">
        <v>8</v>
      </c>
    </row>
    <row r="431" spans="2:6" x14ac:dyDescent="0.25">
      <c r="B431" t="s">
        <v>369</v>
      </c>
      <c r="C431" t="s">
        <v>370</v>
      </c>
      <c r="D431">
        <v>1.95</v>
      </c>
      <c r="E431">
        <v>1.87</v>
      </c>
      <c r="F431" t="s">
        <v>8</v>
      </c>
    </row>
    <row r="432" spans="2:6" x14ac:dyDescent="0.25">
      <c r="B432" t="s">
        <v>369</v>
      </c>
      <c r="C432" t="s">
        <v>370</v>
      </c>
      <c r="D432">
        <v>1.91</v>
      </c>
      <c r="E432">
        <v>1.91</v>
      </c>
      <c r="F432" t="s">
        <v>8</v>
      </c>
    </row>
    <row r="433" spans="2:6" x14ac:dyDescent="0.25">
      <c r="B433" t="s">
        <v>369</v>
      </c>
      <c r="C433" t="s">
        <v>370</v>
      </c>
      <c r="D433">
        <v>1.88</v>
      </c>
      <c r="E433">
        <v>1.94</v>
      </c>
      <c r="F433" t="s">
        <v>8</v>
      </c>
    </row>
    <row r="434" spans="2:6" x14ac:dyDescent="0.25">
      <c r="B434" t="s">
        <v>369</v>
      </c>
      <c r="C434" t="s">
        <v>370</v>
      </c>
      <c r="D434">
        <v>1.87</v>
      </c>
      <c r="E434">
        <v>1.95</v>
      </c>
      <c r="F434" t="s">
        <v>8</v>
      </c>
    </row>
    <row r="435" spans="2:6" x14ac:dyDescent="0.25">
      <c r="B435" t="s">
        <v>369</v>
      </c>
      <c r="C435" t="s">
        <v>370</v>
      </c>
      <c r="D435">
        <v>1.87</v>
      </c>
      <c r="E435">
        <v>1.95</v>
      </c>
      <c r="F435" t="s">
        <v>8</v>
      </c>
    </row>
    <row r="436" spans="2:6" x14ac:dyDescent="0.25">
      <c r="B436" t="s">
        <v>369</v>
      </c>
      <c r="C436" t="s">
        <v>370</v>
      </c>
      <c r="D436">
        <v>1.88</v>
      </c>
      <c r="E436">
        <v>1.94</v>
      </c>
      <c r="F436" t="s">
        <v>8</v>
      </c>
    </row>
    <row r="437" spans="2:6" x14ac:dyDescent="0.25">
      <c r="B437" t="s">
        <v>369</v>
      </c>
      <c r="C437" t="s">
        <v>370</v>
      </c>
      <c r="D437">
        <v>1.87</v>
      </c>
      <c r="E437">
        <v>1.95</v>
      </c>
      <c r="F437" t="s">
        <v>8</v>
      </c>
    </row>
    <row r="438" spans="2:6" x14ac:dyDescent="0.25">
      <c r="B438" t="s">
        <v>369</v>
      </c>
      <c r="C438" t="s">
        <v>370</v>
      </c>
      <c r="D438">
        <v>1.87</v>
      </c>
      <c r="E438">
        <v>1.95</v>
      </c>
      <c r="F438" t="s">
        <v>8</v>
      </c>
    </row>
    <row r="439" spans="2:6" x14ac:dyDescent="0.25">
      <c r="B439" t="s">
        <v>369</v>
      </c>
      <c r="C439" t="s">
        <v>370</v>
      </c>
      <c r="D439">
        <v>1.87</v>
      </c>
      <c r="E439">
        <v>1.95</v>
      </c>
      <c r="F439" t="s">
        <v>8</v>
      </c>
    </row>
    <row r="440" spans="2:6" x14ac:dyDescent="0.25">
      <c r="B440" t="s">
        <v>369</v>
      </c>
      <c r="C440" t="s">
        <v>370</v>
      </c>
      <c r="D440">
        <v>1.93</v>
      </c>
      <c r="E440">
        <v>1.93</v>
      </c>
      <c r="F440" t="s">
        <v>8</v>
      </c>
    </row>
    <row r="441" spans="2:6" x14ac:dyDescent="0.25">
      <c r="B441" t="s">
        <v>507</v>
      </c>
      <c r="C441" t="s">
        <v>370</v>
      </c>
      <c r="D441">
        <v>3.1</v>
      </c>
      <c r="E441">
        <v>1.39</v>
      </c>
      <c r="F441" t="s">
        <v>8</v>
      </c>
    </row>
    <row r="442" spans="2:6" x14ac:dyDescent="0.25">
      <c r="B442" t="s">
        <v>507</v>
      </c>
      <c r="C442" t="s">
        <v>370</v>
      </c>
      <c r="D442">
        <v>3.05</v>
      </c>
      <c r="E442">
        <v>1.41</v>
      </c>
      <c r="F442" t="s">
        <v>8</v>
      </c>
    </row>
    <row r="443" spans="2:6" x14ac:dyDescent="0.25">
      <c r="B443" t="s">
        <v>507</v>
      </c>
      <c r="C443" t="s">
        <v>370</v>
      </c>
      <c r="D443">
        <v>3.05</v>
      </c>
      <c r="E443">
        <v>1.41</v>
      </c>
      <c r="F443" t="s">
        <v>8</v>
      </c>
    </row>
    <row r="444" spans="2:6" x14ac:dyDescent="0.25">
      <c r="B444" t="s">
        <v>507</v>
      </c>
      <c r="C444" t="s">
        <v>370</v>
      </c>
      <c r="D444">
        <v>3.05</v>
      </c>
      <c r="E444">
        <v>1.4</v>
      </c>
      <c r="F444" t="s">
        <v>8</v>
      </c>
    </row>
    <row r="445" spans="2:6" x14ac:dyDescent="0.25">
      <c r="B445" t="s">
        <v>507</v>
      </c>
      <c r="C445" t="s">
        <v>370</v>
      </c>
      <c r="D445">
        <v>3.2</v>
      </c>
      <c r="E445">
        <v>1.36</v>
      </c>
      <c r="F445" t="s">
        <v>8</v>
      </c>
    </row>
    <row r="446" spans="2:6" x14ac:dyDescent="0.25">
      <c r="B446" t="s">
        <v>507</v>
      </c>
      <c r="C446" t="s">
        <v>370</v>
      </c>
      <c r="D446">
        <v>3.1</v>
      </c>
      <c r="E446">
        <v>1.38</v>
      </c>
      <c r="F446" t="s">
        <v>8</v>
      </c>
    </row>
    <row r="447" spans="2:6" x14ac:dyDescent="0.25">
      <c r="B447" t="s">
        <v>507</v>
      </c>
      <c r="C447" t="s">
        <v>370</v>
      </c>
      <c r="D447">
        <v>3.05</v>
      </c>
      <c r="E447">
        <v>1.41</v>
      </c>
      <c r="F447" t="s">
        <v>8</v>
      </c>
    </row>
    <row r="448" spans="2:6" x14ac:dyDescent="0.25">
      <c r="B448" t="s">
        <v>507</v>
      </c>
      <c r="C448" t="s">
        <v>370</v>
      </c>
      <c r="D448">
        <v>3.1</v>
      </c>
      <c r="E448">
        <v>1.38</v>
      </c>
      <c r="F448" t="s">
        <v>8</v>
      </c>
    </row>
    <row r="449" spans="2:6" x14ac:dyDescent="0.25">
      <c r="B449" t="s">
        <v>507</v>
      </c>
      <c r="C449" t="s">
        <v>370</v>
      </c>
      <c r="D449">
        <v>3.05</v>
      </c>
      <c r="E449">
        <v>1.4</v>
      </c>
      <c r="F449" t="s">
        <v>8</v>
      </c>
    </row>
    <row r="450" spans="2:6" x14ac:dyDescent="0.25">
      <c r="B450" t="s">
        <v>507</v>
      </c>
      <c r="C450" t="s">
        <v>370</v>
      </c>
      <c r="D450">
        <v>3</v>
      </c>
      <c r="E450">
        <v>1.4</v>
      </c>
      <c r="F450" t="s">
        <v>8</v>
      </c>
    </row>
    <row r="451" spans="2:6" x14ac:dyDescent="0.25">
      <c r="B451" t="s">
        <v>507</v>
      </c>
      <c r="C451" t="s">
        <v>370</v>
      </c>
      <c r="D451">
        <v>3.2</v>
      </c>
      <c r="E451">
        <v>1.36</v>
      </c>
      <c r="F451" t="s">
        <v>8</v>
      </c>
    </row>
    <row r="452" spans="2:6" x14ac:dyDescent="0.25">
      <c r="B452" t="s">
        <v>507</v>
      </c>
      <c r="C452" t="s">
        <v>370</v>
      </c>
      <c r="D452">
        <v>3.05</v>
      </c>
      <c r="E452">
        <v>1.39</v>
      </c>
      <c r="F452" t="s">
        <v>8</v>
      </c>
    </row>
    <row r="453" spans="2:6" x14ac:dyDescent="0.25">
      <c r="B453" t="s">
        <v>507</v>
      </c>
      <c r="C453" t="s">
        <v>370</v>
      </c>
      <c r="D453">
        <v>3.18</v>
      </c>
      <c r="E453">
        <v>1.39</v>
      </c>
      <c r="F453" t="s">
        <v>8</v>
      </c>
    </row>
    <row r="454" spans="2:6" x14ac:dyDescent="0.25">
      <c r="B454" t="s">
        <v>372</v>
      </c>
      <c r="C454" t="s">
        <v>373</v>
      </c>
      <c r="D454">
        <v>1.6</v>
      </c>
      <c r="E454">
        <v>2.4</v>
      </c>
      <c r="F454" t="s">
        <v>8</v>
      </c>
    </row>
    <row r="455" spans="2:6" x14ac:dyDescent="0.25">
      <c r="B455" t="s">
        <v>372</v>
      </c>
      <c r="C455" t="s">
        <v>373</v>
      </c>
      <c r="D455">
        <v>1.59</v>
      </c>
      <c r="E455">
        <v>2.5</v>
      </c>
      <c r="F455" t="s">
        <v>8</v>
      </c>
    </row>
    <row r="456" spans="2:6" x14ac:dyDescent="0.25">
      <c r="B456" t="s">
        <v>372</v>
      </c>
      <c r="C456" t="s">
        <v>373</v>
      </c>
      <c r="D456">
        <v>1.56</v>
      </c>
      <c r="E456">
        <v>2.46</v>
      </c>
      <c r="F456" t="s">
        <v>8</v>
      </c>
    </row>
    <row r="457" spans="2:6" x14ac:dyDescent="0.25">
      <c r="B457" t="s">
        <v>372</v>
      </c>
      <c r="C457" t="s">
        <v>373</v>
      </c>
      <c r="D457">
        <v>1.57</v>
      </c>
      <c r="E457">
        <v>2.5</v>
      </c>
      <c r="F457" t="s">
        <v>8</v>
      </c>
    </row>
    <row r="458" spans="2:6" x14ac:dyDescent="0.25">
      <c r="B458" t="s">
        <v>372</v>
      </c>
      <c r="C458" t="s">
        <v>373</v>
      </c>
      <c r="D458">
        <v>1.59</v>
      </c>
      <c r="E458">
        <v>2.4300000000000002</v>
      </c>
      <c r="F458" t="s">
        <v>8</v>
      </c>
    </row>
    <row r="459" spans="2:6" x14ac:dyDescent="0.25">
      <c r="B459" t="s">
        <v>372</v>
      </c>
      <c r="C459" t="s">
        <v>373</v>
      </c>
      <c r="D459">
        <v>1.6</v>
      </c>
      <c r="E459">
        <v>2.3199999999999998</v>
      </c>
      <c r="F459" t="s">
        <v>8</v>
      </c>
    </row>
    <row r="460" spans="2:6" x14ac:dyDescent="0.25">
      <c r="B460" t="s">
        <v>372</v>
      </c>
      <c r="C460" t="s">
        <v>373</v>
      </c>
      <c r="D460">
        <v>1.59</v>
      </c>
      <c r="E460">
        <v>2.5</v>
      </c>
      <c r="F460" t="s">
        <v>8</v>
      </c>
    </row>
    <row r="461" spans="2:6" x14ac:dyDescent="0.25">
      <c r="B461" t="s">
        <v>372</v>
      </c>
      <c r="C461" t="s">
        <v>373</v>
      </c>
      <c r="D461">
        <v>1.6</v>
      </c>
      <c r="E461">
        <v>2.3199999999999998</v>
      </c>
      <c r="F461" t="s">
        <v>8</v>
      </c>
    </row>
    <row r="462" spans="2:6" x14ac:dyDescent="0.25">
      <c r="B462" t="s">
        <v>372</v>
      </c>
      <c r="C462" t="s">
        <v>373</v>
      </c>
      <c r="D462">
        <v>1.59</v>
      </c>
      <c r="E462">
        <v>2.48</v>
      </c>
      <c r="F462" t="s">
        <v>8</v>
      </c>
    </row>
    <row r="463" spans="2:6" x14ac:dyDescent="0.25">
      <c r="B463" t="s">
        <v>372</v>
      </c>
      <c r="C463" t="s">
        <v>373</v>
      </c>
      <c r="D463">
        <v>1.59</v>
      </c>
      <c r="E463">
        <v>2.4500000000000002</v>
      </c>
      <c r="F463" t="s">
        <v>8</v>
      </c>
    </row>
    <row r="464" spans="2:6" x14ac:dyDescent="0.25">
      <c r="B464" t="s">
        <v>372</v>
      </c>
      <c r="C464" t="s">
        <v>373</v>
      </c>
      <c r="D464">
        <v>1.54</v>
      </c>
      <c r="E464">
        <v>2.5</v>
      </c>
      <c r="F464" t="s">
        <v>8</v>
      </c>
    </row>
    <row r="465" spans="2:6" x14ac:dyDescent="0.25">
      <c r="B465" t="s">
        <v>372</v>
      </c>
      <c r="C465" t="s">
        <v>373</v>
      </c>
      <c r="D465">
        <v>1.57</v>
      </c>
      <c r="E465">
        <v>2.4500000000000002</v>
      </c>
      <c r="F465" t="s">
        <v>8</v>
      </c>
    </row>
    <row r="466" spans="2:6" x14ac:dyDescent="0.25">
      <c r="B466" t="s">
        <v>372</v>
      </c>
      <c r="C466" t="s">
        <v>373</v>
      </c>
      <c r="D466">
        <v>1.54</v>
      </c>
      <c r="E466">
        <v>2.58</v>
      </c>
      <c r="F466" t="s">
        <v>8</v>
      </c>
    </row>
    <row r="467" spans="2:6" x14ac:dyDescent="0.25">
      <c r="B467" t="s">
        <v>486</v>
      </c>
      <c r="C467" t="s">
        <v>373</v>
      </c>
      <c r="D467">
        <v>2.54</v>
      </c>
      <c r="E467">
        <v>1.54</v>
      </c>
      <c r="F467" t="s">
        <v>8</v>
      </c>
    </row>
    <row r="468" spans="2:6" x14ac:dyDescent="0.25">
      <c r="B468" t="s">
        <v>486</v>
      </c>
      <c r="C468" t="s">
        <v>373</v>
      </c>
      <c r="D468">
        <v>2.5</v>
      </c>
      <c r="E468">
        <v>1.59</v>
      </c>
      <c r="F468" t="s">
        <v>8</v>
      </c>
    </row>
    <row r="469" spans="2:6" x14ac:dyDescent="0.25">
      <c r="B469" t="s">
        <v>486</v>
      </c>
      <c r="C469" t="s">
        <v>373</v>
      </c>
      <c r="D469">
        <v>2.5</v>
      </c>
      <c r="E469">
        <v>1.57</v>
      </c>
      <c r="F469" t="s">
        <v>8</v>
      </c>
    </row>
    <row r="470" spans="2:6" x14ac:dyDescent="0.25">
      <c r="B470" t="s">
        <v>486</v>
      </c>
      <c r="C470" t="s">
        <v>373</v>
      </c>
      <c r="D470">
        <v>2.5</v>
      </c>
      <c r="E470">
        <v>1.56</v>
      </c>
      <c r="F470" t="s">
        <v>8</v>
      </c>
    </row>
    <row r="471" spans="2:6" x14ac:dyDescent="0.25">
      <c r="B471" t="s">
        <v>486</v>
      </c>
      <c r="C471" t="s">
        <v>373</v>
      </c>
      <c r="D471">
        <v>2.4500000000000002</v>
      </c>
      <c r="E471">
        <v>1.56</v>
      </c>
      <c r="F471" t="s">
        <v>8</v>
      </c>
    </row>
    <row r="472" spans="2:6" x14ac:dyDescent="0.25">
      <c r="B472" t="s">
        <v>486</v>
      </c>
      <c r="C472" t="s">
        <v>373</v>
      </c>
      <c r="D472">
        <v>2.5499999999999998</v>
      </c>
      <c r="E472">
        <v>1.53</v>
      </c>
      <c r="F472" t="s">
        <v>8</v>
      </c>
    </row>
    <row r="473" spans="2:6" x14ac:dyDescent="0.25">
      <c r="B473" t="s">
        <v>486</v>
      </c>
      <c r="C473" t="s">
        <v>373</v>
      </c>
      <c r="D473">
        <v>2.5</v>
      </c>
      <c r="E473">
        <v>1.59</v>
      </c>
      <c r="F473" t="s">
        <v>8</v>
      </c>
    </row>
    <row r="474" spans="2:6" x14ac:dyDescent="0.25">
      <c r="B474" t="s">
        <v>486</v>
      </c>
      <c r="C474" t="s">
        <v>373</v>
      </c>
      <c r="D474">
        <v>2.4500000000000002</v>
      </c>
      <c r="E474">
        <v>1.56</v>
      </c>
      <c r="F474" t="s">
        <v>8</v>
      </c>
    </row>
    <row r="475" spans="2:6" x14ac:dyDescent="0.25">
      <c r="B475" t="s">
        <v>486</v>
      </c>
      <c r="C475" t="s">
        <v>373</v>
      </c>
      <c r="D475">
        <v>2.48</v>
      </c>
      <c r="E475">
        <v>1.59</v>
      </c>
      <c r="F475" t="s">
        <v>8</v>
      </c>
    </row>
    <row r="476" spans="2:6" x14ac:dyDescent="0.25">
      <c r="B476" t="s">
        <v>486</v>
      </c>
      <c r="C476" t="s">
        <v>373</v>
      </c>
      <c r="D476">
        <v>2.5</v>
      </c>
      <c r="E476">
        <v>1.54</v>
      </c>
      <c r="F476" t="s">
        <v>8</v>
      </c>
    </row>
    <row r="477" spans="2:6" x14ac:dyDescent="0.25">
      <c r="B477" t="s">
        <v>486</v>
      </c>
      <c r="C477" t="s">
        <v>373</v>
      </c>
      <c r="D477">
        <v>2.4500000000000002</v>
      </c>
      <c r="E477">
        <v>1.59</v>
      </c>
      <c r="F477" t="s">
        <v>8</v>
      </c>
    </row>
    <row r="478" spans="2:6" x14ac:dyDescent="0.25">
      <c r="B478" t="s">
        <v>486</v>
      </c>
      <c r="C478" t="s">
        <v>373</v>
      </c>
      <c r="D478">
        <v>2.5</v>
      </c>
      <c r="E478">
        <v>1.56</v>
      </c>
      <c r="F478" t="s">
        <v>8</v>
      </c>
    </row>
    <row r="479" spans="2:6" x14ac:dyDescent="0.25">
      <c r="B479" t="s">
        <v>486</v>
      </c>
      <c r="C479" t="s">
        <v>373</v>
      </c>
      <c r="D479">
        <v>2.5299999999999998</v>
      </c>
      <c r="E479">
        <v>1.56</v>
      </c>
      <c r="F479" t="s">
        <v>8</v>
      </c>
    </row>
    <row r="480" spans="2:6" x14ac:dyDescent="0.25">
      <c r="B480" t="s">
        <v>503</v>
      </c>
      <c r="C480" t="s">
        <v>373</v>
      </c>
      <c r="D480">
        <v>1.74</v>
      </c>
      <c r="E480">
        <v>2.14</v>
      </c>
      <c r="F480" t="s">
        <v>8</v>
      </c>
    </row>
    <row r="481" spans="2:6" x14ac:dyDescent="0.25">
      <c r="B481" t="s">
        <v>503</v>
      </c>
      <c r="C481" t="s">
        <v>373</v>
      </c>
      <c r="D481">
        <v>1.77</v>
      </c>
      <c r="E481">
        <v>2.1</v>
      </c>
      <c r="F481" t="s">
        <v>8</v>
      </c>
    </row>
    <row r="482" spans="2:6" x14ac:dyDescent="0.25">
      <c r="B482" t="s">
        <v>503</v>
      </c>
      <c r="C482" t="s">
        <v>373</v>
      </c>
      <c r="D482">
        <v>1.83</v>
      </c>
      <c r="E482">
        <v>2</v>
      </c>
      <c r="F482" t="s">
        <v>8</v>
      </c>
    </row>
    <row r="483" spans="2:6" x14ac:dyDescent="0.25">
      <c r="B483" t="s">
        <v>503</v>
      </c>
      <c r="C483" t="s">
        <v>373</v>
      </c>
      <c r="D483">
        <v>1.77</v>
      </c>
      <c r="E483">
        <v>2.1</v>
      </c>
      <c r="F483" t="s">
        <v>8</v>
      </c>
    </row>
    <row r="484" spans="2:6" x14ac:dyDescent="0.25">
      <c r="B484" t="s">
        <v>503</v>
      </c>
      <c r="C484" t="s">
        <v>373</v>
      </c>
      <c r="D484">
        <v>1.74</v>
      </c>
      <c r="E484">
        <v>2.1</v>
      </c>
      <c r="F484" t="s">
        <v>8</v>
      </c>
    </row>
    <row r="485" spans="2:6" x14ac:dyDescent="0.25">
      <c r="B485" t="s">
        <v>503</v>
      </c>
      <c r="C485" t="s">
        <v>373</v>
      </c>
      <c r="D485">
        <v>1.75</v>
      </c>
      <c r="E485">
        <v>2.12</v>
      </c>
      <c r="F485" t="s">
        <v>8</v>
      </c>
    </row>
    <row r="486" spans="2:6" x14ac:dyDescent="0.25">
      <c r="B486" t="s">
        <v>503</v>
      </c>
      <c r="C486" t="s">
        <v>373</v>
      </c>
      <c r="D486">
        <v>1.77</v>
      </c>
      <c r="E486">
        <v>2.1</v>
      </c>
      <c r="F486" t="s">
        <v>8</v>
      </c>
    </row>
    <row r="487" spans="2:6" x14ac:dyDescent="0.25">
      <c r="B487" t="s">
        <v>503</v>
      </c>
      <c r="C487" t="s">
        <v>373</v>
      </c>
      <c r="D487">
        <v>1.74</v>
      </c>
      <c r="E487">
        <v>2.1</v>
      </c>
      <c r="F487" t="s">
        <v>8</v>
      </c>
    </row>
    <row r="488" spans="2:6" x14ac:dyDescent="0.25">
      <c r="B488" t="s">
        <v>503</v>
      </c>
      <c r="C488" t="s">
        <v>373</v>
      </c>
      <c r="D488">
        <v>1.83</v>
      </c>
      <c r="E488">
        <v>2</v>
      </c>
      <c r="F488" t="s">
        <v>8</v>
      </c>
    </row>
    <row r="489" spans="2:6" x14ac:dyDescent="0.25">
      <c r="B489" t="s">
        <v>503</v>
      </c>
      <c r="C489" t="s">
        <v>373</v>
      </c>
      <c r="D489">
        <v>1.74</v>
      </c>
      <c r="E489">
        <v>2.1</v>
      </c>
      <c r="F489" t="s">
        <v>8</v>
      </c>
    </row>
    <row r="490" spans="2:6" x14ac:dyDescent="0.25">
      <c r="B490" t="s">
        <v>503</v>
      </c>
      <c r="C490" t="s">
        <v>373</v>
      </c>
      <c r="D490">
        <v>1.77</v>
      </c>
      <c r="E490">
        <v>2.1</v>
      </c>
      <c r="F490" t="s">
        <v>8</v>
      </c>
    </row>
    <row r="491" spans="2:6" x14ac:dyDescent="0.25">
      <c r="B491" t="s">
        <v>503</v>
      </c>
      <c r="C491" t="s">
        <v>373</v>
      </c>
      <c r="D491">
        <v>1.76</v>
      </c>
      <c r="E491">
        <v>2.1</v>
      </c>
      <c r="F491" t="s">
        <v>8</v>
      </c>
    </row>
    <row r="492" spans="2:6" x14ac:dyDescent="0.25">
      <c r="B492" t="s">
        <v>503</v>
      </c>
      <c r="C492" t="s">
        <v>373</v>
      </c>
      <c r="D492">
        <v>1.74</v>
      </c>
      <c r="E492">
        <v>2.17</v>
      </c>
      <c r="F492" t="s">
        <v>8</v>
      </c>
    </row>
    <row r="493" spans="2:6" x14ac:dyDescent="0.25">
      <c r="B493" t="s">
        <v>376</v>
      </c>
      <c r="C493" t="s">
        <v>373</v>
      </c>
      <c r="D493">
        <v>3.25</v>
      </c>
      <c r="E493">
        <v>1.36</v>
      </c>
      <c r="F493" t="s">
        <v>8</v>
      </c>
    </row>
    <row r="494" spans="2:6" x14ac:dyDescent="0.25">
      <c r="B494" t="s">
        <v>376</v>
      </c>
      <c r="C494" t="s">
        <v>373</v>
      </c>
      <c r="D494">
        <v>3.35</v>
      </c>
      <c r="E494">
        <v>1.36</v>
      </c>
      <c r="F494" t="s">
        <v>8</v>
      </c>
    </row>
    <row r="495" spans="2:6" x14ac:dyDescent="0.25">
      <c r="B495" t="s">
        <v>376</v>
      </c>
      <c r="C495" t="s">
        <v>373</v>
      </c>
      <c r="D495">
        <v>3.4</v>
      </c>
      <c r="E495">
        <v>1.34</v>
      </c>
      <c r="F495" t="s">
        <v>8</v>
      </c>
    </row>
    <row r="496" spans="2:6" x14ac:dyDescent="0.25">
      <c r="B496" t="s">
        <v>376</v>
      </c>
      <c r="C496" t="s">
        <v>373</v>
      </c>
      <c r="D496">
        <v>3.28</v>
      </c>
      <c r="E496">
        <v>1.35</v>
      </c>
      <c r="F496" t="s">
        <v>8</v>
      </c>
    </row>
    <row r="497" spans="2:6" x14ac:dyDescent="0.25">
      <c r="B497" t="s">
        <v>376</v>
      </c>
      <c r="C497" t="s">
        <v>373</v>
      </c>
      <c r="D497">
        <v>3.3</v>
      </c>
      <c r="E497">
        <v>1.34</v>
      </c>
      <c r="F497" t="s">
        <v>8</v>
      </c>
    </row>
    <row r="498" spans="2:6" x14ac:dyDescent="0.25">
      <c r="B498" t="s">
        <v>376</v>
      </c>
      <c r="C498" t="s">
        <v>373</v>
      </c>
      <c r="D498">
        <v>3.25</v>
      </c>
      <c r="E498">
        <v>1.36</v>
      </c>
      <c r="F498" t="s">
        <v>8</v>
      </c>
    </row>
    <row r="499" spans="2:6" x14ac:dyDescent="0.25">
      <c r="B499" t="s">
        <v>376</v>
      </c>
      <c r="C499" t="s">
        <v>373</v>
      </c>
      <c r="D499">
        <v>3.35</v>
      </c>
      <c r="E499">
        <v>1.36</v>
      </c>
      <c r="F499" t="s">
        <v>8</v>
      </c>
    </row>
    <row r="500" spans="2:6" x14ac:dyDescent="0.25">
      <c r="B500" t="s">
        <v>376</v>
      </c>
      <c r="C500" t="s">
        <v>373</v>
      </c>
      <c r="D500">
        <v>3.3</v>
      </c>
      <c r="E500">
        <v>1.34</v>
      </c>
      <c r="F500" t="s">
        <v>8</v>
      </c>
    </row>
    <row r="501" spans="2:6" x14ac:dyDescent="0.25">
      <c r="B501" t="s">
        <v>376</v>
      </c>
      <c r="C501" t="s">
        <v>373</v>
      </c>
      <c r="D501">
        <v>3.3</v>
      </c>
      <c r="E501">
        <v>1.36</v>
      </c>
      <c r="F501" t="s">
        <v>8</v>
      </c>
    </row>
    <row r="502" spans="2:6" x14ac:dyDescent="0.25">
      <c r="B502" t="s">
        <v>376</v>
      </c>
      <c r="C502" t="s">
        <v>373</v>
      </c>
      <c r="D502">
        <v>3.4</v>
      </c>
      <c r="E502">
        <v>1.33</v>
      </c>
      <c r="F502" t="s">
        <v>8</v>
      </c>
    </row>
    <row r="503" spans="2:6" x14ac:dyDescent="0.25">
      <c r="B503" t="s">
        <v>376</v>
      </c>
      <c r="C503" t="s">
        <v>373</v>
      </c>
      <c r="D503">
        <v>3.3</v>
      </c>
      <c r="E503">
        <v>1.36</v>
      </c>
      <c r="F503" t="s">
        <v>8</v>
      </c>
    </row>
    <row r="504" spans="2:6" x14ac:dyDescent="0.25">
      <c r="B504" t="s">
        <v>376</v>
      </c>
      <c r="C504" t="s">
        <v>373</v>
      </c>
      <c r="D504">
        <v>3.3</v>
      </c>
      <c r="E504">
        <v>1.34</v>
      </c>
      <c r="F504" t="s">
        <v>8</v>
      </c>
    </row>
    <row r="505" spans="2:6" x14ac:dyDescent="0.25">
      <c r="B505" t="s">
        <v>376</v>
      </c>
      <c r="C505" t="s">
        <v>373</v>
      </c>
      <c r="D505">
        <v>3.5</v>
      </c>
      <c r="E505">
        <v>1.33</v>
      </c>
      <c r="F505" t="s">
        <v>8</v>
      </c>
    </row>
    <row r="506" spans="2:6" x14ac:dyDescent="0.25">
      <c r="B506" t="s">
        <v>487</v>
      </c>
      <c r="C506" t="s">
        <v>373</v>
      </c>
      <c r="D506">
        <v>1.21</v>
      </c>
      <c r="E506">
        <v>4.5999999999999996</v>
      </c>
      <c r="F506" t="s">
        <v>8</v>
      </c>
    </row>
    <row r="507" spans="2:6" x14ac:dyDescent="0.25">
      <c r="B507" t="s">
        <v>487</v>
      </c>
      <c r="C507" t="s">
        <v>373</v>
      </c>
      <c r="D507">
        <v>1.22</v>
      </c>
      <c r="E507">
        <v>4.7</v>
      </c>
      <c r="F507" t="s">
        <v>8</v>
      </c>
    </row>
    <row r="508" spans="2:6" x14ac:dyDescent="0.25">
      <c r="B508" t="s">
        <v>487</v>
      </c>
      <c r="C508" t="s">
        <v>373</v>
      </c>
      <c r="D508">
        <v>1.21</v>
      </c>
      <c r="E508">
        <v>4.5</v>
      </c>
      <c r="F508" t="s">
        <v>8</v>
      </c>
    </row>
    <row r="509" spans="2:6" x14ac:dyDescent="0.25">
      <c r="B509" t="s">
        <v>487</v>
      </c>
      <c r="C509" t="s">
        <v>373</v>
      </c>
      <c r="D509">
        <v>1.2</v>
      </c>
      <c r="E509">
        <v>4.75</v>
      </c>
      <c r="F509" t="s">
        <v>8</v>
      </c>
    </row>
    <row r="510" spans="2:6" x14ac:dyDescent="0.25">
      <c r="B510" t="s">
        <v>487</v>
      </c>
      <c r="C510" t="s">
        <v>373</v>
      </c>
      <c r="D510">
        <v>1.18</v>
      </c>
      <c r="E510">
        <v>5</v>
      </c>
      <c r="F510" t="s">
        <v>8</v>
      </c>
    </row>
    <row r="511" spans="2:6" x14ac:dyDescent="0.25">
      <c r="B511" t="s">
        <v>487</v>
      </c>
      <c r="C511" t="s">
        <v>373</v>
      </c>
      <c r="D511">
        <v>1.19</v>
      </c>
      <c r="E511">
        <v>4.9000000000000004</v>
      </c>
      <c r="F511" t="s">
        <v>8</v>
      </c>
    </row>
    <row r="512" spans="2:6" x14ac:dyDescent="0.25">
      <c r="B512" t="s">
        <v>487</v>
      </c>
      <c r="C512" t="s">
        <v>373</v>
      </c>
      <c r="D512">
        <v>1.19</v>
      </c>
      <c r="E512">
        <v>4.9000000000000004</v>
      </c>
      <c r="F512" t="s">
        <v>8</v>
      </c>
    </row>
    <row r="513" spans="2:6" x14ac:dyDescent="0.25">
      <c r="B513" t="s">
        <v>487</v>
      </c>
      <c r="C513" t="s">
        <v>373</v>
      </c>
      <c r="D513">
        <v>1.22</v>
      </c>
      <c r="E513">
        <v>4.7</v>
      </c>
      <c r="F513" t="s">
        <v>8</v>
      </c>
    </row>
    <row r="514" spans="2:6" x14ac:dyDescent="0.25">
      <c r="B514" t="s">
        <v>487</v>
      </c>
      <c r="C514" t="s">
        <v>373</v>
      </c>
      <c r="D514">
        <v>1.19</v>
      </c>
      <c r="E514">
        <v>4.9000000000000004</v>
      </c>
      <c r="F514" t="s">
        <v>8</v>
      </c>
    </row>
    <row r="515" spans="2:6" x14ac:dyDescent="0.25">
      <c r="B515" t="s">
        <v>487</v>
      </c>
      <c r="C515" t="s">
        <v>373</v>
      </c>
      <c r="D515">
        <v>1.21</v>
      </c>
      <c r="E515">
        <v>4.5999999999999996</v>
      </c>
      <c r="F515" t="s">
        <v>8</v>
      </c>
    </row>
    <row r="516" spans="2:6" x14ac:dyDescent="0.25">
      <c r="B516" t="s">
        <v>487</v>
      </c>
      <c r="C516" t="s">
        <v>373</v>
      </c>
      <c r="D516">
        <v>1.22</v>
      </c>
      <c r="E516">
        <v>4.5</v>
      </c>
      <c r="F516" t="s">
        <v>8</v>
      </c>
    </row>
    <row r="517" spans="2:6" x14ac:dyDescent="0.25">
      <c r="B517" t="s">
        <v>487</v>
      </c>
      <c r="C517" t="s">
        <v>373</v>
      </c>
      <c r="D517">
        <v>1.2</v>
      </c>
      <c r="E517">
        <v>4.7</v>
      </c>
      <c r="F517" t="s">
        <v>8</v>
      </c>
    </row>
    <row r="518" spans="2:6" x14ac:dyDescent="0.25">
      <c r="B518" t="s">
        <v>487</v>
      </c>
      <c r="C518" t="s">
        <v>373</v>
      </c>
      <c r="D518">
        <v>1.24</v>
      </c>
      <c r="E518">
        <v>4.4000000000000004</v>
      </c>
      <c r="F518" t="s">
        <v>8</v>
      </c>
    </row>
    <row r="519" spans="2:6" x14ac:dyDescent="0.25">
      <c r="B519" t="s">
        <v>42</v>
      </c>
      <c r="C519" t="s">
        <v>110</v>
      </c>
      <c r="D519">
        <v>1.25</v>
      </c>
      <c r="E519">
        <v>4</v>
      </c>
      <c r="F519" t="s">
        <v>8</v>
      </c>
    </row>
    <row r="520" spans="2:6" x14ac:dyDescent="0.25">
      <c r="B520" t="s">
        <v>42</v>
      </c>
      <c r="C520" t="s">
        <v>110</v>
      </c>
      <c r="D520">
        <v>1.22</v>
      </c>
      <c r="E520">
        <v>4.5</v>
      </c>
      <c r="F520" t="s">
        <v>8</v>
      </c>
    </row>
    <row r="521" spans="2:6" x14ac:dyDescent="0.25">
      <c r="B521" t="s">
        <v>42</v>
      </c>
      <c r="C521" t="s">
        <v>110</v>
      </c>
      <c r="D521">
        <v>1.25</v>
      </c>
      <c r="E521">
        <v>4</v>
      </c>
      <c r="F521" t="s">
        <v>8</v>
      </c>
    </row>
    <row r="522" spans="2:6" x14ac:dyDescent="0.25">
      <c r="B522" t="s">
        <v>42</v>
      </c>
      <c r="C522" t="s">
        <v>110</v>
      </c>
      <c r="D522">
        <v>1.25</v>
      </c>
      <c r="E522">
        <v>4.25</v>
      </c>
      <c r="F522" t="s">
        <v>8</v>
      </c>
    </row>
    <row r="523" spans="2:6" x14ac:dyDescent="0.25">
      <c r="B523" t="s">
        <v>42</v>
      </c>
      <c r="C523" t="s">
        <v>110</v>
      </c>
      <c r="D523">
        <v>1.25</v>
      </c>
      <c r="E523">
        <v>4.25</v>
      </c>
      <c r="F523" t="s">
        <v>8</v>
      </c>
    </row>
    <row r="524" spans="2:6" x14ac:dyDescent="0.25">
      <c r="B524" t="s">
        <v>42</v>
      </c>
      <c r="C524" t="s">
        <v>110</v>
      </c>
      <c r="D524">
        <v>1.24</v>
      </c>
      <c r="E524">
        <v>4.2</v>
      </c>
      <c r="F524" t="s">
        <v>8</v>
      </c>
    </row>
    <row r="525" spans="2:6" x14ac:dyDescent="0.25">
      <c r="B525" t="s">
        <v>42</v>
      </c>
      <c r="C525" t="s">
        <v>110</v>
      </c>
      <c r="D525">
        <v>1.25</v>
      </c>
      <c r="E525">
        <v>4</v>
      </c>
      <c r="F525" t="s">
        <v>8</v>
      </c>
    </row>
    <row r="526" spans="2:6" x14ac:dyDescent="0.25">
      <c r="B526" t="s">
        <v>42</v>
      </c>
      <c r="C526" t="s">
        <v>110</v>
      </c>
      <c r="D526">
        <v>1.24</v>
      </c>
      <c r="E526">
        <v>4.2</v>
      </c>
      <c r="F526" t="s">
        <v>8</v>
      </c>
    </row>
    <row r="527" spans="2:6" x14ac:dyDescent="0.25">
      <c r="B527" t="s">
        <v>42</v>
      </c>
      <c r="C527" t="s">
        <v>110</v>
      </c>
      <c r="D527">
        <v>1.25</v>
      </c>
      <c r="E527">
        <v>4.25</v>
      </c>
      <c r="F527" t="s">
        <v>8</v>
      </c>
    </row>
    <row r="528" spans="2:6" x14ac:dyDescent="0.25">
      <c r="B528" t="s">
        <v>42</v>
      </c>
      <c r="C528" t="s">
        <v>110</v>
      </c>
      <c r="D528">
        <v>1.25</v>
      </c>
      <c r="E528">
        <v>4</v>
      </c>
      <c r="F528" t="s">
        <v>8</v>
      </c>
    </row>
    <row r="529" spans="2:6" x14ac:dyDescent="0.25">
      <c r="B529" t="s">
        <v>42</v>
      </c>
      <c r="C529" t="s">
        <v>110</v>
      </c>
      <c r="D529">
        <v>1.24</v>
      </c>
      <c r="E529">
        <v>4.1500000000000004</v>
      </c>
      <c r="F529" t="s">
        <v>8</v>
      </c>
    </row>
    <row r="530" spans="2:6" x14ac:dyDescent="0.25">
      <c r="B530" t="s">
        <v>42</v>
      </c>
      <c r="C530" t="s">
        <v>110</v>
      </c>
      <c r="D530">
        <v>1.25</v>
      </c>
      <c r="E530">
        <v>4.0999999999999996</v>
      </c>
      <c r="F530" t="s">
        <v>8</v>
      </c>
    </row>
    <row r="531" spans="2:6" x14ac:dyDescent="0.25">
      <c r="B531" t="s">
        <v>42</v>
      </c>
      <c r="C531" t="s">
        <v>110</v>
      </c>
      <c r="D531">
        <v>1.26</v>
      </c>
      <c r="E531">
        <v>4.1500000000000004</v>
      </c>
      <c r="F531" t="s">
        <v>8</v>
      </c>
    </row>
    <row r="532" spans="2:6" x14ac:dyDescent="0.25">
      <c r="B532" t="s">
        <v>504</v>
      </c>
      <c r="C532" t="s">
        <v>110</v>
      </c>
      <c r="D532">
        <v>1.31</v>
      </c>
      <c r="E532">
        <v>3.6</v>
      </c>
      <c r="F532" t="s">
        <v>8</v>
      </c>
    </row>
    <row r="533" spans="2:6" x14ac:dyDescent="0.25">
      <c r="B533" t="s">
        <v>504</v>
      </c>
      <c r="C533" t="s">
        <v>110</v>
      </c>
      <c r="D533">
        <v>1.31</v>
      </c>
      <c r="E533">
        <v>3.55</v>
      </c>
      <c r="F533" t="s">
        <v>8</v>
      </c>
    </row>
    <row r="534" spans="2:6" x14ac:dyDescent="0.25">
      <c r="B534" t="s">
        <v>504</v>
      </c>
      <c r="C534" t="s">
        <v>110</v>
      </c>
      <c r="D534">
        <v>1.33</v>
      </c>
      <c r="E534">
        <v>3.5</v>
      </c>
      <c r="F534" t="s">
        <v>8</v>
      </c>
    </row>
    <row r="535" spans="2:6" x14ac:dyDescent="0.25">
      <c r="B535" t="s">
        <v>504</v>
      </c>
      <c r="C535" t="s">
        <v>110</v>
      </c>
      <c r="D535">
        <v>1.33</v>
      </c>
      <c r="E535">
        <v>3.5</v>
      </c>
      <c r="F535" t="s">
        <v>8</v>
      </c>
    </row>
    <row r="536" spans="2:6" x14ac:dyDescent="0.25">
      <c r="B536" t="s">
        <v>504</v>
      </c>
      <c r="C536" t="s">
        <v>110</v>
      </c>
      <c r="D536">
        <v>1.35</v>
      </c>
      <c r="E536">
        <v>3.2</v>
      </c>
      <c r="F536" t="s">
        <v>8</v>
      </c>
    </row>
    <row r="537" spans="2:6" x14ac:dyDescent="0.25">
      <c r="B537" t="s">
        <v>504</v>
      </c>
      <c r="C537" t="s">
        <v>110</v>
      </c>
      <c r="D537">
        <v>1.33</v>
      </c>
      <c r="E537">
        <v>3.4</v>
      </c>
      <c r="F537" t="s">
        <v>8</v>
      </c>
    </row>
    <row r="538" spans="2:6" x14ac:dyDescent="0.25">
      <c r="B538" t="s">
        <v>504</v>
      </c>
      <c r="C538" t="s">
        <v>110</v>
      </c>
      <c r="D538">
        <v>1.33</v>
      </c>
      <c r="E538">
        <v>3.5</v>
      </c>
      <c r="F538" t="s">
        <v>8</v>
      </c>
    </row>
    <row r="539" spans="2:6" x14ac:dyDescent="0.25">
      <c r="B539" t="s">
        <v>504</v>
      </c>
      <c r="C539" t="s">
        <v>110</v>
      </c>
      <c r="D539">
        <v>1.35</v>
      </c>
      <c r="E539">
        <v>3.2</v>
      </c>
      <c r="F539" t="s">
        <v>8</v>
      </c>
    </row>
    <row r="540" spans="2:6" x14ac:dyDescent="0.25">
      <c r="B540" t="s">
        <v>504</v>
      </c>
      <c r="C540" t="s">
        <v>110</v>
      </c>
      <c r="D540">
        <v>1.33</v>
      </c>
      <c r="E540">
        <v>3.5</v>
      </c>
      <c r="F540" t="s">
        <v>8</v>
      </c>
    </row>
    <row r="541" spans="2:6" x14ac:dyDescent="0.25">
      <c r="B541" t="s">
        <v>504</v>
      </c>
      <c r="C541" t="s">
        <v>110</v>
      </c>
      <c r="D541">
        <v>1.34</v>
      </c>
      <c r="E541">
        <v>3.35</v>
      </c>
      <c r="F541" t="s">
        <v>8</v>
      </c>
    </row>
    <row r="542" spans="2:6" x14ac:dyDescent="0.25">
      <c r="B542" t="s">
        <v>504</v>
      </c>
      <c r="C542" t="s">
        <v>110</v>
      </c>
      <c r="D542">
        <v>1.36</v>
      </c>
      <c r="E542">
        <v>3.2</v>
      </c>
      <c r="F542" t="s">
        <v>8</v>
      </c>
    </row>
    <row r="543" spans="2:6" x14ac:dyDescent="0.25">
      <c r="B543" t="s">
        <v>504</v>
      </c>
      <c r="C543" t="s">
        <v>110</v>
      </c>
      <c r="D543">
        <v>1.32</v>
      </c>
      <c r="E543">
        <v>3.45</v>
      </c>
      <c r="F543" t="s">
        <v>8</v>
      </c>
    </row>
    <row r="544" spans="2:6" x14ac:dyDescent="0.25">
      <c r="B544" t="s">
        <v>504</v>
      </c>
      <c r="C544" t="s">
        <v>110</v>
      </c>
      <c r="D544">
        <v>1.37</v>
      </c>
      <c r="E544">
        <v>3.25</v>
      </c>
      <c r="F544" t="s">
        <v>8</v>
      </c>
    </row>
    <row r="545" spans="2:6" x14ac:dyDescent="0.25">
      <c r="B545" t="s">
        <v>379</v>
      </c>
      <c r="C545" t="s">
        <v>110</v>
      </c>
      <c r="D545">
        <v>1.65</v>
      </c>
      <c r="E545">
        <v>2.2999999999999998</v>
      </c>
      <c r="F545" t="s">
        <v>8</v>
      </c>
    </row>
    <row r="546" spans="2:6" x14ac:dyDescent="0.25">
      <c r="B546" t="s">
        <v>379</v>
      </c>
      <c r="C546" t="s">
        <v>110</v>
      </c>
      <c r="D546">
        <v>1.65</v>
      </c>
      <c r="E546">
        <v>2.35</v>
      </c>
      <c r="F546" t="s">
        <v>8</v>
      </c>
    </row>
    <row r="547" spans="2:6" x14ac:dyDescent="0.25">
      <c r="B547" t="s">
        <v>379</v>
      </c>
      <c r="C547" t="s">
        <v>110</v>
      </c>
      <c r="D547">
        <v>1.67</v>
      </c>
      <c r="E547">
        <v>2.2999999999999998</v>
      </c>
      <c r="F547" t="s">
        <v>8</v>
      </c>
    </row>
    <row r="548" spans="2:6" x14ac:dyDescent="0.25">
      <c r="B548" t="s">
        <v>379</v>
      </c>
      <c r="C548" t="s">
        <v>110</v>
      </c>
      <c r="D548">
        <v>1.65</v>
      </c>
      <c r="E548">
        <v>2.25</v>
      </c>
      <c r="F548" t="s">
        <v>8</v>
      </c>
    </row>
    <row r="549" spans="2:6" x14ac:dyDescent="0.25">
      <c r="B549" t="s">
        <v>379</v>
      </c>
      <c r="C549" t="s">
        <v>110</v>
      </c>
      <c r="D549">
        <v>1.62</v>
      </c>
      <c r="E549">
        <v>2.35</v>
      </c>
      <c r="F549" t="s">
        <v>8</v>
      </c>
    </row>
    <row r="550" spans="2:6" x14ac:dyDescent="0.25">
      <c r="B550" t="s">
        <v>379</v>
      </c>
      <c r="C550" t="s">
        <v>110</v>
      </c>
      <c r="D550">
        <v>1.64</v>
      </c>
      <c r="E550">
        <v>2.2999999999999998</v>
      </c>
      <c r="F550" t="s">
        <v>8</v>
      </c>
    </row>
    <row r="551" spans="2:6" x14ac:dyDescent="0.25">
      <c r="B551" t="s">
        <v>379</v>
      </c>
      <c r="C551" t="s">
        <v>110</v>
      </c>
      <c r="D551">
        <v>1.64</v>
      </c>
      <c r="E551">
        <v>2.35</v>
      </c>
      <c r="F551" t="s">
        <v>8</v>
      </c>
    </row>
    <row r="552" spans="2:6" x14ac:dyDescent="0.25">
      <c r="B552" t="s">
        <v>379</v>
      </c>
      <c r="C552" t="s">
        <v>110</v>
      </c>
      <c r="D552">
        <v>1.65</v>
      </c>
      <c r="E552">
        <v>2.25</v>
      </c>
      <c r="F552" t="s">
        <v>8</v>
      </c>
    </row>
    <row r="553" spans="2:6" x14ac:dyDescent="0.25">
      <c r="B553" t="s">
        <v>379</v>
      </c>
      <c r="C553" t="s">
        <v>110</v>
      </c>
      <c r="D553">
        <v>1.65</v>
      </c>
      <c r="E553">
        <v>2.35</v>
      </c>
      <c r="F553" t="s">
        <v>8</v>
      </c>
    </row>
    <row r="554" spans="2:6" x14ac:dyDescent="0.25">
      <c r="B554" t="s">
        <v>379</v>
      </c>
      <c r="C554" t="s">
        <v>110</v>
      </c>
      <c r="D554">
        <v>1.65</v>
      </c>
      <c r="E554">
        <v>2.2999999999999998</v>
      </c>
      <c r="F554" t="s">
        <v>8</v>
      </c>
    </row>
    <row r="555" spans="2:6" x14ac:dyDescent="0.25">
      <c r="B555" t="s">
        <v>379</v>
      </c>
      <c r="C555" t="s">
        <v>110</v>
      </c>
      <c r="D555">
        <v>1.62</v>
      </c>
      <c r="E555">
        <v>2.4</v>
      </c>
      <c r="F555" t="s">
        <v>8</v>
      </c>
    </row>
    <row r="556" spans="2:6" x14ac:dyDescent="0.25">
      <c r="B556" t="s">
        <v>379</v>
      </c>
      <c r="C556" t="s">
        <v>110</v>
      </c>
      <c r="D556">
        <v>1.62</v>
      </c>
      <c r="E556">
        <v>2.35</v>
      </c>
      <c r="F556" t="s">
        <v>8</v>
      </c>
    </row>
    <row r="557" spans="2:6" x14ac:dyDescent="0.25">
      <c r="B557" t="s">
        <v>379</v>
      </c>
      <c r="C557" t="s">
        <v>110</v>
      </c>
      <c r="D557">
        <v>1.62</v>
      </c>
      <c r="E557">
        <v>2.38</v>
      </c>
      <c r="F557" t="s">
        <v>8</v>
      </c>
    </row>
    <row r="558" spans="2:6" x14ac:dyDescent="0.25">
      <c r="B558" t="s">
        <v>380</v>
      </c>
      <c r="C558" t="s">
        <v>110</v>
      </c>
      <c r="D558">
        <v>3.1</v>
      </c>
      <c r="E558">
        <v>1.39</v>
      </c>
      <c r="F558" t="s">
        <v>8</v>
      </c>
    </row>
    <row r="559" spans="2:6" x14ac:dyDescent="0.25">
      <c r="B559" t="s">
        <v>380</v>
      </c>
      <c r="C559" t="s">
        <v>110</v>
      </c>
      <c r="D559">
        <v>3.05</v>
      </c>
      <c r="E559">
        <v>1.39</v>
      </c>
      <c r="F559" t="s">
        <v>8</v>
      </c>
    </row>
    <row r="560" spans="2:6" x14ac:dyDescent="0.25">
      <c r="B560" t="s">
        <v>380</v>
      </c>
      <c r="C560" t="s">
        <v>110</v>
      </c>
      <c r="D560">
        <v>3</v>
      </c>
      <c r="E560">
        <v>1.42</v>
      </c>
      <c r="F560" t="s">
        <v>8</v>
      </c>
    </row>
    <row r="561" spans="2:6" x14ac:dyDescent="0.25">
      <c r="B561" t="s">
        <v>380</v>
      </c>
      <c r="C561" t="s">
        <v>110</v>
      </c>
      <c r="D561">
        <v>3.1</v>
      </c>
      <c r="E561">
        <v>1.38</v>
      </c>
      <c r="F561" t="s">
        <v>8</v>
      </c>
    </row>
    <row r="562" spans="2:6" x14ac:dyDescent="0.25">
      <c r="B562" t="s">
        <v>380</v>
      </c>
      <c r="C562" t="s">
        <v>110</v>
      </c>
      <c r="D562">
        <v>3.1</v>
      </c>
      <c r="E562">
        <v>1.4</v>
      </c>
      <c r="F562" t="s">
        <v>8</v>
      </c>
    </row>
    <row r="563" spans="2:6" x14ac:dyDescent="0.25">
      <c r="B563" t="s">
        <v>380</v>
      </c>
      <c r="C563" t="s">
        <v>110</v>
      </c>
      <c r="D563">
        <v>3.05</v>
      </c>
      <c r="E563">
        <v>1.4</v>
      </c>
      <c r="F563" t="s">
        <v>8</v>
      </c>
    </row>
    <row r="564" spans="2:6" x14ac:dyDescent="0.25">
      <c r="B564" t="s">
        <v>380</v>
      </c>
      <c r="C564" t="s">
        <v>110</v>
      </c>
      <c r="D564">
        <v>3</v>
      </c>
      <c r="E564">
        <v>1.42</v>
      </c>
      <c r="F564" t="s">
        <v>8</v>
      </c>
    </row>
    <row r="565" spans="2:6" x14ac:dyDescent="0.25">
      <c r="B565" t="s">
        <v>380</v>
      </c>
      <c r="C565" t="s">
        <v>110</v>
      </c>
      <c r="D565">
        <v>3.1</v>
      </c>
      <c r="E565">
        <v>1.38</v>
      </c>
      <c r="F565" t="s">
        <v>8</v>
      </c>
    </row>
    <row r="566" spans="2:6" x14ac:dyDescent="0.25">
      <c r="B566" t="s">
        <v>380</v>
      </c>
      <c r="C566" t="s">
        <v>110</v>
      </c>
      <c r="D566">
        <v>3.05</v>
      </c>
      <c r="E566">
        <v>1.4</v>
      </c>
      <c r="F566" t="s">
        <v>8</v>
      </c>
    </row>
    <row r="567" spans="2:6" x14ac:dyDescent="0.25">
      <c r="B567" t="s">
        <v>380</v>
      </c>
      <c r="C567" t="s">
        <v>110</v>
      </c>
      <c r="D567">
        <v>3</v>
      </c>
      <c r="E567">
        <v>1.4</v>
      </c>
      <c r="F567" t="s">
        <v>8</v>
      </c>
    </row>
    <row r="568" spans="2:6" x14ac:dyDescent="0.25">
      <c r="B568" t="s">
        <v>380</v>
      </c>
      <c r="C568" t="s">
        <v>110</v>
      </c>
      <c r="D568">
        <v>3.1</v>
      </c>
      <c r="E568">
        <v>1.36</v>
      </c>
      <c r="F568" t="s">
        <v>8</v>
      </c>
    </row>
    <row r="569" spans="2:6" x14ac:dyDescent="0.25">
      <c r="B569" t="s">
        <v>380</v>
      </c>
      <c r="C569" t="s">
        <v>110</v>
      </c>
      <c r="D569">
        <v>3.05</v>
      </c>
      <c r="E569">
        <v>1.39</v>
      </c>
      <c r="F569" t="s">
        <v>8</v>
      </c>
    </row>
    <row r="570" spans="2:6" x14ac:dyDescent="0.25">
      <c r="B570" t="s">
        <v>380</v>
      </c>
      <c r="C570" t="s">
        <v>110</v>
      </c>
      <c r="D570">
        <v>3.1</v>
      </c>
      <c r="E570">
        <v>1.4</v>
      </c>
      <c r="F570" t="s">
        <v>8</v>
      </c>
    </row>
    <row r="571" spans="2:6" x14ac:dyDescent="0.25">
      <c r="B571" t="s">
        <v>381</v>
      </c>
      <c r="C571" t="s">
        <v>110</v>
      </c>
      <c r="D571">
        <v>2.2000000000000002</v>
      </c>
      <c r="E571">
        <v>1.7</v>
      </c>
      <c r="F571" t="s">
        <v>8</v>
      </c>
    </row>
    <row r="572" spans="2:6" x14ac:dyDescent="0.25">
      <c r="B572" t="s">
        <v>381</v>
      </c>
      <c r="C572" t="s">
        <v>110</v>
      </c>
      <c r="D572">
        <v>2.2999999999999998</v>
      </c>
      <c r="E572">
        <v>1.64</v>
      </c>
      <c r="F572" t="s">
        <v>8</v>
      </c>
    </row>
    <row r="573" spans="2:6" x14ac:dyDescent="0.25">
      <c r="B573" t="s">
        <v>381</v>
      </c>
      <c r="C573" t="s">
        <v>110</v>
      </c>
      <c r="D573">
        <v>2.2999999999999998</v>
      </c>
      <c r="E573">
        <v>1.67</v>
      </c>
      <c r="F573" t="s">
        <v>8</v>
      </c>
    </row>
    <row r="574" spans="2:6" x14ac:dyDescent="0.25">
      <c r="B574" t="s">
        <v>381</v>
      </c>
      <c r="C574" t="s">
        <v>110</v>
      </c>
      <c r="D574">
        <v>2.25</v>
      </c>
      <c r="E574">
        <v>1.69</v>
      </c>
      <c r="F574" t="s">
        <v>8</v>
      </c>
    </row>
    <row r="575" spans="2:6" x14ac:dyDescent="0.25">
      <c r="B575" t="s">
        <v>381</v>
      </c>
      <c r="C575" t="s">
        <v>110</v>
      </c>
      <c r="D575">
        <v>2.38</v>
      </c>
      <c r="E575">
        <v>1.6</v>
      </c>
      <c r="F575" t="s">
        <v>8</v>
      </c>
    </row>
    <row r="576" spans="2:6" x14ac:dyDescent="0.25">
      <c r="B576" t="s">
        <v>381</v>
      </c>
      <c r="C576" t="s">
        <v>110</v>
      </c>
      <c r="D576">
        <v>2.2999999999999998</v>
      </c>
      <c r="E576">
        <v>1.65</v>
      </c>
      <c r="F576" t="s">
        <v>8</v>
      </c>
    </row>
    <row r="577" spans="2:6" x14ac:dyDescent="0.25">
      <c r="B577" t="s">
        <v>381</v>
      </c>
      <c r="C577" t="s">
        <v>110</v>
      </c>
      <c r="D577">
        <v>2.2999999999999998</v>
      </c>
      <c r="E577">
        <v>1.67</v>
      </c>
      <c r="F577" t="s">
        <v>8</v>
      </c>
    </row>
    <row r="578" spans="2:6" x14ac:dyDescent="0.25">
      <c r="B578" t="s">
        <v>381</v>
      </c>
      <c r="C578" t="s">
        <v>110</v>
      </c>
      <c r="D578">
        <v>2.38</v>
      </c>
      <c r="E578">
        <v>1.6</v>
      </c>
      <c r="F578" t="s">
        <v>8</v>
      </c>
    </row>
    <row r="579" spans="2:6" x14ac:dyDescent="0.25">
      <c r="B579" t="s">
        <v>381</v>
      </c>
      <c r="C579" t="s">
        <v>110</v>
      </c>
      <c r="D579">
        <v>2.2999999999999998</v>
      </c>
      <c r="E579">
        <v>1.67</v>
      </c>
      <c r="F579" t="s">
        <v>8</v>
      </c>
    </row>
    <row r="580" spans="2:6" x14ac:dyDescent="0.25">
      <c r="B580" t="s">
        <v>381</v>
      </c>
      <c r="C580" t="s">
        <v>110</v>
      </c>
      <c r="D580">
        <v>2.2999999999999998</v>
      </c>
      <c r="E580">
        <v>1.65</v>
      </c>
      <c r="F580" t="s">
        <v>8</v>
      </c>
    </row>
    <row r="581" spans="2:6" x14ac:dyDescent="0.25">
      <c r="B581" t="s">
        <v>381</v>
      </c>
      <c r="C581" t="s">
        <v>110</v>
      </c>
      <c r="D581">
        <v>2.35</v>
      </c>
      <c r="E581">
        <v>1.65</v>
      </c>
      <c r="F581" t="s">
        <v>8</v>
      </c>
    </row>
    <row r="582" spans="2:6" x14ac:dyDescent="0.25">
      <c r="B582" t="s">
        <v>381</v>
      </c>
      <c r="C582" t="s">
        <v>110</v>
      </c>
      <c r="D582">
        <v>2.2999999999999998</v>
      </c>
      <c r="E582">
        <v>1.65</v>
      </c>
      <c r="F582" t="s">
        <v>8</v>
      </c>
    </row>
    <row r="583" spans="2:6" x14ac:dyDescent="0.25">
      <c r="B583" t="s">
        <v>381</v>
      </c>
      <c r="C583" t="s">
        <v>110</v>
      </c>
      <c r="D583">
        <v>2.33</v>
      </c>
      <c r="E583">
        <v>1.65</v>
      </c>
      <c r="F583" t="s">
        <v>8</v>
      </c>
    </row>
    <row r="584" spans="2:6" x14ac:dyDescent="0.25">
      <c r="B584" t="s">
        <v>506</v>
      </c>
      <c r="C584" t="s">
        <v>110</v>
      </c>
      <c r="D584">
        <v>1.04</v>
      </c>
      <c r="E584">
        <v>13</v>
      </c>
      <c r="F584" t="s">
        <v>8</v>
      </c>
    </row>
    <row r="585" spans="2:6" x14ac:dyDescent="0.25">
      <c r="B585" t="s">
        <v>506</v>
      </c>
      <c r="C585" t="s">
        <v>110</v>
      </c>
      <c r="D585">
        <v>1.03</v>
      </c>
      <c r="E585">
        <v>13.8</v>
      </c>
      <c r="F585" t="s">
        <v>8</v>
      </c>
    </row>
    <row r="586" spans="2:6" x14ac:dyDescent="0.25">
      <c r="B586" t="s">
        <v>506</v>
      </c>
      <c r="C586" t="s">
        <v>110</v>
      </c>
      <c r="D586">
        <v>1.03</v>
      </c>
      <c r="E586">
        <v>13.5</v>
      </c>
      <c r="F586" t="s">
        <v>8</v>
      </c>
    </row>
    <row r="587" spans="2:6" x14ac:dyDescent="0.25">
      <c r="B587" t="s">
        <v>506</v>
      </c>
      <c r="C587" t="s">
        <v>110</v>
      </c>
      <c r="D587">
        <v>1.03</v>
      </c>
      <c r="E587">
        <v>12</v>
      </c>
      <c r="F587" t="s">
        <v>8</v>
      </c>
    </row>
    <row r="588" spans="2:6" x14ac:dyDescent="0.25">
      <c r="B588" t="s">
        <v>506</v>
      </c>
      <c r="C588" t="s">
        <v>110</v>
      </c>
      <c r="D588">
        <v>1.02</v>
      </c>
      <c r="E588">
        <v>16.5</v>
      </c>
      <c r="F588" t="s">
        <v>8</v>
      </c>
    </row>
    <row r="589" spans="2:6" x14ac:dyDescent="0.25">
      <c r="B589" t="s">
        <v>506</v>
      </c>
      <c r="C589" t="s">
        <v>110</v>
      </c>
      <c r="D589">
        <v>1.03</v>
      </c>
      <c r="E589">
        <v>13.5</v>
      </c>
      <c r="F589" t="s">
        <v>8</v>
      </c>
    </row>
    <row r="590" spans="2:6" x14ac:dyDescent="0.25">
      <c r="B590" t="s">
        <v>506</v>
      </c>
      <c r="C590" t="s">
        <v>110</v>
      </c>
      <c r="D590">
        <v>1.03</v>
      </c>
      <c r="E590">
        <v>14.5</v>
      </c>
      <c r="F590" t="s">
        <v>8</v>
      </c>
    </row>
    <row r="591" spans="2:6" x14ac:dyDescent="0.25">
      <c r="B591" t="s">
        <v>506</v>
      </c>
      <c r="C591" t="s">
        <v>110</v>
      </c>
      <c r="D591">
        <v>1.03</v>
      </c>
      <c r="E591">
        <v>13</v>
      </c>
      <c r="F591" t="s">
        <v>8</v>
      </c>
    </row>
    <row r="592" spans="2:6" x14ac:dyDescent="0.25">
      <c r="B592" t="s">
        <v>506</v>
      </c>
      <c r="C592" t="s">
        <v>110</v>
      </c>
      <c r="D592">
        <v>1.02</v>
      </c>
      <c r="E592">
        <v>16</v>
      </c>
      <c r="F592" t="s">
        <v>8</v>
      </c>
    </row>
    <row r="593" spans="2:6" x14ac:dyDescent="0.25">
      <c r="B593" t="s">
        <v>506</v>
      </c>
      <c r="C593" t="s">
        <v>110</v>
      </c>
      <c r="D593">
        <v>1.02</v>
      </c>
      <c r="E593">
        <v>15.8</v>
      </c>
      <c r="F593" t="s">
        <v>8</v>
      </c>
    </row>
    <row r="594" spans="2:6" x14ac:dyDescent="0.25">
      <c r="B594" t="s">
        <v>506</v>
      </c>
      <c r="C594" t="s">
        <v>110</v>
      </c>
      <c r="D594">
        <v>1.03</v>
      </c>
      <c r="E594">
        <v>14.5</v>
      </c>
      <c r="F594" t="s">
        <v>8</v>
      </c>
    </row>
    <row r="595" spans="2:6" x14ac:dyDescent="0.25">
      <c r="B595" t="s">
        <v>488</v>
      </c>
      <c r="C595" t="s">
        <v>110</v>
      </c>
      <c r="D595">
        <v>2.2000000000000002</v>
      </c>
      <c r="E595">
        <v>1.7</v>
      </c>
      <c r="F595" t="s">
        <v>8</v>
      </c>
    </row>
    <row r="596" spans="2:6" x14ac:dyDescent="0.25">
      <c r="B596" t="s">
        <v>488</v>
      </c>
      <c r="C596" t="s">
        <v>110</v>
      </c>
      <c r="D596">
        <v>2.2000000000000002</v>
      </c>
      <c r="E596">
        <v>1.71</v>
      </c>
      <c r="F596" t="s">
        <v>8</v>
      </c>
    </row>
    <row r="597" spans="2:6" x14ac:dyDescent="0.25">
      <c r="B597" t="s">
        <v>488</v>
      </c>
      <c r="C597" t="s">
        <v>110</v>
      </c>
      <c r="D597">
        <v>2.2000000000000002</v>
      </c>
      <c r="E597">
        <v>1.71</v>
      </c>
      <c r="F597" t="s">
        <v>8</v>
      </c>
    </row>
    <row r="598" spans="2:6" x14ac:dyDescent="0.25">
      <c r="B598" t="s">
        <v>488</v>
      </c>
      <c r="C598" t="s">
        <v>110</v>
      </c>
      <c r="D598">
        <v>2.2799999999999998</v>
      </c>
      <c r="E598">
        <v>1.64</v>
      </c>
      <c r="F598" t="s">
        <v>8</v>
      </c>
    </row>
    <row r="599" spans="2:6" x14ac:dyDescent="0.25">
      <c r="B599" t="s">
        <v>488</v>
      </c>
      <c r="C599" t="s">
        <v>110</v>
      </c>
      <c r="D599">
        <v>2.2000000000000002</v>
      </c>
      <c r="E599">
        <v>1.71</v>
      </c>
      <c r="F599" t="s">
        <v>8</v>
      </c>
    </row>
    <row r="600" spans="2:6" x14ac:dyDescent="0.25">
      <c r="B600" t="s">
        <v>488</v>
      </c>
      <c r="C600" t="s">
        <v>110</v>
      </c>
      <c r="D600">
        <v>2.1800000000000002</v>
      </c>
      <c r="E600">
        <v>1.71</v>
      </c>
      <c r="F600" t="s">
        <v>8</v>
      </c>
    </row>
    <row r="601" spans="2:6" x14ac:dyDescent="0.25">
      <c r="B601" t="s">
        <v>488</v>
      </c>
      <c r="C601" t="s">
        <v>110</v>
      </c>
      <c r="D601">
        <v>2.2000000000000002</v>
      </c>
      <c r="E601">
        <v>1.71</v>
      </c>
      <c r="F601" t="s">
        <v>8</v>
      </c>
    </row>
    <row r="602" spans="2:6" x14ac:dyDescent="0.25">
      <c r="B602" t="s">
        <v>488</v>
      </c>
      <c r="C602" t="s">
        <v>110</v>
      </c>
      <c r="D602">
        <v>2.2799999999999998</v>
      </c>
      <c r="E602">
        <v>1.64</v>
      </c>
      <c r="F602" t="s">
        <v>8</v>
      </c>
    </row>
    <row r="603" spans="2:6" x14ac:dyDescent="0.25">
      <c r="B603" t="s">
        <v>488</v>
      </c>
      <c r="C603" t="s">
        <v>110</v>
      </c>
      <c r="D603">
        <v>2.2000000000000002</v>
      </c>
      <c r="E603">
        <v>1.71</v>
      </c>
      <c r="F603" t="s">
        <v>8</v>
      </c>
    </row>
    <row r="604" spans="2:6" x14ac:dyDescent="0.25">
      <c r="B604" t="s">
        <v>488</v>
      </c>
      <c r="C604" t="s">
        <v>110</v>
      </c>
      <c r="D604">
        <v>2.2000000000000002</v>
      </c>
      <c r="E604">
        <v>1.69</v>
      </c>
      <c r="F604" t="s">
        <v>8</v>
      </c>
    </row>
    <row r="605" spans="2:6" x14ac:dyDescent="0.25">
      <c r="B605" t="s">
        <v>488</v>
      </c>
      <c r="C605" t="s">
        <v>110</v>
      </c>
      <c r="D605">
        <v>2.2000000000000002</v>
      </c>
      <c r="E605">
        <v>1.71</v>
      </c>
      <c r="F605" t="s">
        <v>8</v>
      </c>
    </row>
    <row r="606" spans="2:6" x14ac:dyDescent="0.25">
      <c r="B606" t="s">
        <v>488</v>
      </c>
      <c r="C606" t="s">
        <v>110</v>
      </c>
      <c r="D606">
        <v>2.33</v>
      </c>
      <c r="E606">
        <v>1.65</v>
      </c>
      <c r="F606" t="s">
        <v>8</v>
      </c>
    </row>
    <row r="607" spans="2:6" x14ac:dyDescent="0.25">
      <c r="B607" t="s">
        <v>489</v>
      </c>
      <c r="C607" t="s">
        <v>110</v>
      </c>
      <c r="D607">
        <v>4.7</v>
      </c>
      <c r="E607">
        <v>1.21</v>
      </c>
      <c r="F607" t="s">
        <v>8</v>
      </c>
    </row>
    <row r="608" spans="2:6" x14ac:dyDescent="0.25">
      <c r="B608" t="s">
        <v>489</v>
      </c>
      <c r="C608" t="s">
        <v>110</v>
      </c>
      <c r="D608">
        <v>4.5999999999999996</v>
      </c>
      <c r="E608">
        <v>1.22</v>
      </c>
      <c r="F608" t="s">
        <v>8</v>
      </c>
    </row>
    <row r="609" spans="2:6" x14ac:dyDescent="0.25">
      <c r="B609" t="s">
        <v>489</v>
      </c>
      <c r="C609" t="s">
        <v>110</v>
      </c>
      <c r="D609">
        <v>5.2</v>
      </c>
      <c r="E609">
        <v>1.17</v>
      </c>
      <c r="F609" t="s">
        <v>8</v>
      </c>
    </row>
    <row r="610" spans="2:6" x14ac:dyDescent="0.25">
      <c r="B610" t="s">
        <v>489</v>
      </c>
      <c r="C610" t="s">
        <v>110</v>
      </c>
      <c r="D610">
        <v>4.75</v>
      </c>
      <c r="E610">
        <v>1.19</v>
      </c>
      <c r="F610" t="s">
        <v>8</v>
      </c>
    </row>
    <row r="611" spans="2:6" x14ac:dyDescent="0.25">
      <c r="B611" t="s">
        <v>489</v>
      </c>
      <c r="C611" t="s">
        <v>110</v>
      </c>
      <c r="D611">
        <v>4.5999999999999996</v>
      </c>
      <c r="E611">
        <v>1.21</v>
      </c>
      <c r="F611" t="s">
        <v>8</v>
      </c>
    </row>
    <row r="612" spans="2:6" x14ac:dyDescent="0.25">
      <c r="B612" t="s">
        <v>489</v>
      </c>
      <c r="C612" t="s">
        <v>110</v>
      </c>
      <c r="D612">
        <v>5</v>
      </c>
      <c r="E612">
        <v>1.18</v>
      </c>
      <c r="F612" t="s">
        <v>8</v>
      </c>
    </row>
    <row r="613" spans="2:6" x14ac:dyDescent="0.25">
      <c r="B613" t="s">
        <v>489</v>
      </c>
      <c r="C613" t="s">
        <v>110</v>
      </c>
      <c r="D613">
        <v>4.5999999999999996</v>
      </c>
      <c r="E613">
        <v>1.22</v>
      </c>
      <c r="F613" t="s">
        <v>8</v>
      </c>
    </row>
    <row r="614" spans="2:6" x14ac:dyDescent="0.25">
      <c r="B614" t="s">
        <v>489</v>
      </c>
      <c r="C614" t="s">
        <v>110</v>
      </c>
      <c r="D614">
        <v>5.2</v>
      </c>
      <c r="E614">
        <v>1.17</v>
      </c>
      <c r="F614" t="s">
        <v>8</v>
      </c>
    </row>
    <row r="615" spans="2:6" x14ac:dyDescent="0.25">
      <c r="B615" t="s">
        <v>489</v>
      </c>
      <c r="C615" t="s">
        <v>110</v>
      </c>
      <c r="D615">
        <v>4.5999999999999996</v>
      </c>
      <c r="E615">
        <v>1.21</v>
      </c>
      <c r="F615" t="s">
        <v>8</v>
      </c>
    </row>
    <row r="616" spans="2:6" x14ac:dyDescent="0.25">
      <c r="B616" t="s">
        <v>489</v>
      </c>
      <c r="C616" t="s">
        <v>110</v>
      </c>
      <c r="D616">
        <v>4.5</v>
      </c>
      <c r="E616">
        <v>1.22</v>
      </c>
      <c r="F616" t="s">
        <v>8</v>
      </c>
    </row>
    <row r="617" spans="2:6" x14ac:dyDescent="0.25">
      <c r="B617" t="s">
        <v>489</v>
      </c>
      <c r="C617" t="s">
        <v>110</v>
      </c>
      <c r="D617">
        <v>4.75</v>
      </c>
      <c r="E617">
        <v>1.2</v>
      </c>
      <c r="F617" t="s">
        <v>8</v>
      </c>
    </row>
    <row r="618" spans="2:6" x14ac:dyDescent="0.25">
      <c r="B618" t="s">
        <v>489</v>
      </c>
      <c r="C618" t="s">
        <v>110</v>
      </c>
      <c r="D618">
        <v>4.6500000000000004</v>
      </c>
      <c r="E618">
        <v>1.2</v>
      </c>
      <c r="F618" t="s">
        <v>8</v>
      </c>
    </row>
    <row r="619" spans="2:6" x14ac:dyDescent="0.25">
      <c r="B619" t="s">
        <v>489</v>
      </c>
      <c r="C619" t="s">
        <v>110</v>
      </c>
      <c r="D619">
        <v>4.5999999999999996</v>
      </c>
      <c r="E619">
        <v>1.22</v>
      </c>
      <c r="F619" t="s">
        <v>8</v>
      </c>
    </row>
    <row r="620" spans="2:6" x14ac:dyDescent="0.25">
      <c r="B620" t="s">
        <v>385</v>
      </c>
      <c r="C620" t="s">
        <v>110</v>
      </c>
      <c r="D620">
        <v>5.0999999999999996</v>
      </c>
      <c r="E620">
        <v>1.18</v>
      </c>
      <c r="F620" t="s">
        <v>8</v>
      </c>
    </row>
    <row r="621" spans="2:6" x14ac:dyDescent="0.25">
      <c r="B621" t="s">
        <v>385</v>
      </c>
      <c r="C621" t="s">
        <v>110</v>
      </c>
      <c r="D621">
        <v>4.95</v>
      </c>
      <c r="E621">
        <v>1.2</v>
      </c>
      <c r="F621" t="s">
        <v>8</v>
      </c>
    </row>
    <row r="622" spans="2:6" x14ac:dyDescent="0.25">
      <c r="B622" t="s">
        <v>385</v>
      </c>
      <c r="C622" t="s">
        <v>110</v>
      </c>
      <c r="D622">
        <v>4.9000000000000004</v>
      </c>
      <c r="E622">
        <v>1.19</v>
      </c>
      <c r="F622" t="s">
        <v>8</v>
      </c>
    </row>
    <row r="623" spans="2:6" x14ac:dyDescent="0.25">
      <c r="B623" t="s">
        <v>385</v>
      </c>
      <c r="C623" t="s">
        <v>110</v>
      </c>
      <c r="D623">
        <v>5</v>
      </c>
      <c r="E623">
        <v>1.17</v>
      </c>
      <c r="F623" t="s">
        <v>8</v>
      </c>
    </row>
    <row r="624" spans="2:6" x14ac:dyDescent="0.25">
      <c r="B624" t="s">
        <v>385</v>
      </c>
      <c r="C624" t="s">
        <v>110</v>
      </c>
      <c r="D624">
        <v>5</v>
      </c>
      <c r="E624">
        <v>1.17</v>
      </c>
      <c r="F624" t="s">
        <v>8</v>
      </c>
    </row>
    <row r="625" spans="2:6" x14ac:dyDescent="0.25">
      <c r="B625" t="s">
        <v>385</v>
      </c>
      <c r="C625" t="s">
        <v>110</v>
      </c>
      <c r="D625">
        <v>5</v>
      </c>
      <c r="E625">
        <v>1.18</v>
      </c>
      <c r="F625" t="s">
        <v>8</v>
      </c>
    </row>
    <row r="626" spans="2:6" x14ac:dyDescent="0.25">
      <c r="B626" t="s">
        <v>385</v>
      </c>
      <c r="C626" t="s">
        <v>110</v>
      </c>
      <c r="D626">
        <v>4.95</v>
      </c>
      <c r="E626">
        <v>1.2</v>
      </c>
      <c r="F626" t="s">
        <v>8</v>
      </c>
    </row>
    <row r="627" spans="2:6" x14ac:dyDescent="0.25">
      <c r="B627" t="s">
        <v>385</v>
      </c>
      <c r="C627" t="s">
        <v>110</v>
      </c>
      <c r="D627">
        <v>5</v>
      </c>
      <c r="E627">
        <v>1.17</v>
      </c>
      <c r="F627" t="s">
        <v>8</v>
      </c>
    </row>
    <row r="628" spans="2:6" x14ac:dyDescent="0.25">
      <c r="B628" t="s">
        <v>385</v>
      </c>
      <c r="C628" t="s">
        <v>110</v>
      </c>
      <c r="D628">
        <v>4.8499999999999996</v>
      </c>
      <c r="E628">
        <v>1.2</v>
      </c>
      <c r="F628" t="s">
        <v>8</v>
      </c>
    </row>
    <row r="629" spans="2:6" x14ac:dyDescent="0.25">
      <c r="B629" t="s">
        <v>385</v>
      </c>
      <c r="C629" t="s">
        <v>110</v>
      </c>
      <c r="D629">
        <v>5</v>
      </c>
      <c r="E629">
        <v>1.18</v>
      </c>
      <c r="F629" t="s">
        <v>8</v>
      </c>
    </row>
    <row r="630" spans="2:6" x14ac:dyDescent="0.25">
      <c r="B630" t="s">
        <v>385</v>
      </c>
      <c r="C630" t="s">
        <v>110</v>
      </c>
      <c r="D630">
        <v>5</v>
      </c>
      <c r="E630">
        <v>1.18</v>
      </c>
      <c r="F630" t="s">
        <v>8</v>
      </c>
    </row>
    <row r="631" spans="2:6" x14ac:dyDescent="0.25">
      <c r="B631" t="s">
        <v>385</v>
      </c>
      <c r="C631" t="s">
        <v>110</v>
      </c>
      <c r="D631">
        <v>5</v>
      </c>
      <c r="E631">
        <v>1.18</v>
      </c>
      <c r="F631" t="s">
        <v>8</v>
      </c>
    </row>
    <row r="632" spans="2:6" x14ac:dyDescent="0.25">
      <c r="B632" t="s">
        <v>385</v>
      </c>
      <c r="C632" t="s">
        <v>110</v>
      </c>
      <c r="D632">
        <v>4.8</v>
      </c>
      <c r="E632">
        <v>1.21</v>
      </c>
      <c r="F632" t="s">
        <v>8</v>
      </c>
    </row>
    <row r="633" spans="2:6" x14ac:dyDescent="0.25">
      <c r="B633" t="s">
        <v>386</v>
      </c>
      <c r="C633" t="s">
        <v>110</v>
      </c>
      <c r="D633">
        <v>6.25</v>
      </c>
      <c r="E633">
        <v>1.1299999999999999</v>
      </c>
      <c r="F633" t="s">
        <v>8</v>
      </c>
    </row>
    <row r="634" spans="2:6" x14ac:dyDescent="0.25">
      <c r="B634" t="s">
        <v>386</v>
      </c>
      <c r="C634" t="s">
        <v>110</v>
      </c>
      <c r="D634">
        <v>6.2</v>
      </c>
      <c r="E634">
        <v>1.1399999999999999</v>
      </c>
      <c r="F634" t="s">
        <v>8</v>
      </c>
    </row>
    <row r="635" spans="2:6" x14ac:dyDescent="0.25">
      <c r="B635" t="s">
        <v>386</v>
      </c>
      <c r="C635" t="s">
        <v>110</v>
      </c>
      <c r="D635">
        <v>6.75</v>
      </c>
      <c r="E635">
        <v>1.1100000000000001</v>
      </c>
      <c r="F635" t="s">
        <v>8</v>
      </c>
    </row>
    <row r="636" spans="2:6" x14ac:dyDescent="0.25">
      <c r="B636" t="s">
        <v>386</v>
      </c>
      <c r="C636" t="s">
        <v>110</v>
      </c>
      <c r="D636">
        <v>6.25</v>
      </c>
      <c r="E636">
        <v>1.1200000000000001</v>
      </c>
      <c r="F636" t="s">
        <v>8</v>
      </c>
    </row>
    <row r="637" spans="2:6" x14ac:dyDescent="0.25">
      <c r="B637" t="s">
        <v>386</v>
      </c>
      <c r="C637" t="s">
        <v>110</v>
      </c>
      <c r="D637">
        <v>6</v>
      </c>
      <c r="E637">
        <v>1.1399999999999999</v>
      </c>
      <c r="F637" t="s">
        <v>8</v>
      </c>
    </row>
    <row r="638" spans="2:6" x14ac:dyDescent="0.25">
      <c r="B638" t="s">
        <v>386</v>
      </c>
      <c r="C638" t="s">
        <v>110</v>
      </c>
      <c r="D638">
        <v>6.2</v>
      </c>
      <c r="E638">
        <v>1.1399999999999999</v>
      </c>
      <c r="F638" t="s">
        <v>8</v>
      </c>
    </row>
    <row r="639" spans="2:6" x14ac:dyDescent="0.25">
      <c r="B639" t="s">
        <v>386</v>
      </c>
      <c r="C639" t="s">
        <v>110</v>
      </c>
      <c r="D639">
        <v>6.75</v>
      </c>
      <c r="E639">
        <v>1.1100000000000001</v>
      </c>
      <c r="F639" t="s">
        <v>8</v>
      </c>
    </row>
    <row r="640" spans="2:6" x14ac:dyDescent="0.25">
      <c r="B640" t="s">
        <v>386</v>
      </c>
      <c r="C640" t="s">
        <v>110</v>
      </c>
      <c r="D640">
        <v>6.2</v>
      </c>
      <c r="E640">
        <v>1.1299999999999999</v>
      </c>
      <c r="F640" t="s">
        <v>8</v>
      </c>
    </row>
    <row r="641" spans="2:6" x14ac:dyDescent="0.25">
      <c r="B641" t="s">
        <v>386</v>
      </c>
      <c r="C641" t="s">
        <v>110</v>
      </c>
      <c r="D641">
        <v>6.5</v>
      </c>
      <c r="E641">
        <v>1.1200000000000001</v>
      </c>
      <c r="F641" t="s">
        <v>8</v>
      </c>
    </row>
    <row r="642" spans="2:6" x14ac:dyDescent="0.25">
      <c r="B642" t="s">
        <v>386</v>
      </c>
      <c r="C642" t="s">
        <v>110</v>
      </c>
      <c r="D642">
        <v>6</v>
      </c>
      <c r="E642">
        <v>1.1299999999999999</v>
      </c>
      <c r="F642" t="s">
        <v>8</v>
      </c>
    </row>
    <row r="643" spans="2:6" x14ac:dyDescent="0.25">
      <c r="B643" t="s">
        <v>386</v>
      </c>
      <c r="C643" t="s">
        <v>110</v>
      </c>
      <c r="D643">
        <v>6.15</v>
      </c>
      <c r="E643">
        <v>1.1299999999999999</v>
      </c>
      <c r="F643" t="s">
        <v>8</v>
      </c>
    </row>
    <row r="644" spans="2:6" x14ac:dyDescent="0.25">
      <c r="B644" t="s">
        <v>386</v>
      </c>
      <c r="C644" t="s">
        <v>110</v>
      </c>
      <c r="D644">
        <v>6.75</v>
      </c>
      <c r="E644">
        <v>1.1200000000000001</v>
      </c>
      <c r="F644" t="s">
        <v>8</v>
      </c>
    </row>
    <row r="645" spans="2:6" x14ac:dyDescent="0.25">
      <c r="B645" t="s">
        <v>490</v>
      </c>
      <c r="C645" t="s">
        <v>388</v>
      </c>
      <c r="D645">
        <v>15</v>
      </c>
      <c r="E645">
        <v>1.03</v>
      </c>
      <c r="F645" t="s">
        <v>8</v>
      </c>
    </row>
    <row r="646" spans="2:6" x14ac:dyDescent="0.25">
      <c r="B646" t="s">
        <v>490</v>
      </c>
      <c r="C646" t="s">
        <v>388</v>
      </c>
      <c r="D646">
        <v>15</v>
      </c>
      <c r="E646">
        <v>1.02</v>
      </c>
      <c r="F646" t="s">
        <v>8</v>
      </c>
    </row>
    <row r="647" spans="2:6" x14ac:dyDescent="0.25">
      <c r="B647" t="s">
        <v>490</v>
      </c>
      <c r="C647" t="s">
        <v>388</v>
      </c>
      <c r="D647">
        <v>19</v>
      </c>
      <c r="E647">
        <v>1.01</v>
      </c>
      <c r="F647" t="s">
        <v>8</v>
      </c>
    </row>
    <row r="648" spans="2:6" x14ac:dyDescent="0.25">
      <c r="B648" t="s">
        <v>490</v>
      </c>
      <c r="C648" t="s">
        <v>388</v>
      </c>
      <c r="D648">
        <v>17</v>
      </c>
      <c r="E648">
        <v>1.01</v>
      </c>
      <c r="F648" t="s">
        <v>8</v>
      </c>
    </row>
    <row r="649" spans="2:6" x14ac:dyDescent="0.25">
      <c r="B649" t="s">
        <v>490</v>
      </c>
      <c r="C649" t="s">
        <v>388</v>
      </c>
      <c r="D649">
        <v>19</v>
      </c>
      <c r="E649">
        <v>1.01</v>
      </c>
      <c r="F649" t="s">
        <v>8</v>
      </c>
    </row>
    <row r="650" spans="2:6" x14ac:dyDescent="0.25">
      <c r="B650" t="s">
        <v>490</v>
      </c>
      <c r="C650" t="s">
        <v>388</v>
      </c>
      <c r="D650">
        <v>15</v>
      </c>
      <c r="E650">
        <v>1.02</v>
      </c>
      <c r="F650" t="s">
        <v>8</v>
      </c>
    </row>
    <row r="651" spans="2:6" x14ac:dyDescent="0.25">
      <c r="B651" t="s">
        <v>490</v>
      </c>
      <c r="C651" t="s">
        <v>388</v>
      </c>
      <c r="D651">
        <v>21</v>
      </c>
      <c r="E651">
        <v>1.01</v>
      </c>
      <c r="F651" t="s">
        <v>8</v>
      </c>
    </row>
    <row r="652" spans="2:6" x14ac:dyDescent="0.25">
      <c r="B652" t="s">
        <v>491</v>
      </c>
      <c r="C652" t="s">
        <v>388</v>
      </c>
      <c r="D652">
        <v>12</v>
      </c>
      <c r="E652">
        <v>1.05</v>
      </c>
      <c r="F652" t="s">
        <v>8</v>
      </c>
    </row>
    <row r="653" spans="2:6" x14ac:dyDescent="0.25">
      <c r="B653" t="s">
        <v>491</v>
      </c>
      <c r="C653" t="s">
        <v>388</v>
      </c>
      <c r="D653">
        <v>13</v>
      </c>
      <c r="E653">
        <v>1.03</v>
      </c>
      <c r="F653" t="s">
        <v>8</v>
      </c>
    </row>
    <row r="654" spans="2:6" x14ac:dyDescent="0.25">
      <c r="B654" t="s">
        <v>491</v>
      </c>
      <c r="C654" t="s">
        <v>388</v>
      </c>
      <c r="D654">
        <v>14</v>
      </c>
      <c r="E654">
        <v>1.02</v>
      </c>
      <c r="F654" t="s">
        <v>8</v>
      </c>
    </row>
    <row r="655" spans="2:6" x14ac:dyDescent="0.25">
      <c r="B655" t="s">
        <v>491</v>
      </c>
      <c r="C655" t="s">
        <v>388</v>
      </c>
      <c r="D655">
        <v>11</v>
      </c>
      <c r="E655">
        <v>1.04</v>
      </c>
      <c r="F655" t="s">
        <v>8</v>
      </c>
    </row>
    <row r="656" spans="2:6" x14ac:dyDescent="0.25">
      <c r="B656" t="s">
        <v>491</v>
      </c>
      <c r="C656" t="s">
        <v>388</v>
      </c>
      <c r="D656">
        <v>13</v>
      </c>
      <c r="E656">
        <v>1.03</v>
      </c>
      <c r="F656" t="s">
        <v>8</v>
      </c>
    </row>
    <row r="657" spans="2:6" x14ac:dyDescent="0.25">
      <c r="B657" t="s">
        <v>491</v>
      </c>
      <c r="C657" t="s">
        <v>388</v>
      </c>
      <c r="D657">
        <v>12.5</v>
      </c>
      <c r="E657">
        <v>1.04</v>
      </c>
      <c r="F657" t="s">
        <v>8</v>
      </c>
    </row>
    <row r="658" spans="2:6" x14ac:dyDescent="0.25">
      <c r="B658" t="s">
        <v>491</v>
      </c>
      <c r="C658" t="s">
        <v>388</v>
      </c>
      <c r="D658">
        <v>12.6</v>
      </c>
      <c r="E658">
        <v>1.04</v>
      </c>
      <c r="F658" t="s">
        <v>8</v>
      </c>
    </row>
    <row r="659" spans="2:6" x14ac:dyDescent="0.25">
      <c r="B659" t="s">
        <v>491</v>
      </c>
      <c r="C659" t="s">
        <v>388</v>
      </c>
      <c r="D659">
        <v>13</v>
      </c>
      <c r="E659">
        <v>1.03</v>
      </c>
      <c r="F659" t="s">
        <v>8</v>
      </c>
    </row>
    <row r="660" spans="2:6" x14ac:dyDescent="0.25">
      <c r="B660" t="s">
        <v>491</v>
      </c>
      <c r="C660" t="s">
        <v>388</v>
      </c>
      <c r="D660">
        <v>14</v>
      </c>
      <c r="E660">
        <v>1.02</v>
      </c>
      <c r="F660" t="s">
        <v>8</v>
      </c>
    </row>
    <row r="661" spans="2:6" x14ac:dyDescent="0.25">
      <c r="B661" t="s">
        <v>491</v>
      </c>
      <c r="C661" t="s">
        <v>388</v>
      </c>
      <c r="D661">
        <v>13.25</v>
      </c>
      <c r="E661">
        <v>1.04</v>
      </c>
      <c r="F661" t="s">
        <v>8</v>
      </c>
    </row>
    <row r="662" spans="2:6" x14ac:dyDescent="0.25">
      <c r="B662" t="s">
        <v>491</v>
      </c>
      <c r="C662" t="s">
        <v>388</v>
      </c>
      <c r="D662">
        <v>13</v>
      </c>
      <c r="E662">
        <v>1.03</v>
      </c>
      <c r="F662" t="s">
        <v>8</v>
      </c>
    </row>
    <row r="663" spans="2:6" x14ac:dyDescent="0.25">
      <c r="B663" t="s">
        <v>491</v>
      </c>
      <c r="C663" t="s">
        <v>388</v>
      </c>
      <c r="D663">
        <v>13.25</v>
      </c>
      <c r="E663">
        <v>1.03</v>
      </c>
      <c r="F663" t="s">
        <v>8</v>
      </c>
    </row>
    <row r="664" spans="2:6" x14ac:dyDescent="0.25">
      <c r="B664" t="s">
        <v>491</v>
      </c>
      <c r="C664" t="s">
        <v>388</v>
      </c>
      <c r="D664">
        <v>11</v>
      </c>
      <c r="E664">
        <v>1.06</v>
      </c>
      <c r="F664" t="s">
        <v>8</v>
      </c>
    </row>
    <row r="665" spans="2:6" x14ac:dyDescent="0.25">
      <c r="B665" t="s">
        <v>492</v>
      </c>
      <c r="C665" t="s">
        <v>388</v>
      </c>
      <c r="D665">
        <v>1.06</v>
      </c>
      <c r="E665">
        <v>11</v>
      </c>
      <c r="F665" t="s">
        <v>8</v>
      </c>
    </row>
    <row r="666" spans="2:6" x14ac:dyDescent="0.25">
      <c r="B666" t="s">
        <v>492</v>
      </c>
      <c r="C666" t="s">
        <v>388</v>
      </c>
      <c r="D666">
        <v>1.03</v>
      </c>
      <c r="E666">
        <v>13</v>
      </c>
      <c r="F666" t="s">
        <v>8</v>
      </c>
    </row>
    <row r="667" spans="2:6" x14ac:dyDescent="0.25">
      <c r="B667" t="s">
        <v>492</v>
      </c>
      <c r="C667" t="s">
        <v>388</v>
      </c>
      <c r="D667">
        <v>1.03</v>
      </c>
      <c r="E667">
        <v>12</v>
      </c>
      <c r="F667" t="s">
        <v>8</v>
      </c>
    </row>
    <row r="668" spans="2:6" x14ac:dyDescent="0.25">
      <c r="B668" t="s">
        <v>492</v>
      </c>
      <c r="C668" t="s">
        <v>388</v>
      </c>
      <c r="D668">
        <v>1.04</v>
      </c>
      <c r="E668">
        <v>11</v>
      </c>
      <c r="F668" t="s">
        <v>8</v>
      </c>
    </row>
    <row r="669" spans="2:6" x14ac:dyDescent="0.25">
      <c r="B669" t="s">
        <v>492</v>
      </c>
      <c r="C669" t="s">
        <v>388</v>
      </c>
      <c r="D669">
        <v>1.04</v>
      </c>
      <c r="E669">
        <v>12.5</v>
      </c>
      <c r="F669" t="s">
        <v>8</v>
      </c>
    </row>
    <row r="670" spans="2:6" x14ac:dyDescent="0.25">
      <c r="B670" t="s">
        <v>492</v>
      </c>
      <c r="C670" t="s">
        <v>388</v>
      </c>
      <c r="D670">
        <v>1.02</v>
      </c>
      <c r="E670">
        <v>15</v>
      </c>
      <c r="F670" t="s">
        <v>8</v>
      </c>
    </row>
    <row r="671" spans="2:6" x14ac:dyDescent="0.25">
      <c r="B671" t="s">
        <v>492</v>
      </c>
      <c r="C671" t="s">
        <v>388</v>
      </c>
      <c r="D671">
        <v>1.03</v>
      </c>
      <c r="E671">
        <v>13</v>
      </c>
      <c r="F671" t="s">
        <v>8</v>
      </c>
    </row>
    <row r="672" spans="2:6" x14ac:dyDescent="0.25">
      <c r="B672" t="s">
        <v>492</v>
      </c>
      <c r="C672" t="s">
        <v>388</v>
      </c>
      <c r="D672">
        <v>1.03</v>
      </c>
      <c r="E672">
        <v>12</v>
      </c>
      <c r="F672" t="s">
        <v>8</v>
      </c>
    </row>
    <row r="673" spans="2:10" x14ac:dyDescent="0.25">
      <c r="B673" t="s">
        <v>492</v>
      </c>
      <c r="C673" t="s">
        <v>388</v>
      </c>
      <c r="D673">
        <v>1.03</v>
      </c>
      <c r="E673">
        <v>13</v>
      </c>
      <c r="F673" t="s">
        <v>8</v>
      </c>
    </row>
    <row r="674" spans="2:10" x14ac:dyDescent="0.25">
      <c r="B674" t="s">
        <v>492</v>
      </c>
      <c r="C674" t="s">
        <v>388</v>
      </c>
      <c r="D674">
        <v>1.04</v>
      </c>
      <c r="E674">
        <v>12</v>
      </c>
      <c r="F674" t="s">
        <v>8</v>
      </c>
    </row>
    <row r="675" spans="2:10" x14ac:dyDescent="0.25">
      <c r="B675" t="s">
        <v>492</v>
      </c>
      <c r="C675" t="s">
        <v>388</v>
      </c>
      <c r="D675">
        <v>1.03</v>
      </c>
      <c r="E675">
        <v>13.1</v>
      </c>
      <c r="F675" t="s">
        <v>8</v>
      </c>
    </row>
    <row r="676" spans="2:10" x14ac:dyDescent="0.25">
      <c r="B676" t="s">
        <v>492</v>
      </c>
      <c r="C676" t="s">
        <v>388</v>
      </c>
      <c r="D676">
        <v>1.04</v>
      </c>
      <c r="E676">
        <v>13.5</v>
      </c>
      <c r="F676" t="s">
        <v>8</v>
      </c>
    </row>
    <row r="677" spans="2:10" x14ac:dyDescent="0.25">
      <c r="B677" t="s">
        <v>493</v>
      </c>
      <c r="C677" t="s">
        <v>388</v>
      </c>
      <c r="D677">
        <v>2.95</v>
      </c>
      <c r="E677">
        <v>1.42</v>
      </c>
      <c r="F677" t="s">
        <v>8</v>
      </c>
    </row>
    <row r="678" spans="2:10" x14ac:dyDescent="0.25">
      <c r="B678" t="s">
        <v>493</v>
      </c>
      <c r="C678" t="s">
        <v>388</v>
      </c>
      <c r="D678">
        <v>2.95</v>
      </c>
      <c r="E678">
        <v>1.44</v>
      </c>
      <c r="F678" t="s">
        <v>8</v>
      </c>
    </row>
    <row r="679" spans="2:10" x14ac:dyDescent="0.25">
      <c r="B679" t="s">
        <v>493</v>
      </c>
      <c r="C679" t="s">
        <v>388</v>
      </c>
      <c r="D679">
        <v>3.15</v>
      </c>
      <c r="E679">
        <v>1.38</v>
      </c>
      <c r="F679" t="s">
        <v>8</v>
      </c>
    </row>
    <row r="680" spans="2:10" x14ac:dyDescent="0.25">
      <c r="B680" t="s">
        <v>493</v>
      </c>
      <c r="C680" t="s">
        <v>388</v>
      </c>
      <c r="D680">
        <v>3.25</v>
      </c>
      <c r="E680">
        <v>1.35</v>
      </c>
      <c r="F680" t="s">
        <v>8</v>
      </c>
    </row>
    <row r="681" spans="2:10" x14ac:dyDescent="0.25">
      <c r="B681" t="s">
        <v>493</v>
      </c>
      <c r="C681" t="s">
        <v>388</v>
      </c>
      <c r="D681">
        <v>2.95</v>
      </c>
      <c r="E681">
        <v>1.43</v>
      </c>
      <c r="F681" t="s">
        <v>8</v>
      </c>
    </row>
    <row r="682" spans="2:10" x14ac:dyDescent="0.25">
      <c r="B682" t="s">
        <v>493</v>
      </c>
      <c r="C682" t="s">
        <v>388</v>
      </c>
      <c r="D682">
        <v>2.85</v>
      </c>
      <c r="E682">
        <v>1.44</v>
      </c>
      <c r="F682" t="s">
        <v>8</v>
      </c>
    </row>
    <row r="683" spans="2:10" x14ac:dyDescent="0.25">
      <c r="B683" t="s">
        <v>493</v>
      </c>
      <c r="C683" t="s">
        <v>388</v>
      </c>
      <c r="D683">
        <v>2.95</v>
      </c>
      <c r="E683">
        <v>1.44</v>
      </c>
      <c r="F683" t="s">
        <v>8</v>
      </c>
      <c r="I683" t="e">
        <f>AVERAGE(F683:F695)</f>
        <v>#DIV/0!</v>
      </c>
      <c r="J683" t="e">
        <f>AVERAGE(G683:G695)</f>
        <v>#DIV/0!</v>
      </c>
    </row>
    <row r="684" spans="2:10" x14ac:dyDescent="0.25">
      <c r="B684" t="s">
        <v>493</v>
      </c>
      <c r="C684" t="s">
        <v>388</v>
      </c>
      <c r="D684">
        <v>3.25</v>
      </c>
      <c r="E684">
        <v>1.35</v>
      </c>
      <c r="F684" t="s">
        <v>8</v>
      </c>
      <c r="I684" t="e">
        <f>1/I683</f>
        <v>#DIV/0!</v>
      </c>
      <c r="J684" t="e">
        <f>1/J683</f>
        <v>#DIV/0!</v>
      </c>
    </row>
    <row r="685" spans="2:10" x14ac:dyDescent="0.25">
      <c r="B685" t="s">
        <v>493</v>
      </c>
      <c r="C685" t="s">
        <v>388</v>
      </c>
      <c r="D685">
        <v>2.85</v>
      </c>
      <c r="E685">
        <v>1.44</v>
      </c>
      <c r="F685" t="s">
        <v>8</v>
      </c>
      <c r="I685" t="e">
        <f>0.512-I684</f>
        <v>#DIV/0!</v>
      </c>
      <c r="J685" t="e">
        <f>0.512-J684</f>
        <v>#DIV/0!</v>
      </c>
    </row>
    <row r="686" spans="2:10" x14ac:dyDescent="0.25">
      <c r="B686" t="s">
        <v>493</v>
      </c>
      <c r="C686" t="s">
        <v>388</v>
      </c>
      <c r="D686">
        <v>3.1</v>
      </c>
      <c r="E686">
        <v>1.38</v>
      </c>
      <c r="F686" t="s">
        <v>8</v>
      </c>
    </row>
    <row r="687" spans="2:10" x14ac:dyDescent="0.25">
      <c r="B687" t="s">
        <v>493</v>
      </c>
      <c r="C687" t="s">
        <v>388</v>
      </c>
      <c r="D687">
        <v>3</v>
      </c>
      <c r="E687">
        <v>1.4</v>
      </c>
      <c r="F687" t="s">
        <v>8</v>
      </c>
    </row>
    <row r="688" spans="2:10" x14ac:dyDescent="0.25">
      <c r="B688" t="s">
        <v>493</v>
      </c>
      <c r="C688" t="s">
        <v>388</v>
      </c>
      <c r="D688">
        <v>2.95</v>
      </c>
      <c r="E688">
        <v>1.41</v>
      </c>
      <c r="F688" t="s">
        <v>8</v>
      </c>
    </row>
    <row r="689" spans="2:6" x14ac:dyDescent="0.25">
      <c r="B689" t="s">
        <v>493</v>
      </c>
      <c r="C689" t="s">
        <v>388</v>
      </c>
      <c r="D689">
        <v>3.18</v>
      </c>
      <c r="E689">
        <v>1.39</v>
      </c>
      <c r="F689" t="s">
        <v>8</v>
      </c>
    </row>
    <row r="690" spans="2:6" x14ac:dyDescent="0.25">
      <c r="B690" t="s">
        <v>117</v>
      </c>
      <c r="C690" t="s">
        <v>647</v>
      </c>
      <c r="D690">
        <v>2.7</v>
      </c>
      <c r="E690">
        <v>1.5</v>
      </c>
      <c r="F690" t="s">
        <v>10</v>
      </c>
    </row>
    <row r="691" spans="2:6" x14ac:dyDescent="0.25">
      <c r="B691" t="s">
        <v>117</v>
      </c>
      <c r="C691" t="s">
        <v>647</v>
      </c>
      <c r="D691">
        <v>2.67</v>
      </c>
      <c r="E691">
        <v>1.5</v>
      </c>
      <c r="F691" t="s">
        <v>10</v>
      </c>
    </row>
    <row r="692" spans="2:6" x14ac:dyDescent="0.25">
      <c r="B692" t="s">
        <v>117</v>
      </c>
      <c r="C692" t="s">
        <v>647</v>
      </c>
      <c r="D692">
        <v>2.7</v>
      </c>
      <c r="E692">
        <v>1.5</v>
      </c>
      <c r="F692" t="s">
        <v>10</v>
      </c>
    </row>
    <row r="693" spans="2:6" x14ac:dyDescent="0.25">
      <c r="B693" t="s">
        <v>117</v>
      </c>
      <c r="C693" t="s">
        <v>647</v>
      </c>
      <c r="D693">
        <v>2.7</v>
      </c>
      <c r="E693">
        <v>1.49</v>
      </c>
      <c r="F693" t="s">
        <v>10</v>
      </c>
    </row>
    <row r="694" spans="2:6" x14ac:dyDescent="0.25">
      <c r="B694" t="s">
        <v>117</v>
      </c>
      <c r="C694" t="s">
        <v>647</v>
      </c>
      <c r="D694">
        <v>2.65</v>
      </c>
      <c r="E694">
        <v>1.5</v>
      </c>
      <c r="F694" t="s">
        <v>10</v>
      </c>
    </row>
    <row r="695" spans="2:6" x14ac:dyDescent="0.25">
      <c r="B695" t="s">
        <v>117</v>
      </c>
      <c r="C695" t="s">
        <v>647</v>
      </c>
      <c r="D695">
        <v>2.64</v>
      </c>
      <c r="E695">
        <v>1.47</v>
      </c>
      <c r="F695" t="s">
        <v>10</v>
      </c>
    </row>
    <row r="696" spans="2:6" x14ac:dyDescent="0.25">
      <c r="B696" t="s">
        <v>117</v>
      </c>
      <c r="C696" t="s">
        <v>647</v>
      </c>
      <c r="D696">
        <v>2.5499999999999998</v>
      </c>
      <c r="E696">
        <v>1.51</v>
      </c>
      <c r="F696" t="s">
        <v>10</v>
      </c>
    </row>
    <row r="697" spans="2:6" x14ac:dyDescent="0.25">
      <c r="B697" t="s">
        <v>117</v>
      </c>
      <c r="C697" t="s">
        <v>647</v>
      </c>
      <c r="D697">
        <v>2.5499999999999998</v>
      </c>
      <c r="E697">
        <v>1.51</v>
      </c>
      <c r="F697" t="s">
        <v>10</v>
      </c>
    </row>
    <row r="698" spans="2:6" x14ac:dyDescent="0.25">
      <c r="B698" t="s">
        <v>117</v>
      </c>
      <c r="C698" t="s">
        <v>647</v>
      </c>
      <c r="D698">
        <v>2.6</v>
      </c>
      <c r="E698">
        <v>1.53</v>
      </c>
      <c r="F698" t="s">
        <v>10</v>
      </c>
    </row>
    <row r="699" spans="2:6" x14ac:dyDescent="0.25">
      <c r="B699" t="s">
        <v>117</v>
      </c>
      <c r="C699" t="s">
        <v>647</v>
      </c>
      <c r="D699">
        <v>2.7</v>
      </c>
      <c r="E699">
        <v>1.5</v>
      </c>
      <c r="F699" t="s">
        <v>10</v>
      </c>
    </row>
    <row r="700" spans="2:6" x14ac:dyDescent="0.25">
      <c r="B700" t="s">
        <v>117</v>
      </c>
      <c r="C700" t="s">
        <v>647</v>
      </c>
      <c r="D700">
        <v>2.65</v>
      </c>
      <c r="E700">
        <v>1.5</v>
      </c>
      <c r="F700" t="s">
        <v>10</v>
      </c>
    </row>
    <row r="701" spans="2:6" x14ac:dyDescent="0.25">
      <c r="B701" t="s">
        <v>115</v>
      </c>
      <c r="C701" t="s">
        <v>648</v>
      </c>
      <c r="D701">
        <v>2.0499999999999998</v>
      </c>
      <c r="E701">
        <v>1.8</v>
      </c>
      <c r="F701" t="s">
        <v>10</v>
      </c>
    </row>
    <row r="702" spans="2:6" x14ac:dyDescent="0.25">
      <c r="B702" t="s">
        <v>115</v>
      </c>
      <c r="C702" t="s">
        <v>648</v>
      </c>
      <c r="D702">
        <v>2.0499999999999998</v>
      </c>
      <c r="E702">
        <v>1.8</v>
      </c>
      <c r="F702" t="s">
        <v>10</v>
      </c>
    </row>
    <row r="703" spans="2:6" x14ac:dyDescent="0.25">
      <c r="B703" t="s">
        <v>115</v>
      </c>
      <c r="C703" t="s">
        <v>648</v>
      </c>
      <c r="D703">
        <v>2.0499999999999998</v>
      </c>
      <c r="E703">
        <v>1.8</v>
      </c>
      <c r="F703" t="s">
        <v>10</v>
      </c>
    </row>
    <row r="704" spans="2:6" x14ac:dyDescent="0.25">
      <c r="B704" t="s">
        <v>115</v>
      </c>
      <c r="C704" t="s">
        <v>648</v>
      </c>
      <c r="D704">
        <v>2.1</v>
      </c>
      <c r="E704">
        <v>1.77</v>
      </c>
      <c r="F704" t="s">
        <v>10</v>
      </c>
    </row>
    <row r="705" spans="2:6" x14ac:dyDescent="0.25">
      <c r="B705" t="s">
        <v>115</v>
      </c>
      <c r="C705" t="s">
        <v>648</v>
      </c>
      <c r="D705">
        <v>2.0499999999999998</v>
      </c>
      <c r="E705">
        <v>1.8</v>
      </c>
      <c r="F705" t="s">
        <v>10</v>
      </c>
    </row>
    <row r="706" spans="2:6" x14ac:dyDescent="0.25">
      <c r="B706" t="s">
        <v>115</v>
      </c>
      <c r="C706" t="s">
        <v>648</v>
      </c>
      <c r="D706">
        <v>1.95</v>
      </c>
      <c r="E706">
        <v>1.8</v>
      </c>
      <c r="F706" t="s">
        <v>10</v>
      </c>
    </row>
    <row r="707" spans="2:6" x14ac:dyDescent="0.25">
      <c r="B707" t="s">
        <v>115</v>
      </c>
      <c r="C707" t="s">
        <v>648</v>
      </c>
      <c r="D707">
        <v>2.08</v>
      </c>
      <c r="E707">
        <v>1.72</v>
      </c>
      <c r="F707" t="s">
        <v>10</v>
      </c>
    </row>
    <row r="708" spans="2:6" x14ac:dyDescent="0.25">
      <c r="B708" t="s">
        <v>115</v>
      </c>
      <c r="C708" t="s">
        <v>648</v>
      </c>
      <c r="D708">
        <v>2.0499999999999998</v>
      </c>
      <c r="E708">
        <v>1.77</v>
      </c>
      <c r="F708" t="s">
        <v>10</v>
      </c>
    </row>
    <row r="709" spans="2:6" x14ac:dyDescent="0.25">
      <c r="B709" t="s">
        <v>115</v>
      </c>
      <c r="C709" t="s">
        <v>648</v>
      </c>
      <c r="D709">
        <v>2.0499999999999998</v>
      </c>
      <c r="E709">
        <v>1.77</v>
      </c>
      <c r="F709" t="s">
        <v>10</v>
      </c>
    </row>
    <row r="710" spans="2:6" x14ac:dyDescent="0.25">
      <c r="B710" t="s">
        <v>115</v>
      </c>
      <c r="C710" t="s">
        <v>648</v>
      </c>
      <c r="D710">
        <v>2.1</v>
      </c>
      <c r="E710">
        <v>1.77</v>
      </c>
      <c r="F710" t="s">
        <v>10</v>
      </c>
    </row>
    <row r="711" spans="2:6" x14ac:dyDescent="0.25">
      <c r="B711" t="s">
        <v>115</v>
      </c>
      <c r="C711" t="s">
        <v>648</v>
      </c>
      <c r="D711">
        <v>2.1</v>
      </c>
      <c r="E711">
        <v>1.77</v>
      </c>
      <c r="F711" t="s">
        <v>10</v>
      </c>
    </row>
    <row r="712" spans="2:6" x14ac:dyDescent="0.25">
      <c r="B712" t="s">
        <v>115</v>
      </c>
      <c r="C712" t="s">
        <v>648</v>
      </c>
      <c r="D712">
        <v>2.0499999999999998</v>
      </c>
      <c r="E712">
        <v>1.8</v>
      </c>
      <c r="F712" t="s">
        <v>10</v>
      </c>
    </row>
    <row r="713" spans="2:6" x14ac:dyDescent="0.25">
      <c r="B713" t="s">
        <v>505</v>
      </c>
      <c r="C713" t="s">
        <v>393</v>
      </c>
      <c r="D713">
        <v>1.7</v>
      </c>
      <c r="E713">
        <v>2.2000000000000002</v>
      </c>
      <c r="F713" t="s">
        <v>8</v>
      </c>
    </row>
    <row r="714" spans="2:6" x14ac:dyDescent="0.25">
      <c r="B714" t="s">
        <v>505</v>
      </c>
      <c r="C714" t="s">
        <v>393</v>
      </c>
      <c r="D714">
        <v>1.71</v>
      </c>
      <c r="E714">
        <v>2.2000000000000002</v>
      </c>
      <c r="F714" t="s">
        <v>8</v>
      </c>
    </row>
    <row r="715" spans="2:6" x14ac:dyDescent="0.25">
      <c r="B715" t="s">
        <v>505</v>
      </c>
      <c r="C715" t="s">
        <v>393</v>
      </c>
      <c r="D715">
        <v>1.74</v>
      </c>
      <c r="E715">
        <v>2.12</v>
      </c>
      <c r="F715" t="s">
        <v>8</v>
      </c>
    </row>
    <row r="716" spans="2:6" x14ac:dyDescent="0.25">
      <c r="B716" t="s">
        <v>505</v>
      </c>
      <c r="C716" t="s">
        <v>393</v>
      </c>
      <c r="D716">
        <v>1.74</v>
      </c>
      <c r="E716">
        <v>2.15</v>
      </c>
      <c r="F716" t="s">
        <v>8</v>
      </c>
    </row>
    <row r="717" spans="2:6" x14ac:dyDescent="0.25">
      <c r="B717" t="s">
        <v>505</v>
      </c>
      <c r="C717" t="s">
        <v>393</v>
      </c>
      <c r="D717">
        <v>1.71</v>
      </c>
      <c r="E717">
        <v>2.1800000000000002</v>
      </c>
      <c r="F717" t="s">
        <v>8</v>
      </c>
    </row>
    <row r="718" spans="2:6" x14ac:dyDescent="0.25">
      <c r="B718" t="s">
        <v>505</v>
      </c>
      <c r="C718" t="s">
        <v>393</v>
      </c>
      <c r="D718">
        <v>1.71</v>
      </c>
      <c r="E718">
        <v>2.2000000000000002</v>
      </c>
      <c r="F718" t="s">
        <v>8</v>
      </c>
    </row>
    <row r="719" spans="2:6" x14ac:dyDescent="0.25">
      <c r="B719" t="s">
        <v>505</v>
      </c>
      <c r="C719" t="s">
        <v>393</v>
      </c>
      <c r="D719">
        <v>1.74</v>
      </c>
      <c r="E719">
        <v>2.12</v>
      </c>
      <c r="F719" t="s">
        <v>8</v>
      </c>
    </row>
    <row r="720" spans="2:6" x14ac:dyDescent="0.25">
      <c r="B720" t="s">
        <v>505</v>
      </c>
      <c r="C720" t="s">
        <v>393</v>
      </c>
      <c r="D720">
        <v>1.71</v>
      </c>
      <c r="E720">
        <v>2.2000000000000002</v>
      </c>
      <c r="F720" t="s">
        <v>8</v>
      </c>
    </row>
    <row r="721" spans="2:6" x14ac:dyDescent="0.25">
      <c r="B721" t="s">
        <v>505</v>
      </c>
      <c r="C721" t="s">
        <v>393</v>
      </c>
      <c r="D721">
        <v>1.71</v>
      </c>
      <c r="E721">
        <v>2.2000000000000002</v>
      </c>
      <c r="F721" t="s">
        <v>8</v>
      </c>
    </row>
    <row r="722" spans="2:6" x14ac:dyDescent="0.25">
      <c r="B722" t="s">
        <v>505</v>
      </c>
      <c r="C722" t="s">
        <v>393</v>
      </c>
      <c r="D722">
        <v>1.71</v>
      </c>
      <c r="E722">
        <v>2.2000000000000002</v>
      </c>
      <c r="F722" t="s">
        <v>8</v>
      </c>
    </row>
    <row r="723" spans="2:6" x14ac:dyDescent="0.25">
      <c r="B723" t="s">
        <v>505</v>
      </c>
      <c r="C723" t="s">
        <v>393</v>
      </c>
      <c r="D723">
        <v>1.69</v>
      </c>
      <c r="E723">
        <v>2.2000000000000002</v>
      </c>
      <c r="F723" t="s">
        <v>8</v>
      </c>
    </row>
    <row r="724" spans="2:6" x14ac:dyDescent="0.25">
      <c r="B724" t="s">
        <v>505</v>
      </c>
      <c r="C724" t="s">
        <v>393</v>
      </c>
      <c r="D724">
        <v>1.71</v>
      </c>
      <c r="E724">
        <v>2.2000000000000002</v>
      </c>
      <c r="F724" t="s">
        <v>8</v>
      </c>
    </row>
    <row r="725" spans="2:6" x14ac:dyDescent="0.25">
      <c r="B725" t="s">
        <v>501</v>
      </c>
      <c r="C725" t="s">
        <v>393</v>
      </c>
      <c r="D725">
        <v>4.2</v>
      </c>
      <c r="E725">
        <v>1.24</v>
      </c>
      <c r="F725" t="s">
        <v>8</v>
      </c>
    </row>
    <row r="726" spans="2:6" x14ac:dyDescent="0.25">
      <c r="B726" t="s">
        <v>501</v>
      </c>
      <c r="C726" t="s">
        <v>393</v>
      </c>
      <c r="D726">
        <v>4.2</v>
      </c>
      <c r="E726">
        <v>1.25</v>
      </c>
      <c r="F726" t="s">
        <v>8</v>
      </c>
    </row>
    <row r="727" spans="2:6" x14ac:dyDescent="0.25">
      <c r="B727" t="s">
        <v>501</v>
      </c>
      <c r="C727" t="s">
        <v>393</v>
      </c>
      <c r="D727">
        <v>4.3</v>
      </c>
      <c r="E727">
        <v>1.23</v>
      </c>
      <c r="F727" t="s">
        <v>8</v>
      </c>
    </row>
    <row r="728" spans="2:6" x14ac:dyDescent="0.25">
      <c r="B728" t="s">
        <v>501</v>
      </c>
      <c r="C728" t="s">
        <v>393</v>
      </c>
      <c r="D728">
        <v>4.2</v>
      </c>
      <c r="E728">
        <v>1.23</v>
      </c>
      <c r="F728" t="s">
        <v>8</v>
      </c>
    </row>
    <row r="729" spans="2:6" x14ac:dyDescent="0.25">
      <c r="B729" t="s">
        <v>501</v>
      </c>
      <c r="C729" t="s">
        <v>393</v>
      </c>
      <c r="D729">
        <v>4.0999999999999996</v>
      </c>
      <c r="E729">
        <v>1.25</v>
      </c>
      <c r="F729" t="s">
        <v>8</v>
      </c>
    </row>
    <row r="730" spans="2:6" x14ac:dyDescent="0.25">
      <c r="B730" t="s">
        <v>501</v>
      </c>
      <c r="C730" t="s">
        <v>393</v>
      </c>
      <c r="D730">
        <v>4.1500000000000004</v>
      </c>
      <c r="E730">
        <v>1.24</v>
      </c>
      <c r="F730" t="s">
        <v>8</v>
      </c>
    </row>
    <row r="731" spans="2:6" x14ac:dyDescent="0.25">
      <c r="B731" t="s">
        <v>501</v>
      </c>
      <c r="C731" t="s">
        <v>393</v>
      </c>
      <c r="D731">
        <v>4.2</v>
      </c>
      <c r="E731">
        <v>1.25</v>
      </c>
      <c r="F731" t="s">
        <v>8</v>
      </c>
    </row>
    <row r="732" spans="2:6" x14ac:dyDescent="0.25">
      <c r="B732" t="s">
        <v>501</v>
      </c>
      <c r="C732" t="s">
        <v>393</v>
      </c>
      <c r="D732">
        <v>4.3</v>
      </c>
      <c r="E732">
        <v>1.23</v>
      </c>
      <c r="F732" t="s">
        <v>8</v>
      </c>
    </row>
    <row r="733" spans="2:6" x14ac:dyDescent="0.25">
      <c r="B733" t="s">
        <v>501</v>
      </c>
      <c r="C733" t="s">
        <v>393</v>
      </c>
      <c r="D733">
        <v>4.2</v>
      </c>
      <c r="E733">
        <v>1.25</v>
      </c>
      <c r="F733" t="s">
        <v>8</v>
      </c>
    </row>
    <row r="734" spans="2:6" x14ac:dyDescent="0.25">
      <c r="B734" t="s">
        <v>501</v>
      </c>
      <c r="C734" t="s">
        <v>393</v>
      </c>
      <c r="D734">
        <v>4</v>
      </c>
      <c r="E734">
        <v>1.25</v>
      </c>
      <c r="F734" t="s">
        <v>8</v>
      </c>
    </row>
    <row r="735" spans="2:6" x14ac:dyDescent="0.25">
      <c r="B735" t="s">
        <v>501</v>
      </c>
      <c r="C735" t="s">
        <v>393</v>
      </c>
      <c r="D735">
        <v>4.0999999999999996</v>
      </c>
      <c r="E735">
        <v>1.25</v>
      </c>
      <c r="F735" t="s">
        <v>8</v>
      </c>
    </row>
    <row r="736" spans="2:6" x14ac:dyDescent="0.25">
      <c r="B736" t="s">
        <v>501</v>
      </c>
      <c r="C736" t="s">
        <v>393</v>
      </c>
      <c r="D736">
        <v>4.0999999999999996</v>
      </c>
      <c r="E736">
        <v>1.25</v>
      </c>
      <c r="F736" t="s">
        <v>8</v>
      </c>
    </row>
    <row r="737" spans="2:6" x14ac:dyDescent="0.25">
      <c r="B737" t="s">
        <v>501</v>
      </c>
      <c r="C737" t="s">
        <v>393</v>
      </c>
      <c r="D737">
        <v>3.95</v>
      </c>
      <c r="E737">
        <v>1.28</v>
      </c>
      <c r="F737" t="s">
        <v>8</v>
      </c>
    </row>
    <row r="738" spans="2:6" x14ac:dyDescent="0.25">
      <c r="B738" t="s">
        <v>48</v>
      </c>
      <c r="C738" t="s">
        <v>649</v>
      </c>
      <c r="D738">
        <v>1.44</v>
      </c>
      <c r="E738">
        <v>2.95</v>
      </c>
      <c r="F738" t="s">
        <v>10</v>
      </c>
    </row>
    <row r="739" spans="2:6" x14ac:dyDescent="0.25">
      <c r="B739" t="s">
        <v>48</v>
      </c>
      <c r="C739" t="s">
        <v>649</v>
      </c>
      <c r="D739">
        <v>1.42</v>
      </c>
      <c r="E739">
        <v>2.95</v>
      </c>
      <c r="F739" t="s">
        <v>10</v>
      </c>
    </row>
    <row r="740" spans="2:6" x14ac:dyDescent="0.25">
      <c r="B740" t="s">
        <v>48</v>
      </c>
      <c r="C740" t="s">
        <v>649</v>
      </c>
      <c r="D740">
        <v>1.44</v>
      </c>
      <c r="E740">
        <v>2.95</v>
      </c>
      <c r="F740" t="s">
        <v>10</v>
      </c>
    </row>
    <row r="741" spans="2:6" x14ac:dyDescent="0.25">
      <c r="B741" t="s">
        <v>48</v>
      </c>
      <c r="C741" t="s">
        <v>649</v>
      </c>
      <c r="D741">
        <v>1.42</v>
      </c>
      <c r="E741">
        <v>2.95</v>
      </c>
      <c r="F741" t="s">
        <v>10</v>
      </c>
    </row>
    <row r="742" spans="2:6" x14ac:dyDescent="0.25">
      <c r="B742" t="s">
        <v>48</v>
      </c>
      <c r="C742" t="s">
        <v>649</v>
      </c>
      <c r="D742">
        <v>1.43</v>
      </c>
      <c r="E742">
        <v>2.95</v>
      </c>
      <c r="F742" t="s">
        <v>10</v>
      </c>
    </row>
    <row r="743" spans="2:6" x14ac:dyDescent="0.25">
      <c r="B743" t="s">
        <v>48</v>
      </c>
      <c r="C743" t="s">
        <v>649</v>
      </c>
      <c r="D743">
        <v>1.42</v>
      </c>
      <c r="E743">
        <v>3</v>
      </c>
      <c r="F743" t="s">
        <v>10</v>
      </c>
    </row>
    <row r="744" spans="2:6" x14ac:dyDescent="0.25">
      <c r="B744" t="s">
        <v>48</v>
      </c>
      <c r="C744" t="s">
        <v>649</v>
      </c>
      <c r="D744">
        <v>1.43</v>
      </c>
      <c r="E744">
        <v>2.9</v>
      </c>
      <c r="F744" t="s">
        <v>10</v>
      </c>
    </row>
    <row r="745" spans="2:6" x14ac:dyDescent="0.25">
      <c r="B745" t="s">
        <v>48</v>
      </c>
      <c r="C745" t="s">
        <v>649</v>
      </c>
      <c r="D745">
        <v>1.38</v>
      </c>
      <c r="E745">
        <v>3</v>
      </c>
      <c r="F745" t="s">
        <v>10</v>
      </c>
    </row>
    <row r="746" spans="2:6" x14ac:dyDescent="0.25">
      <c r="B746" t="s">
        <v>48</v>
      </c>
      <c r="C746" t="s">
        <v>649</v>
      </c>
      <c r="D746">
        <v>1.42</v>
      </c>
      <c r="E746">
        <v>2.85</v>
      </c>
      <c r="F746" t="s">
        <v>10</v>
      </c>
    </row>
    <row r="747" spans="2:6" x14ac:dyDescent="0.25">
      <c r="B747" t="s">
        <v>48</v>
      </c>
      <c r="C747" t="s">
        <v>649</v>
      </c>
      <c r="D747">
        <v>1.42</v>
      </c>
      <c r="E747">
        <v>2.85</v>
      </c>
      <c r="F747" t="s">
        <v>10</v>
      </c>
    </row>
    <row r="748" spans="2:6" x14ac:dyDescent="0.25">
      <c r="B748" t="s">
        <v>48</v>
      </c>
      <c r="C748" t="s">
        <v>649</v>
      </c>
      <c r="D748">
        <v>1.4</v>
      </c>
      <c r="E748">
        <v>3</v>
      </c>
      <c r="F748" t="s">
        <v>10</v>
      </c>
    </row>
    <row r="749" spans="2:6" x14ac:dyDescent="0.25">
      <c r="B749" t="s">
        <v>48</v>
      </c>
      <c r="C749" t="s">
        <v>649</v>
      </c>
      <c r="D749">
        <v>1.4</v>
      </c>
      <c r="E749">
        <v>2.9</v>
      </c>
      <c r="F749" t="s">
        <v>10</v>
      </c>
    </row>
    <row r="750" spans="2:6" x14ac:dyDescent="0.25">
      <c r="B750" t="s">
        <v>395</v>
      </c>
      <c r="C750" t="s">
        <v>396</v>
      </c>
      <c r="D750">
        <v>1.41</v>
      </c>
      <c r="E750">
        <v>3</v>
      </c>
      <c r="F750" t="s">
        <v>8</v>
      </c>
    </row>
    <row r="751" spans="2:6" x14ac:dyDescent="0.25">
      <c r="B751" t="s">
        <v>395</v>
      </c>
      <c r="C751" t="s">
        <v>396</v>
      </c>
      <c r="D751">
        <v>1.44</v>
      </c>
      <c r="E751">
        <v>2.95</v>
      </c>
      <c r="F751" t="s">
        <v>8</v>
      </c>
    </row>
    <row r="752" spans="2:6" x14ac:dyDescent="0.25">
      <c r="B752" t="s">
        <v>395</v>
      </c>
      <c r="C752" t="s">
        <v>396</v>
      </c>
      <c r="D752">
        <v>1.42</v>
      </c>
      <c r="E752">
        <v>2.9</v>
      </c>
      <c r="F752" t="s">
        <v>8</v>
      </c>
    </row>
    <row r="753" spans="2:6" x14ac:dyDescent="0.25">
      <c r="B753" t="s">
        <v>395</v>
      </c>
      <c r="C753" t="s">
        <v>396</v>
      </c>
      <c r="D753">
        <v>1.43</v>
      </c>
      <c r="E753">
        <v>2.95</v>
      </c>
      <c r="F753" t="s">
        <v>8</v>
      </c>
    </row>
    <row r="754" spans="2:6" x14ac:dyDescent="0.25">
      <c r="B754" t="s">
        <v>395</v>
      </c>
      <c r="C754" t="s">
        <v>396</v>
      </c>
      <c r="D754">
        <v>1.43</v>
      </c>
      <c r="E754">
        <v>2.92</v>
      </c>
      <c r="F754" t="s">
        <v>8</v>
      </c>
    </row>
    <row r="755" spans="2:6" x14ac:dyDescent="0.25">
      <c r="B755" t="s">
        <v>395</v>
      </c>
      <c r="C755" t="s">
        <v>396</v>
      </c>
      <c r="D755">
        <v>1.43</v>
      </c>
      <c r="E755">
        <v>2.9</v>
      </c>
      <c r="F755" t="s">
        <v>8</v>
      </c>
    </row>
    <row r="756" spans="2:6" x14ac:dyDescent="0.25">
      <c r="B756" t="s">
        <v>395</v>
      </c>
      <c r="C756" t="s">
        <v>396</v>
      </c>
      <c r="D756">
        <v>1.44</v>
      </c>
      <c r="E756">
        <v>2.95</v>
      </c>
      <c r="F756" t="s">
        <v>8</v>
      </c>
    </row>
    <row r="757" spans="2:6" x14ac:dyDescent="0.25">
      <c r="B757" t="s">
        <v>395</v>
      </c>
      <c r="C757" t="s">
        <v>396</v>
      </c>
      <c r="D757">
        <v>1.42</v>
      </c>
      <c r="E757">
        <v>2.9</v>
      </c>
      <c r="F757" t="s">
        <v>8</v>
      </c>
    </row>
    <row r="758" spans="2:6" x14ac:dyDescent="0.25">
      <c r="B758" t="s">
        <v>395</v>
      </c>
      <c r="C758" t="s">
        <v>396</v>
      </c>
      <c r="D758">
        <v>1.44</v>
      </c>
      <c r="E758">
        <v>2.85</v>
      </c>
      <c r="F758" t="s">
        <v>8</v>
      </c>
    </row>
    <row r="759" spans="2:6" x14ac:dyDescent="0.25">
      <c r="B759" t="s">
        <v>395</v>
      </c>
      <c r="C759" t="s">
        <v>396</v>
      </c>
      <c r="D759">
        <v>1.42</v>
      </c>
      <c r="E759">
        <v>2.9</v>
      </c>
      <c r="F759" t="s">
        <v>8</v>
      </c>
    </row>
    <row r="760" spans="2:6" x14ac:dyDescent="0.25">
      <c r="B760" t="s">
        <v>395</v>
      </c>
      <c r="C760" t="s">
        <v>396</v>
      </c>
      <c r="D760">
        <v>1.42</v>
      </c>
      <c r="E760">
        <v>2.9</v>
      </c>
      <c r="F760" t="s">
        <v>8</v>
      </c>
    </row>
    <row r="761" spans="2:6" x14ac:dyDescent="0.25">
      <c r="B761" t="s">
        <v>395</v>
      </c>
      <c r="C761" t="s">
        <v>396</v>
      </c>
      <c r="D761">
        <v>1.4</v>
      </c>
      <c r="E761">
        <v>3</v>
      </c>
      <c r="F761" t="s">
        <v>8</v>
      </c>
    </row>
    <row r="762" spans="2:6" x14ac:dyDescent="0.25">
      <c r="B762" t="s">
        <v>119</v>
      </c>
      <c r="C762" t="s">
        <v>120</v>
      </c>
      <c r="D762">
        <v>6</v>
      </c>
      <c r="E762">
        <v>1.1200000000000001</v>
      </c>
      <c r="F762" t="s">
        <v>10</v>
      </c>
    </row>
    <row r="763" spans="2:6" x14ac:dyDescent="0.25">
      <c r="B763" t="s">
        <v>119</v>
      </c>
      <c r="C763" t="s">
        <v>120</v>
      </c>
      <c r="D763">
        <v>6.5</v>
      </c>
      <c r="E763">
        <v>1.1200000000000001</v>
      </c>
      <c r="F763" t="s">
        <v>10</v>
      </c>
    </row>
    <row r="764" spans="2:6" x14ac:dyDescent="0.25">
      <c r="B764" t="s">
        <v>119</v>
      </c>
      <c r="C764" t="s">
        <v>120</v>
      </c>
      <c r="D764">
        <v>6.25</v>
      </c>
      <c r="E764">
        <v>1.1200000000000001</v>
      </c>
      <c r="F764" t="s">
        <v>10</v>
      </c>
    </row>
    <row r="765" spans="2:6" x14ac:dyDescent="0.25">
      <c r="B765" t="s">
        <v>119</v>
      </c>
      <c r="C765" t="s">
        <v>120</v>
      </c>
      <c r="D765">
        <v>5.8</v>
      </c>
      <c r="E765">
        <v>1.1299999999999999</v>
      </c>
      <c r="F765" t="s">
        <v>10</v>
      </c>
    </row>
    <row r="766" spans="2:6" x14ac:dyDescent="0.25">
      <c r="B766" t="s">
        <v>119</v>
      </c>
      <c r="C766" t="s">
        <v>120</v>
      </c>
      <c r="D766">
        <v>6.5</v>
      </c>
      <c r="E766">
        <v>1.1200000000000001</v>
      </c>
      <c r="F766" t="s">
        <v>10</v>
      </c>
    </row>
    <row r="767" spans="2:6" x14ac:dyDescent="0.25">
      <c r="B767" t="s">
        <v>119</v>
      </c>
      <c r="C767" t="s">
        <v>120</v>
      </c>
      <c r="D767">
        <v>6.5</v>
      </c>
      <c r="E767">
        <v>1.1200000000000001</v>
      </c>
      <c r="F767" t="s">
        <v>10</v>
      </c>
    </row>
    <row r="768" spans="2:6" x14ac:dyDescent="0.25">
      <c r="B768" t="s">
        <v>119</v>
      </c>
      <c r="C768" t="s">
        <v>120</v>
      </c>
      <c r="D768">
        <v>6.5</v>
      </c>
      <c r="E768">
        <v>1.1200000000000001</v>
      </c>
      <c r="F768" t="s">
        <v>10</v>
      </c>
    </row>
    <row r="769" spans="2:6" x14ac:dyDescent="0.25">
      <c r="B769" t="s">
        <v>119</v>
      </c>
      <c r="C769" t="s">
        <v>120</v>
      </c>
      <c r="D769">
        <v>6.25</v>
      </c>
      <c r="E769">
        <v>1.1299999999999999</v>
      </c>
      <c r="F769" t="s">
        <v>10</v>
      </c>
    </row>
    <row r="770" spans="2:6" x14ac:dyDescent="0.25">
      <c r="B770" t="s">
        <v>119</v>
      </c>
      <c r="C770" t="s">
        <v>120</v>
      </c>
      <c r="D770">
        <v>6.25</v>
      </c>
      <c r="E770">
        <v>1.1299999999999999</v>
      </c>
      <c r="F770" t="s">
        <v>10</v>
      </c>
    </row>
    <row r="771" spans="2:6" x14ac:dyDescent="0.25">
      <c r="B771" t="s">
        <v>119</v>
      </c>
      <c r="C771" t="s">
        <v>120</v>
      </c>
      <c r="D771">
        <v>6.25</v>
      </c>
      <c r="E771">
        <v>1.1200000000000001</v>
      </c>
      <c r="F771" t="s">
        <v>10</v>
      </c>
    </row>
    <row r="772" spans="2:6" x14ac:dyDescent="0.25">
      <c r="B772" t="s">
        <v>119</v>
      </c>
      <c r="C772" t="s">
        <v>120</v>
      </c>
      <c r="D772">
        <v>6</v>
      </c>
      <c r="E772">
        <v>1.1299999999999999</v>
      </c>
      <c r="F772" t="s">
        <v>10</v>
      </c>
    </row>
    <row r="773" spans="2:6" x14ac:dyDescent="0.25">
      <c r="B773" t="s">
        <v>397</v>
      </c>
      <c r="C773" t="s">
        <v>398</v>
      </c>
      <c r="D773">
        <v>1.37</v>
      </c>
      <c r="E773">
        <v>3.2</v>
      </c>
      <c r="F773" t="s">
        <v>8</v>
      </c>
    </row>
    <row r="774" spans="2:6" x14ac:dyDescent="0.25">
      <c r="B774" t="s">
        <v>397</v>
      </c>
      <c r="C774" t="s">
        <v>398</v>
      </c>
      <c r="D774">
        <v>1.39</v>
      </c>
      <c r="E774">
        <v>3.15</v>
      </c>
      <c r="F774" t="s">
        <v>8</v>
      </c>
    </row>
    <row r="775" spans="2:6" x14ac:dyDescent="0.25">
      <c r="B775" t="s">
        <v>397</v>
      </c>
      <c r="C775" t="s">
        <v>398</v>
      </c>
      <c r="D775">
        <v>1.36</v>
      </c>
      <c r="E775">
        <v>3.25</v>
      </c>
      <c r="F775" t="s">
        <v>8</v>
      </c>
    </row>
    <row r="776" spans="2:6" x14ac:dyDescent="0.25">
      <c r="B776" t="s">
        <v>397</v>
      </c>
      <c r="C776" t="s">
        <v>398</v>
      </c>
      <c r="D776">
        <v>1.38</v>
      </c>
      <c r="E776">
        <v>3.1</v>
      </c>
      <c r="F776" t="s">
        <v>8</v>
      </c>
    </row>
    <row r="777" spans="2:6" x14ac:dyDescent="0.25">
      <c r="B777" t="s">
        <v>397</v>
      </c>
      <c r="C777" t="s">
        <v>398</v>
      </c>
      <c r="D777">
        <v>1.4</v>
      </c>
      <c r="E777">
        <v>3.1</v>
      </c>
      <c r="F777" t="s">
        <v>8</v>
      </c>
    </row>
    <row r="778" spans="2:6" x14ac:dyDescent="0.25">
      <c r="B778" t="s">
        <v>397</v>
      </c>
      <c r="C778" t="s">
        <v>398</v>
      </c>
      <c r="D778">
        <v>1.37</v>
      </c>
      <c r="E778">
        <v>3.15</v>
      </c>
      <c r="F778" t="s">
        <v>8</v>
      </c>
    </row>
    <row r="779" spans="2:6" x14ac:dyDescent="0.25">
      <c r="B779" t="s">
        <v>397</v>
      </c>
      <c r="C779" t="s">
        <v>398</v>
      </c>
      <c r="D779">
        <v>1.39</v>
      </c>
      <c r="E779">
        <v>3.15</v>
      </c>
      <c r="F779" t="s">
        <v>8</v>
      </c>
    </row>
    <row r="780" spans="2:6" x14ac:dyDescent="0.25">
      <c r="B780" t="s">
        <v>397</v>
      </c>
      <c r="C780" t="s">
        <v>398</v>
      </c>
      <c r="D780">
        <v>1.38</v>
      </c>
      <c r="E780">
        <v>3.1</v>
      </c>
      <c r="F780" t="s">
        <v>8</v>
      </c>
    </row>
    <row r="781" spans="2:6" x14ac:dyDescent="0.25">
      <c r="B781" t="s">
        <v>397</v>
      </c>
      <c r="C781" t="s">
        <v>398</v>
      </c>
      <c r="D781">
        <v>1.39</v>
      </c>
      <c r="E781">
        <v>3.08</v>
      </c>
      <c r="F781" t="s">
        <v>8</v>
      </c>
    </row>
    <row r="782" spans="2:6" x14ac:dyDescent="0.25">
      <c r="B782" t="s">
        <v>397</v>
      </c>
      <c r="C782" t="s">
        <v>398</v>
      </c>
      <c r="D782">
        <v>1.38</v>
      </c>
      <c r="E782">
        <v>3.15</v>
      </c>
      <c r="F782" t="s">
        <v>8</v>
      </c>
    </row>
    <row r="783" spans="2:6" x14ac:dyDescent="0.25">
      <c r="B783" t="s">
        <v>397</v>
      </c>
      <c r="C783" t="s">
        <v>398</v>
      </c>
      <c r="D783">
        <v>1.37</v>
      </c>
      <c r="E783">
        <v>3.15</v>
      </c>
      <c r="F783" t="s">
        <v>8</v>
      </c>
    </row>
    <row r="784" spans="2:6" x14ac:dyDescent="0.25">
      <c r="B784" t="s">
        <v>397</v>
      </c>
      <c r="C784" t="s">
        <v>398</v>
      </c>
      <c r="D784">
        <v>1.4</v>
      </c>
      <c r="E784">
        <v>3</v>
      </c>
      <c r="F784" t="s">
        <v>8</v>
      </c>
    </row>
    <row r="785" spans="2:6" x14ac:dyDescent="0.25">
      <c r="B785" t="s">
        <v>397</v>
      </c>
      <c r="C785" t="s">
        <v>398</v>
      </c>
      <c r="D785">
        <v>1.39</v>
      </c>
      <c r="E785">
        <v>3.15</v>
      </c>
      <c r="F785" t="s">
        <v>8</v>
      </c>
    </row>
    <row r="786" spans="2:6" x14ac:dyDescent="0.25">
      <c r="B786" t="s">
        <v>40</v>
      </c>
      <c r="C786" t="s">
        <v>451</v>
      </c>
      <c r="D786">
        <v>1.5</v>
      </c>
      <c r="E786">
        <v>2.7</v>
      </c>
      <c r="F786" t="s">
        <v>10</v>
      </c>
    </row>
    <row r="787" spans="2:6" x14ac:dyDescent="0.25">
      <c r="B787" t="s">
        <v>40</v>
      </c>
      <c r="C787" t="s">
        <v>451</v>
      </c>
      <c r="D787">
        <v>1.5</v>
      </c>
      <c r="E787">
        <v>2.7</v>
      </c>
      <c r="F787" t="s">
        <v>10</v>
      </c>
    </row>
    <row r="788" spans="2:6" x14ac:dyDescent="0.25">
      <c r="B788" t="s">
        <v>40</v>
      </c>
      <c r="C788" t="s">
        <v>451</v>
      </c>
      <c r="D788">
        <v>1.49</v>
      </c>
      <c r="E788">
        <v>2.7</v>
      </c>
      <c r="F788" t="s">
        <v>10</v>
      </c>
    </row>
    <row r="789" spans="2:6" x14ac:dyDescent="0.25">
      <c r="B789" t="s">
        <v>40</v>
      </c>
      <c r="C789" t="s">
        <v>451</v>
      </c>
      <c r="D789">
        <v>1.47</v>
      </c>
      <c r="E789">
        <v>2.75</v>
      </c>
      <c r="F789" t="s">
        <v>10</v>
      </c>
    </row>
    <row r="790" spans="2:6" x14ac:dyDescent="0.25">
      <c r="B790" t="s">
        <v>40</v>
      </c>
      <c r="C790" t="s">
        <v>451</v>
      </c>
      <c r="D790">
        <v>1.49</v>
      </c>
      <c r="E790">
        <v>2.72</v>
      </c>
      <c r="F790" t="s">
        <v>10</v>
      </c>
    </row>
    <row r="791" spans="2:6" x14ac:dyDescent="0.25">
      <c r="B791" t="s">
        <v>40</v>
      </c>
      <c r="C791" t="s">
        <v>451</v>
      </c>
      <c r="D791">
        <v>1.48</v>
      </c>
      <c r="E791">
        <v>2.75</v>
      </c>
      <c r="F791" t="s">
        <v>10</v>
      </c>
    </row>
    <row r="792" spans="2:6" x14ac:dyDescent="0.25">
      <c r="B792" t="s">
        <v>40</v>
      </c>
      <c r="C792" t="s">
        <v>451</v>
      </c>
      <c r="D792">
        <v>1.48</v>
      </c>
      <c r="E792">
        <v>2.7</v>
      </c>
      <c r="F792" t="s">
        <v>10</v>
      </c>
    </row>
    <row r="793" spans="2:6" x14ac:dyDescent="0.25">
      <c r="B793" t="s">
        <v>40</v>
      </c>
      <c r="C793" t="s">
        <v>451</v>
      </c>
      <c r="D793">
        <v>1.43</v>
      </c>
      <c r="E793">
        <v>2.8</v>
      </c>
      <c r="F793" t="s">
        <v>10</v>
      </c>
    </row>
    <row r="794" spans="2:6" x14ac:dyDescent="0.25">
      <c r="B794" t="s">
        <v>40</v>
      </c>
      <c r="C794" t="s">
        <v>451</v>
      </c>
      <c r="D794">
        <v>1.49</v>
      </c>
      <c r="E794">
        <v>2.63</v>
      </c>
      <c r="F794" t="s">
        <v>10</v>
      </c>
    </row>
    <row r="795" spans="2:6" x14ac:dyDescent="0.25">
      <c r="B795" t="s">
        <v>40</v>
      </c>
      <c r="C795" t="s">
        <v>451</v>
      </c>
      <c r="D795">
        <v>1.49</v>
      </c>
      <c r="E795">
        <v>2.63</v>
      </c>
      <c r="F795" t="s">
        <v>10</v>
      </c>
    </row>
    <row r="796" spans="2:6" x14ac:dyDescent="0.25">
      <c r="B796" t="s">
        <v>40</v>
      </c>
      <c r="C796" t="s">
        <v>451</v>
      </c>
      <c r="D796">
        <v>1.45</v>
      </c>
      <c r="E796">
        <v>2.8</v>
      </c>
      <c r="F796" t="s">
        <v>10</v>
      </c>
    </row>
    <row r="797" spans="2:6" x14ac:dyDescent="0.25">
      <c r="B797" t="s">
        <v>40</v>
      </c>
      <c r="C797" t="s">
        <v>451</v>
      </c>
      <c r="D797">
        <v>1.44</v>
      </c>
      <c r="E797">
        <v>2.8</v>
      </c>
      <c r="F797" t="s">
        <v>10</v>
      </c>
    </row>
    <row r="798" spans="2:6" x14ac:dyDescent="0.25">
      <c r="B798" t="s">
        <v>494</v>
      </c>
      <c r="C798" t="s">
        <v>400</v>
      </c>
      <c r="D798">
        <v>1.54</v>
      </c>
      <c r="E798">
        <v>2.54</v>
      </c>
      <c r="F798" t="s">
        <v>8</v>
      </c>
    </row>
    <row r="799" spans="2:6" x14ac:dyDescent="0.25">
      <c r="B799" t="s">
        <v>494</v>
      </c>
      <c r="C799" t="s">
        <v>400</v>
      </c>
      <c r="D799">
        <v>1.61</v>
      </c>
      <c r="E799">
        <v>2.4500000000000002</v>
      </c>
      <c r="F799" t="s">
        <v>8</v>
      </c>
    </row>
    <row r="800" spans="2:6" x14ac:dyDescent="0.25">
      <c r="B800" t="s">
        <v>494</v>
      </c>
      <c r="C800" t="s">
        <v>400</v>
      </c>
      <c r="D800">
        <v>1.56</v>
      </c>
      <c r="E800">
        <v>2.4500000000000002</v>
      </c>
      <c r="F800" t="s">
        <v>8</v>
      </c>
    </row>
    <row r="801" spans="2:6" x14ac:dyDescent="0.25">
      <c r="B801" t="s">
        <v>494</v>
      </c>
      <c r="C801" t="s">
        <v>400</v>
      </c>
      <c r="D801">
        <v>1.59</v>
      </c>
      <c r="E801">
        <v>2.4500000000000002</v>
      </c>
      <c r="F801" t="s">
        <v>8</v>
      </c>
    </row>
    <row r="802" spans="2:6" x14ac:dyDescent="0.25">
      <c r="B802" t="s">
        <v>494</v>
      </c>
      <c r="C802" t="s">
        <v>400</v>
      </c>
      <c r="D802">
        <v>1.59</v>
      </c>
      <c r="E802">
        <v>2.4300000000000002</v>
      </c>
      <c r="F802" t="s">
        <v>8</v>
      </c>
    </row>
    <row r="803" spans="2:6" x14ac:dyDescent="0.25">
      <c r="B803" t="s">
        <v>494</v>
      </c>
      <c r="C803" t="s">
        <v>400</v>
      </c>
      <c r="D803">
        <v>1.55</v>
      </c>
      <c r="E803">
        <v>2.5</v>
      </c>
      <c r="F803" t="s">
        <v>8</v>
      </c>
    </row>
    <row r="804" spans="2:6" x14ac:dyDescent="0.25">
      <c r="B804" t="s">
        <v>494</v>
      </c>
      <c r="C804" t="s">
        <v>400</v>
      </c>
      <c r="D804">
        <v>1.61</v>
      </c>
      <c r="E804">
        <v>2.4500000000000002</v>
      </c>
      <c r="F804" t="s">
        <v>8</v>
      </c>
    </row>
    <row r="805" spans="2:6" x14ac:dyDescent="0.25">
      <c r="B805" t="s">
        <v>494</v>
      </c>
      <c r="C805" t="s">
        <v>400</v>
      </c>
      <c r="D805">
        <v>1.56</v>
      </c>
      <c r="E805">
        <v>2.4500000000000002</v>
      </c>
      <c r="F805" t="s">
        <v>8</v>
      </c>
    </row>
    <row r="806" spans="2:6" x14ac:dyDescent="0.25">
      <c r="B806" t="s">
        <v>494</v>
      </c>
      <c r="C806" t="s">
        <v>400</v>
      </c>
      <c r="D806">
        <v>1.61</v>
      </c>
      <c r="E806">
        <v>2.4500000000000002</v>
      </c>
      <c r="F806" t="s">
        <v>8</v>
      </c>
    </row>
    <row r="807" spans="2:6" x14ac:dyDescent="0.25">
      <c r="B807" t="s">
        <v>494</v>
      </c>
      <c r="C807" t="s">
        <v>400</v>
      </c>
      <c r="D807">
        <v>1.59</v>
      </c>
      <c r="E807">
        <v>2.4500000000000002</v>
      </c>
      <c r="F807" t="s">
        <v>8</v>
      </c>
    </row>
    <row r="808" spans="2:6" x14ac:dyDescent="0.25">
      <c r="B808" t="s">
        <v>494</v>
      </c>
      <c r="C808" t="s">
        <v>400</v>
      </c>
      <c r="D808">
        <v>1.57</v>
      </c>
      <c r="E808">
        <v>2.4500000000000002</v>
      </c>
      <c r="F808" t="s">
        <v>8</v>
      </c>
    </row>
    <row r="809" spans="2:6" x14ac:dyDescent="0.25">
      <c r="B809" t="s">
        <v>494</v>
      </c>
      <c r="C809" t="s">
        <v>400</v>
      </c>
      <c r="D809">
        <v>1.61</v>
      </c>
      <c r="E809">
        <v>2.4</v>
      </c>
      <c r="F809" t="s">
        <v>8</v>
      </c>
    </row>
    <row r="810" spans="2:6" x14ac:dyDescent="0.25">
      <c r="B810" t="s">
        <v>494</v>
      </c>
      <c r="C810" t="s">
        <v>400</v>
      </c>
      <c r="D810">
        <v>1.59</v>
      </c>
      <c r="E810">
        <v>2.4500000000000002</v>
      </c>
      <c r="F810" t="s">
        <v>8</v>
      </c>
    </row>
    <row r="811" spans="2:6" x14ac:dyDescent="0.25">
      <c r="B811" t="s">
        <v>39</v>
      </c>
      <c r="C811" t="s">
        <v>452</v>
      </c>
      <c r="D811">
        <v>3.6</v>
      </c>
      <c r="E811">
        <v>1.32</v>
      </c>
      <c r="F811" t="s">
        <v>10</v>
      </c>
    </row>
    <row r="812" spans="2:6" x14ac:dyDescent="0.25">
      <c r="B812" t="s">
        <v>39</v>
      </c>
      <c r="C812" t="s">
        <v>452</v>
      </c>
      <c r="D812">
        <v>3.6</v>
      </c>
      <c r="E812">
        <v>1.32</v>
      </c>
      <c r="F812" t="s">
        <v>10</v>
      </c>
    </row>
    <row r="813" spans="2:6" x14ac:dyDescent="0.25">
      <c r="B813" t="s">
        <v>39</v>
      </c>
      <c r="C813" t="s">
        <v>452</v>
      </c>
      <c r="D813">
        <v>3.45</v>
      </c>
      <c r="E813">
        <v>1.33</v>
      </c>
      <c r="F813" t="s">
        <v>10</v>
      </c>
    </row>
    <row r="814" spans="2:6" x14ac:dyDescent="0.25">
      <c r="B814" t="s">
        <v>39</v>
      </c>
      <c r="C814" t="s">
        <v>452</v>
      </c>
      <c r="D814">
        <v>3.4</v>
      </c>
      <c r="E814">
        <v>1.33</v>
      </c>
      <c r="F814" t="s">
        <v>10</v>
      </c>
    </row>
    <row r="815" spans="2:6" x14ac:dyDescent="0.25">
      <c r="B815" t="s">
        <v>39</v>
      </c>
      <c r="C815" t="s">
        <v>452</v>
      </c>
      <c r="D815">
        <v>3.6</v>
      </c>
      <c r="E815">
        <v>1.3</v>
      </c>
      <c r="F815" t="s">
        <v>10</v>
      </c>
    </row>
    <row r="816" spans="2:6" x14ac:dyDescent="0.25">
      <c r="B816" t="s">
        <v>39</v>
      </c>
      <c r="C816" t="s">
        <v>452</v>
      </c>
      <c r="D816">
        <v>3.3</v>
      </c>
      <c r="E816">
        <v>1.33</v>
      </c>
      <c r="F816" t="s">
        <v>10</v>
      </c>
    </row>
    <row r="817" spans="2:6" x14ac:dyDescent="0.25">
      <c r="B817" t="s">
        <v>39</v>
      </c>
      <c r="C817" t="s">
        <v>452</v>
      </c>
      <c r="D817">
        <v>3.3</v>
      </c>
      <c r="E817">
        <v>1.32</v>
      </c>
      <c r="F817" t="s">
        <v>10</v>
      </c>
    </row>
    <row r="818" spans="2:6" x14ac:dyDescent="0.25">
      <c r="B818" t="s">
        <v>39</v>
      </c>
      <c r="C818" t="s">
        <v>452</v>
      </c>
      <c r="D818">
        <v>3.45</v>
      </c>
      <c r="E818">
        <v>1.32</v>
      </c>
      <c r="F818" t="s">
        <v>10</v>
      </c>
    </row>
    <row r="819" spans="2:6" x14ac:dyDescent="0.25">
      <c r="B819" t="s">
        <v>39</v>
      </c>
      <c r="C819" t="s">
        <v>452</v>
      </c>
      <c r="D819">
        <v>3.45</v>
      </c>
      <c r="E819">
        <v>1.32</v>
      </c>
      <c r="F819" t="s">
        <v>10</v>
      </c>
    </row>
    <row r="820" spans="2:6" x14ac:dyDescent="0.25">
      <c r="B820" t="s">
        <v>39</v>
      </c>
      <c r="C820" t="s">
        <v>452</v>
      </c>
      <c r="D820">
        <v>3.3</v>
      </c>
      <c r="E820">
        <v>1.36</v>
      </c>
      <c r="F820" t="s">
        <v>10</v>
      </c>
    </row>
    <row r="821" spans="2:6" x14ac:dyDescent="0.25">
      <c r="B821" t="s">
        <v>39</v>
      </c>
      <c r="C821" t="s">
        <v>452</v>
      </c>
      <c r="D821">
        <v>3.4</v>
      </c>
      <c r="E821">
        <v>1.33</v>
      </c>
      <c r="F821" t="s">
        <v>10</v>
      </c>
    </row>
    <row r="822" spans="2:6" x14ac:dyDescent="0.25">
      <c r="B822" t="s">
        <v>495</v>
      </c>
      <c r="C822" t="s">
        <v>402</v>
      </c>
      <c r="D822">
        <v>1.8</v>
      </c>
      <c r="E822">
        <v>2.0499999999999998</v>
      </c>
      <c r="F822" t="s">
        <v>8</v>
      </c>
    </row>
    <row r="823" spans="2:6" x14ac:dyDescent="0.25">
      <c r="B823" t="s">
        <v>495</v>
      </c>
      <c r="C823" t="s">
        <v>402</v>
      </c>
      <c r="D823">
        <v>1.87</v>
      </c>
      <c r="E823">
        <v>1.95</v>
      </c>
      <c r="F823" t="s">
        <v>8</v>
      </c>
    </row>
    <row r="824" spans="2:6" x14ac:dyDescent="0.25">
      <c r="B824" t="s">
        <v>495</v>
      </c>
      <c r="C824" t="s">
        <v>402</v>
      </c>
      <c r="D824">
        <v>1.87</v>
      </c>
      <c r="E824">
        <v>1.95</v>
      </c>
      <c r="F824" t="s">
        <v>8</v>
      </c>
    </row>
    <row r="825" spans="2:6" x14ac:dyDescent="0.25">
      <c r="B825" t="s">
        <v>495</v>
      </c>
      <c r="C825" t="s">
        <v>402</v>
      </c>
      <c r="D825">
        <v>1.79</v>
      </c>
      <c r="E825">
        <v>2.0499999999999998</v>
      </c>
      <c r="F825" t="s">
        <v>8</v>
      </c>
    </row>
    <row r="826" spans="2:6" x14ac:dyDescent="0.25">
      <c r="B826" t="s">
        <v>495</v>
      </c>
      <c r="C826" t="s">
        <v>402</v>
      </c>
      <c r="D826">
        <v>1.85</v>
      </c>
      <c r="E826">
        <v>1.96</v>
      </c>
      <c r="F826" t="s">
        <v>8</v>
      </c>
    </row>
    <row r="827" spans="2:6" x14ac:dyDescent="0.25">
      <c r="B827" t="s">
        <v>495</v>
      </c>
      <c r="C827" t="s">
        <v>402</v>
      </c>
      <c r="D827">
        <v>1.87</v>
      </c>
      <c r="E827">
        <v>1.95</v>
      </c>
      <c r="F827" t="s">
        <v>8</v>
      </c>
    </row>
    <row r="828" spans="2:6" x14ac:dyDescent="0.25">
      <c r="B828" t="s">
        <v>495</v>
      </c>
      <c r="C828" t="s">
        <v>402</v>
      </c>
      <c r="D828">
        <v>1.85</v>
      </c>
      <c r="E828">
        <v>1.96</v>
      </c>
      <c r="F828" t="s">
        <v>8</v>
      </c>
    </row>
    <row r="829" spans="2:6" x14ac:dyDescent="0.25">
      <c r="B829" t="s">
        <v>495</v>
      </c>
      <c r="C829" t="s">
        <v>402</v>
      </c>
      <c r="D829">
        <v>1.83</v>
      </c>
      <c r="E829">
        <v>2</v>
      </c>
      <c r="F829" t="s">
        <v>8</v>
      </c>
    </row>
    <row r="830" spans="2:6" x14ac:dyDescent="0.25">
      <c r="B830" t="s">
        <v>495</v>
      </c>
      <c r="C830" t="s">
        <v>402</v>
      </c>
      <c r="D830">
        <v>1.83</v>
      </c>
      <c r="E830">
        <v>2</v>
      </c>
      <c r="F830" t="s">
        <v>8</v>
      </c>
    </row>
    <row r="831" spans="2:6" x14ac:dyDescent="0.25">
      <c r="B831" t="s">
        <v>495</v>
      </c>
      <c r="C831" t="s">
        <v>402</v>
      </c>
      <c r="D831">
        <v>1.83</v>
      </c>
      <c r="E831">
        <v>2</v>
      </c>
      <c r="F831" t="s">
        <v>8</v>
      </c>
    </row>
    <row r="832" spans="2:6" x14ac:dyDescent="0.25">
      <c r="B832" t="s">
        <v>495</v>
      </c>
      <c r="C832" t="s">
        <v>402</v>
      </c>
      <c r="D832">
        <v>1.87</v>
      </c>
      <c r="E832">
        <v>1.95</v>
      </c>
      <c r="F832" t="s">
        <v>8</v>
      </c>
    </row>
    <row r="833" spans="2:6" x14ac:dyDescent="0.25">
      <c r="B833" t="s">
        <v>495</v>
      </c>
      <c r="C833" t="s">
        <v>402</v>
      </c>
      <c r="D833">
        <v>1.86</v>
      </c>
      <c r="E833">
        <v>2</v>
      </c>
      <c r="F833" t="s">
        <v>8</v>
      </c>
    </row>
    <row r="834" spans="2:6" x14ac:dyDescent="0.25">
      <c r="B834" t="s">
        <v>502</v>
      </c>
      <c r="C834" t="s">
        <v>402</v>
      </c>
      <c r="D834">
        <v>1.87</v>
      </c>
      <c r="E834">
        <v>1.95</v>
      </c>
      <c r="F834" t="s">
        <v>8</v>
      </c>
    </row>
    <row r="835" spans="2:6" x14ac:dyDescent="0.25">
      <c r="B835" t="s">
        <v>502</v>
      </c>
      <c r="C835" t="s">
        <v>402</v>
      </c>
      <c r="D835">
        <v>1.87</v>
      </c>
      <c r="E835">
        <v>1.96</v>
      </c>
      <c r="F835" t="s">
        <v>8</v>
      </c>
    </row>
    <row r="836" spans="2:6" x14ac:dyDescent="0.25">
      <c r="B836" t="s">
        <v>502</v>
      </c>
      <c r="C836" t="s">
        <v>402</v>
      </c>
      <c r="D836">
        <v>1.87</v>
      </c>
      <c r="E836">
        <v>1.95</v>
      </c>
      <c r="F836" t="s">
        <v>8</v>
      </c>
    </row>
    <row r="837" spans="2:6" x14ac:dyDescent="0.25">
      <c r="B837" t="s">
        <v>502</v>
      </c>
      <c r="C837" t="s">
        <v>402</v>
      </c>
      <c r="D837">
        <v>1.82</v>
      </c>
      <c r="E837">
        <v>2.02</v>
      </c>
      <c r="F837" t="s">
        <v>8</v>
      </c>
    </row>
    <row r="838" spans="2:6" x14ac:dyDescent="0.25">
      <c r="B838" t="s">
        <v>502</v>
      </c>
      <c r="C838" t="s">
        <v>402</v>
      </c>
      <c r="D838">
        <v>1.87</v>
      </c>
      <c r="E838">
        <v>1.95</v>
      </c>
      <c r="F838" t="s">
        <v>8</v>
      </c>
    </row>
    <row r="839" spans="2:6" x14ac:dyDescent="0.25">
      <c r="B839" t="s">
        <v>502</v>
      </c>
      <c r="C839" t="s">
        <v>402</v>
      </c>
      <c r="D839">
        <v>1.87</v>
      </c>
      <c r="E839">
        <v>1.95</v>
      </c>
      <c r="F839" t="s">
        <v>8</v>
      </c>
    </row>
    <row r="840" spans="2:6" x14ac:dyDescent="0.25">
      <c r="B840" t="s">
        <v>502</v>
      </c>
      <c r="C840" t="s">
        <v>402</v>
      </c>
      <c r="D840">
        <v>1.87</v>
      </c>
      <c r="E840">
        <v>1.95</v>
      </c>
      <c r="F840" t="s">
        <v>8</v>
      </c>
    </row>
    <row r="841" spans="2:6" x14ac:dyDescent="0.25">
      <c r="B841" t="s">
        <v>502</v>
      </c>
      <c r="C841" t="s">
        <v>402</v>
      </c>
      <c r="D841">
        <v>1.82</v>
      </c>
      <c r="E841">
        <v>2.02</v>
      </c>
      <c r="F841" t="s">
        <v>8</v>
      </c>
    </row>
    <row r="842" spans="2:6" x14ac:dyDescent="0.25">
      <c r="B842" t="s">
        <v>502</v>
      </c>
      <c r="C842" t="s">
        <v>402</v>
      </c>
      <c r="D842">
        <v>1.83</v>
      </c>
      <c r="E842">
        <v>2</v>
      </c>
      <c r="F842" t="s">
        <v>8</v>
      </c>
    </row>
    <row r="843" spans="2:6" x14ac:dyDescent="0.25">
      <c r="B843" t="s">
        <v>502</v>
      </c>
      <c r="C843" t="s">
        <v>402</v>
      </c>
      <c r="D843">
        <v>1.83</v>
      </c>
      <c r="E843">
        <v>2</v>
      </c>
      <c r="F843" t="s">
        <v>8</v>
      </c>
    </row>
    <row r="844" spans="2:6" x14ac:dyDescent="0.25">
      <c r="B844" t="s">
        <v>502</v>
      </c>
      <c r="C844" t="s">
        <v>402</v>
      </c>
      <c r="D844">
        <v>1.93</v>
      </c>
      <c r="E844">
        <v>1.93</v>
      </c>
      <c r="F844" t="s">
        <v>8</v>
      </c>
    </row>
    <row r="845" spans="2:6" x14ac:dyDescent="0.25">
      <c r="B845" t="s">
        <v>404</v>
      </c>
      <c r="C845" t="s">
        <v>402</v>
      </c>
      <c r="D845">
        <v>4.2</v>
      </c>
      <c r="E845">
        <v>1.24</v>
      </c>
      <c r="F845" t="s">
        <v>8</v>
      </c>
    </row>
    <row r="846" spans="2:6" x14ac:dyDescent="0.25">
      <c r="B846" t="s">
        <v>404</v>
      </c>
      <c r="C846" t="s">
        <v>402</v>
      </c>
      <c r="D846">
        <v>4.4000000000000004</v>
      </c>
      <c r="E846">
        <v>1.22</v>
      </c>
      <c r="F846" t="s">
        <v>8</v>
      </c>
    </row>
    <row r="847" spans="2:6" x14ac:dyDescent="0.25">
      <c r="B847" t="s">
        <v>404</v>
      </c>
      <c r="C847" t="s">
        <v>402</v>
      </c>
      <c r="D847">
        <v>4.45</v>
      </c>
      <c r="E847">
        <v>1.24</v>
      </c>
      <c r="F847" t="s">
        <v>8</v>
      </c>
    </row>
    <row r="848" spans="2:6" x14ac:dyDescent="0.25">
      <c r="B848" t="s">
        <v>404</v>
      </c>
      <c r="C848" t="s">
        <v>402</v>
      </c>
      <c r="D848">
        <v>4.0999999999999996</v>
      </c>
      <c r="E848">
        <v>1.24</v>
      </c>
      <c r="F848" t="s">
        <v>8</v>
      </c>
    </row>
    <row r="849" spans="2:6" x14ac:dyDescent="0.25">
      <c r="B849" t="s">
        <v>404</v>
      </c>
      <c r="C849" t="s">
        <v>402</v>
      </c>
      <c r="D849">
        <v>4.4000000000000004</v>
      </c>
      <c r="E849">
        <v>1.22</v>
      </c>
      <c r="F849" t="s">
        <v>8</v>
      </c>
    </row>
    <row r="850" spans="2:6" x14ac:dyDescent="0.25">
      <c r="B850" t="s">
        <v>404</v>
      </c>
      <c r="C850" t="s">
        <v>402</v>
      </c>
      <c r="D850">
        <v>4.28</v>
      </c>
      <c r="E850">
        <v>1.23</v>
      </c>
      <c r="F850" t="s">
        <v>8</v>
      </c>
    </row>
    <row r="851" spans="2:6" x14ac:dyDescent="0.25">
      <c r="B851" t="s">
        <v>404</v>
      </c>
      <c r="C851" t="s">
        <v>402</v>
      </c>
      <c r="D851">
        <v>4.45</v>
      </c>
      <c r="E851">
        <v>1.24</v>
      </c>
      <c r="F851" t="s">
        <v>8</v>
      </c>
    </row>
    <row r="852" spans="2:6" x14ac:dyDescent="0.25">
      <c r="B852" t="s">
        <v>404</v>
      </c>
      <c r="C852" t="s">
        <v>402</v>
      </c>
      <c r="D852">
        <v>4.0999999999999996</v>
      </c>
      <c r="E852">
        <v>1.24</v>
      </c>
      <c r="F852" t="s">
        <v>8</v>
      </c>
    </row>
    <row r="853" spans="2:6" x14ac:dyDescent="0.25">
      <c r="B853" t="s">
        <v>404</v>
      </c>
      <c r="C853" t="s">
        <v>402</v>
      </c>
      <c r="D853">
        <v>4.3499999999999996</v>
      </c>
      <c r="E853">
        <v>1.24</v>
      </c>
      <c r="F853" t="s">
        <v>8</v>
      </c>
    </row>
    <row r="854" spans="2:6" x14ac:dyDescent="0.25">
      <c r="B854" t="s">
        <v>404</v>
      </c>
      <c r="C854" t="s">
        <v>402</v>
      </c>
      <c r="D854">
        <v>4.25</v>
      </c>
      <c r="E854">
        <v>1.24</v>
      </c>
      <c r="F854" t="s">
        <v>8</v>
      </c>
    </row>
    <row r="855" spans="2:6" x14ac:dyDescent="0.25">
      <c r="B855" t="s">
        <v>404</v>
      </c>
      <c r="C855" t="s">
        <v>402</v>
      </c>
      <c r="D855">
        <v>4.3</v>
      </c>
      <c r="E855">
        <v>1.23</v>
      </c>
      <c r="F855" t="s">
        <v>8</v>
      </c>
    </row>
    <row r="856" spans="2:6" x14ac:dyDescent="0.25">
      <c r="B856" t="s">
        <v>404</v>
      </c>
      <c r="C856" t="s">
        <v>402</v>
      </c>
      <c r="D856">
        <v>4.4000000000000004</v>
      </c>
      <c r="E856">
        <v>1.24</v>
      </c>
      <c r="F856" t="s">
        <v>8</v>
      </c>
    </row>
    <row r="857" spans="2:6" x14ac:dyDescent="0.25">
      <c r="B857" t="s">
        <v>405</v>
      </c>
      <c r="C857" t="s">
        <v>402</v>
      </c>
      <c r="D857">
        <v>2.8</v>
      </c>
      <c r="E857">
        <v>1.46</v>
      </c>
      <c r="F857" t="s">
        <v>8</v>
      </c>
    </row>
    <row r="858" spans="2:6" x14ac:dyDescent="0.25">
      <c r="B858" t="s">
        <v>405</v>
      </c>
      <c r="C858" t="s">
        <v>402</v>
      </c>
      <c r="D858">
        <v>2.85</v>
      </c>
      <c r="E858">
        <v>1.47</v>
      </c>
      <c r="F858" t="s">
        <v>8</v>
      </c>
    </row>
    <row r="859" spans="2:6" x14ac:dyDescent="0.25">
      <c r="B859" t="s">
        <v>405</v>
      </c>
      <c r="C859" t="s">
        <v>402</v>
      </c>
      <c r="D859">
        <v>2.8</v>
      </c>
      <c r="E859">
        <v>1.45</v>
      </c>
      <c r="F859" t="s">
        <v>8</v>
      </c>
    </row>
    <row r="860" spans="2:6" x14ac:dyDescent="0.25">
      <c r="B860" t="s">
        <v>405</v>
      </c>
      <c r="C860" t="s">
        <v>402</v>
      </c>
      <c r="D860">
        <v>2.7</v>
      </c>
      <c r="E860">
        <v>1.48</v>
      </c>
      <c r="F860" t="s">
        <v>8</v>
      </c>
    </row>
    <row r="861" spans="2:6" x14ac:dyDescent="0.25">
      <c r="B861" t="s">
        <v>405</v>
      </c>
      <c r="C861" t="s">
        <v>402</v>
      </c>
      <c r="D861">
        <v>2.85</v>
      </c>
      <c r="E861">
        <v>1.44</v>
      </c>
      <c r="F861" t="s">
        <v>8</v>
      </c>
    </row>
    <row r="862" spans="2:6" x14ac:dyDescent="0.25">
      <c r="B862" t="s">
        <v>405</v>
      </c>
      <c r="C862" t="s">
        <v>402</v>
      </c>
      <c r="D862">
        <v>2.75</v>
      </c>
      <c r="E862">
        <v>1.48</v>
      </c>
      <c r="F862" t="s">
        <v>8</v>
      </c>
    </row>
    <row r="863" spans="2:6" x14ac:dyDescent="0.25">
      <c r="B863" t="s">
        <v>405</v>
      </c>
      <c r="C863" t="s">
        <v>402</v>
      </c>
      <c r="D863">
        <v>2.85</v>
      </c>
      <c r="E863">
        <v>1.46</v>
      </c>
      <c r="F863" t="s">
        <v>8</v>
      </c>
    </row>
    <row r="864" spans="2:6" x14ac:dyDescent="0.25">
      <c r="B864" t="s">
        <v>405</v>
      </c>
      <c r="C864" t="s">
        <v>402</v>
      </c>
      <c r="D864">
        <v>2.7</v>
      </c>
      <c r="E864">
        <v>1.48</v>
      </c>
      <c r="F864" t="s">
        <v>8</v>
      </c>
    </row>
    <row r="865" spans="2:6" x14ac:dyDescent="0.25">
      <c r="B865" t="s">
        <v>405</v>
      </c>
      <c r="C865" t="s">
        <v>402</v>
      </c>
      <c r="D865">
        <v>2.78</v>
      </c>
      <c r="E865">
        <v>1.47</v>
      </c>
      <c r="F865" t="s">
        <v>8</v>
      </c>
    </row>
    <row r="866" spans="2:6" x14ac:dyDescent="0.25">
      <c r="B866" t="s">
        <v>405</v>
      </c>
      <c r="C866" t="s">
        <v>402</v>
      </c>
      <c r="D866">
        <v>2.75</v>
      </c>
      <c r="E866">
        <v>1.48</v>
      </c>
      <c r="F866" t="s">
        <v>8</v>
      </c>
    </row>
    <row r="867" spans="2:6" x14ac:dyDescent="0.25">
      <c r="B867" t="s">
        <v>405</v>
      </c>
      <c r="C867" t="s">
        <v>402</v>
      </c>
      <c r="D867">
        <v>2.75</v>
      </c>
      <c r="E867">
        <v>1.46</v>
      </c>
      <c r="F867" t="s">
        <v>8</v>
      </c>
    </row>
    <row r="868" spans="2:6" x14ac:dyDescent="0.25">
      <c r="B868" t="s">
        <v>405</v>
      </c>
      <c r="C868" t="s">
        <v>402</v>
      </c>
      <c r="D868">
        <v>2.65</v>
      </c>
      <c r="E868">
        <v>1.51</v>
      </c>
      <c r="F868" t="s">
        <v>8</v>
      </c>
    </row>
    <row r="869" spans="2:6" x14ac:dyDescent="0.25">
      <c r="B869" t="s">
        <v>406</v>
      </c>
      <c r="C869" t="s">
        <v>402</v>
      </c>
      <c r="D869">
        <v>1.02</v>
      </c>
      <c r="E869">
        <v>19</v>
      </c>
      <c r="F869" t="s">
        <v>8</v>
      </c>
    </row>
    <row r="870" spans="2:6" x14ac:dyDescent="0.25">
      <c r="B870" t="s">
        <v>406</v>
      </c>
      <c r="C870" t="s">
        <v>402</v>
      </c>
      <c r="D870">
        <v>1.01</v>
      </c>
      <c r="E870">
        <v>17</v>
      </c>
      <c r="F870" t="s">
        <v>8</v>
      </c>
    </row>
    <row r="871" spans="2:6" x14ac:dyDescent="0.25">
      <c r="B871" t="s">
        <v>406</v>
      </c>
      <c r="C871" t="s">
        <v>402</v>
      </c>
      <c r="D871">
        <v>1</v>
      </c>
      <c r="E871">
        <v>26</v>
      </c>
      <c r="F871" t="s">
        <v>8</v>
      </c>
    </row>
    <row r="872" spans="2:6" x14ac:dyDescent="0.25">
      <c r="B872" t="s">
        <v>406</v>
      </c>
      <c r="C872" t="s">
        <v>402</v>
      </c>
      <c r="D872">
        <v>1.01</v>
      </c>
      <c r="E872">
        <v>23</v>
      </c>
      <c r="F872" t="s">
        <v>8</v>
      </c>
    </row>
    <row r="873" spans="2:6" x14ac:dyDescent="0.25">
      <c r="B873" t="s">
        <v>406</v>
      </c>
      <c r="C873" t="s">
        <v>402</v>
      </c>
      <c r="D873">
        <v>1</v>
      </c>
      <c r="E873">
        <v>31</v>
      </c>
      <c r="F873" t="s">
        <v>8</v>
      </c>
    </row>
    <row r="874" spans="2:6" x14ac:dyDescent="0.25">
      <c r="B874" t="s">
        <v>41</v>
      </c>
      <c r="C874" t="s">
        <v>453</v>
      </c>
      <c r="D874">
        <v>1.23</v>
      </c>
      <c r="E874">
        <v>4.3</v>
      </c>
      <c r="F874" t="s">
        <v>10</v>
      </c>
    </row>
    <row r="875" spans="2:6" x14ac:dyDescent="0.25">
      <c r="B875" t="s">
        <v>41</v>
      </c>
      <c r="C875" t="s">
        <v>453</v>
      </c>
      <c r="D875">
        <v>1.23</v>
      </c>
      <c r="E875">
        <v>4.3</v>
      </c>
      <c r="F875" t="s">
        <v>10</v>
      </c>
    </row>
    <row r="876" spans="2:6" x14ac:dyDescent="0.25">
      <c r="B876" t="s">
        <v>41</v>
      </c>
      <c r="C876" t="s">
        <v>453</v>
      </c>
      <c r="D876">
        <v>1.24</v>
      </c>
      <c r="E876">
        <v>4.3</v>
      </c>
      <c r="F876" t="s">
        <v>10</v>
      </c>
    </row>
    <row r="877" spans="2:6" x14ac:dyDescent="0.25">
      <c r="B877" t="s">
        <v>41</v>
      </c>
      <c r="C877" t="s">
        <v>453</v>
      </c>
      <c r="D877">
        <v>1.24</v>
      </c>
      <c r="E877">
        <v>4.25</v>
      </c>
      <c r="F877" t="s">
        <v>10</v>
      </c>
    </row>
    <row r="878" spans="2:6" x14ac:dyDescent="0.25">
      <c r="B878" t="s">
        <v>41</v>
      </c>
      <c r="C878" t="s">
        <v>453</v>
      </c>
      <c r="D878">
        <v>1.23</v>
      </c>
      <c r="E878">
        <v>4.3499999999999996</v>
      </c>
      <c r="F878" t="s">
        <v>10</v>
      </c>
    </row>
    <row r="879" spans="2:6" x14ac:dyDescent="0.25">
      <c r="B879" t="s">
        <v>41</v>
      </c>
      <c r="C879" t="s">
        <v>453</v>
      </c>
      <c r="D879">
        <v>1.22</v>
      </c>
      <c r="E879">
        <v>4.5</v>
      </c>
      <c r="F879" t="s">
        <v>10</v>
      </c>
    </row>
    <row r="880" spans="2:6" x14ac:dyDescent="0.25">
      <c r="B880" t="s">
        <v>41</v>
      </c>
      <c r="C880" t="s">
        <v>453</v>
      </c>
      <c r="D880">
        <v>1.23</v>
      </c>
      <c r="E880">
        <v>4.3</v>
      </c>
      <c r="F880" t="s">
        <v>10</v>
      </c>
    </row>
    <row r="881" spans="2:6" x14ac:dyDescent="0.25">
      <c r="B881" t="s">
        <v>41</v>
      </c>
      <c r="C881" t="s">
        <v>453</v>
      </c>
      <c r="D881">
        <v>1.23</v>
      </c>
      <c r="E881">
        <v>4.3</v>
      </c>
      <c r="F881" t="s">
        <v>10</v>
      </c>
    </row>
    <row r="882" spans="2:6" x14ac:dyDescent="0.25">
      <c r="B882" t="s">
        <v>41</v>
      </c>
      <c r="C882" t="s">
        <v>453</v>
      </c>
      <c r="D882">
        <v>1.23</v>
      </c>
      <c r="E882">
        <v>4.3</v>
      </c>
      <c r="F882" t="s">
        <v>10</v>
      </c>
    </row>
    <row r="883" spans="2:6" x14ac:dyDescent="0.25">
      <c r="B883" t="s">
        <v>41</v>
      </c>
      <c r="C883" t="s">
        <v>453</v>
      </c>
      <c r="D883">
        <v>1.23</v>
      </c>
      <c r="E883">
        <v>4.0999999999999996</v>
      </c>
      <c r="F883" t="s">
        <v>10</v>
      </c>
    </row>
    <row r="884" spans="2:6" x14ac:dyDescent="0.25">
      <c r="B884" t="s">
        <v>41</v>
      </c>
      <c r="C884" t="s">
        <v>453</v>
      </c>
      <c r="D884">
        <v>1.24</v>
      </c>
      <c r="E884">
        <v>4.25</v>
      </c>
      <c r="F884" t="s">
        <v>10</v>
      </c>
    </row>
    <row r="885" spans="2:6" x14ac:dyDescent="0.25">
      <c r="B885" t="s">
        <v>41</v>
      </c>
      <c r="C885" t="s">
        <v>453</v>
      </c>
      <c r="D885">
        <v>1.22</v>
      </c>
      <c r="E885">
        <v>4.33</v>
      </c>
      <c r="F885" t="s">
        <v>10</v>
      </c>
    </row>
    <row r="886" spans="2:6" x14ac:dyDescent="0.25">
      <c r="B886" t="s">
        <v>496</v>
      </c>
      <c r="C886" t="s">
        <v>408</v>
      </c>
      <c r="D886">
        <v>3.3</v>
      </c>
      <c r="E886">
        <v>1.35</v>
      </c>
      <c r="F886" t="s">
        <v>8</v>
      </c>
    </row>
    <row r="887" spans="2:6" x14ac:dyDescent="0.25">
      <c r="B887" t="s">
        <v>496</v>
      </c>
      <c r="C887" t="s">
        <v>408</v>
      </c>
      <c r="D887">
        <v>3.4</v>
      </c>
      <c r="E887">
        <v>1.33</v>
      </c>
      <c r="F887" t="s">
        <v>8</v>
      </c>
    </row>
    <row r="888" spans="2:6" x14ac:dyDescent="0.25">
      <c r="B888" t="s">
        <v>496</v>
      </c>
      <c r="C888" t="s">
        <v>408</v>
      </c>
      <c r="D888">
        <v>3.47</v>
      </c>
      <c r="E888">
        <v>1.34</v>
      </c>
      <c r="F888" t="s">
        <v>8</v>
      </c>
    </row>
    <row r="889" spans="2:6" x14ac:dyDescent="0.25">
      <c r="B889" t="s">
        <v>496</v>
      </c>
      <c r="C889" t="s">
        <v>408</v>
      </c>
      <c r="D889">
        <v>3.5</v>
      </c>
      <c r="E889">
        <v>1.3</v>
      </c>
      <c r="F889" t="s">
        <v>8</v>
      </c>
    </row>
    <row r="890" spans="2:6" x14ac:dyDescent="0.25">
      <c r="B890" t="s">
        <v>496</v>
      </c>
      <c r="C890" t="s">
        <v>408</v>
      </c>
      <c r="D890">
        <v>3.55</v>
      </c>
      <c r="E890">
        <v>1.32</v>
      </c>
      <c r="F890" t="s">
        <v>8</v>
      </c>
    </row>
    <row r="891" spans="2:6" x14ac:dyDescent="0.25">
      <c r="B891" t="s">
        <v>496</v>
      </c>
      <c r="C891" t="s">
        <v>408</v>
      </c>
      <c r="D891">
        <v>3.4</v>
      </c>
      <c r="E891">
        <v>1.33</v>
      </c>
      <c r="F891" t="s">
        <v>8</v>
      </c>
    </row>
    <row r="892" spans="2:6" x14ac:dyDescent="0.25">
      <c r="B892" t="s">
        <v>496</v>
      </c>
      <c r="C892" t="s">
        <v>408</v>
      </c>
      <c r="D892">
        <v>3.47</v>
      </c>
      <c r="E892">
        <v>1.34</v>
      </c>
      <c r="F892" t="s">
        <v>8</v>
      </c>
    </row>
    <row r="893" spans="2:6" x14ac:dyDescent="0.25">
      <c r="B893" t="s">
        <v>496</v>
      </c>
      <c r="C893" t="s">
        <v>408</v>
      </c>
      <c r="D893">
        <v>3.5</v>
      </c>
      <c r="E893">
        <v>1.3</v>
      </c>
      <c r="F893" t="s">
        <v>8</v>
      </c>
    </row>
    <row r="894" spans="2:6" x14ac:dyDescent="0.25">
      <c r="B894" t="s">
        <v>496</v>
      </c>
      <c r="C894" t="s">
        <v>408</v>
      </c>
      <c r="D894">
        <v>3.4</v>
      </c>
      <c r="E894">
        <v>1.34</v>
      </c>
      <c r="F894" t="s">
        <v>8</v>
      </c>
    </row>
    <row r="895" spans="2:6" x14ac:dyDescent="0.25">
      <c r="B895" t="s">
        <v>496</v>
      </c>
      <c r="C895" t="s">
        <v>408</v>
      </c>
      <c r="D895">
        <v>3.4</v>
      </c>
      <c r="E895">
        <v>1.33</v>
      </c>
      <c r="F895" t="s">
        <v>8</v>
      </c>
    </row>
    <row r="896" spans="2:6" x14ac:dyDescent="0.25">
      <c r="B896" t="s">
        <v>496</v>
      </c>
      <c r="C896" t="s">
        <v>408</v>
      </c>
      <c r="D896">
        <v>3.4</v>
      </c>
      <c r="E896">
        <v>1.33</v>
      </c>
      <c r="F896" t="s">
        <v>8</v>
      </c>
    </row>
    <row r="897" spans="2:6" x14ac:dyDescent="0.25">
      <c r="B897" t="s">
        <v>496</v>
      </c>
      <c r="C897" t="s">
        <v>408</v>
      </c>
      <c r="D897">
        <v>3.65</v>
      </c>
      <c r="E897">
        <v>1.31</v>
      </c>
      <c r="F897" t="s">
        <v>8</v>
      </c>
    </row>
    <row r="898" spans="2:6" x14ac:dyDescent="0.25">
      <c r="B898" t="s">
        <v>409</v>
      </c>
      <c r="C898" t="s">
        <v>408</v>
      </c>
      <c r="D898">
        <v>1.41</v>
      </c>
      <c r="E898">
        <v>3</v>
      </c>
      <c r="F898" t="s">
        <v>8</v>
      </c>
    </row>
    <row r="899" spans="2:6" x14ac:dyDescent="0.25">
      <c r="B899" t="s">
        <v>409</v>
      </c>
      <c r="C899" t="s">
        <v>408</v>
      </c>
      <c r="D899">
        <v>1.41</v>
      </c>
      <c r="E899">
        <v>3.05</v>
      </c>
      <c r="F899" t="s">
        <v>8</v>
      </c>
    </row>
    <row r="900" spans="2:6" x14ac:dyDescent="0.25">
      <c r="B900" t="s">
        <v>409</v>
      </c>
      <c r="C900" t="s">
        <v>408</v>
      </c>
      <c r="D900">
        <v>1.4</v>
      </c>
      <c r="E900">
        <v>2.9</v>
      </c>
      <c r="F900" t="s">
        <v>8</v>
      </c>
    </row>
    <row r="901" spans="2:6" x14ac:dyDescent="0.25">
      <c r="B901" t="s">
        <v>409</v>
      </c>
      <c r="C901" t="s">
        <v>408</v>
      </c>
      <c r="D901">
        <v>1.41</v>
      </c>
      <c r="E901">
        <v>3.05</v>
      </c>
      <c r="F901" t="s">
        <v>8</v>
      </c>
    </row>
    <row r="902" spans="2:6" x14ac:dyDescent="0.25">
      <c r="B902" t="s">
        <v>409</v>
      </c>
      <c r="C902" t="s">
        <v>408</v>
      </c>
      <c r="D902">
        <v>1.42</v>
      </c>
      <c r="E902">
        <v>2.95</v>
      </c>
      <c r="F902" t="s">
        <v>8</v>
      </c>
    </row>
    <row r="903" spans="2:6" x14ac:dyDescent="0.25">
      <c r="B903" t="s">
        <v>409</v>
      </c>
      <c r="C903" t="s">
        <v>408</v>
      </c>
      <c r="D903">
        <v>1.4</v>
      </c>
      <c r="E903">
        <v>3.05</v>
      </c>
      <c r="F903" t="s">
        <v>8</v>
      </c>
    </row>
    <row r="904" spans="2:6" x14ac:dyDescent="0.25">
      <c r="B904" t="s">
        <v>409</v>
      </c>
      <c r="C904" t="s">
        <v>408</v>
      </c>
      <c r="D904">
        <v>1.41</v>
      </c>
      <c r="E904">
        <v>3.05</v>
      </c>
      <c r="F904" t="s">
        <v>8</v>
      </c>
    </row>
    <row r="905" spans="2:6" x14ac:dyDescent="0.25">
      <c r="B905" t="s">
        <v>409</v>
      </c>
      <c r="C905" t="s">
        <v>408</v>
      </c>
      <c r="D905">
        <v>1.4</v>
      </c>
      <c r="E905">
        <v>2.9</v>
      </c>
      <c r="F905" t="s">
        <v>8</v>
      </c>
    </row>
    <row r="906" spans="2:6" x14ac:dyDescent="0.25">
      <c r="B906" t="s">
        <v>409</v>
      </c>
      <c r="C906" t="s">
        <v>408</v>
      </c>
      <c r="D906">
        <v>1.4</v>
      </c>
      <c r="E906">
        <v>3.05</v>
      </c>
      <c r="F906" t="s">
        <v>8</v>
      </c>
    </row>
    <row r="907" spans="2:6" x14ac:dyDescent="0.25">
      <c r="B907" t="s">
        <v>409</v>
      </c>
      <c r="C907" t="s">
        <v>408</v>
      </c>
      <c r="D907">
        <v>1.4</v>
      </c>
      <c r="E907">
        <v>3</v>
      </c>
      <c r="F907" t="s">
        <v>8</v>
      </c>
    </row>
    <row r="908" spans="2:6" x14ac:dyDescent="0.25">
      <c r="B908" t="s">
        <v>409</v>
      </c>
      <c r="C908" t="s">
        <v>408</v>
      </c>
      <c r="D908">
        <v>1.39</v>
      </c>
      <c r="E908">
        <v>3.05</v>
      </c>
      <c r="F908" t="s">
        <v>8</v>
      </c>
    </row>
    <row r="909" spans="2:6" x14ac:dyDescent="0.25">
      <c r="B909" t="s">
        <v>409</v>
      </c>
      <c r="C909" t="s">
        <v>408</v>
      </c>
      <c r="D909">
        <v>1.4</v>
      </c>
      <c r="E909">
        <v>3.1</v>
      </c>
      <c r="F909" t="s">
        <v>8</v>
      </c>
    </row>
    <row r="910" spans="2:6" x14ac:dyDescent="0.25">
      <c r="B910" t="s">
        <v>497</v>
      </c>
      <c r="C910" t="s">
        <v>408</v>
      </c>
      <c r="D910">
        <v>31</v>
      </c>
      <c r="E910">
        <v>1.01</v>
      </c>
      <c r="F910" t="s">
        <v>8</v>
      </c>
    </row>
    <row r="911" spans="2:6" x14ac:dyDescent="0.25">
      <c r="B911" t="s">
        <v>497</v>
      </c>
      <c r="C911" t="s">
        <v>408</v>
      </c>
      <c r="D911">
        <v>26</v>
      </c>
      <c r="E911">
        <v>1</v>
      </c>
      <c r="F911" t="s">
        <v>8</v>
      </c>
    </row>
    <row r="912" spans="2:6" x14ac:dyDescent="0.25">
      <c r="B912" t="s">
        <v>497</v>
      </c>
      <c r="C912" t="s">
        <v>408</v>
      </c>
      <c r="D912">
        <v>21</v>
      </c>
      <c r="E912">
        <v>1.01</v>
      </c>
      <c r="F912" t="s">
        <v>8</v>
      </c>
    </row>
    <row r="913" spans="2:6" x14ac:dyDescent="0.25">
      <c r="B913" t="s">
        <v>497</v>
      </c>
      <c r="C913" t="s">
        <v>408</v>
      </c>
      <c r="D913">
        <v>21</v>
      </c>
      <c r="E913">
        <v>1.01</v>
      </c>
      <c r="F913" t="s">
        <v>8</v>
      </c>
    </row>
    <row r="914" spans="2:6" x14ac:dyDescent="0.25">
      <c r="B914" t="s">
        <v>498</v>
      </c>
      <c r="C914" t="s">
        <v>412</v>
      </c>
      <c r="D914">
        <v>5.9</v>
      </c>
      <c r="E914">
        <v>1.1499999999999999</v>
      </c>
      <c r="F914" t="s">
        <v>8</v>
      </c>
    </row>
    <row r="915" spans="2:6" x14ac:dyDescent="0.25">
      <c r="B915" t="s">
        <v>498</v>
      </c>
      <c r="C915" t="s">
        <v>412</v>
      </c>
      <c r="D915">
        <v>5.6</v>
      </c>
      <c r="E915">
        <v>1.17</v>
      </c>
      <c r="F915" t="s">
        <v>8</v>
      </c>
    </row>
    <row r="916" spans="2:6" x14ac:dyDescent="0.25">
      <c r="B916" t="s">
        <v>498</v>
      </c>
      <c r="C916" t="s">
        <v>412</v>
      </c>
      <c r="D916">
        <v>5.75</v>
      </c>
      <c r="E916">
        <v>1.1399999999999999</v>
      </c>
      <c r="F916" t="s">
        <v>8</v>
      </c>
    </row>
    <row r="917" spans="2:6" x14ac:dyDescent="0.25">
      <c r="B917" t="s">
        <v>498</v>
      </c>
      <c r="C917" t="s">
        <v>412</v>
      </c>
      <c r="D917">
        <v>5.75</v>
      </c>
      <c r="E917">
        <v>1.1399999999999999</v>
      </c>
      <c r="F917" t="s">
        <v>8</v>
      </c>
    </row>
    <row r="918" spans="2:6" x14ac:dyDescent="0.25">
      <c r="B918" t="s">
        <v>498</v>
      </c>
      <c r="C918" t="s">
        <v>412</v>
      </c>
      <c r="D918">
        <v>5.6</v>
      </c>
      <c r="E918">
        <v>1.1499999999999999</v>
      </c>
      <c r="F918" t="s">
        <v>8</v>
      </c>
    </row>
    <row r="919" spans="2:6" x14ac:dyDescent="0.25">
      <c r="B919" t="s">
        <v>498</v>
      </c>
      <c r="C919" t="s">
        <v>412</v>
      </c>
      <c r="D919">
        <v>5.8</v>
      </c>
      <c r="E919">
        <v>1.1399999999999999</v>
      </c>
      <c r="F919" t="s">
        <v>8</v>
      </c>
    </row>
    <row r="920" spans="2:6" x14ac:dyDescent="0.25">
      <c r="B920" t="s">
        <v>498</v>
      </c>
      <c r="C920" t="s">
        <v>412</v>
      </c>
      <c r="D920">
        <v>5.6</v>
      </c>
      <c r="E920">
        <v>1.17</v>
      </c>
      <c r="F920" t="s">
        <v>8</v>
      </c>
    </row>
    <row r="921" spans="2:6" x14ac:dyDescent="0.25">
      <c r="B921" t="s">
        <v>498</v>
      </c>
      <c r="C921" t="s">
        <v>412</v>
      </c>
      <c r="D921">
        <v>5.75</v>
      </c>
      <c r="E921">
        <v>1.1399999999999999</v>
      </c>
      <c r="F921" t="s">
        <v>8</v>
      </c>
    </row>
    <row r="922" spans="2:6" x14ac:dyDescent="0.25">
      <c r="B922" t="s">
        <v>498</v>
      </c>
      <c r="C922" t="s">
        <v>412</v>
      </c>
      <c r="D922">
        <v>5.5</v>
      </c>
      <c r="E922">
        <v>1.17</v>
      </c>
      <c r="F922" t="s">
        <v>8</v>
      </c>
    </row>
    <row r="923" spans="2:6" x14ac:dyDescent="0.25">
      <c r="B923" t="s">
        <v>498</v>
      </c>
      <c r="C923" t="s">
        <v>412</v>
      </c>
      <c r="D923">
        <v>5.5</v>
      </c>
      <c r="E923">
        <v>1.1499999999999999</v>
      </c>
      <c r="F923" t="s">
        <v>8</v>
      </c>
    </row>
    <row r="924" spans="2:6" x14ac:dyDescent="0.25">
      <c r="B924" t="s">
        <v>498</v>
      </c>
      <c r="C924" t="s">
        <v>412</v>
      </c>
      <c r="D924">
        <v>5.55</v>
      </c>
      <c r="E924">
        <v>1.1499999999999999</v>
      </c>
      <c r="F924" t="s">
        <v>8</v>
      </c>
    </row>
    <row r="925" spans="2:6" x14ac:dyDescent="0.25">
      <c r="B925" t="s">
        <v>498</v>
      </c>
      <c r="C925" t="s">
        <v>412</v>
      </c>
      <c r="D925">
        <v>5.6</v>
      </c>
      <c r="E925">
        <v>1.17</v>
      </c>
      <c r="F925" t="s">
        <v>8</v>
      </c>
    </row>
    <row r="926" spans="2:6" x14ac:dyDescent="0.25">
      <c r="B926" t="s">
        <v>499</v>
      </c>
      <c r="C926" t="s">
        <v>412</v>
      </c>
      <c r="D926">
        <v>1.05</v>
      </c>
      <c r="E926">
        <v>12</v>
      </c>
      <c r="F926" t="s">
        <v>8</v>
      </c>
    </row>
    <row r="927" spans="2:6" x14ac:dyDescent="0.25">
      <c r="B927" t="s">
        <v>499</v>
      </c>
      <c r="C927" t="s">
        <v>412</v>
      </c>
      <c r="D927">
        <v>1.04</v>
      </c>
      <c r="E927">
        <v>11.5</v>
      </c>
      <c r="F927" t="s">
        <v>8</v>
      </c>
    </row>
    <row r="928" spans="2:6" x14ac:dyDescent="0.25">
      <c r="B928" t="s">
        <v>499</v>
      </c>
      <c r="C928" t="s">
        <v>412</v>
      </c>
      <c r="D928">
        <v>1.03</v>
      </c>
      <c r="E928">
        <v>12.5</v>
      </c>
      <c r="F928" t="s">
        <v>8</v>
      </c>
    </row>
    <row r="929" spans="2:6" x14ac:dyDescent="0.25">
      <c r="B929" t="s">
        <v>499</v>
      </c>
      <c r="C929" t="s">
        <v>412</v>
      </c>
      <c r="D929">
        <v>1.04</v>
      </c>
      <c r="E929">
        <v>11</v>
      </c>
      <c r="F929" t="s">
        <v>8</v>
      </c>
    </row>
    <row r="930" spans="2:6" x14ac:dyDescent="0.25">
      <c r="B930" t="s">
        <v>499</v>
      </c>
      <c r="C930" t="s">
        <v>412</v>
      </c>
      <c r="D930">
        <v>1.04</v>
      </c>
      <c r="E930">
        <v>12.5</v>
      </c>
      <c r="F930" t="s">
        <v>8</v>
      </c>
    </row>
    <row r="931" spans="2:6" x14ac:dyDescent="0.25">
      <c r="B931" t="s">
        <v>499</v>
      </c>
      <c r="C931" t="s">
        <v>412</v>
      </c>
      <c r="D931">
        <v>1.04</v>
      </c>
      <c r="E931">
        <v>12.6</v>
      </c>
      <c r="F931" t="s">
        <v>8</v>
      </c>
    </row>
    <row r="932" spans="2:6" x14ac:dyDescent="0.25">
      <c r="B932" t="s">
        <v>499</v>
      </c>
      <c r="C932" t="s">
        <v>412</v>
      </c>
      <c r="D932">
        <v>1.04</v>
      </c>
      <c r="E932">
        <v>11.5</v>
      </c>
      <c r="F932" t="s">
        <v>8</v>
      </c>
    </row>
    <row r="933" spans="2:6" x14ac:dyDescent="0.25">
      <c r="B933" t="s">
        <v>499</v>
      </c>
      <c r="C933" t="s">
        <v>412</v>
      </c>
      <c r="D933">
        <v>1.03</v>
      </c>
      <c r="E933">
        <v>12.5</v>
      </c>
      <c r="F933" t="s">
        <v>8</v>
      </c>
    </row>
    <row r="934" spans="2:6" x14ac:dyDescent="0.25">
      <c r="B934" t="s">
        <v>499</v>
      </c>
      <c r="C934" t="s">
        <v>412</v>
      </c>
      <c r="D934">
        <v>1.04</v>
      </c>
      <c r="E934">
        <v>12.25</v>
      </c>
      <c r="F934" t="s">
        <v>8</v>
      </c>
    </row>
    <row r="935" spans="2:6" x14ac:dyDescent="0.25">
      <c r="B935" t="s">
        <v>499</v>
      </c>
      <c r="C935" t="s">
        <v>412</v>
      </c>
      <c r="D935">
        <v>1.04</v>
      </c>
      <c r="E935">
        <v>12</v>
      </c>
      <c r="F935" t="s">
        <v>8</v>
      </c>
    </row>
    <row r="936" spans="2:6" x14ac:dyDescent="0.25">
      <c r="B936" t="s">
        <v>499</v>
      </c>
      <c r="C936" t="s">
        <v>412</v>
      </c>
      <c r="D936">
        <v>1.04</v>
      </c>
      <c r="E936">
        <v>12.05</v>
      </c>
      <c r="F936" t="s">
        <v>8</v>
      </c>
    </row>
    <row r="937" spans="2:6" x14ac:dyDescent="0.25">
      <c r="B937" t="s">
        <v>499</v>
      </c>
      <c r="C937" t="s">
        <v>412</v>
      </c>
      <c r="D937">
        <v>1.04</v>
      </c>
      <c r="E937">
        <v>13.5</v>
      </c>
      <c r="F937" t="s">
        <v>8</v>
      </c>
    </row>
    <row r="938" spans="2:6" x14ac:dyDescent="0.25">
      <c r="B938" t="s">
        <v>128</v>
      </c>
      <c r="C938" t="s">
        <v>129</v>
      </c>
      <c r="D938">
        <v>2.4</v>
      </c>
      <c r="E938">
        <v>1.6</v>
      </c>
      <c r="F938" t="s">
        <v>9</v>
      </c>
    </row>
    <row r="939" spans="2:6" x14ac:dyDescent="0.25">
      <c r="B939" t="s">
        <v>128</v>
      </c>
      <c r="C939" t="s">
        <v>129</v>
      </c>
      <c r="D939">
        <v>2.36</v>
      </c>
      <c r="E939">
        <v>1.62</v>
      </c>
      <c r="F939" t="s">
        <v>9</v>
      </c>
    </row>
    <row r="940" spans="2:6" x14ac:dyDescent="0.25">
      <c r="B940" t="s">
        <v>128</v>
      </c>
      <c r="C940" t="s">
        <v>129</v>
      </c>
      <c r="D940">
        <v>2.4500000000000002</v>
      </c>
      <c r="E940">
        <v>1.61</v>
      </c>
      <c r="F940" t="s">
        <v>9</v>
      </c>
    </row>
    <row r="941" spans="2:6" x14ac:dyDescent="0.25">
      <c r="B941" t="s">
        <v>128</v>
      </c>
      <c r="C941" t="s">
        <v>129</v>
      </c>
      <c r="D941">
        <v>2.4300000000000002</v>
      </c>
      <c r="E941">
        <v>1.59</v>
      </c>
      <c r="F941" t="s">
        <v>9</v>
      </c>
    </row>
    <row r="942" spans="2:6" x14ac:dyDescent="0.25">
      <c r="B942" t="s">
        <v>128</v>
      </c>
      <c r="C942" t="s">
        <v>129</v>
      </c>
      <c r="D942">
        <v>2.52</v>
      </c>
      <c r="E942">
        <v>1.58</v>
      </c>
      <c r="F942" t="s">
        <v>9</v>
      </c>
    </row>
    <row r="943" spans="2:6" x14ac:dyDescent="0.25">
      <c r="B943" t="s">
        <v>128</v>
      </c>
      <c r="C943" t="s">
        <v>129</v>
      </c>
      <c r="D943">
        <v>2.52</v>
      </c>
      <c r="E943">
        <v>1.58</v>
      </c>
      <c r="F943" t="s">
        <v>9</v>
      </c>
    </row>
    <row r="944" spans="2:6" x14ac:dyDescent="0.25">
      <c r="B944" t="s">
        <v>128</v>
      </c>
      <c r="C944" t="s">
        <v>129</v>
      </c>
      <c r="D944">
        <v>2.5</v>
      </c>
      <c r="E944">
        <v>1.56</v>
      </c>
      <c r="F944" t="s">
        <v>9</v>
      </c>
    </row>
    <row r="945" spans="2:6" x14ac:dyDescent="0.25">
      <c r="B945" t="s">
        <v>128</v>
      </c>
      <c r="C945" t="s">
        <v>129</v>
      </c>
      <c r="D945">
        <v>2.4</v>
      </c>
      <c r="E945">
        <v>1.57</v>
      </c>
      <c r="F945" t="s">
        <v>9</v>
      </c>
    </row>
    <row r="946" spans="2:6" x14ac:dyDescent="0.25">
      <c r="B946" t="s">
        <v>128</v>
      </c>
      <c r="C946" t="s">
        <v>129</v>
      </c>
      <c r="D946">
        <v>2.4</v>
      </c>
      <c r="E946">
        <v>1.57</v>
      </c>
      <c r="F946" t="s">
        <v>9</v>
      </c>
    </row>
    <row r="947" spans="2:6" x14ac:dyDescent="0.25">
      <c r="B947" t="s">
        <v>128</v>
      </c>
      <c r="C947" t="s">
        <v>129</v>
      </c>
      <c r="D947">
        <v>2.4</v>
      </c>
      <c r="E947">
        <v>1.57</v>
      </c>
      <c r="F947" t="s">
        <v>9</v>
      </c>
    </row>
    <row r="948" spans="2:6" x14ac:dyDescent="0.25">
      <c r="B948" t="s">
        <v>128</v>
      </c>
      <c r="C948" t="s">
        <v>129</v>
      </c>
      <c r="D948">
        <v>2.4</v>
      </c>
      <c r="E948">
        <v>1.61</v>
      </c>
      <c r="F948" t="s">
        <v>9</v>
      </c>
    </row>
    <row r="949" spans="2:6" x14ac:dyDescent="0.25">
      <c r="B949" t="s">
        <v>128</v>
      </c>
      <c r="C949" t="s">
        <v>129</v>
      </c>
      <c r="D949">
        <v>2.4</v>
      </c>
      <c r="E949">
        <v>1.59</v>
      </c>
      <c r="F949" t="s">
        <v>9</v>
      </c>
    </row>
    <row r="950" spans="2:6" x14ac:dyDescent="0.25">
      <c r="B950" t="s">
        <v>128</v>
      </c>
      <c r="C950" t="s">
        <v>129</v>
      </c>
      <c r="D950">
        <v>2.4</v>
      </c>
      <c r="E950">
        <v>1.62</v>
      </c>
      <c r="F950" t="s">
        <v>9</v>
      </c>
    </row>
    <row r="951" spans="2:6" x14ac:dyDescent="0.25">
      <c r="B951" t="s">
        <v>128</v>
      </c>
      <c r="C951" t="s">
        <v>129</v>
      </c>
      <c r="D951">
        <v>2.35</v>
      </c>
      <c r="E951">
        <v>1.61</v>
      </c>
      <c r="F951" t="s">
        <v>9</v>
      </c>
    </row>
    <row r="952" spans="2:6" x14ac:dyDescent="0.25">
      <c r="B952" t="s">
        <v>128</v>
      </c>
      <c r="C952" t="s">
        <v>129</v>
      </c>
      <c r="D952">
        <v>2.5</v>
      </c>
      <c r="E952">
        <v>1.57</v>
      </c>
      <c r="F952" t="s">
        <v>9</v>
      </c>
    </row>
    <row r="953" spans="2:6" x14ac:dyDescent="0.25">
      <c r="B953" t="s">
        <v>130</v>
      </c>
      <c r="C953" t="s">
        <v>129</v>
      </c>
      <c r="D953">
        <v>1.34</v>
      </c>
      <c r="E953">
        <v>3.4</v>
      </c>
      <c r="F953" t="s">
        <v>9</v>
      </c>
    </row>
    <row r="954" spans="2:6" x14ac:dyDescent="0.25">
      <c r="B954" t="s">
        <v>130</v>
      </c>
      <c r="C954" t="s">
        <v>129</v>
      </c>
      <c r="D954">
        <v>1.3</v>
      </c>
      <c r="E954">
        <v>3.6</v>
      </c>
      <c r="F954" t="s">
        <v>9</v>
      </c>
    </row>
    <row r="955" spans="2:6" x14ac:dyDescent="0.25">
      <c r="B955" t="s">
        <v>130</v>
      </c>
      <c r="C955" t="s">
        <v>129</v>
      </c>
      <c r="D955">
        <v>1.32</v>
      </c>
      <c r="E955">
        <v>3.6</v>
      </c>
      <c r="F955" t="s">
        <v>9</v>
      </c>
    </row>
    <row r="956" spans="2:6" x14ac:dyDescent="0.25">
      <c r="B956" t="s">
        <v>130</v>
      </c>
      <c r="C956" t="s">
        <v>129</v>
      </c>
      <c r="D956">
        <v>1.31</v>
      </c>
      <c r="E956">
        <v>3.5</v>
      </c>
      <c r="F956" t="s">
        <v>9</v>
      </c>
    </row>
    <row r="957" spans="2:6" x14ac:dyDescent="0.25">
      <c r="B957" t="s">
        <v>130</v>
      </c>
      <c r="C957" t="s">
        <v>129</v>
      </c>
      <c r="D957">
        <v>1.33</v>
      </c>
      <c r="E957">
        <v>3.55</v>
      </c>
      <c r="F957" t="s">
        <v>9</v>
      </c>
    </row>
    <row r="958" spans="2:6" x14ac:dyDescent="0.25">
      <c r="B958" t="s">
        <v>130</v>
      </c>
      <c r="C958" t="s">
        <v>129</v>
      </c>
      <c r="D958">
        <v>1.33</v>
      </c>
      <c r="E958">
        <v>3.55</v>
      </c>
      <c r="F958" t="s">
        <v>9</v>
      </c>
    </row>
    <row r="959" spans="2:6" x14ac:dyDescent="0.25">
      <c r="B959" t="s">
        <v>130</v>
      </c>
      <c r="C959" t="s">
        <v>129</v>
      </c>
      <c r="D959">
        <v>1.32</v>
      </c>
      <c r="E959">
        <v>3.45</v>
      </c>
      <c r="F959" t="s">
        <v>9</v>
      </c>
    </row>
    <row r="960" spans="2:6" x14ac:dyDescent="0.25">
      <c r="B960" t="s">
        <v>130</v>
      </c>
      <c r="C960" t="s">
        <v>129</v>
      </c>
      <c r="D960">
        <v>1.32</v>
      </c>
      <c r="E960">
        <v>3.45</v>
      </c>
      <c r="F960" t="s">
        <v>9</v>
      </c>
    </row>
    <row r="961" spans="2:6" x14ac:dyDescent="0.25">
      <c r="B961" t="s">
        <v>130</v>
      </c>
      <c r="C961" t="s">
        <v>129</v>
      </c>
      <c r="D961">
        <v>1.32</v>
      </c>
      <c r="E961">
        <v>3.45</v>
      </c>
      <c r="F961" t="s">
        <v>9</v>
      </c>
    </row>
    <row r="962" spans="2:6" x14ac:dyDescent="0.25">
      <c r="B962" t="s">
        <v>130</v>
      </c>
      <c r="C962" t="s">
        <v>129</v>
      </c>
      <c r="D962">
        <v>1.3</v>
      </c>
      <c r="E962">
        <v>3.6</v>
      </c>
      <c r="F962" t="s">
        <v>9</v>
      </c>
    </row>
    <row r="963" spans="2:6" x14ac:dyDescent="0.25">
      <c r="B963" t="s">
        <v>130</v>
      </c>
      <c r="C963" t="s">
        <v>129</v>
      </c>
      <c r="D963">
        <v>1.32</v>
      </c>
      <c r="E963">
        <v>3.55</v>
      </c>
      <c r="F963" t="s">
        <v>9</v>
      </c>
    </row>
    <row r="964" spans="2:6" x14ac:dyDescent="0.25">
      <c r="B964" t="s">
        <v>130</v>
      </c>
      <c r="C964" t="s">
        <v>129</v>
      </c>
      <c r="D964">
        <v>1.33</v>
      </c>
      <c r="E964">
        <v>3.4</v>
      </c>
      <c r="F964" t="s">
        <v>9</v>
      </c>
    </row>
    <row r="965" spans="2:6" x14ac:dyDescent="0.25">
      <c r="B965" t="s">
        <v>130</v>
      </c>
      <c r="C965" t="s">
        <v>129</v>
      </c>
      <c r="D965">
        <v>1.29</v>
      </c>
      <c r="E965">
        <v>3.6</v>
      </c>
      <c r="F965" t="s">
        <v>9</v>
      </c>
    </row>
    <row r="966" spans="2:6" x14ac:dyDescent="0.25">
      <c r="B966" t="s">
        <v>130</v>
      </c>
      <c r="C966" t="s">
        <v>129</v>
      </c>
      <c r="D966">
        <v>1.33</v>
      </c>
      <c r="E966">
        <v>3.5</v>
      </c>
      <c r="F966" t="s">
        <v>9</v>
      </c>
    </row>
    <row r="967" spans="2:6" x14ac:dyDescent="0.25">
      <c r="B967" t="s">
        <v>131</v>
      </c>
      <c r="C967" t="s">
        <v>129</v>
      </c>
      <c r="D967">
        <v>6.7</v>
      </c>
      <c r="E967">
        <v>1.1200000000000001</v>
      </c>
      <c r="F967" t="s">
        <v>9</v>
      </c>
    </row>
    <row r="968" spans="2:6" x14ac:dyDescent="0.25">
      <c r="B968" t="s">
        <v>131</v>
      </c>
      <c r="C968" t="s">
        <v>129</v>
      </c>
      <c r="D968">
        <v>6.75</v>
      </c>
      <c r="E968">
        <v>1.1200000000000001</v>
      </c>
      <c r="F968" t="s">
        <v>9</v>
      </c>
    </row>
    <row r="969" spans="2:6" x14ac:dyDescent="0.25">
      <c r="B969" t="s">
        <v>131</v>
      </c>
      <c r="C969" t="s">
        <v>129</v>
      </c>
      <c r="D969">
        <v>7</v>
      </c>
      <c r="E969">
        <v>1.1000000000000001</v>
      </c>
      <c r="F969" t="s">
        <v>9</v>
      </c>
    </row>
    <row r="970" spans="2:6" x14ac:dyDescent="0.25">
      <c r="B970" t="s">
        <v>131</v>
      </c>
      <c r="C970" t="s">
        <v>129</v>
      </c>
      <c r="D970">
        <v>6.7</v>
      </c>
      <c r="E970">
        <v>1.1200000000000001</v>
      </c>
      <c r="F970" t="s">
        <v>9</v>
      </c>
    </row>
    <row r="971" spans="2:6" x14ac:dyDescent="0.25">
      <c r="B971" t="s">
        <v>131</v>
      </c>
      <c r="C971" t="s">
        <v>129</v>
      </c>
      <c r="D971">
        <v>7.15</v>
      </c>
      <c r="E971">
        <v>1.1200000000000001</v>
      </c>
      <c r="F971" t="s">
        <v>9</v>
      </c>
    </row>
    <row r="972" spans="2:6" x14ac:dyDescent="0.25">
      <c r="B972" t="s">
        <v>131</v>
      </c>
      <c r="C972" t="s">
        <v>129</v>
      </c>
      <c r="D972">
        <v>7.15</v>
      </c>
      <c r="E972">
        <v>1.1200000000000001</v>
      </c>
      <c r="F972" t="s">
        <v>9</v>
      </c>
    </row>
    <row r="973" spans="2:6" x14ac:dyDescent="0.25">
      <c r="B973" t="s">
        <v>131</v>
      </c>
      <c r="C973" t="s">
        <v>129</v>
      </c>
      <c r="D973">
        <v>7</v>
      </c>
      <c r="E973">
        <v>1.1100000000000001</v>
      </c>
      <c r="F973" t="s">
        <v>9</v>
      </c>
    </row>
    <row r="974" spans="2:6" x14ac:dyDescent="0.25">
      <c r="B974" t="s">
        <v>131</v>
      </c>
      <c r="C974" t="s">
        <v>129</v>
      </c>
      <c r="D974">
        <v>6.5</v>
      </c>
      <c r="E974">
        <v>1.1200000000000001</v>
      </c>
      <c r="F974" t="s">
        <v>9</v>
      </c>
    </row>
    <row r="975" spans="2:6" x14ac:dyDescent="0.25">
      <c r="B975" t="s">
        <v>131</v>
      </c>
      <c r="C975" t="s">
        <v>129</v>
      </c>
      <c r="D975">
        <v>6.5</v>
      </c>
      <c r="E975">
        <v>1.1200000000000001</v>
      </c>
      <c r="F975" t="s">
        <v>9</v>
      </c>
    </row>
    <row r="976" spans="2:6" x14ac:dyDescent="0.25">
      <c r="B976" t="s">
        <v>131</v>
      </c>
      <c r="C976" t="s">
        <v>129</v>
      </c>
      <c r="D976">
        <v>6.5</v>
      </c>
      <c r="E976">
        <v>1.1200000000000001</v>
      </c>
      <c r="F976" t="s">
        <v>9</v>
      </c>
    </row>
    <row r="977" spans="2:6" x14ac:dyDescent="0.25">
      <c r="B977" t="s">
        <v>131</v>
      </c>
      <c r="C977" t="s">
        <v>129</v>
      </c>
      <c r="D977">
        <v>6.5</v>
      </c>
      <c r="E977">
        <v>1.1200000000000001</v>
      </c>
      <c r="F977" t="s">
        <v>9</v>
      </c>
    </row>
    <row r="978" spans="2:6" x14ac:dyDescent="0.25">
      <c r="B978" t="s">
        <v>131</v>
      </c>
      <c r="C978" t="s">
        <v>129</v>
      </c>
      <c r="D978">
        <v>6.75</v>
      </c>
      <c r="E978">
        <v>1.1100000000000001</v>
      </c>
      <c r="F978" t="s">
        <v>9</v>
      </c>
    </row>
    <row r="979" spans="2:6" x14ac:dyDescent="0.25">
      <c r="B979" t="s">
        <v>131</v>
      </c>
      <c r="C979" t="s">
        <v>129</v>
      </c>
      <c r="D979">
        <v>6.5</v>
      </c>
      <c r="E979">
        <v>1.1200000000000001</v>
      </c>
      <c r="F979" t="s">
        <v>9</v>
      </c>
    </row>
    <row r="980" spans="2:6" x14ac:dyDescent="0.25">
      <c r="B980" t="s">
        <v>131</v>
      </c>
      <c r="C980" t="s">
        <v>129</v>
      </c>
      <c r="D980">
        <v>6.75</v>
      </c>
      <c r="E980">
        <v>1.1100000000000001</v>
      </c>
      <c r="F980" t="s">
        <v>9</v>
      </c>
    </row>
    <row r="981" spans="2:6" x14ac:dyDescent="0.25">
      <c r="B981" t="s">
        <v>131</v>
      </c>
      <c r="C981" t="s">
        <v>129</v>
      </c>
      <c r="D981">
        <v>7</v>
      </c>
      <c r="E981">
        <v>1.1200000000000001</v>
      </c>
      <c r="F981" t="s">
        <v>9</v>
      </c>
    </row>
    <row r="982" spans="2:6" x14ac:dyDescent="0.25">
      <c r="B982" t="s">
        <v>132</v>
      </c>
      <c r="C982" t="s">
        <v>129</v>
      </c>
      <c r="D982">
        <v>5.6</v>
      </c>
      <c r="E982">
        <v>1.1599999999999999</v>
      </c>
      <c r="F982" t="s">
        <v>9</v>
      </c>
    </row>
    <row r="983" spans="2:6" x14ac:dyDescent="0.25">
      <c r="B983" t="s">
        <v>132</v>
      </c>
      <c r="C983" t="s">
        <v>129</v>
      </c>
      <c r="D983">
        <v>5.0999999999999996</v>
      </c>
      <c r="E983">
        <v>1.18</v>
      </c>
      <c r="F983" t="s">
        <v>9</v>
      </c>
    </row>
    <row r="984" spans="2:6" x14ac:dyDescent="0.25">
      <c r="B984" t="s">
        <v>132</v>
      </c>
      <c r="C984" t="s">
        <v>129</v>
      </c>
      <c r="D984">
        <v>5.5</v>
      </c>
      <c r="E984">
        <v>1.1499999999999999</v>
      </c>
      <c r="F984" t="s">
        <v>9</v>
      </c>
    </row>
    <row r="985" spans="2:6" x14ac:dyDescent="0.25">
      <c r="B985" t="s">
        <v>132</v>
      </c>
      <c r="C985" t="s">
        <v>129</v>
      </c>
      <c r="D985">
        <v>5.5</v>
      </c>
      <c r="E985">
        <v>1.17</v>
      </c>
      <c r="F985" t="s">
        <v>9</v>
      </c>
    </row>
    <row r="986" spans="2:6" x14ac:dyDescent="0.25">
      <c r="B986" t="s">
        <v>132</v>
      </c>
      <c r="C986" t="s">
        <v>129</v>
      </c>
      <c r="D986">
        <v>5.3</v>
      </c>
      <c r="E986">
        <v>1.17</v>
      </c>
      <c r="F986" t="s">
        <v>9</v>
      </c>
    </row>
    <row r="987" spans="2:6" x14ac:dyDescent="0.25">
      <c r="B987" t="s">
        <v>132</v>
      </c>
      <c r="C987" t="s">
        <v>129</v>
      </c>
      <c r="D987">
        <v>5.6</v>
      </c>
      <c r="E987">
        <v>1.17</v>
      </c>
      <c r="F987" t="s">
        <v>9</v>
      </c>
    </row>
    <row r="988" spans="2:6" x14ac:dyDescent="0.25">
      <c r="B988" t="s">
        <v>132</v>
      </c>
      <c r="C988" t="s">
        <v>129</v>
      </c>
      <c r="D988">
        <v>5.6</v>
      </c>
      <c r="E988">
        <v>1.17</v>
      </c>
      <c r="F988" t="s">
        <v>9</v>
      </c>
    </row>
    <row r="989" spans="2:6" x14ac:dyDescent="0.25">
      <c r="B989" t="s">
        <v>132</v>
      </c>
      <c r="C989" t="s">
        <v>129</v>
      </c>
      <c r="D989">
        <v>5.0999999999999996</v>
      </c>
      <c r="E989">
        <v>1.18</v>
      </c>
      <c r="F989" t="s">
        <v>9</v>
      </c>
    </row>
    <row r="990" spans="2:6" x14ac:dyDescent="0.25">
      <c r="B990" t="s">
        <v>132</v>
      </c>
      <c r="C990" t="s">
        <v>129</v>
      </c>
      <c r="D990">
        <v>5.0999999999999996</v>
      </c>
      <c r="E990">
        <v>1.18</v>
      </c>
      <c r="F990" t="s">
        <v>9</v>
      </c>
    </row>
    <row r="991" spans="2:6" x14ac:dyDescent="0.25">
      <c r="B991" t="s">
        <v>132</v>
      </c>
      <c r="C991" t="s">
        <v>129</v>
      </c>
      <c r="D991">
        <v>5.0999999999999996</v>
      </c>
      <c r="E991">
        <v>1.18</v>
      </c>
      <c r="F991" t="s">
        <v>9</v>
      </c>
    </row>
    <row r="992" spans="2:6" x14ac:dyDescent="0.25">
      <c r="B992" t="s">
        <v>132</v>
      </c>
      <c r="C992" t="s">
        <v>129</v>
      </c>
      <c r="D992">
        <v>5</v>
      </c>
      <c r="E992">
        <v>1.18</v>
      </c>
      <c r="F992" t="s">
        <v>9</v>
      </c>
    </row>
    <row r="993" spans="2:6" x14ac:dyDescent="0.25">
      <c r="B993" t="s">
        <v>132</v>
      </c>
      <c r="C993" t="s">
        <v>129</v>
      </c>
      <c r="D993">
        <v>5.6</v>
      </c>
      <c r="E993">
        <v>1.17</v>
      </c>
      <c r="F993" t="s">
        <v>9</v>
      </c>
    </row>
    <row r="994" spans="2:6" x14ac:dyDescent="0.25">
      <c r="B994" t="s">
        <v>132</v>
      </c>
      <c r="C994" t="s">
        <v>129</v>
      </c>
      <c r="D994">
        <v>4.9000000000000004</v>
      </c>
      <c r="E994">
        <v>1.18</v>
      </c>
      <c r="F994" t="s">
        <v>9</v>
      </c>
    </row>
    <row r="995" spans="2:6" x14ac:dyDescent="0.25">
      <c r="B995" t="s">
        <v>132</v>
      </c>
      <c r="C995" t="s">
        <v>129</v>
      </c>
      <c r="D995">
        <v>5</v>
      </c>
      <c r="E995">
        <v>1.18</v>
      </c>
      <c r="F995" t="s">
        <v>9</v>
      </c>
    </row>
    <row r="996" spans="2:6" x14ac:dyDescent="0.25">
      <c r="B996" t="s">
        <v>132</v>
      </c>
      <c r="C996" t="s">
        <v>129</v>
      </c>
      <c r="D996">
        <v>5.4</v>
      </c>
      <c r="E996">
        <v>1.17</v>
      </c>
      <c r="F996" t="s">
        <v>9</v>
      </c>
    </row>
    <row r="997" spans="2:6" x14ac:dyDescent="0.25">
      <c r="B997" t="s">
        <v>133</v>
      </c>
      <c r="C997" t="s">
        <v>129</v>
      </c>
      <c r="D997">
        <v>2.98</v>
      </c>
      <c r="E997">
        <v>1.42</v>
      </c>
      <c r="F997" t="s">
        <v>9</v>
      </c>
    </row>
    <row r="998" spans="2:6" x14ac:dyDescent="0.25">
      <c r="B998" t="s">
        <v>133</v>
      </c>
      <c r="C998" t="s">
        <v>129</v>
      </c>
      <c r="D998">
        <v>2.85</v>
      </c>
      <c r="E998">
        <v>1.44</v>
      </c>
      <c r="F998" t="s">
        <v>9</v>
      </c>
    </row>
    <row r="999" spans="2:6" x14ac:dyDescent="0.25">
      <c r="B999" t="s">
        <v>133</v>
      </c>
      <c r="C999" t="s">
        <v>129</v>
      </c>
      <c r="D999">
        <v>2.9</v>
      </c>
      <c r="E999">
        <v>1.42</v>
      </c>
      <c r="F999" t="s">
        <v>9</v>
      </c>
    </row>
    <row r="1000" spans="2:6" x14ac:dyDescent="0.25">
      <c r="B1000" t="s">
        <v>133</v>
      </c>
      <c r="C1000" t="s">
        <v>129</v>
      </c>
      <c r="D1000">
        <v>2.85</v>
      </c>
      <c r="E1000">
        <v>1.44</v>
      </c>
      <c r="F1000" t="s">
        <v>9</v>
      </c>
    </row>
    <row r="1001" spans="2:6" x14ac:dyDescent="0.25">
      <c r="B1001" t="s">
        <v>133</v>
      </c>
      <c r="C1001" t="s">
        <v>129</v>
      </c>
      <c r="D1001">
        <v>2.85</v>
      </c>
      <c r="E1001">
        <v>1.44</v>
      </c>
      <c r="F1001" t="s">
        <v>9</v>
      </c>
    </row>
    <row r="1002" spans="2:6" x14ac:dyDescent="0.25">
      <c r="B1002" t="s">
        <v>133</v>
      </c>
      <c r="C1002" t="s">
        <v>129</v>
      </c>
      <c r="D1002">
        <v>2.95</v>
      </c>
      <c r="E1002">
        <v>1.44</v>
      </c>
      <c r="F1002" t="s">
        <v>9</v>
      </c>
    </row>
    <row r="1003" spans="2:6" x14ac:dyDescent="0.25">
      <c r="B1003" t="s">
        <v>133</v>
      </c>
      <c r="C1003" t="s">
        <v>129</v>
      </c>
      <c r="D1003">
        <v>2.95</v>
      </c>
      <c r="E1003">
        <v>1.44</v>
      </c>
      <c r="F1003" t="s">
        <v>9</v>
      </c>
    </row>
    <row r="1004" spans="2:6" x14ac:dyDescent="0.25">
      <c r="B1004" t="s">
        <v>133</v>
      </c>
      <c r="C1004" t="s">
        <v>129</v>
      </c>
      <c r="D1004">
        <v>2.85</v>
      </c>
      <c r="E1004">
        <v>1.43</v>
      </c>
      <c r="F1004" t="s">
        <v>9</v>
      </c>
    </row>
    <row r="1005" spans="2:6" x14ac:dyDescent="0.25">
      <c r="B1005" t="s">
        <v>133</v>
      </c>
      <c r="C1005" t="s">
        <v>129</v>
      </c>
      <c r="D1005">
        <v>2.85</v>
      </c>
      <c r="E1005">
        <v>1.43</v>
      </c>
      <c r="F1005" t="s">
        <v>9</v>
      </c>
    </row>
    <row r="1006" spans="2:6" x14ac:dyDescent="0.25">
      <c r="B1006" t="s">
        <v>133</v>
      </c>
      <c r="C1006" t="s">
        <v>129</v>
      </c>
      <c r="D1006">
        <v>2.85</v>
      </c>
      <c r="E1006">
        <v>1.43</v>
      </c>
      <c r="F1006" t="s">
        <v>9</v>
      </c>
    </row>
    <row r="1007" spans="2:6" x14ac:dyDescent="0.25">
      <c r="B1007" t="s">
        <v>133</v>
      </c>
      <c r="C1007" t="s">
        <v>129</v>
      </c>
      <c r="D1007">
        <v>2.8</v>
      </c>
      <c r="E1007">
        <v>1.45</v>
      </c>
      <c r="F1007" t="s">
        <v>9</v>
      </c>
    </row>
    <row r="1008" spans="2:6" x14ac:dyDescent="0.25">
      <c r="B1008" t="s">
        <v>133</v>
      </c>
      <c r="C1008" t="s">
        <v>129</v>
      </c>
      <c r="D1008">
        <v>2.85</v>
      </c>
      <c r="E1008">
        <v>1.44</v>
      </c>
      <c r="F1008" t="s">
        <v>9</v>
      </c>
    </row>
    <row r="1009" spans="2:6" x14ac:dyDescent="0.25">
      <c r="B1009" t="s">
        <v>133</v>
      </c>
      <c r="C1009" t="s">
        <v>129</v>
      </c>
      <c r="D1009">
        <v>2.85</v>
      </c>
      <c r="E1009">
        <v>1.44</v>
      </c>
      <c r="F1009" t="s">
        <v>9</v>
      </c>
    </row>
    <row r="1010" spans="2:6" x14ac:dyDescent="0.25">
      <c r="B1010" t="s">
        <v>133</v>
      </c>
      <c r="C1010" t="s">
        <v>129</v>
      </c>
      <c r="D1010">
        <v>2.85</v>
      </c>
      <c r="E1010">
        <v>1.44</v>
      </c>
      <c r="F1010" t="s">
        <v>9</v>
      </c>
    </row>
    <row r="1011" spans="2:6" x14ac:dyDescent="0.25">
      <c r="B1011" t="s">
        <v>133</v>
      </c>
      <c r="C1011" t="s">
        <v>129</v>
      </c>
      <c r="D1011">
        <v>2.83</v>
      </c>
      <c r="E1011">
        <v>1.47</v>
      </c>
      <c r="F1011" t="s">
        <v>9</v>
      </c>
    </row>
    <row r="1012" spans="2:6" x14ac:dyDescent="0.25">
      <c r="B1012" t="s">
        <v>134</v>
      </c>
      <c r="C1012" t="s">
        <v>129</v>
      </c>
      <c r="D1012">
        <v>1.85</v>
      </c>
      <c r="E1012">
        <v>2</v>
      </c>
      <c r="F1012" t="s">
        <v>9</v>
      </c>
    </row>
    <row r="1013" spans="2:6" x14ac:dyDescent="0.25">
      <c r="B1013" t="s">
        <v>134</v>
      </c>
      <c r="C1013" t="s">
        <v>129</v>
      </c>
      <c r="D1013">
        <v>1.85</v>
      </c>
      <c r="E1013">
        <v>1.98</v>
      </c>
      <c r="F1013" t="s">
        <v>9</v>
      </c>
    </row>
    <row r="1014" spans="2:6" x14ac:dyDescent="0.25">
      <c r="B1014" t="s">
        <v>134</v>
      </c>
      <c r="C1014" t="s">
        <v>129</v>
      </c>
      <c r="D1014">
        <v>1.87</v>
      </c>
      <c r="E1014">
        <v>1.95</v>
      </c>
      <c r="F1014" t="s">
        <v>9</v>
      </c>
    </row>
    <row r="1015" spans="2:6" x14ac:dyDescent="0.25">
      <c r="B1015" t="s">
        <v>134</v>
      </c>
      <c r="C1015" t="s">
        <v>129</v>
      </c>
      <c r="D1015">
        <v>1.87</v>
      </c>
      <c r="E1015">
        <v>1.95</v>
      </c>
      <c r="F1015" t="s">
        <v>9</v>
      </c>
    </row>
    <row r="1016" spans="2:6" x14ac:dyDescent="0.25">
      <c r="B1016" t="s">
        <v>134</v>
      </c>
      <c r="C1016" t="s">
        <v>129</v>
      </c>
      <c r="D1016">
        <v>1.85</v>
      </c>
      <c r="E1016">
        <v>1.95</v>
      </c>
      <c r="F1016" t="s">
        <v>9</v>
      </c>
    </row>
    <row r="1017" spans="2:6" x14ac:dyDescent="0.25">
      <c r="B1017" t="s">
        <v>134</v>
      </c>
      <c r="C1017" t="s">
        <v>129</v>
      </c>
      <c r="D1017">
        <v>1.85</v>
      </c>
      <c r="E1017">
        <v>1.95</v>
      </c>
      <c r="F1017" t="s">
        <v>9</v>
      </c>
    </row>
    <row r="1018" spans="2:6" x14ac:dyDescent="0.25">
      <c r="B1018" t="s">
        <v>134</v>
      </c>
      <c r="C1018" t="s">
        <v>129</v>
      </c>
      <c r="D1018">
        <v>1.85</v>
      </c>
      <c r="E1018">
        <v>1.95</v>
      </c>
      <c r="F1018" t="s">
        <v>9</v>
      </c>
    </row>
    <row r="1019" spans="2:6" x14ac:dyDescent="0.25">
      <c r="B1019" t="s">
        <v>134</v>
      </c>
      <c r="C1019" t="s">
        <v>129</v>
      </c>
      <c r="D1019">
        <v>1.87</v>
      </c>
      <c r="E1019">
        <v>1.95</v>
      </c>
      <c r="F1019" t="s">
        <v>9</v>
      </c>
    </row>
    <row r="1020" spans="2:6" x14ac:dyDescent="0.25">
      <c r="B1020" t="s">
        <v>134</v>
      </c>
      <c r="C1020" t="s">
        <v>129</v>
      </c>
      <c r="D1020">
        <v>1.83</v>
      </c>
      <c r="E1020">
        <v>2</v>
      </c>
      <c r="F1020" t="s">
        <v>9</v>
      </c>
    </row>
    <row r="1021" spans="2:6" x14ac:dyDescent="0.25">
      <c r="B1021" t="s">
        <v>134</v>
      </c>
      <c r="C1021" t="s">
        <v>129</v>
      </c>
      <c r="D1021">
        <v>1.91</v>
      </c>
      <c r="E1021">
        <v>1.91</v>
      </c>
      <c r="F1021" t="s">
        <v>9</v>
      </c>
    </row>
    <row r="1022" spans="2:6" x14ac:dyDescent="0.25">
      <c r="B1022" t="s">
        <v>134</v>
      </c>
      <c r="C1022" t="s">
        <v>129</v>
      </c>
      <c r="D1022">
        <v>1.87</v>
      </c>
      <c r="E1022">
        <v>1.95</v>
      </c>
      <c r="F1022" t="s">
        <v>9</v>
      </c>
    </row>
    <row r="1023" spans="2:6" x14ac:dyDescent="0.25">
      <c r="B1023" t="s">
        <v>134</v>
      </c>
      <c r="C1023" t="s">
        <v>129</v>
      </c>
      <c r="D1023">
        <v>1.86</v>
      </c>
      <c r="E1023">
        <v>2</v>
      </c>
      <c r="F1023" t="s">
        <v>9</v>
      </c>
    </row>
    <row r="1024" spans="2:6" x14ac:dyDescent="0.25">
      <c r="B1024" t="s">
        <v>135</v>
      </c>
      <c r="C1024" t="s">
        <v>129</v>
      </c>
      <c r="D1024">
        <v>4.5</v>
      </c>
      <c r="E1024">
        <v>1.22</v>
      </c>
      <c r="F1024" t="s">
        <v>9</v>
      </c>
    </row>
    <row r="1025" spans="2:6" x14ac:dyDescent="0.25">
      <c r="B1025" t="s">
        <v>135</v>
      </c>
      <c r="C1025" t="s">
        <v>129</v>
      </c>
      <c r="D1025">
        <v>4.5999999999999996</v>
      </c>
      <c r="E1025">
        <v>1.21</v>
      </c>
      <c r="F1025" t="s">
        <v>9</v>
      </c>
    </row>
    <row r="1026" spans="2:6" x14ac:dyDescent="0.25">
      <c r="B1026" t="s">
        <v>135</v>
      </c>
      <c r="C1026" t="s">
        <v>129</v>
      </c>
      <c r="D1026">
        <v>4.25</v>
      </c>
      <c r="E1026">
        <v>1.24</v>
      </c>
      <c r="F1026" t="s">
        <v>9</v>
      </c>
    </row>
    <row r="1027" spans="2:6" x14ac:dyDescent="0.25">
      <c r="B1027" t="s">
        <v>135</v>
      </c>
      <c r="C1027" t="s">
        <v>129</v>
      </c>
      <c r="D1027">
        <v>4.25</v>
      </c>
      <c r="E1027">
        <v>1.24</v>
      </c>
      <c r="F1027" t="s">
        <v>9</v>
      </c>
    </row>
    <row r="1028" spans="2:6" x14ac:dyDescent="0.25">
      <c r="B1028" t="s">
        <v>135</v>
      </c>
      <c r="C1028" t="s">
        <v>129</v>
      </c>
      <c r="D1028">
        <v>4.28</v>
      </c>
      <c r="E1028">
        <v>1.23</v>
      </c>
      <c r="F1028" t="s">
        <v>9</v>
      </c>
    </row>
    <row r="1029" spans="2:6" x14ac:dyDescent="0.25">
      <c r="B1029" t="s">
        <v>135</v>
      </c>
      <c r="C1029" t="s">
        <v>129</v>
      </c>
      <c r="D1029">
        <v>4.3</v>
      </c>
      <c r="E1029">
        <v>1.24</v>
      </c>
      <c r="F1029" t="s">
        <v>9</v>
      </c>
    </row>
    <row r="1030" spans="2:6" x14ac:dyDescent="0.25">
      <c r="B1030" t="s">
        <v>135</v>
      </c>
      <c r="C1030" t="s">
        <v>129</v>
      </c>
      <c r="D1030">
        <v>4.3</v>
      </c>
      <c r="E1030">
        <v>1.24</v>
      </c>
      <c r="F1030" t="s">
        <v>9</v>
      </c>
    </row>
    <row r="1031" spans="2:6" x14ac:dyDescent="0.25">
      <c r="B1031" t="s">
        <v>135</v>
      </c>
      <c r="C1031" t="s">
        <v>129</v>
      </c>
      <c r="D1031">
        <v>4.5</v>
      </c>
      <c r="E1031">
        <v>1.21</v>
      </c>
      <c r="F1031" t="s">
        <v>9</v>
      </c>
    </row>
    <row r="1032" spans="2:6" x14ac:dyDescent="0.25">
      <c r="B1032" t="s">
        <v>135</v>
      </c>
      <c r="C1032" t="s">
        <v>129</v>
      </c>
      <c r="D1032">
        <v>4.5</v>
      </c>
      <c r="E1032">
        <v>1.21</v>
      </c>
      <c r="F1032" t="s">
        <v>9</v>
      </c>
    </row>
    <row r="1033" spans="2:6" x14ac:dyDescent="0.25">
      <c r="B1033" t="s">
        <v>135</v>
      </c>
      <c r="C1033" t="s">
        <v>129</v>
      </c>
      <c r="D1033">
        <v>4.5</v>
      </c>
      <c r="E1033">
        <v>1.21</v>
      </c>
      <c r="F1033" t="s">
        <v>9</v>
      </c>
    </row>
    <row r="1034" spans="2:6" x14ac:dyDescent="0.25">
      <c r="B1034" t="s">
        <v>135</v>
      </c>
      <c r="C1034" t="s">
        <v>129</v>
      </c>
      <c r="D1034">
        <v>4.5</v>
      </c>
      <c r="E1034">
        <v>1.21</v>
      </c>
      <c r="F1034" t="s">
        <v>9</v>
      </c>
    </row>
    <row r="1035" spans="2:6" x14ac:dyDescent="0.25">
      <c r="B1035" t="s">
        <v>135</v>
      </c>
      <c r="C1035" t="s">
        <v>129</v>
      </c>
      <c r="D1035">
        <v>4.3499999999999996</v>
      </c>
      <c r="E1035">
        <v>1.22</v>
      </c>
      <c r="F1035" t="s">
        <v>9</v>
      </c>
    </row>
    <row r="1036" spans="2:6" x14ac:dyDescent="0.25">
      <c r="B1036" t="s">
        <v>135</v>
      </c>
      <c r="C1036" t="s">
        <v>129</v>
      </c>
      <c r="D1036">
        <v>4.5</v>
      </c>
      <c r="E1036">
        <v>1.22</v>
      </c>
      <c r="F1036" t="s">
        <v>9</v>
      </c>
    </row>
    <row r="1037" spans="2:6" x14ac:dyDescent="0.25">
      <c r="B1037" t="s">
        <v>135</v>
      </c>
      <c r="C1037" t="s">
        <v>129</v>
      </c>
      <c r="D1037">
        <v>4.5</v>
      </c>
      <c r="E1037">
        <v>1.22</v>
      </c>
      <c r="F1037" t="s">
        <v>9</v>
      </c>
    </row>
    <row r="1038" spans="2:6" x14ac:dyDescent="0.25">
      <c r="B1038" t="s">
        <v>135</v>
      </c>
      <c r="C1038" t="s">
        <v>129</v>
      </c>
      <c r="D1038">
        <v>4.5</v>
      </c>
      <c r="E1038">
        <v>1.23</v>
      </c>
      <c r="F1038" t="s">
        <v>9</v>
      </c>
    </row>
    <row r="1039" spans="2:6" x14ac:dyDescent="0.25">
      <c r="B1039" t="s">
        <v>136</v>
      </c>
      <c r="C1039" t="s">
        <v>129</v>
      </c>
      <c r="D1039">
        <v>4.0999999999999996</v>
      </c>
      <c r="E1039">
        <v>1.26</v>
      </c>
      <c r="F1039" t="s">
        <v>9</v>
      </c>
    </row>
    <row r="1040" spans="2:6" x14ac:dyDescent="0.25">
      <c r="B1040" t="s">
        <v>136</v>
      </c>
      <c r="C1040" t="s">
        <v>129</v>
      </c>
      <c r="D1040">
        <v>4</v>
      </c>
      <c r="E1040">
        <v>1.26</v>
      </c>
      <c r="F1040" t="s">
        <v>9</v>
      </c>
    </row>
    <row r="1041" spans="2:6" x14ac:dyDescent="0.25">
      <c r="B1041" t="s">
        <v>136</v>
      </c>
      <c r="C1041" t="s">
        <v>129</v>
      </c>
      <c r="D1041">
        <v>4</v>
      </c>
      <c r="E1041">
        <v>1.25</v>
      </c>
      <c r="F1041" t="s">
        <v>9</v>
      </c>
    </row>
    <row r="1042" spans="2:6" x14ac:dyDescent="0.25">
      <c r="B1042" t="s">
        <v>136</v>
      </c>
      <c r="C1042" t="s">
        <v>129</v>
      </c>
      <c r="D1042">
        <v>4.05</v>
      </c>
      <c r="E1042">
        <v>1.26</v>
      </c>
      <c r="F1042" t="s">
        <v>9</v>
      </c>
    </row>
    <row r="1043" spans="2:6" x14ac:dyDescent="0.25">
      <c r="B1043" t="s">
        <v>136</v>
      </c>
      <c r="C1043" t="s">
        <v>129</v>
      </c>
      <c r="D1043">
        <v>4.0999999999999996</v>
      </c>
      <c r="E1043">
        <v>1.25</v>
      </c>
      <c r="F1043" t="s">
        <v>9</v>
      </c>
    </row>
    <row r="1044" spans="2:6" x14ac:dyDescent="0.25">
      <c r="B1044" t="s">
        <v>136</v>
      </c>
      <c r="C1044" t="s">
        <v>129</v>
      </c>
      <c r="D1044">
        <v>4.1500000000000004</v>
      </c>
      <c r="E1044">
        <v>1.26</v>
      </c>
      <c r="F1044" t="s">
        <v>9</v>
      </c>
    </row>
    <row r="1045" spans="2:6" x14ac:dyDescent="0.25">
      <c r="B1045" t="s">
        <v>136</v>
      </c>
      <c r="C1045" t="s">
        <v>129</v>
      </c>
      <c r="D1045">
        <v>4.1500000000000004</v>
      </c>
      <c r="E1045">
        <v>1.26</v>
      </c>
      <c r="F1045" t="s">
        <v>9</v>
      </c>
    </row>
    <row r="1046" spans="2:6" x14ac:dyDescent="0.25">
      <c r="B1046" t="s">
        <v>136</v>
      </c>
      <c r="C1046" t="s">
        <v>129</v>
      </c>
      <c r="D1046">
        <v>4.2</v>
      </c>
      <c r="E1046">
        <v>1.24</v>
      </c>
      <c r="F1046" t="s">
        <v>9</v>
      </c>
    </row>
    <row r="1047" spans="2:6" x14ac:dyDescent="0.25">
      <c r="B1047" t="s">
        <v>136</v>
      </c>
      <c r="C1047" t="s">
        <v>129</v>
      </c>
      <c r="D1047">
        <v>4.2</v>
      </c>
      <c r="E1047">
        <v>1.24</v>
      </c>
      <c r="F1047" t="s">
        <v>9</v>
      </c>
    </row>
    <row r="1048" spans="2:6" x14ac:dyDescent="0.25">
      <c r="B1048" t="s">
        <v>136</v>
      </c>
      <c r="C1048" t="s">
        <v>129</v>
      </c>
      <c r="D1048">
        <v>4.2</v>
      </c>
      <c r="E1048">
        <v>1.24</v>
      </c>
      <c r="F1048" t="s">
        <v>9</v>
      </c>
    </row>
    <row r="1049" spans="2:6" x14ac:dyDescent="0.25">
      <c r="B1049" t="s">
        <v>136</v>
      </c>
      <c r="C1049" t="s">
        <v>129</v>
      </c>
      <c r="D1049">
        <v>4.0999999999999996</v>
      </c>
      <c r="E1049">
        <v>1.25</v>
      </c>
      <c r="F1049" t="s">
        <v>9</v>
      </c>
    </row>
    <row r="1050" spans="2:6" x14ac:dyDescent="0.25">
      <c r="B1050" t="s">
        <v>136</v>
      </c>
      <c r="C1050" t="s">
        <v>129</v>
      </c>
      <c r="D1050">
        <v>4</v>
      </c>
      <c r="E1050">
        <v>1.25</v>
      </c>
      <c r="F1050" t="s">
        <v>9</v>
      </c>
    </row>
    <row r="1051" spans="2:6" x14ac:dyDescent="0.25">
      <c r="B1051" t="s">
        <v>136</v>
      </c>
      <c r="C1051" t="s">
        <v>129</v>
      </c>
      <c r="D1051">
        <v>4.05</v>
      </c>
      <c r="E1051">
        <v>1.24</v>
      </c>
      <c r="F1051" t="s">
        <v>9</v>
      </c>
    </row>
    <row r="1052" spans="2:6" x14ac:dyDescent="0.25">
      <c r="B1052" t="s">
        <v>136</v>
      </c>
      <c r="C1052" t="s">
        <v>129</v>
      </c>
      <c r="D1052">
        <v>4.0999999999999996</v>
      </c>
      <c r="E1052">
        <v>1.25</v>
      </c>
      <c r="F1052" t="s">
        <v>9</v>
      </c>
    </row>
    <row r="1053" spans="2:6" x14ac:dyDescent="0.25">
      <c r="B1053" t="s">
        <v>136</v>
      </c>
      <c r="C1053" t="s">
        <v>129</v>
      </c>
      <c r="D1053">
        <v>4.4000000000000004</v>
      </c>
      <c r="E1053">
        <v>1.24</v>
      </c>
      <c r="F1053" t="s">
        <v>9</v>
      </c>
    </row>
    <row r="1054" spans="2:6" x14ac:dyDescent="0.25">
      <c r="B1054" t="s">
        <v>148</v>
      </c>
      <c r="C1054" t="s">
        <v>138</v>
      </c>
      <c r="D1054">
        <v>1.1499999999999999</v>
      </c>
      <c r="E1054">
        <v>5.9</v>
      </c>
      <c r="F1054" t="s">
        <v>9</v>
      </c>
    </row>
    <row r="1055" spans="2:6" x14ac:dyDescent="0.25">
      <c r="B1055" t="s">
        <v>148</v>
      </c>
      <c r="C1055" t="s">
        <v>138</v>
      </c>
      <c r="D1055">
        <v>1.1499999999999999</v>
      </c>
      <c r="E1055">
        <v>5.7</v>
      </c>
      <c r="F1055" t="s">
        <v>9</v>
      </c>
    </row>
    <row r="1056" spans="2:6" x14ac:dyDescent="0.25">
      <c r="B1056" t="s">
        <v>148</v>
      </c>
      <c r="C1056" t="s">
        <v>138</v>
      </c>
      <c r="D1056">
        <v>1.1399999999999999</v>
      </c>
      <c r="E1056">
        <v>5.75</v>
      </c>
      <c r="F1056" t="s">
        <v>9</v>
      </c>
    </row>
    <row r="1057" spans="2:6" x14ac:dyDescent="0.25">
      <c r="B1057" t="s">
        <v>148</v>
      </c>
      <c r="C1057" t="s">
        <v>138</v>
      </c>
      <c r="D1057">
        <v>1.1399999999999999</v>
      </c>
      <c r="E1057">
        <v>5.9</v>
      </c>
      <c r="F1057" t="s">
        <v>9</v>
      </c>
    </row>
    <row r="1058" spans="2:6" x14ac:dyDescent="0.25">
      <c r="B1058" t="s">
        <v>148</v>
      </c>
      <c r="C1058" t="s">
        <v>138</v>
      </c>
      <c r="D1058">
        <v>1.1499999999999999</v>
      </c>
      <c r="E1058">
        <v>5.6</v>
      </c>
      <c r="F1058" t="s">
        <v>9</v>
      </c>
    </row>
    <row r="1059" spans="2:6" x14ac:dyDescent="0.25">
      <c r="B1059" t="s">
        <v>148</v>
      </c>
      <c r="C1059" t="s">
        <v>138</v>
      </c>
      <c r="D1059">
        <v>1.1599999999999999</v>
      </c>
      <c r="E1059">
        <v>5.8</v>
      </c>
      <c r="F1059" t="s">
        <v>9</v>
      </c>
    </row>
    <row r="1060" spans="2:6" x14ac:dyDescent="0.25">
      <c r="B1060" t="s">
        <v>148</v>
      </c>
      <c r="C1060" t="s">
        <v>138</v>
      </c>
      <c r="D1060">
        <v>1.1599999999999999</v>
      </c>
      <c r="E1060">
        <v>5.8</v>
      </c>
      <c r="F1060" t="s">
        <v>9</v>
      </c>
    </row>
    <row r="1061" spans="2:6" x14ac:dyDescent="0.25">
      <c r="B1061" t="s">
        <v>148</v>
      </c>
      <c r="C1061" t="s">
        <v>138</v>
      </c>
      <c r="D1061">
        <v>1.17</v>
      </c>
      <c r="E1061">
        <v>5.25</v>
      </c>
      <c r="F1061" t="s">
        <v>9</v>
      </c>
    </row>
    <row r="1062" spans="2:6" x14ac:dyDescent="0.25">
      <c r="B1062" t="s">
        <v>148</v>
      </c>
      <c r="C1062" t="s">
        <v>138</v>
      </c>
      <c r="D1062">
        <v>1.17</v>
      </c>
      <c r="E1062">
        <v>5.25</v>
      </c>
      <c r="F1062" t="s">
        <v>9</v>
      </c>
    </row>
    <row r="1063" spans="2:6" x14ac:dyDescent="0.25">
      <c r="B1063" t="s">
        <v>148</v>
      </c>
      <c r="C1063" t="s">
        <v>138</v>
      </c>
      <c r="D1063">
        <v>1.17</v>
      </c>
      <c r="E1063">
        <v>5.25</v>
      </c>
      <c r="F1063" t="s">
        <v>9</v>
      </c>
    </row>
    <row r="1064" spans="2:6" x14ac:dyDescent="0.25">
      <c r="B1064" t="s">
        <v>148</v>
      </c>
      <c r="C1064" t="s">
        <v>138</v>
      </c>
      <c r="D1064">
        <v>1.1399999999999999</v>
      </c>
      <c r="E1064">
        <v>6</v>
      </c>
      <c r="F1064" t="s">
        <v>9</v>
      </c>
    </row>
    <row r="1065" spans="2:6" x14ac:dyDescent="0.25">
      <c r="B1065" t="s">
        <v>148</v>
      </c>
      <c r="C1065" t="s">
        <v>138</v>
      </c>
      <c r="D1065">
        <v>1.1599999999999999</v>
      </c>
      <c r="E1065">
        <v>5.3</v>
      </c>
      <c r="F1065" t="s">
        <v>9</v>
      </c>
    </row>
    <row r="1066" spans="2:6" x14ac:dyDescent="0.25">
      <c r="B1066" t="s">
        <v>148</v>
      </c>
      <c r="C1066" t="s">
        <v>138</v>
      </c>
      <c r="D1066">
        <v>1.1599999999999999</v>
      </c>
      <c r="E1066">
        <v>5.5</v>
      </c>
      <c r="F1066" t="s">
        <v>9</v>
      </c>
    </row>
    <row r="1067" spans="2:6" x14ac:dyDescent="0.25">
      <c r="B1067" t="s">
        <v>148</v>
      </c>
      <c r="C1067" t="s">
        <v>138</v>
      </c>
      <c r="D1067">
        <v>1.1499999999999999</v>
      </c>
      <c r="E1067">
        <v>5.5</v>
      </c>
      <c r="F1067" t="s">
        <v>9</v>
      </c>
    </row>
    <row r="1068" spans="2:6" x14ac:dyDescent="0.25">
      <c r="B1068" t="s">
        <v>148</v>
      </c>
      <c r="C1068" t="s">
        <v>138</v>
      </c>
      <c r="D1068">
        <v>1.17</v>
      </c>
      <c r="E1068">
        <v>5.6</v>
      </c>
      <c r="F1068" t="s">
        <v>9</v>
      </c>
    </row>
    <row r="1069" spans="2:6" x14ac:dyDescent="0.25">
      <c r="B1069" t="s">
        <v>139</v>
      </c>
      <c r="C1069" t="s">
        <v>140</v>
      </c>
      <c r="D1069">
        <v>1.28</v>
      </c>
      <c r="E1069">
        <v>3.9</v>
      </c>
      <c r="F1069" t="s">
        <v>9</v>
      </c>
    </row>
    <row r="1070" spans="2:6" x14ac:dyDescent="0.25">
      <c r="B1070" t="s">
        <v>139</v>
      </c>
      <c r="C1070" t="s">
        <v>140</v>
      </c>
      <c r="D1070">
        <v>1.32</v>
      </c>
      <c r="E1070">
        <v>3.5</v>
      </c>
      <c r="F1070" t="s">
        <v>9</v>
      </c>
    </row>
    <row r="1071" spans="2:6" x14ac:dyDescent="0.25">
      <c r="B1071" t="s">
        <v>139</v>
      </c>
      <c r="C1071" t="s">
        <v>140</v>
      </c>
      <c r="D1071">
        <v>1.32</v>
      </c>
      <c r="E1071">
        <v>3.56</v>
      </c>
      <c r="F1071" t="s">
        <v>9</v>
      </c>
    </row>
    <row r="1072" spans="2:6" x14ac:dyDescent="0.25">
      <c r="B1072" t="s">
        <v>139</v>
      </c>
      <c r="C1072" t="s">
        <v>140</v>
      </c>
      <c r="D1072">
        <v>1.32</v>
      </c>
      <c r="E1072">
        <v>3.6</v>
      </c>
      <c r="F1072" t="s">
        <v>9</v>
      </c>
    </row>
    <row r="1073" spans="2:6" x14ac:dyDescent="0.25">
      <c r="B1073" t="s">
        <v>139</v>
      </c>
      <c r="C1073" t="s">
        <v>140</v>
      </c>
      <c r="D1073">
        <v>1.32</v>
      </c>
      <c r="E1073">
        <v>3.6</v>
      </c>
      <c r="F1073" t="s">
        <v>9</v>
      </c>
    </row>
    <row r="1074" spans="2:6" x14ac:dyDescent="0.25">
      <c r="B1074" t="s">
        <v>139</v>
      </c>
      <c r="C1074" t="s">
        <v>140</v>
      </c>
      <c r="D1074">
        <v>1.29</v>
      </c>
      <c r="E1074">
        <v>3.7</v>
      </c>
      <c r="F1074" t="s">
        <v>9</v>
      </c>
    </row>
    <row r="1075" spans="2:6" x14ac:dyDescent="0.25">
      <c r="B1075" t="s">
        <v>139</v>
      </c>
      <c r="C1075" t="s">
        <v>140</v>
      </c>
      <c r="D1075">
        <v>1.3</v>
      </c>
      <c r="E1075">
        <v>3.6</v>
      </c>
      <c r="F1075" t="s">
        <v>9</v>
      </c>
    </row>
    <row r="1076" spans="2:6" x14ac:dyDescent="0.25">
      <c r="B1076" t="s">
        <v>139</v>
      </c>
      <c r="C1076" t="s">
        <v>140</v>
      </c>
      <c r="D1076">
        <v>1.32</v>
      </c>
      <c r="E1076">
        <v>3.5</v>
      </c>
      <c r="F1076" t="s">
        <v>9</v>
      </c>
    </row>
    <row r="1077" spans="2:6" x14ac:dyDescent="0.25">
      <c r="B1077" t="s">
        <v>139</v>
      </c>
      <c r="C1077" t="s">
        <v>140</v>
      </c>
      <c r="D1077">
        <v>1.32</v>
      </c>
      <c r="E1077">
        <v>3.5</v>
      </c>
      <c r="F1077" t="s">
        <v>9</v>
      </c>
    </row>
    <row r="1078" spans="2:6" x14ac:dyDescent="0.25">
      <c r="B1078" t="s">
        <v>139</v>
      </c>
      <c r="C1078" t="s">
        <v>140</v>
      </c>
      <c r="D1078">
        <v>1.32</v>
      </c>
      <c r="E1078">
        <v>3.5</v>
      </c>
      <c r="F1078" t="s">
        <v>9</v>
      </c>
    </row>
    <row r="1079" spans="2:6" x14ac:dyDescent="0.25">
      <c r="B1079" t="s">
        <v>139</v>
      </c>
      <c r="C1079" t="s">
        <v>140</v>
      </c>
      <c r="D1079">
        <v>1.29</v>
      </c>
      <c r="E1079">
        <v>3.7</v>
      </c>
      <c r="F1079" t="s">
        <v>9</v>
      </c>
    </row>
    <row r="1080" spans="2:6" x14ac:dyDescent="0.25">
      <c r="B1080" t="s">
        <v>139</v>
      </c>
      <c r="C1080" t="s">
        <v>140</v>
      </c>
      <c r="D1080">
        <v>1.31</v>
      </c>
      <c r="E1080">
        <v>3.5</v>
      </c>
      <c r="F1080" t="s">
        <v>9</v>
      </c>
    </row>
    <row r="1081" spans="2:6" x14ac:dyDescent="0.25">
      <c r="B1081" t="s">
        <v>139</v>
      </c>
      <c r="C1081" t="s">
        <v>140</v>
      </c>
      <c r="D1081">
        <v>1.33</v>
      </c>
      <c r="E1081">
        <v>3.4</v>
      </c>
      <c r="F1081" t="s">
        <v>9</v>
      </c>
    </row>
    <row r="1082" spans="2:6" x14ac:dyDescent="0.25">
      <c r="B1082" t="s">
        <v>139</v>
      </c>
      <c r="C1082" t="s">
        <v>140</v>
      </c>
      <c r="D1082">
        <v>1.29</v>
      </c>
      <c r="E1082">
        <v>3.65</v>
      </c>
      <c r="F1082" t="s">
        <v>9</v>
      </c>
    </row>
    <row r="1083" spans="2:6" x14ac:dyDescent="0.25">
      <c r="B1083" t="s">
        <v>139</v>
      </c>
      <c r="C1083" t="s">
        <v>140</v>
      </c>
      <c r="D1083">
        <v>1.32</v>
      </c>
      <c r="E1083">
        <v>3.55</v>
      </c>
      <c r="F1083" t="s">
        <v>9</v>
      </c>
    </row>
    <row r="1084" spans="2:6" x14ac:dyDescent="0.25">
      <c r="B1084" t="s">
        <v>141</v>
      </c>
      <c r="C1084" t="s">
        <v>140</v>
      </c>
      <c r="D1084">
        <v>1.94</v>
      </c>
      <c r="E1084">
        <v>1.91</v>
      </c>
      <c r="F1084" t="s">
        <v>9</v>
      </c>
    </row>
    <row r="1085" spans="2:6" x14ac:dyDescent="0.25">
      <c r="B1085" t="s">
        <v>141</v>
      </c>
      <c r="C1085" t="s">
        <v>140</v>
      </c>
      <c r="D1085">
        <v>1.95</v>
      </c>
      <c r="E1085">
        <v>1.87</v>
      </c>
      <c r="F1085" t="s">
        <v>9</v>
      </c>
    </row>
    <row r="1086" spans="2:6" x14ac:dyDescent="0.25">
      <c r="B1086" t="s">
        <v>141</v>
      </c>
      <c r="C1086" t="s">
        <v>140</v>
      </c>
      <c r="D1086">
        <v>1.95</v>
      </c>
      <c r="E1086">
        <v>1.87</v>
      </c>
      <c r="F1086" t="s">
        <v>9</v>
      </c>
    </row>
    <row r="1087" spans="2:6" x14ac:dyDescent="0.25">
      <c r="B1087" t="s">
        <v>141</v>
      </c>
      <c r="C1087" t="s">
        <v>140</v>
      </c>
      <c r="D1087">
        <v>1.95</v>
      </c>
      <c r="E1087">
        <v>1.87</v>
      </c>
      <c r="F1087" t="s">
        <v>9</v>
      </c>
    </row>
    <row r="1088" spans="2:6" x14ac:dyDescent="0.25">
      <c r="B1088" t="s">
        <v>141</v>
      </c>
      <c r="C1088" t="s">
        <v>140</v>
      </c>
      <c r="D1088">
        <v>1.95</v>
      </c>
      <c r="E1088">
        <v>1.87</v>
      </c>
      <c r="F1088" t="s">
        <v>9</v>
      </c>
    </row>
    <row r="1089" spans="2:6" x14ac:dyDescent="0.25">
      <c r="B1089" t="s">
        <v>141</v>
      </c>
      <c r="C1089" t="s">
        <v>140</v>
      </c>
      <c r="D1089">
        <v>1.95</v>
      </c>
      <c r="E1089">
        <v>1.87</v>
      </c>
      <c r="F1089" t="s">
        <v>9</v>
      </c>
    </row>
    <row r="1090" spans="2:6" x14ac:dyDescent="0.25">
      <c r="B1090" t="s">
        <v>141</v>
      </c>
      <c r="C1090" t="s">
        <v>140</v>
      </c>
      <c r="D1090">
        <v>1.95</v>
      </c>
      <c r="E1090">
        <v>1.85</v>
      </c>
      <c r="F1090" t="s">
        <v>9</v>
      </c>
    </row>
    <row r="1091" spans="2:6" x14ac:dyDescent="0.25">
      <c r="B1091" t="s">
        <v>141</v>
      </c>
      <c r="C1091" t="s">
        <v>140</v>
      </c>
      <c r="D1091">
        <v>1.95</v>
      </c>
      <c r="E1091">
        <v>1.85</v>
      </c>
      <c r="F1091" t="s">
        <v>9</v>
      </c>
    </row>
    <row r="1092" spans="2:6" x14ac:dyDescent="0.25">
      <c r="B1092" t="s">
        <v>141</v>
      </c>
      <c r="C1092" t="s">
        <v>140</v>
      </c>
      <c r="D1092">
        <v>1.95</v>
      </c>
      <c r="E1092">
        <v>1.85</v>
      </c>
      <c r="F1092" t="s">
        <v>9</v>
      </c>
    </row>
    <row r="1093" spans="2:6" x14ac:dyDescent="0.25">
      <c r="B1093" t="s">
        <v>141</v>
      </c>
      <c r="C1093" t="s">
        <v>140</v>
      </c>
      <c r="D1093">
        <v>1.95</v>
      </c>
      <c r="E1093">
        <v>1.87</v>
      </c>
      <c r="F1093" t="s">
        <v>9</v>
      </c>
    </row>
    <row r="1094" spans="2:6" x14ac:dyDescent="0.25">
      <c r="B1094" t="s">
        <v>141</v>
      </c>
      <c r="C1094" t="s">
        <v>140</v>
      </c>
      <c r="D1094">
        <v>1.95</v>
      </c>
      <c r="E1094">
        <v>1.87</v>
      </c>
      <c r="F1094" t="s">
        <v>9</v>
      </c>
    </row>
    <row r="1095" spans="2:6" x14ac:dyDescent="0.25">
      <c r="B1095" t="s">
        <v>141</v>
      </c>
      <c r="C1095" t="s">
        <v>140</v>
      </c>
      <c r="D1095">
        <v>1.95</v>
      </c>
      <c r="E1095">
        <v>1.87</v>
      </c>
      <c r="F1095" t="s">
        <v>9</v>
      </c>
    </row>
    <row r="1096" spans="2:6" x14ac:dyDescent="0.25">
      <c r="B1096" t="s">
        <v>141</v>
      </c>
      <c r="C1096" t="s">
        <v>140</v>
      </c>
      <c r="D1096">
        <v>1.95</v>
      </c>
      <c r="E1096">
        <v>1.87</v>
      </c>
      <c r="F1096" t="s">
        <v>9</v>
      </c>
    </row>
    <row r="1097" spans="2:6" x14ac:dyDescent="0.25">
      <c r="B1097" t="s">
        <v>141</v>
      </c>
      <c r="C1097" t="s">
        <v>140</v>
      </c>
      <c r="D1097">
        <v>2</v>
      </c>
      <c r="E1097">
        <v>1.86</v>
      </c>
      <c r="F1097" t="s">
        <v>9</v>
      </c>
    </row>
    <row r="1098" spans="2:6" x14ac:dyDescent="0.25">
      <c r="B1098" t="s">
        <v>142</v>
      </c>
      <c r="C1098" t="s">
        <v>143</v>
      </c>
      <c r="D1098">
        <v>1.72</v>
      </c>
      <c r="E1098">
        <v>2.1800000000000002</v>
      </c>
      <c r="F1098" t="s">
        <v>9</v>
      </c>
    </row>
    <row r="1099" spans="2:6" x14ac:dyDescent="0.25">
      <c r="B1099" t="s">
        <v>142</v>
      </c>
      <c r="C1099" t="s">
        <v>143</v>
      </c>
      <c r="D1099">
        <v>1.77</v>
      </c>
      <c r="E1099">
        <v>2.1</v>
      </c>
      <c r="F1099" t="s">
        <v>9</v>
      </c>
    </row>
    <row r="1100" spans="2:6" x14ac:dyDescent="0.25">
      <c r="B1100" t="s">
        <v>142</v>
      </c>
      <c r="C1100" t="s">
        <v>143</v>
      </c>
      <c r="D1100">
        <v>1.71</v>
      </c>
      <c r="E1100">
        <v>2.2000000000000002</v>
      </c>
      <c r="F1100" t="s">
        <v>9</v>
      </c>
    </row>
    <row r="1101" spans="2:6" x14ac:dyDescent="0.25">
      <c r="B1101" t="s">
        <v>142</v>
      </c>
      <c r="C1101" t="s">
        <v>143</v>
      </c>
      <c r="D1101">
        <v>1.71</v>
      </c>
      <c r="E1101">
        <v>2.2000000000000002</v>
      </c>
      <c r="F1101" t="s">
        <v>9</v>
      </c>
    </row>
    <row r="1102" spans="2:6" x14ac:dyDescent="0.25">
      <c r="B1102" t="s">
        <v>142</v>
      </c>
      <c r="C1102" t="s">
        <v>143</v>
      </c>
      <c r="D1102">
        <v>1.71</v>
      </c>
      <c r="E1102">
        <v>2.2000000000000002</v>
      </c>
      <c r="F1102" t="s">
        <v>9</v>
      </c>
    </row>
    <row r="1103" spans="2:6" x14ac:dyDescent="0.25">
      <c r="B1103" t="s">
        <v>142</v>
      </c>
      <c r="C1103" t="s">
        <v>143</v>
      </c>
      <c r="D1103">
        <v>1.71</v>
      </c>
      <c r="E1103">
        <v>2.2000000000000002</v>
      </c>
      <c r="F1103" t="s">
        <v>9</v>
      </c>
    </row>
    <row r="1104" spans="2:6" x14ac:dyDescent="0.25">
      <c r="B1104" t="s">
        <v>142</v>
      </c>
      <c r="C1104" t="s">
        <v>143</v>
      </c>
      <c r="D1104">
        <v>1.74</v>
      </c>
      <c r="E1104">
        <v>2.15</v>
      </c>
      <c r="F1104" t="s">
        <v>9</v>
      </c>
    </row>
    <row r="1105" spans="2:6" x14ac:dyDescent="0.25">
      <c r="B1105" t="s">
        <v>142</v>
      </c>
      <c r="C1105" t="s">
        <v>143</v>
      </c>
      <c r="D1105">
        <v>1.72</v>
      </c>
      <c r="E1105">
        <v>2.14</v>
      </c>
      <c r="F1105" t="s">
        <v>9</v>
      </c>
    </row>
    <row r="1106" spans="2:6" x14ac:dyDescent="0.25">
      <c r="B1106" t="s">
        <v>142</v>
      </c>
      <c r="C1106" t="s">
        <v>143</v>
      </c>
      <c r="D1106">
        <v>1.72</v>
      </c>
      <c r="E1106">
        <v>2.14</v>
      </c>
      <c r="F1106" t="s">
        <v>9</v>
      </c>
    </row>
    <row r="1107" spans="2:6" x14ac:dyDescent="0.25">
      <c r="B1107" t="s">
        <v>142</v>
      </c>
      <c r="C1107" t="s">
        <v>143</v>
      </c>
      <c r="D1107">
        <v>1.72</v>
      </c>
      <c r="E1107">
        <v>2.14</v>
      </c>
      <c r="F1107" t="s">
        <v>9</v>
      </c>
    </row>
    <row r="1108" spans="2:6" x14ac:dyDescent="0.25">
      <c r="B1108" t="s">
        <v>142</v>
      </c>
      <c r="C1108" t="s">
        <v>143</v>
      </c>
      <c r="D1108">
        <v>1.71</v>
      </c>
      <c r="E1108">
        <v>2.15</v>
      </c>
      <c r="F1108" t="s">
        <v>9</v>
      </c>
    </row>
    <row r="1109" spans="2:6" x14ac:dyDescent="0.25">
      <c r="B1109" t="s">
        <v>142</v>
      </c>
      <c r="C1109" t="s">
        <v>143</v>
      </c>
      <c r="D1109">
        <v>1.74</v>
      </c>
      <c r="E1109">
        <v>2.15</v>
      </c>
      <c r="F1109" t="s">
        <v>9</v>
      </c>
    </row>
    <row r="1110" spans="2:6" x14ac:dyDescent="0.25">
      <c r="B1110" t="s">
        <v>142</v>
      </c>
      <c r="C1110" t="s">
        <v>143</v>
      </c>
      <c r="D1110">
        <v>1.74</v>
      </c>
      <c r="E1110">
        <v>2.15</v>
      </c>
      <c r="F1110" t="s">
        <v>9</v>
      </c>
    </row>
    <row r="1111" spans="2:6" x14ac:dyDescent="0.25">
      <c r="B1111" t="s">
        <v>142</v>
      </c>
      <c r="C1111" t="s">
        <v>143</v>
      </c>
      <c r="D1111">
        <v>1.71</v>
      </c>
      <c r="E1111">
        <v>2.2000000000000002</v>
      </c>
      <c r="F1111" t="s">
        <v>9</v>
      </c>
    </row>
    <row r="1112" spans="2:6" x14ac:dyDescent="0.25">
      <c r="B1112" t="s">
        <v>142</v>
      </c>
      <c r="C1112" t="s">
        <v>143</v>
      </c>
      <c r="D1112">
        <v>1.74</v>
      </c>
      <c r="E1112">
        <v>2.17</v>
      </c>
      <c r="F1112" t="s">
        <v>9</v>
      </c>
    </row>
    <row r="1113" spans="2:6" x14ac:dyDescent="0.25">
      <c r="B1113" t="s">
        <v>144</v>
      </c>
      <c r="C1113" t="s">
        <v>145</v>
      </c>
      <c r="D1113">
        <v>1.68</v>
      </c>
      <c r="E1113">
        <v>2.2599999999999998</v>
      </c>
      <c r="F1113" t="s">
        <v>9</v>
      </c>
    </row>
    <row r="1114" spans="2:6" x14ac:dyDescent="0.25">
      <c r="B1114" t="s">
        <v>144</v>
      </c>
      <c r="C1114" t="s">
        <v>145</v>
      </c>
      <c r="D1114">
        <v>1.68</v>
      </c>
      <c r="E1114">
        <v>2.2400000000000002</v>
      </c>
      <c r="F1114" t="s">
        <v>9</v>
      </c>
    </row>
    <row r="1115" spans="2:6" x14ac:dyDescent="0.25">
      <c r="B1115" t="s">
        <v>144</v>
      </c>
      <c r="C1115" t="s">
        <v>145</v>
      </c>
      <c r="D1115">
        <v>1.69</v>
      </c>
      <c r="E1115">
        <v>2.25</v>
      </c>
      <c r="F1115" t="s">
        <v>9</v>
      </c>
    </row>
    <row r="1116" spans="2:6" x14ac:dyDescent="0.25">
      <c r="B1116" t="s">
        <v>144</v>
      </c>
      <c r="C1116" t="s">
        <v>145</v>
      </c>
      <c r="D1116">
        <v>1.69</v>
      </c>
      <c r="E1116">
        <v>2.25</v>
      </c>
      <c r="F1116" t="s">
        <v>9</v>
      </c>
    </row>
    <row r="1117" spans="2:6" x14ac:dyDescent="0.25">
      <c r="B1117" t="s">
        <v>144</v>
      </c>
      <c r="C1117" t="s">
        <v>145</v>
      </c>
      <c r="D1117">
        <v>1.7</v>
      </c>
      <c r="E1117">
        <v>2.23</v>
      </c>
      <c r="F1117" t="s">
        <v>9</v>
      </c>
    </row>
    <row r="1118" spans="2:6" x14ac:dyDescent="0.25">
      <c r="B1118" t="s">
        <v>144</v>
      </c>
      <c r="C1118" t="s">
        <v>145</v>
      </c>
      <c r="D1118">
        <v>1.7</v>
      </c>
      <c r="E1118">
        <v>2.23</v>
      </c>
      <c r="F1118" t="s">
        <v>9</v>
      </c>
    </row>
    <row r="1119" spans="2:6" x14ac:dyDescent="0.25">
      <c r="B1119" t="s">
        <v>144</v>
      </c>
      <c r="C1119" t="s">
        <v>145</v>
      </c>
      <c r="D1119">
        <v>1.69</v>
      </c>
      <c r="E1119">
        <v>2.2200000000000002</v>
      </c>
      <c r="F1119" t="s">
        <v>9</v>
      </c>
    </row>
    <row r="1120" spans="2:6" x14ac:dyDescent="0.25">
      <c r="B1120" t="s">
        <v>144</v>
      </c>
      <c r="C1120" t="s">
        <v>145</v>
      </c>
      <c r="D1120">
        <v>1.68</v>
      </c>
      <c r="E1120">
        <v>2.23</v>
      </c>
      <c r="F1120" t="s">
        <v>9</v>
      </c>
    </row>
    <row r="1121" spans="2:6" x14ac:dyDescent="0.25">
      <c r="B1121" t="s">
        <v>144</v>
      </c>
      <c r="C1121" t="s">
        <v>145</v>
      </c>
      <c r="D1121">
        <v>1.68</v>
      </c>
      <c r="E1121">
        <v>2.23</v>
      </c>
      <c r="F1121" t="s">
        <v>9</v>
      </c>
    </row>
    <row r="1122" spans="2:6" x14ac:dyDescent="0.25">
      <c r="B1122" t="s">
        <v>144</v>
      </c>
      <c r="C1122" t="s">
        <v>145</v>
      </c>
      <c r="D1122">
        <v>1.68</v>
      </c>
      <c r="E1122">
        <v>2.23</v>
      </c>
      <c r="F1122" t="s">
        <v>9</v>
      </c>
    </row>
    <row r="1123" spans="2:6" x14ac:dyDescent="0.25">
      <c r="B1123" t="s">
        <v>144</v>
      </c>
      <c r="C1123" t="s">
        <v>145</v>
      </c>
      <c r="D1123">
        <v>1.69</v>
      </c>
      <c r="E1123">
        <v>2.25</v>
      </c>
      <c r="F1123" t="s">
        <v>9</v>
      </c>
    </row>
    <row r="1124" spans="2:6" x14ac:dyDescent="0.25">
      <c r="B1124" t="s">
        <v>144</v>
      </c>
      <c r="C1124" t="s">
        <v>145</v>
      </c>
      <c r="D1124">
        <v>1.69</v>
      </c>
      <c r="E1124">
        <v>2.2000000000000002</v>
      </c>
      <c r="F1124" t="s">
        <v>9</v>
      </c>
    </row>
    <row r="1125" spans="2:6" x14ac:dyDescent="0.25">
      <c r="B1125" t="s">
        <v>144</v>
      </c>
      <c r="C1125" t="s">
        <v>145</v>
      </c>
      <c r="D1125">
        <v>1.71</v>
      </c>
      <c r="E1125">
        <v>2.15</v>
      </c>
      <c r="F1125" t="s">
        <v>9</v>
      </c>
    </row>
    <row r="1126" spans="2:6" x14ac:dyDescent="0.25">
      <c r="B1126" t="s">
        <v>144</v>
      </c>
      <c r="C1126" t="s">
        <v>145</v>
      </c>
      <c r="D1126">
        <v>1.69</v>
      </c>
      <c r="E1126">
        <v>2.25</v>
      </c>
      <c r="F1126" t="s">
        <v>9</v>
      </c>
    </row>
    <row r="1127" spans="2:6" x14ac:dyDescent="0.25">
      <c r="B1127" t="s">
        <v>144</v>
      </c>
      <c r="C1127" t="s">
        <v>145</v>
      </c>
      <c r="D1127">
        <v>1.69</v>
      </c>
      <c r="E1127">
        <v>2.25</v>
      </c>
      <c r="F1127" t="s">
        <v>9</v>
      </c>
    </row>
    <row r="1128" spans="2:6" x14ac:dyDescent="0.25">
      <c r="B1128"/>
    </row>
    <row r="1129" spans="2:6" x14ac:dyDescent="0.25">
      <c r="B1129"/>
    </row>
    <row r="1130" spans="2:6" x14ac:dyDescent="0.25">
      <c r="B1130"/>
    </row>
    <row r="1131" spans="2:6" x14ac:dyDescent="0.25">
      <c r="B1131"/>
    </row>
    <row r="1132" spans="2:6" x14ac:dyDescent="0.25">
      <c r="B1132"/>
    </row>
    <row r="1133" spans="2:6" x14ac:dyDescent="0.25">
      <c r="B1133"/>
    </row>
    <row r="1134" spans="2:6" x14ac:dyDescent="0.25">
      <c r="B1134"/>
    </row>
    <row r="1135" spans="2:6" x14ac:dyDescent="0.25">
      <c r="B1135"/>
    </row>
    <row r="1136" spans="2:6" x14ac:dyDescent="0.25">
      <c r="B1136"/>
    </row>
    <row r="1137" spans="2:2" x14ac:dyDescent="0.25">
      <c r="B1137"/>
    </row>
    <row r="1138" spans="2:2" x14ac:dyDescent="0.25">
      <c r="B1138"/>
    </row>
    <row r="1139" spans="2:2" x14ac:dyDescent="0.25">
      <c r="B1139"/>
    </row>
    <row r="1140" spans="2:2" x14ac:dyDescent="0.25">
      <c r="B1140"/>
    </row>
    <row r="1141" spans="2:2" x14ac:dyDescent="0.25">
      <c r="B1141"/>
    </row>
    <row r="1142" spans="2:2" x14ac:dyDescent="0.25">
      <c r="B1142"/>
    </row>
    <row r="1143" spans="2:2" x14ac:dyDescent="0.25">
      <c r="B1143"/>
    </row>
    <row r="1144" spans="2:2" x14ac:dyDescent="0.25">
      <c r="B1144"/>
    </row>
    <row r="1145" spans="2:2" x14ac:dyDescent="0.25">
      <c r="B1145"/>
    </row>
    <row r="1146" spans="2:2" x14ac:dyDescent="0.25">
      <c r="B1146"/>
    </row>
    <row r="1147" spans="2:2" x14ac:dyDescent="0.25">
      <c r="B1147"/>
    </row>
    <row r="1148" spans="2:2" x14ac:dyDescent="0.25">
      <c r="B1148"/>
    </row>
    <row r="1149" spans="2:2" x14ac:dyDescent="0.25">
      <c r="B1149"/>
    </row>
    <row r="1150" spans="2:2" x14ac:dyDescent="0.25">
      <c r="B1150"/>
    </row>
    <row r="1151" spans="2:2" x14ac:dyDescent="0.25">
      <c r="B1151"/>
    </row>
    <row r="1152" spans="2:2" x14ac:dyDescent="0.25">
      <c r="B1152"/>
    </row>
    <row r="1153" spans="2:2" x14ac:dyDescent="0.25">
      <c r="B1153"/>
    </row>
    <row r="1154" spans="2:2" x14ac:dyDescent="0.25">
      <c r="B1154"/>
    </row>
    <row r="1155" spans="2:2" x14ac:dyDescent="0.25">
      <c r="B1155"/>
    </row>
    <row r="1156" spans="2:2" x14ac:dyDescent="0.25">
      <c r="B1156"/>
    </row>
    <row r="1157" spans="2:2" x14ac:dyDescent="0.25">
      <c r="B1157"/>
    </row>
    <row r="1158" spans="2:2" x14ac:dyDescent="0.25">
      <c r="B1158"/>
    </row>
    <row r="1159" spans="2:2" x14ac:dyDescent="0.25">
      <c r="B1159"/>
    </row>
    <row r="1160" spans="2:2" x14ac:dyDescent="0.25">
      <c r="B1160"/>
    </row>
    <row r="1161" spans="2:2" x14ac:dyDescent="0.25">
      <c r="B1161"/>
    </row>
    <row r="1162" spans="2:2" x14ac:dyDescent="0.25">
      <c r="B1162"/>
    </row>
    <row r="1163" spans="2:2" x14ac:dyDescent="0.25">
      <c r="B1163"/>
    </row>
    <row r="1164" spans="2:2" x14ac:dyDescent="0.25">
      <c r="B1164"/>
    </row>
    <row r="1165" spans="2:2" x14ac:dyDescent="0.25">
      <c r="B1165"/>
    </row>
    <row r="1166" spans="2:2" x14ac:dyDescent="0.25">
      <c r="B1166"/>
    </row>
    <row r="1167" spans="2:2" x14ac:dyDescent="0.25">
      <c r="B1167"/>
    </row>
    <row r="1168" spans="2:2" x14ac:dyDescent="0.25">
      <c r="B1168"/>
    </row>
    <row r="1169" spans="2:2" x14ac:dyDescent="0.25">
      <c r="B1169"/>
    </row>
    <row r="1170" spans="2:2" x14ac:dyDescent="0.25">
      <c r="B1170"/>
    </row>
    <row r="1171" spans="2:2" x14ac:dyDescent="0.25">
      <c r="B1171"/>
    </row>
    <row r="1172" spans="2:2" x14ac:dyDescent="0.25">
      <c r="B1172"/>
    </row>
    <row r="1173" spans="2:2" x14ac:dyDescent="0.25">
      <c r="B1173"/>
    </row>
    <row r="1174" spans="2:2" x14ac:dyDescent="0.25">
      <c r="B1174"/>
    </row>
    <row r="1175" spans="2:2" x14ac:dyDescent="0.25">
      <c r="B1175"/>
    </row>
    <row r="1176" spans="2:2" x14ac:dyDescent="0.25">
      <c r="B1176"/>
    </row>
    <row r="1177" spans="2:2" x14ac:dyDescent="0.25">
      <c r="B1177"/>
    </row>
    <row r="1178" spans="2:2" x14ac:dyDescent="0.25">
      <c r="B1178"/>
    </row>
    <row r="1179" spans="2:2" x14ac:dyDescent="0.25">
      <c r="B1179"/>
    </row>
    <row r="1180" spans="2:2" x14ac:dyDescent="0.25">
      <c r="B1180"/>
    </row>
    <row r="1181" spans="2:2" x14ac:dyDescent="0.25">
      <c r="B1181"/>
    </row>
    <row r="1182" spans="2:2" x14ac:dyDescent="0.25">
      <c r="B1182"/>
    </row>
    <row r="1183" spans="2:2" x14ac:dyDescent="0.25">
      <c r="B1183"/>
    </row>
    <row r="1184" spans="2:2" x14ac:dyDescent="0.25">
      <c r="B1184"/>
    </row>
    <row r="1185" spans="2:2" x14ac:dyDescent="0.25">
      <c r="B1185"/>
    </row>
    <row r="1186" spans="2:2" x14ac:dyDescent="0.25">
      <c r="B1186"/>
    </row>
    <row r="1187" spans="2:2" x14ac:dyDescent="0.25">
      <c r="B1187"/>
    </row>
    <row r="1188" spans="2:2" x14ac:dyDescent="0.25">
      <c r="B1188"/>
    </row>
    <row r="1189" spans="2:2" x14ac:dyDescent="0.25">
      <c r="B1189"/>
    </row>
    <row r="1190" spans="2:2" x14ac:dyDescent="0.25">
      <c r="B1190"/>
    </row>
    <row r="1191" spans="2:2" x14ac:dyDescent="0.25">
      <c r="B1191"/>
    </row>
    <row r="1192" spans="2:2" x14ac:dyDescent="0.25">
      <c r="B1192"/>
    </row>
    <row r="1193" spans="2:2" x14ac:dyDescent="0.25">
      <c r="B1193"/>
    </row>
    <row r="1194" spans="2:2" x14ac:dyDescent="0.25">
      <c r="B1194"/>
    </row>
    <row r="1195" spans="2:2" x14ac:dyDescent="0.25">
      <c r="B1195"/>
    </row>
    <row r="1196" spans="2:2" x14ac:dyDescent="0.25">
      <c r="B1196"/>
    </row>
    <row r="1197" spans="2:2" x14ac:dyDescent="0.25">
      <c r="B1197"/>
    </row>
    <row r="1198" spans="2:2" x14ac:dyDescent="0.25">
      <c r="B1198"/>
    </row>
    <row r="1199" spans="2:2" x14ac:dyDescent="0.25">
      <c r="B1199"/>
    </row>
    <row r="1200" spans="2:2" x14ac:dyDescent="0.25">
      <c r="B1200"/>
    </row>
    <row r="1201" spans="2:2" x14ac:dyDescent="0.25">
      <c r="B1201"/>
    </row>
    <row r="1202" spans="2:2" x14ac:dyDescent="0.25">
      <c r="B1202"/>
    </row>
    <row r="1203" spans="2:2" x14ac:dyDescent="0.25">
      <c r="B1203"/>
    </row>
    <row r="1204" spans="2:2" x14ac:dyDescent="0.25">
      <c r="B1204"/>
    </row>
    <row r="1205" spans="2:2" x14ac:dyDescent="0.25">
      <c r="B1205"/>
    </row>
    <row r="1206" spans="2:2" x14ac:dyDescent="0.25">
      <c r="B1206"/>
    </row>
    <row r="1207" spans="2:2" x14ac:dyDescent="0.25">
      <c r="B1207"/>
    </row>
    <row r="1208" spans="2:2" x14ac:dyDescent="0.25">
      <c r="B1208"/>
    </row>
    <row r="1209" spans="2:2" x14ac:dyDescent="0.25">
      <c r="B1209"/>
    </row>
    <row r="1210" spans="2:2" x14ac:dyDescent="0.25">
      <c r="B1210"/>
    </row>
    <row r="1211" spans="2:2" x14ac:dyDescent="0.25">
      <c r="B1211"/>
    </row>
    <row r="1212" spans="2:2" x14ac:dyDescent="0.25">
      <c r="B1212"/>
    </row>
    <row r="1213" spans="2:2" x14ac:dyDescent="0.25">
      <c r="B1213"/>
    </row>
    <row r="1214" spans="2:2" x14ac:dyDescent="0.25">
      <c r="B1214"/>
    </row>
    <row r="1215" spans="2:2" x14ac:dyDescent="0.25">
      <c r="B1215"/>
    </row>
    <row r="1216" spans="2:2" x14ac:dyDescent="0.25">
      <c r="B1216"/>
    </row>
    <row r="1217" spans="2:2" x14ac:dyDescent="0.25">
      <c r="B1217"/>
    </row>
    <row r="1218" spans="2:2" x14ac:dyDescent="0.25">
      <c r="B1218"/>
    </row>
    <row r="1219" spans="2:2" x14ac:dyDescent="0.25">
      <c r="B1219"/>
    </row>
    <row r="1220" spans="2:2" x14ac:dyDescent="0.25">
      <c r="B1220"/>
    </row>
    <row r="1221" spans="2:2" x14ac:dyDescent="0.25">
      <c r="B1221"/>
    </row>
    <row r="1222" spans="2:2" x14ac:dyDescent="0.25">
      <c r="B1222"/>
    </row>
    <row r="1223" spans="2:2" x14ac:dyDescent="0.25">
      <c r="B1223"/>
    </row>
    <row r="1224" spans="2:2" x14ac:dyDescent="0.25">
      <c r="B1224"/>
    </row>
    <row r="1225" spans="2:2" x14ac:dyDescent="0.25">
      <c r="B1225"/>
    </row>
    <row r="1226" spans="2:2" x14ac:dyDescent="0.25">
      <c r="B1226"/>
    </row>
    <row r="1227" spans="2:2" x14ac:dyDescent="0.25">
      <c r="B1227"/>
    </row>
    <row r="1228" spans="2:2" x14ac:dyDescent="0.25">
      <c r="B1228"/>
    </row>
    <row r="1229" spans="2:2" x14ac:dyDescent="0.25">
      <c r="B1229"/>
    </row>
    <row r="1230" spans="2:2" x14ac:dyDescent="0.25">
      <c r="B1230"/>
    </row>
    <row r="1231" spans="2:2" x14ac:dyDescent="0.25">
      <c r="B1231"/>
    </row>
    <row r="1232" spans="2:2" x14ac:dyDescent="0.25">
      <c r="B1232"/>
    </row>
    <row r="1233" spans="2:2" x14ac:dyDescent="0.25">
      <c r="B1233"/>
    </row>
    <row r="1234" spans="2:2" x14ac:dyDescent="0.25">
      <c r="B1234"/>
    </row>
    <row r="1235" spans="2:2" x14ac:dyDescent="0.25">
      <c r="B1235"/>
    </row>
    <row r="1236" spans="2:2" x14ac:dyDescent="0.25">
      <c r="B1236"/>
    </row>
    <row r="1237" spans="2:2" x14ac:dyDescent="0.25">
      <c r="B1237"/>
    </row>
    <row r="1238" spans="2:2" x14ac:dyDescent="0.25">
      <c r="B1238"/>
    </row>
    <row r="1239" spans="2:2" x14ac:dyDescent="0.25">
      <c r="B1239"/>
    </row>
    <row r="1240" spans="2:2" x14ac:dyDescent="0.25">
      <c r="B1240"/>
    </row>
    <row r="1241" spans="2:2" x14ac:dyDescent="0.25">
      <c r="B1241"/>
    </row>
    <row r="1242" spans="2:2" x14ac:dyDescent="0.25">
      <c r="B1242"/>
    </row>
    <row r="1243" spans="2:2" x14ac:dyDescent="0.25">
      <c r="B1243"/>
    </row>
    <row r="1244" spans="2:2" x14ac:dyDescent="0.25">
      <c r="B1244"/>
    </row>
    <row r="1245" spans="2:2" x14ac:dyDescent="0.25">
      <c r="B1245"/>
    </row>
    <row r="1246" spans="2:2" x14ac:dyDescent="0.25">
      <c r="B1246"/>
    </row>
    <row r="1247" spans="2:2" x14ac:dyDescent="0.25">
      <c r="B1247"/>
    </row>
    <row r="1248" spans="2:2" x14ac:dyDescent="0.25">
      <c r="B1248"/>
    </row>
    <row r="1249" spans="2:2" x14ac:dyDescent="0.25">
      <c r="B1249"/>
    </row>
    <row r="1250" spans="2:2" x14ac:dyDescent="0.25">
      <c r="B1250"/>
    </row>
    <row r="1251" spans="2:2" x14ac:dyDescent="0.25">
      <c r="B1251"/>
    </row>
    <row r="1252" spans="2:2" x14ac:dyDescent="0.25">
      <c r="B1252"/>
    </row>
    <row r="1253" spans="2:2" x14ac:dyDescent="0.25">
      <c r="B1253"/>
    </row>
    <row r="1254" spans="2:2" x14ac:dyDescent="0.25">
      <c r="B1254"/>
    </row>
    <row r="1255" spans="2:2" x14ac:dyDescent="0.25">
      <c r="B1255"/>
    </row>
    <row r="1256" spans="2:2" x14ac:dyDescent="0.25">
      <c r="B1256"/>
    </row>
    <row r="1257" spans="2:2" x14ac:dyDescent="0.25">
      <c r="B1257"/>
    </row>
    <row r="1258" spans="2:2" x14ac:dyDescent="0.25">
      <c r="B1258"/>
    </row>
    <row r="1259" spans="2:2" x14ac:dyDescent="0.25">
      <c r="B1259"/>
    </row>
    <row r="1260" spans="2:2" x14ac:dyDescent="0.25">
      <c r="B1260"/>
    </row>
    <row r="1261" spans="2:2" x14ac:dyDescent="0.25">
      <c r="B1261"/>
    </row>
    <row r="1262" spans="2:2" x14ac:dyDescent="0.25">
      <c r="B1262"/>
    </row>
    <row r="1263" spans="2:2" x14ac:dyDescent="0.25">
      <c r="B1263"/>
    </row>
    <row r="1264" spans="2:2" x14ac:dyDescent="0.25">
      <c r="B1264"/>
    </row>
    <row r="1265" spans="2:2" x14ac:dyDescent="0.25">
      <c r="B1265"/>
    </row>
    <row r="1266" spans="2:2" x14ac:dyDescent="0.25">
      <c r="B1266"/>
    </row>
    <row r="1267" spans="2:2" x14ac:dyDescent="0.25">
      <c r="B1267"/>
    </row>
    <row r="1268" spans="2:2" x14ac:dyDescent="0.25">
      <c r="B1268"/>
    </row>
    <row r="1269" spans="2:2" x14ac:dyDescent="0.25">
      <c r="B1269"/>
    </row>
    <row r="1270" spans="2:2" x14ac:dyDescent="0.25">
      <c r="B1270"/>
    </row>
    <row r="1271" spans="2:2" x14ac:dyDescent="0.25">
      <c r="B1271"/>
    </row>
    <row r="1272" spans="2:2" x14ac:dyDescent="0.25">
      <c r="B1272"/>
    </row>
    <row r="1273" spans="2:2" x14ac:dyDescent="0.25">
      <c r="B1273"/>
    </row>
    <row r="1274" spans="2:2" x14ac:dyDescent="0.25">
      <c r="B1274"/>
    </row>
    <row r="1275" spans="2:2" x14ac:dyDescent="0.25">
      <c r="B1275"/>
    </row>
    <row r="1276" spans="2:2" x14ac:dyDescent="0.25">
      <c r="B1276"/>
    </row>
    <row r="1277" spans="2:2" x14ac:dyDescent="0.25">
      <c r="B1277"/>
    </row>
    <row r="1278" spans="2:2" x14ac:dyDescent="0.25">
      <c r="B1278"/>
    </row>
    <row r="1279" spans="2:2" x14ac:dyDescent="0.25">
      <c r="B1279"/>
    </row>
    <row r="1280" spans="2:2" x14ac:dyDescent="0.25">
      <c r="B1280"/>
    </row>
    <row r="1281" spans="2:2" x14ac:dyDescent="0.25">
      <c r="B1281"/>
    </row>
    <row r="1282" spans="2:2" x14ac:dyDescent="0.25">
      <c r="B1282"/>
    </row>
    <row r="1283" spans="2:2" x14ac:dyDescent="0.25">
      <c r="B1283"/>
    </row>
    <row r="1284" spans="2:2" x14ac:dyDescent="0.25">
      <c r="B1284"/>
    </row>
    <row r="1285" spans="2:2" x14ac:dyDescent="0.25">
      <c r="B1285"/>
    </row>
    <row r="1286" spans="2:2" x14ac:dyDescent="0.25">
      <c r="B1286"/>
    </row>
    <row r="1287" spans="2:2" x14ac:dyDescent="0.25">
      <c r="B1287"/>
    </row>
    <row r="1288" spans="2:2" x14ac:dyDescent="0.25">
      <c r="B1288"/>
    </row>
    <row r="1289" spans="2:2" x14ac:dyDescent="0.25">
      <c r="B1289"/>
    </row>
    <row r="1290" spans="2:2" x14ac:dyDescent="0.25">
      <c r="B1290"/>
    </row>
    <row r="1291" spans="2:2" x14ac:dyDescent="0.25">
      <c r="B1291"/>
    </row>
    <row r="1292" spans="2:2" x14ac:dyDescent="0.25">
      <c r="B1292"/>
    </row>
    <row r="1293" spans="2:2" x14ac:dyDescent="0.25">
      <c r="B1293"/>
    </row>
    <row r="1294" spans="2:2" x14ac:dyDescent="0.25">
      <c r="B1294"/>
    </row>
    <row r="1295" spans="2:2" x14ac:dyDescent="0.25">
      <c r="B1295"/>
    </row>
    <row r="1296" spans="2:2" x14ac:dyDescent="0.25">
      <c r="B1296"/>
    </row>
    <row r="1297" spans="2:2" x14ac:dyDescent="0.25">
      <c r="B1297"/>
    </row>
    <row r="1298" spans="2:2" x14ac:dyDescent="0.25">
      <c r="B1298"/>
    </row>
    <row r="1299" spans="2:2" x14ac:dyDescent="0.25">
      <c r="B1299"/>
    </row>
    <row r="1300" spans="2:2" x14ac:dyDescent="0.25">
      <c r="B1300"/>
    </row>
    <row r="1301" spans="2:2" x14ac:dyDescent="0.25">
      <c r="B1301"/>
    </row>
    <row r="1302" spans="2:2" x14ac:dyDescent="0.25">
      <c r="B1302"/>
    </row>
    <row r="1303" spans="2:2" x14ac:dyDescent="0.25">
      <c r="B1303"/>
    </row>
    <row r="1304" spans="2:2" x14ac:dyDescent="0.25">
      <c r="B1304"/>
    </row>
    <row r="1305" spans="2:2" x14ac:dyDescent="0.25">
      <c r="B1305"/>
    </row>
    <row r="1306" spans="2:2" x14ac:dyDescent="0.25">
      <c r="B1306"/>
    </row>
    <row r="1307" spans="2:2" x14ac:dyDescent="0.25">
      <c r="B1307"/>
    </row>
    <row r="1308" spans="2:2" x14ac:dyDescent="0.25">
      <c r="B1308"/>
    </row>
    <row r="1309" spans="2:2" x14ac:dyDescent="0.25">
      <c r="B1309"/>
    </row>
    <row r="1310" spans="2:2" x14ac:dyDescent="0.25">
      <c r="B1310"/>
    </row>
    <row r="1311" spans="2:2" x14ac:dyDescent="0.25">
      <c r="B1311"/>
    </row>
    <row r="1312" spans="2:2" x14ac:dyDescent="0.25">
      <c r="B1312"/>
    </row>
    <row r="1313" spans="2:2" x14ac:dyDescent="0.25">
      <c r="B1313"/>
    </row>
    <row r="1314" spans="2:2" x14ac:dyDescent="0.25">
      <c r="B1314"/>
    </row>
    <row r="1315" spans="2:2" x14ac:dyDescent="0.25">
      <c r="B1315"/>
    </row>
    <row r="1316" spans="2:2" x14ac:dyDescent="0.25">
      <c r="B1316"/>
    </row>
    <row r="1317" spans="2:2" x14ac:dyDescent="0.25">
      <c r="B1317"/>
    </row>
    <row r="1318" spans="2:2" x14ac:dyDescent="0.25">
      <c r="B1318"/>
    </row>
    <row r="1319" spans="2:2" x14ac:dyDescent="0.25">
      <c r="B1319"/>
    </row>
    <row r="1320" spans="2:2" x14ac:dyDescent="0.25">
      <c r="B1320"/>
    </row>
    <row r="1321" spans="2:2" x14ac:dyDescent="0.25">
      <c r="B1321"/>
    </row>
    <row r="1322" spans="2:2" x14ac:dyDescent="0.25">
      <c r="B1322"/>
    </row>
    <row r="1323" spans="2:2" x14ac:dyDescent="0.25">
      <c r="B1323"/>
    </row>
    <row r="1324" spans="2:2" x14ac:dyDescent="0.25">
      <c r="B1324"/>
    </row>
    <row r="1325" spans="2:2" x14ac:dyDescent="0.25">
      <c r="B1325"/>
    </row>
    <row r="1326" spans="2:2" x14ac:dyDescent="0.25">
      <c r="B1326"/>
    </row>
    <row r="1327" spans="2:2" x14ac:dyDescent="0.25">
      <c r="B1327"/>
    </row>
    <row r="1328" spans="2:2" x14ac:dyDescent="0.25">
      <c r="B1328"/>
    </row>
    <row r="1329" spans="2:2" x14ac:dyDescent="0.25">
      <c r="B1329"/>
    </row>
    <row r="1330" spans="2:2" x14ac:dyDescent="0.25">
      <c r="B1330"/>
    </row>
    <row r="1331" spans="2:2" x14ac:dyDescent="0.25">
      <c r="B1331"/>
    </row>
    <row r="1332" spans="2:2" x14ac:dyDescent="0.25">
      <c r="B1332"/>
    </row>
    <row r="1333" spans="2:2" x14ac:dyDescent="0.25">
      <c r="B1333"/>
    </row>
    <row r="1334" spans="2:2" x14ac:dyDescent="0.25">
      <c r="B1334"/>
    </row>
    <row r="1335" spans="2:2" x14ac:dyDescent="0.25">
      <c r="B1335"/>
    </row>
    <row r="1336" spans="2:2" x14ac:dyDescent="0.25">
      <c r="B1336"/>
    </row>
    <row r="1337" spans="2:2" x14ac:dyDescent="0.25">
      <c r="B1337"/>
    </row>
    <row r="1338" spans="2:2" x14ac:dyDescent="0.25">
      <c r="B1338"/>
    </row>
    <row r="1339" spans="2:2" x14ac:dyDescent="0.25">
      <c r="B1339"/>
    </row>
    <row r="1340" spans="2:2" x14ac:dyDescent="0.25">
      <c r="B1340"/>
    </row>
    <row r="1341" spans="2:2" x14ac:dyDescent="0.25">
      <c r="B1341"/>
    </row>
    <row r="1342" spans="2:2" x14ac:dyDescent="0.25">
      <c r="B1342"/>
    </row>
    <row r="1343" spans="2:2" x14ac:dyDescent="0.25">
      <c r="B1343"/>
    </row>
    <row r="1344" spans="2:2" x14ac:dyDescent="0.25">
      <c r="B1344"/>
    </row>
    <row r="1345" spans="2:2" x14ac:dyDescent="0.25">
      <c r="B1345"/>
    </row>
    <row r="1346" spans="2:2" x14ac:dyDescent="0.25">
      <c r="B1346"/>
    </row>
    <row r="1347" spans="2:2" x14ac:dyDescent="0.25">
      <c r="B1347"/>
    </row>
    <row r="1348" spans="2:2" x14ac:dyDescent="0.25">
      <c r="B1348"/>
    </row>
    <row r="1349" spans="2:2" x14ac:dyDescent="0.25">
      <c r="B1349"/>
    </row>
    <row r="1350" spans="2:2" x14ac:dyDescent="0.25">
      <c r="B1350"/>
    </row>
    <row r="1351" spans="2:2" x14ac:dyDescent="0.25">
      <c r="B1351"/>
    </row>
    <row r="1352" spans="2:2" x14ac:dyDescent="0.25">
      <c r="B1352"/>
    </row>
    <row r="1353" spans="2:2" x14ac:dyDescent="0.25">
      <c r="B1353"/>
    </row>
    <row r="1354" spans="2:2" x14ac:dyDescent="0.25">
      <c r="B1354"/>
    </row>
    <row r="1355" spans="2:2" x14ac:dyDescent="0.25">
      <c r="B1355"/>
    </row>
    <row r="1356" spans="2:2" x14ac:dyDescent="0.25">
      <c r="B1356"/>
    </row>
    <row r="1357" spans="2:2" x14ac:dyDescent="0.25">
      <c r="B1357"/>
    </row>
    <row r="1358" spans="2:2" x14ac:dyDescent="0.25">
      <c r="B1358"/>
    </row>
    <row r="1359" spans="2:2" x14ac:dyDescent="0.25">
      <c r="B1359"/>
    </row>
    <row r="1360" spans="2:2" x14ac:dyDescent="0.25">
      <c r="B1360"/>
    </row>
    <row r="1361" spans="2:2" x14ac:dyDescent="0.25">
      <c r="B1361"/>
    </row>
    <row r="1362" spans="2:2" x14ac:dyDescent="0.25">
      <c r="B1362"/>
    </row>
    <row r="1363" spans="2:2" x14ac:dyDescent="0.25">
      <c r="B1363"/>
    </row>
    <row r="1364" spans="2:2" x14ac:dyDescent="0.25">
      <c r="B1364"/>
    </row>
    <row r="1365" spans="2:2" x14ac:dyDescent="0.25">
      <c r="B1365"/>
    </row>
    <row r="1366" spans="2:2" x14ac:dyDescent="0.25">
      <c r="B1366"/>
    </row>
    <row r="1367" spans="2:2" x14ac:dyDescent="0.25">
      <c r="B1367"/>
    </row>
    <row r="1368" spans="2:2" x14ac:dyDescent="0.25">
      <c r="B1368"/>
    </row>
    <row r="1369" spans="2:2" x14ac:dyDescent="0.25">
      <c r="B1369"/>
    </row>
    <row r="1370" spans="2:2" x14ac:dyDescent="0.25">
      <c r="B1370"/>
    </row>
    <row r="1371" spans="2:2" x14ac:dyDescent="0.25">
      <c r="B1371"/>
    </row>
    <row r="1372" spans="2:2" x14ac:dyDescent="0.25">
      <c r="B1372"/>
    </row>
    <row r="1373" spans="2:2" x14ac:dyDescent="0.25">
      <c r="B1373"/>
    </row>
    <row r="1374" spans="2:2" x14ac:dyDescent="0.25">
      <c r="B1374"/>
    </row>
    <row r="1375" spans="2:2" x14ac:dyDescent="0.25">
      <c r="B1375"/>
    </row>
    <row r="1376" spans="2:2" x14ac:dyDescent="0.25">
      <c r="B1376"/>
    </row>
    <row r="1377" spans="2:2" x14ac:dyDescent="0.25">
      <c r="B1377"/>
    </row>
    <row r="1378" spans="2:2" x14ac:dyDescent="0.25">
      <c r="B1378"/>
    </row>
    <row r="1379" spans="2:2" x14ac:dyDescent="0.25">
      <c r="B1379"/>
    </row>
    <row r="1380" spans="2:2" x14ac:dyDescent="0.25">
      <c r="B1380"/>
    </row>
    <row r="1381" spans="2:2" x14ac:dyDescent="0.25">
      <c r="B1381"/>
    </row>
    <row r="1382" spans="2:2" x14ac:dyDescent="0.25">
      <c r="B1382"/>
    </row>
    <row r="1383" spans="2:2" x14ac:dyDescent="0.25">
      <c r="B1383"/>
    </row>
    <row r="1384" spans="2:2" x14ac:dyDescent="0.25">
      <c r="B1384"/>
    </row>
    <row r="1385" spans="2:2" x14ac:dyDescent="0.25">
      <c r="B1385"/>
    </row>
    <row r="1386" spans="2:2" x14ac:dyDescent="0.25">
      <c r="B1386"/>
    </row>
    <row r="1387" spans="2:2" x14ac:dyDescent="0.25">
      <c r="B1387"/>
    </row>
    <row r="1388" spans="2:2" x14ac:dyDescent="0.25">
      <c r="B1388"/>
    </row>
    <row r="1389" spans="2:2" x14ac:dyDescent="0.25">
      <c r="B1389"/>
    </row>
    <row r="1390" spans="2:2" x14ac:dyDescent="0.25">
      <c r="B1390"/>
    </row>
    <row r="1391" spans="2:2" x14ac:dyDescent="0.25">
      <c r="B1391"/>
    </row>
    <row r="1392" spans="2:2" x14ac:dyDescent="0.25">
      <c r="B1392"/>
    </row>
    <row r="1393" spans="2:2" x14ac:dyDescent="0.25">
      <c r="B1393"/>
    </row>
    <row r="1394" spans="2:2" x14ac:dyDescent="0.25">
      <c r="B1394"/>
    </row>
    <row r="1395" spans="2:2" x14ac:dyDescent="0.25">
      <c r="B1395"/>
    </row>
    <row r="1396" spans="2:2" x14ac:dyDescent="0.25">
      <c r="B1396"/>
    </row>
    <row r="1397" spans="2:2" x14ac:dyDescent="0.25">
      <c r="B1397"/>
    </row>
    <row r="1398" spans="2:2" x14ac:dyDescent="0.25">
      <c r="B1398"/>
    </row>
    <row r="1399" spans="2:2" x14ac:dyDescent="0.25">
      <c r="B1399"/>
    </row>
    <row r="1400" spans="2:2" x14ac:dyDescent="0.25">
      <c r="B1400"/>
    </row>
    <row r="1401" spans="2:2" x14ac:dyDescent="0.25">
      <c r="B1401"/>
    </row>
    <row r="1402" spans="2:2" x14ac:dyDescent="0.25">
      <c r="B1402"/>
    </row>
    <row r="1403" spans="2:2" x14ac:dyDescent="0.25">
      <c r="B1403"/>
    </row>
    <row r="1404" spans="2:2" x14ac:dyDescent="0.25">
      <c r="B1404"/>
    </row>
    <row r="1405" spans="2:2" x14ac:dyDescent="0.25">
      <c r="B1405"/>
    </row>
    <row r="1406" spans="2:2" x14ac:dyDescent="0.25">
      <c r="B1406"/>
    </row>
    <row r="1407" spans="2:2" x14ac:dyDescent="0.25">
      <c r="B1407"/>
    </row>
    <row r="1408" spans="2:2" x14ac:dyDescent="0.25">
      <c r="B1408"/>
    </row>
    <row r="1409" spans="2:2" x14ac:dyDescent="0.25">
      <c r="B1409"/>
    </row>
    <row r="1410" spans="2:2" x14ac:dyDescent="0.25">
      <c r="B1410"/>
    </row>
    <row r="1411" spans="2:2" x14ac:dyDescent="0.25">
      <c r="B1411"/>
    </row>
    <row r="1412" spans="2:2" x14ac:dyDescent="0.25">
      <c r="B1412"/>
    </row>
    <row r="1413" spans="2:2" x14ac:dyDescent="0.25">
      <c r="B1413"/>
    </row>
    <row r="1414" spans="2:2" x14ac:dyDescent="0.25">
      <c r="B1414"/>
    </row>
    <row r="1415" spans="2:2" x14ac:dyDescent="0.25">
      <c r="B1415"/>
    </row>
    <row r="1416" spans="2:2" x14ac:dyDescent="0.25">
      <c r="B1416"/>
    </row>
    <row r="1417" spans="2:2" x14ac:dyDescent="0.25">
      <c r="B1417"/>
    </row>
    <row r="1418" spans="2:2" x14ac:dyDescent="0.25">
      <c r="B1418"/>
    </row>
    <row r="1419" spans="2:2" x14ac:dyDescent="0.25">
      <c r="B1419"/>
    </row>
    <row r="1420" spans="2:2" x14ac:dyDescent="0.25">
      <c r="B1420"/>
    </row>
    <row r="1421" spans="2:2" x14ac:dyDescent="0.25">
      <c r="B1421"/>
    </row>
    <row r="1422" spans="2:2" x14ac:dyDescent="0.25">
      <c r="B1422"/>
    </row>
    <row r="1423" spans="2:2" x14ac:dyDescent="0.25">
      <c r="B1423"/>
    </row>
    <row r="1424" spans="2:2" x14ac:dyDescent="0.25">
      <c r="B1424"/>
    </row>
    <row r="1425" spans="2:2" x14ac:dyDescent="0.25">
      <c r="B1425"/>
    </row>
    <row r="1426" spans="2:2" x14ac:dyDescent="0.25">
      <c r="B1426"/>
    </row>
    <row r="1427" spans="2:2" x14ac:dyDescent="0.25">
      <c r="B1427"/>
    </row>
    <row r="1428" spans="2:2" x14ac:dyDescent="0.25">
      <c r="B1428"/>
    </row>
    <row r="1429" spans="2:2" x14ac:dyDescent="0.25">
      <c r="B1429"/>
    </row>
    <row r="1430" spans="2:2" x14ac:dyDescent="0.25">
      <c r="B1430"/>
    </row>
    <row r="1431" spans="2:2" x14ac:dyDescent="0.25">
      <c r="B1431"/>
    </row>
    <row r="1432" spans="2:2" x14ac:dyDescent="0.25">
      <c r="B1432"/>
    </row>
    <row r="1433" spans="2:2" x14ac:dyDescent="0.25">
      <c r="B1433"/>
    </row>
    <row r="1434" spans="2:2" x14ac:dyDescent="0.25">
      <c r="B1434"/>
    </row>
    <row r="1435" spans="2:2" x14ac:dyDescent="0.25">
      <c r="B1435"/>
    </row>
    <row r="1436" spans="2:2" x14ac:dyDescent="0.25">
      <c r="B1436"/>
    </row>
    <row r="1437" spans="2:2" x14ac:dyDescent="0.25">
      <c r="B1437"/>
    </row>
    <row r="1438" spans="2:2" x14ac:dyDescent="0.25">
      <c r="B1438"/>
    </row>
    <row r="1439" spans="2:2" x14ac:dyDescent="0.25">
      <c r="B1439"/>
    </row>
    <row r="1440" spans="2:2" x14ac:dyDescent="0.25">
      <c r="B1440"/>
    </row>
    <row r="1441" spans="2:2" x14ac:dyDescent="0.25">
      <c r="B1441"/>
    </row>
    <row r="1442" spans="2:2" x14ac:dyDescent="0.25">
      <c r="B1442"/>
    </row>
    <row r="1443" spans="2:2" x14ac:dyDescent="0.25">
      <c r="B1443"/>
    </row>
    <row r="1444" spans="2:2" x14ac:dyDescent="0.25">
      <c r="B1444"/>
    </row>
    <row r="1445" spans="2:2" x14ac:dyDescent="0.25">
      <c r="B1445"/>
    </row>
    <row r="1446" spans="2:2" x14ac:dyDescent="0.25">
      <c r="B1446"/>
    </row>
    <row r="1447" spans="2:2" x14ac:dyDescent="0.25">
      <c r="B1447"/>
    </row>
    <row r="1448" spans="2:2" x14ac:dyDescent="0.25">
      <c r="B1448"/>
    </row>
    <row r="1449" spans="2:2" x14ac:dyDescent="0.25">
      <c r="B1449"/>
    </row>
    <row r="1450" spans="2:2" x14ac:dyDescent="0.25">
      <c r="B1450"/>
    </row>
    <row r="1451" spans="2:2" x14ac:dyDescent="0.25">
      <c r="B1451"/>
    </row>
    <row r="1452" spans="2:2" x14ac:dyDescent="0.25">
      <c r="B1452"/>
    </row>
    <row r="1453" spans="2:2" x14ac:dyDescent="0.25">
      <c r="B1453"/>
    </row>
    <row r="1454" spans="2:2" x14ac:dyDescent="0.25">
      <c r="B1454"/>
    </row>
    <row r="1455" spans="2:2" x14ac:dyDescent="0.25">
      <c r="B1455"/>
    </row>
    <row r="1456" spans="2:2" x14ac:dyDescent="0.25">
      <c r="B1456"/>
    </row>
    <row r="1457" spans="2:2" x14ac:dyDescent="0.25">
      <c r="B1457"/>
    </row>
    <row r="1458" spans="2:2" x14ac:dyDescent="0.25">
      <c r="B1458"/>
    </row>
    <row r="1459" spans="2:2" x14ac:dyDescent="0.25">
      <c r="B1459"/>
    </row>
    <row r="1460" spans="2:2" x14ac:dyDescent="0.25">
      <c r="B1460"/>
    </row>
    <row r="1461" spans="2:2" x14ac:dyDescent="0.25">
      <c r="B1461"/>
    </row>
    <row r="1462" spans="2:2" x14ac:dyDescent="0.25">
      <c r="B1462"/>
    </row>
    <row r="1463" spans="2:2" x14ac:dyDescent="0.25">
      <c r="B1463"/>
    </row>
    <row r="1464" spans="2:2" x14ac:dyDescent="0.25">
      <c r="B1464"/>
    </row>
    <row r="1465" spans="2:2" x14ac:dyDescent="0.25">
      <c r="B1465"/>
    </row>
  </sheetData>
  <sortState xmlns:xlrd2="http://schemas.microsoft.com/office/spreadsheetml/2017/richdata2" ref="B3:F1465">
    <sortCondition ref="C3:C1465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replaceText" altText="ReplaceSpaces">
                <anchor moveWithCells="1" sizeWithCells="1">
                  <from>
                    <xdr:col>10</xdr:col>
                    <xdr:colOff>47625</xdr:colOff>
                    <xdr:row>3</xdr:row>
                    <xdr:rowOff>95250</xdr:rowOff>
                  </from>
                  <to>
                    <xdr:col>10</xdr:col>
                    <xdr:colOff>914400</xdr:colOff>
                    <xdr:row>7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C32F02-5FE6-4395-B8D8-041217913683}">
  <sheetPr codeName="Sheet3"/>
  <dimension ref="A1:A35"/>
  <sheetViews>
    <sheetView workbookViewId="0">
      <pane ySplit="3900" topLeftCell="A22"/>
      <selection activeCell="A3" sqref="A3"/>
      <selection pane="bottomLeft" activeCell="E28" sqref="E28"/>
    </sheetView>
  </sheetViews>
  <sheetFormatPr defaultRowHeight="15" x14ac:dyDescent="0.25"/>
  <sheetData>
    <row r="1" spans="1:1" x14ac:dyDescent="0.25">
      <c r="A1" t="s">
        <v>4</v>
      </c>
    </row>
    <row r="2" spans="1:1" x14ac:dyDescent="0.25">
      <c r="A2" t="s">
        <v>146</v>
      </c>
    </row>
    <row r="3" spans="1:1" x14ac:dyDescent="0.25">
      <c r="A3" t="str">
        <f>currentData!F8&amp;","</f>
        <v>155,</v>
      </c>
    </row>
    <row r="4" spans="1:1" x14ac:dyDescent="0.25">
      <c r="A4" t="str">
        <f>currentData!F9&amp;","</f>
        <v>231,</v>
      </c>
    </row>
    <row r="5" spans="1:1" x14ac:dyDescent="0.25">
      <c r="A5" t="str">
        <f>currentData!F10&amp;","</f>
        <v>289,</v>
      </c>
    </row>
    <row r="6" spans="1:1" x14ac:dyDescent="0.25">
      <c r="A6" t="str">
        <f>currentData!F11&amp;","</f>
        <v>134,</v>
      </c>
    </row>
    <row r="7" spans="1:1" x14ac:dyDescent="0.25">
      <c r="A7" t="str">
        <f>currentData!F12&amp;","</f>
        <v>115,</v>
      </c>
    </row>
    <row r="8" spans="1:1" x14ac:dyDescent="0.25">
      <c r="A8" t="str">
        <f>currentData!F13&amp;","</f>
        <v>0,</v>
      </c>
    </row>
    <row r="9" spans="1:1" x14ac:dyDescent="0.25">
      <c r="A9" t="str">
        <f>currentData!F14&amp;","</f>
        <v>259,</v>
      </c>
    </row>
    <row r="10" spans="1:1" x14ac:dyDescent="0.25">
      <c r="A10" t="str">
        <f>currentData!F15&amp;","</f>
        <v>197,</v>
      </c>
    </row>
    <row r="11" spans="1:1" x14ac:dyDescent="0.25">
      <c r="A11" t="str">
        <f>currentData!F16&amp;","</f>
        <v>0,</v>
      </c>
    </row>
    <row r="12" spans="1:1" x14ac:dyDescent="0.25">
      <c r="A12" t="str">
        <f>currentData!F17&amp;","</f>
        <v>112,</v>
      </c>
    </row>
    <row r="13" spans="1:1" x14ac:dyDescent="0.25">
      <c r="A13" t="str">
        <f>currentData!F18&amp;","</f>
        <v>227,</v>
      </c>
    </row>
    <row r="14" spans="1:1" x14ac:dyDescent="0.25">
      <c r="A14" t="str">
        <f>currentData!F19&amp;","</f>
        <v>280,</v>
      </c>
    </row>
    <row r="15" spans="1:1" x14ac:dyDescent="0.25">
      <c r="A15" t="str">
        <f>currentData!F20&amp;","</f>
        <v>195,</v>
      </c>
    </row>
    <row r="16" spans="1:1" x14ac:dyDescent="0.25">
      <c r="A16" t="str">
        <f>currentData!F21&amp;","</f>
        <v>321,</v>
      </c>
    </row>
    <row r="17" spans="1:1" x14ac:dyDescent="0.25">
      <c r="A17" t="str">
        <f>currentData!F22&amp;","</f>
        <v>85,</v>
      </c>
    </row>
    <row r="18" spans="1:1" x14ac:dyDescent="0.25">
      <c r="A18" t="str">
        <f>currentData!F23&amp;","</f>
        <v>202,</v>
      </c>
    </row>
    <row r="19" spans="1:1" x14ac:dyDescent="0.25">
      <c r="A19" t="str">
        <f>currentData!F24&amp;","</f>
        <v>112,</v>
      </c>
    </row>
    <row r="20" spans="1:1" x14ac:dyDescent="0.25">
      <c r="A20" t="str">
        <f>currentData!F25&amp;","</f>
        <v>288,</v>
      </c>
    </row>
    <row r="21" spans="1:1" x14ac:dyDescent="0.25">
      <c r="A21" t="str">
        <f>currentData!F26&amp;","</f>
        <v>15,</v>
      </c>
    </row>
    <row r="22" spans="1:1" x14ac:dyDescent="0.25">
      <c r="A22" t="str">
        <f>currentData!F27&amp;","</f>
        <v>19,</v>
      </c>
    </row>
    <row r="23" spans="1:1" x14ac:dyDescent="0.25">
      <c r="A23" t="str">
        <f>currentData!F28&amp;","</f>
        <v>232,</v>
      </c>
    </row>
    <row r="24" spans="1:1" x14ac:dyDescent="0.25">
      <c r="A24" t="str">
        <f>currentData!F29&amp;","</f>
        <v>278,</v>
      </c>
    </row>
    <row r="25" spans="1:1" x14ac:dyDescent="0.25">
      <c r="A25" t="str">
        <f>currentData!F30&amp;","</f>
        <v>108,</v>
      </c>
    </row>
    <row r="26" spans="1:1" x14ac:dyDescent="0.25">
      <c r="A26" t="str">
        <f>currentData!F31&amp;","</f>
        <v>236,</v>
      </c>
    </row>
    <row r="27" spans="1:1" x14ac:dyDescent="0.25">
      <c r="A27" t="str">
        <f>currentData!F32&amp;","</f>
        <v>331,</v>
      </c>
    </row>
    <row r="28" spans="1:1" x14ac:dyDescent="0.25">
      <c r="A28" t="str">
        <f>currentData!F33&amp;","</f>
        <v>13,</v>
      </c>
    </row>
    <row r="29" spans="1:1" x14ac:dyDescent="0.25">
      <c r="A29" t="str">
        <f>currentData!F34&amp;","</f>
        <v>295,</v>
      </c>
    </row>
    <row r="30" spans="1:1" x14ac:dyDescent="0.25">
      <c r="A30" t="str">
        <f>currentData!F35&amp;","</f>
        <v>173,</v>
      </c>
    </row>
    <row r="31" spans="1:1" x14ac:dyDescent="0.25">
      <c r="A31" t="str">
        <f>currentData!F36&amp;","</f>
        <v>11,</v>
      </c>
    </row>
    <row r="32" spans="1:1" x14ac:dyDescent="0.25">
      <c r="A32" t="str">
        <f>currentData!F37&amp;","</f>
        <v>242,</v>
      </c>
    </row>
    <row r="33" spans="1:1" x14ac:dyDescent="0.25">
      <c r="A33" t="str">
        <f>currentData!F38&amp;","</f>
        <v>58,</v>
      </c>
    </row>
    <row r="34" spans="1:1" x14ac:dyDescent="0.25">
      <c r="A34" t="str">
        <f>currentData!F39&amp;"]"</f>
        <v>71]</v>
      </c>
    </row>
    <row r="35" spans="1:1" x14ac:dyDescent="0.25">
      <c r="A35" t="s">
        <v>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F14BEE-FA51-4A93-A611-70F01656D8CC}">
  <sheetPr codeName="Sheet6"/>
  <dimension ref="A1:A101"/>
  <sheetViews>
    <sheetView workbookViewId="0">
      <pane ySplit="3300" topLeftCell="A88"/>
      <selection activeCell="A3" sqref="A3"/>
      <selection pane="bottomLeft" activeCell="A91" sqref="A91"/>
    </sheetView>
  </sheetViews>
  <sheetFormatPr defaultRowHeight="15" x14ac:dyDescent="0.25"/>
  <cols>
    <col min="1" max="1" width="17" customWidth="1"/>
  </cols>
  <sheetData>
    <row r="1" spans="1:1" x14ac:dyDescent="0.25">
      <c r="A1" t="s">
        <v>4</v>
      </c>
    </row>
    <row r="2" spans="1:1" x14ac:dyDescent="0.25">
      <c r="A2" t="s">
        <v>34</v>
      </c>
    </row>
    <row r="3" spans="1:1" x14ac:dyDescent="0.25">
      <c r="A3" t="str">
        <f>oldData!H5&amp;","</f>
        <v>0,</v>
      </c>
    </row>
    <row r="4" spans="1:1" x14ac:dyDescent="0.25">
      <c r="A4" t="str">
        <f>oldData!H6&amp;","</f>
        <v>0,</v>
      </c>
    </row>
    <row r="5" spans="1:1" x14ac:dyDescent="0.25">
      <c r="A5" t="str">
        <f>oldData!H7&amp;","</f>
        <v>0,</v>
      </c>
    </row>
    <row r="6" spans="1:1" x14ac:dyDescent="0.25">
      <c r="A6" t="str">
        <f>oldData!H8&amp;","</f>
        <v>0,</v>
      </c>
    </row>
    <row r="7" spans="1:1" x14ac:dyDescent="0.25">
      <c r="A7" t="str">
        <f>oldData!H9&amp;","</f>
        <v>0,</v>
      </c>
    </row>
    <row r="8" spans="1:1" x14ac:dyDescent="0.25">
      <c r="A8" t="str">
        <f>oldData!H10&amp;","</f>
        <v>1,</v>
      </c>
    </row>
    <row r="9" spans="1:1" x14ac:dyDescent="0.25">
      <c r="A9" t="str">
        <f>oldData!H11&amp;","</f>
        <v>0,</v>
      </c>
    </row>
    <row r="10" spans="1:1" x14ac:dyDescent="0.25">
      <c r="A10" t="str">
        <f>oldData!H12&amp;","</f>
        <v>1,</v>
      </c>
    </row>
    <row r="11" spans="1:1" x14ac:dyDescent="0.25">
      <c r="A11" t="str">
        <f>oldData!H13&amp;","</f>
        <v>1,</v>
      </c>
    </row>
    <row r="12" spans="1:1" x14ac:dyDescent="0.25">
      <c r="A12" t="str">
        <f>oldData!H14&amp;","</f>
        <v>0,</v>
      </c>
    </row>
    <row r="13" spans="1:1" x14ac:dyDescent="0.25">
      <c r="A13" t="str">
        <f>oldData!H15&amp;","</f>
        <v>0,</v>
      </c>
    </row>
    <row r="14" spans="1:1" x14ac:dyDescent="0.25">
      <c r="A14" t="str">
        <f>oldData!H16&amp;","</f>
        <v>1,</v>
      </c>
    </row>
    <row r="15" spans="1:1" x14ac:dyDescent="0.25">
      <c r="A15" t="str">
        <f>oldData!H17&amp;","</f>
        <v>0,</v>
      </c>
    </row>
    <row r="16" spans="1:1" x14ac:dyDescent="0.25">
      <c r="A16" t="str">
        <f>oldData!H18&amp;","</f>
        <v>1,</v>
      </c>
    </row>
    <row r="17" spans="1:1" x14ac:dyDescent="0.25">
      <c r="A17" t="str">
        <f>oldData!H19&amp;","</f>
        <v>1,</v>
      </c>
    </row>
    <row r="18" spans="1:1" x14ac:dyDescent="0.25">
      <c r="A18" t="str">
        <f>oldData!H20&amp;","</f>
        <v>0,</v>
      </c>
    </row>
    <row r="19" spans="1:1" x14ac:dyDescent="0.25">
      <c r="A19" t="str">
        <f>oldData!H21&amp;","</f>
        <v>0,</v>
      </c>
    </row>
    <row r="20" spans="1:1" x14ac:dyDescent="0.25">
      <c r="A20" t="str">
        <f>oldData!H22&amp;","</f>
        <v>0,</v>
      </c>
    </row>
    <row r="21" spans="1:1" x14ac:dyDescent="0.25">
      <c r="A21" t="str">
        <f>oldData!H23&amp;","</f>
        <v>0,</v>
      </c>
    </row>
    <row r="22" spans="1:1" x14ac:dyDescent="0.25">
      <c r="A22" t="str">
        <f>oldData!H24&amp;","</f>
        <v>1,</v>
      </c>
    </row>
    <row r="23" spans="1:1" x14ac:dyDescent="0.25">
      <c r="A23" t="str">
        <f>oldData!H25&amp;","</f>
        <v>1,</v>
      </c>
    </row>
    <row r="24" spans="1:1" x14ac:dyDescent="0.25">
      <c r="A24" t="str">
        <f>oldData!H26&amp;","</f>
        <v>0,</v>
      </c>
    </row>
    <row r="25" spans="1:1" x14ac:dyDescent="0.25">
      <c r="A25" t="str">
        <f>oldData!H27&amp;","</f>
        <v>0,</v>
      </c>
    </row>
    <row r="26" spans="1:1" x14ac:dyDescent="0.25">
      <c r="A26" t="str">
        <f>oldData!H28&amp;","</f>
        <v>1,</v>
      </c>
    </row>
    <row r="27" spans="1:1" x14ac:dyDescent="0.25">
      <c r="A27" t="str">
        <f>oldData!H29&amp;","</f>
        <v>0,</v>
      </c>
    </row>
    <row r="28" spans="1:1" x14ac:dyDescent="0.25">
      <c r="A28" t="str">
        <f>oldData!H30&amp;","</f>
        <v>1,</v>
      </c>
    </row>
    <row r="29" spans="1:1" x14ac:dyDescent="0.25">
      <c r="A29" t="str">
        <f>oldData!H31&amp;","</f>
        <v>0,</v>
      </c>
    </row>
    <row r="30" spans="1:1" x14ac:dyDescent="0.25">
      <c r="A30" t="str">
        <f>oldData!H32&amp;","</f>
        <v>0,</v>
      </c>
    </row>
    <row r="31" spans="1:1" x14ac:dyDescent="0.25">
      <c r="A31" t="str">
        <f>oldData!H33&amp;","</f>
        <v>1,</v>
      </c>
    </row>
    <row r="32" spans="1:1" x14ac:dyDescent="0.25">
      <c r="A32" t="str">
        <f>oldData!H34&amp;","</f>
        <v>1,</v>
      </c>
    </row>
    <row r="33" spans="1:1" x14ac:dyDescent="0.25">
      <c r="A33" t="str">
        <f>oldData!H35&amp;","</f>
        <v>2,</v>
      </c>
    </row>
    <row r="34" spans="1:1" x14ac:dyDescent="0.25">
      <c r="A34" t="str">
        <f>oldData!H36&amp;"],"</f>
        <v>2],</v>
      </c>
    </row>
    <row r="35" spans="1:1" x14ac:dyDescent="0.25">
      <c r="A35" t="s">
        <v>36</v>
      </c>
    </row>
    <row r="36" spans="1:1" x14ac:dyDescent="0.25">
      <c r="A36" t="str">
        <f>currentData!$D8&amp;","</f>
        <v>"MMA:Hooper:Leavitt",</v>
      </c>
    </row>
    <row r="37" spans="1:1" x14ac:dyDescent="0.25">
      <c r="A37" t="str">
        <f>currentData!$D9&amp;","</f>
        <v>"MMA:Morales:Matthews",</v>
      </c>
    </row>
    <row r="38" spans="1:1" x14ac:dyDescent="0.25">
      <c r="A38" t="str">
        <f>currentData!$D10&amp;","</f>
        <v>"MMA:Allen:Craig",</v>
      </c>
    </row>
    <row r="39" spans="1:1" x14ac:dyDescent="0.25">
      <c r="A39" t="str">
        <f>currentData!$D11&amp;","</f>
        <v>"NCAAF:WashingtonState:Colorado",</v>
      </c>
    </row>
    <row r="40" spans="1:1" x14ac:dyDescent="0.25">
      <c r="A40" t="str">
        <f>currentData!$D12&amp;","</f>
        <v>"NCAAF:Indiana:MichiganState",</v>
      </c>
    </row>
    <row r="41" spans="1:1" x14ac:dyDescent="0.25">
      <c r="A41" t="str">
        <f>currentData!$D13&amp;","</f>
        <v>"NCAAF:Louisville:Miami",</v>
      </c>
    </row>
    <row r="42" spans="1:1" x14ac:dyDescent="0.25">
      <c r="A42" t="str">
        <f>currentData!$D14&amp;","</f>
        <v>"NCAAF:KansasState:Kansas",</v>
      </c>
    </row>
    <row r="43" spans="1:1" x14ac:dyDescent="0.25">
      <c r="A43" t="str">
        <f>currentData!$D15&amp;","</f>
        <v>"NCAAF:WestVirginia:Cincinnati",</v>
      </c>
    </row>
    <row r="44" spans="1:1" x14ac:dyDescent="0.25">
      <c r="A44" t="str">
        <f>currentData!$D16&amp;","</f>
        <v>"NCAAF:Utah:Arizona",</v>
      </c>
    </row>
    <row r="45" spans="1:1" x14ac:dyDescent="0.25">
      <c r="A45" t="str">
        <f>currentData!$D17&amp;","</f>
        <v>"NCAAF:Duke:Virginia",</v>
      </c>
    </row>
    <row r="46" spans="1:1" x14ac:dyDescent="0.25">
      <c r="A46" t="str">
        <f>currentData!$D18&amp;","</f>
        <v>"NCAAF:Clemson:NorthCarolina",</v>
      </c>
    </row>
    <row r="47" spans="1:1" x14ac:dyDescent="0.25">
      <c r="A47" t="str">
        <f>currentData!$D19&amp;","</f>
        <v>"NCAAF:Georgia:Tennessee",</v>
      </c>
    </row>
    <row r="48" spans="1:1" x14ac:dyDescent="0.25">
      <c r="A48" t="str">
        <f>currentData!$D20&amp;","</f>
        <v>"NCAAF:USC:UCLA",</v>
      </c>
    </row>
    <row r="49" spans="1:1" x14ac:dyDescent="0.25">
      <c r="A49" t="str">
        <f>currentData!$D21&amp;","</f>
        <v>"NCAAF:TCU:Baylor",</v>
      </c>
    </row>
    <row r="50" spans="1:1" x14ac:dyDescent="0.25">
      <c r="A50" t="str">
        <f>currentData!$D22&amp;","</f>
        <v>"NCAAF:Iowa:Illinois",</v>
      </c>
    </row>
    <row r="51" spans="1:1" x14ac:dyDescent="0.25">
      <c r="A51" t="str">
        <f>currentData!$D23&amp;","</f>
        <v>"NCAAF:California:Stanford",</v>
      </c>
    </row>
    <row r="52" spans="1:1" x14ac:dyDescent="0.25">
      <c r="A52" t="str">
        <f>currentData!$D24&amp;","</f>
        <v>"NCAAF:BoiseState:UtahState",</v>
      </c>
    </row>
    <row r="53" spans="1:1" x14ac:dyDescent="0.25">
      <c r="A53" t="str">
        <f>currentData!$D25&amp;","</f>
        <v>"NCAAF:Missouri:Florida",</v>
      </c>
    </row>
    <row r="54" spans="1:1" x14ac:dyDescent="0.25">
      <c r="A54" t="str">
        <f>currentData!$D26&amp;","</f>
        <v>"NCAAF:Kentucky:SouthCarolina",</v>
      </c>
    </row>
    <row r="55" spans="1:1" x14ac:dyDescent="0.25">
      <c r="A55" t="str">
        <f>currentData!$D27&amp;","</f>
        <v>"NCAAF:OregonState:Washington",</v>
      </c>
    </row>
    <row r="56" spans="1:1" x14ac:dyDescent="0.25">
      <c r="A56" t="str">
        <f>currentData!$D28&amp;","</f>
        <v>"NCAAF:Texas:IowaState",</v>
      </c>
    </row>
    <row r="57" spans="1:1" x14ac:dyDescent="0.25">
      <c r="A57" t="str">
        <f>currentData!$D29&amp;","</f>
        <v>"NFL:Lions:Bears",</v>
      </c>
    </row>
    <row r="58" spans="1:1" x14ac:dyDescent="0.25">
      <c r="A58" t="str">
        <f>currentData!$D30&amp;","</f>
        <v>"NFL:Chargers:Packers",</v>
      </c>
    </row>
    <row r="59" spans="1:1" x14ac:dyDescent="0.25">
      <c r="A59" t="str">
        <f>currentData!$D31&amp;","</f>
        <v>"NFL:Jaguars:Titans",</v>
      </c>
    </row>
    <row r="60" spans="1:1" x14ac:dyDescent="0.25">
      <c r="A60" t="str">
        <f>currentData!$D32&amp;","</f>
        <v>"NFL:Cowboys:Panthers",</v>
      </c>
    </row>
    <row r="61" spans="1:1" x14ac:dyDescent="0.25">
      <c r="A61" t="str">
        <f>currentData!$D33&amp;","</f>
        <v>"NFL:Browns:Steelers",</v>
      </c>
    </row>
    <row r="62" spans="1:1" x14ac:dyDescent="0.25">
      <c r="A62" t="str">
        <f>currentData!$D34&amp;","</f>
        <v>"NFL:Commanders:Giants",</v>
      </c>
    </row>
    <row r="63" spans="1:1" x14ac:dyDescent="0.25">
      <c r="A63" t="str">
        <f>currentData!$D35&amp;","</f>
        <v>"NFL:Texans:Cardinals",</v>
      </c>
    </row>
    <row r="64" spans="1:1" x14ac:dyDescent="0.25">
      <c r="A64" t="str">
        <f>currentData!$D36&amp;","</f>
        <v>"NFL:Seahawks:Rams",</v>
      </c>
    </row>
    <row r="65" spans="1:1" x14ac:dyDescent="0.25">
      <c r="A65" t="str">
        <f>currentData!$D37&amp;","</f>
        <v>"NFL:Bills:Jets",</v>
      </c>
    </row>
    <row r="66" spans="1:1" x14ac:dyDescent="0.25">
      <c r="A66" t="str">
        <f>currentData!$D38&amp;","</f>
        <v>"NFL:Broncos:Vikings",</v>
      </c>
    </row>
    <row r="67" spans="1:1" x14ac:dyDescent="0.25">
      <c r="A67" t="str">
        <f>currentData!$D39&amp;"],"</f>
        <v>"NFL:Chiefs:Eagles"],</v>
      </c>
    </row>
    <row r="68" spans="1:1" x14ac:dyDescent="0.25">
      <c r="A68" t="s">
        <v>35</v>
      </c>
    </row>
    <row r="69" spans="1:1" x14ac:dyDescent="0.25">
      <c r="A69" t="str">
        <f>currentData!E8&amp;","</f>
        <v>1700351100,</v>
      </c>
    </row>
    <row r="70" spans="1:1" x14ac:dyDescent="0.25">
      <c r="A70" t="str">
        <f>currentData!E9&amp;","</f>
        <v>1700352899,</v>
      </c>
    </row>
    <row r="71" spans="1:1" x14ac:dyDescent="0.25">
      <c r="A71" t="str">
        <f>currentData!E10&amp;","</f>
        <v>1700354700,</v>
      </c>
    </row>
    <row r="72" spans="1:1" x14ac:dyDescent="0.25">
      <c r="A72" t="str">
        <f>currentData!E11&amp;","</f>
        <v>1700278200,</v>
      </c>
    </row>
    <row r="73" spans="1:1" x14ac:dyDescent="0.25">
      <c r="A73" t="str">
        <f>currentData!E12&amp;","</f>
        <v>1700326800,</v>
      </c>
    </row>
    <row r="74" spans="1:1" x14ac:dyDescent="0.25">
      <c r="A74" t="str">
        <f>currentData!E13&amp;","</f>
        <v>1700326800,</v>
      </c>
    </row>
    <row r="75" spans="1:1" x14ac:dyDescent="0.25">
      <c r="A75" t="str">
        <f>currentData!E14&amp;","</f>
        <v>1700330400,</v>
      </c>
    </row>
    <row r="76" spans="1:1" x14ac:dyDescent="0.25">
      <c r="A76" t="str">
        <f>currentData!E15&amp;","</f>
        <v>1700335800,</v>
      </c>
    </row>
    <row r="77" spans="1:1" x14ac:dyDescent="0.25">
      <c r="A77" t="str">
        <f>currentData!E16&amp;","</f>
        <v>1700335800,</v>
      </c>
    </row>
    <row r="78" spans="1:1" x14ac:dyDescent="0.25">
      <c r="A78" t="str">
        <f>currentData!E17&amp;","</f>
        <v>1700337600,</v>
      </c>
    </row>
    <row r="79" spans="1:1" x14ac:dyDescent="0.25">
      <c r="A79" t="str">
        <f>currentData!E18&amp;","</f>
        <v>1700339399,</v>
      </c>
    </row>
    <row r="80" spans="1:1" x14ac:dyDescent="0.25">
      <c r="A80" t="str">
        <f>currentData!E19&amp;","</f>
        <v>1700339399,</v>
      </c>
    </row>
    <row r="81" spans="1:1" x14ac:dyDescent="0.25">
      <c r="A81" t="str">
        <f>currentData!E20&amp;","</f>
        <v>1700339399,</v>
      </c>
    </row>
    <row r="82" spans="1:1" x14ac:dyDescent="0.25">
      <c r="A82" t="str">
        <f>currentData!E21&amp;","</f>
        <v>1700339399,</v>
      </c>
    </row>
    <row r="83" spans="1:1" x14ac:dyDescent="0.25">
      <c r="A83" t="str">
        <f>currentData!E22&amp;","</f>
        <v>1700339399,</v>
      </c>
    </row>
    <row r="84" spans="1:1" x14ac:dyDescent="0.25">
      <c r="A84" t="str">
        <f>currentData!E23&amp;","</f>
        <v>1700350199,</v>
      </c>
    </row>
    <row r="85" spans="1:1" x14ac:dyDescent="0.25">
      <c r="A85" t="str">
        <f>currentData!E24&amp;","</f>
        <v>1700352000,</v>
      </c>
    </row>
    <row r="86" spans="1:1" x14ac:dyDescent="0.25">
      <c r="A86" t="str">
        <f>currentData!E25&amp;","</f>
        <v>1700353800,</v>
      </c>
    </row>
    <row r="87" spans="1:1" x14ac:dyDescent="0.25">
      <c r="A87" t="str">
        <f>currentData!E26&amp;","</f>
        <v>1700353800,</v>
      </c>
    </row>
    <row r="88" spans="1:1" x14ac:dyDescent="0.25">
      <c r="A88" t="str">
        <f>currentData!E27&amp;","</f>
        <v>1700353800,</v>
      </c>
    </row>
    <row r="89" spans="1:1" x14ac:dyDescent="0.25">
      <c r="A89" t="str">
        <f>currentData!E28&amp;","</f>
        <v>1700355599,</v>
      </c>
    </row>
    <row r="90" spans="1:1" x14ac:dyDescent="0.25">
      <c r="A90" t="str">
        <f>currentData!E29&amp;","</f>
        <v>1700416860,</v>
      </c>
    </row>
    <row r="91" spans="1:1" x14ac:dyDescent="0.25">
      <c r="A91" t="str">
        <f>currentData!E30&amp;","</f>
        <v>1700416860,</v>
      </c>
    </row>
    <row r="92" spans="1:1" x14ac:dyDescent="0.25">
      <c r="A92" t="str">
        <f>currentData!E31&amp;","</f>
        <v>1700416860,</v>
      </c>
    </row>
    <row r="93" spans="1:1" x14ac:dyDescent="0.25">
      <c r="A93" t="str">
        <f>currentData!E32&amp;","</f>
        <v>1700416860,</v>
      </c>
    </row>
    <row r="94" spans="1:1" x14ac:dyDescent="0.25">
      <c r="A94" t="str">
        <f>currentData!E33&amp;","</f>
        <v>1700416860,</v>
      </c>
    </row>
    <row r="95" spans="1:1" x14ac:dyDescent="0.25">
      <c r="A95" t="str">
        <f>currentData!E34&amp;","</f>
        <v>1700416860,</v>
      </c>
    </row>
    <row r="96" spans="1:1" x14ac:dyDescent="0.25">
      <c r="A96" t="str">
        <f>currentData!E35&amp;","</f>
        <v>1700416860,</v>
      </c>
    </row>
    <row r="97" spans="1:1" x14ac:dyDescent="0.25">
      <c r="A97" t="str">
        <f>currentData!E36&amp;","</f>
        <v>1700429160,</v>
      </c>
    </row>
    <row r="98" spans="1:1" x14ac:dyDescent="0.25">
      <c r="A98" t="str">
        <f>currentData!E37&amp;","</f>
        <v>1700429160,</v>
      </c>
    </row>
    <row r="99" spans="1:1" x14ac:dyDescent="0.25">
      <c r="A99" t="str">
        <f>currentData!E38&amp;","</f>
        <v>1700443260,</v>
      </c>
    </row>
    <row r="100" spans="1:1" x14ac:dyDescent="0.25">
      <c r="A100" s="8" t="str">
        <f>currentData!E39&amp;"]"</f>
        <v>1700529359]</v>
      </c>
    </row>
    <row r="101" spans="1:1" x14ac:dyDescent="0.25">
      <c r="A101" t="s">
        <v>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oldData</vt:lpstr>
      <vt:lpstr>currentData</vt:lpstr>
      <vt:lpstr>outcomesWorksheet</vt:lpstr>
      <vt:lpstr>rawInputs</vt:lpstr>
      <vt:lpstr>FromMSAccess</vt:lpstr>
      <vt:lpstr>adjNames</vt:lpstr>
      <vt:lpstr>oddscsv</vt:lpstr>
      <vt:lpstr>settleRefreshcsv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</dc:creator>
  <cp:lastModifiedBy>Eric Falkenstein</cp:lastModifiedBy>
  <dcterms:created xsi:type="dcterms:W3CDTF">2021-08-18T18:19:25Z</dcterms:created>
  <dcterms:modified xsi:type="dcterms:W3CDTF">2023-11-17T19:39:13Z</dcterms:modified>
</cp:coreProperties>
</file>