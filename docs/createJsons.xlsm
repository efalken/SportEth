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EE1053CE-11AB-4246-B01B-AF88CF7389EE}" xr6:coauthVersionLast="47" xr6:coauthVersionMax="47" xr10:uidLastSave="{00000000-0000-0000-0000-000000000000}"/>
  <bookViews>
    <workbookView xWindow="32970" yWindow="1515" windowWidth="21600" windowHeight="13695" xr2:uid="{1230EDBB-7CF7-4CB6-8A8B-436EE42A5ED4}"/>
  </bookViews>
  <sheets>
    <sheet name="oldData" sheetId="14" r:id="rId1"/>
    <sheet name="currentData" sheetId="3" r:id="rId2"/>
    <sheet name="rawInputs" sheetId="9" r:id="rId3"/>
    <sheet name="FromMSAccess" sheetId="13" r:id="rId4"/>
    <sheet name="adjNames" sheetId="12" r:id="rId5"/>
    <sheet name="oddscsv" sheetId="6" r:id="rId6"/>
    <sheet name="settleRefreshcsv" sheetId="7" r:id="rId7"/>
  </sheets>
  <externalReferences>
    <externalReference r:id="rId8"/>
  </externalReference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3" l="1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K8" i="3"/>
  <c r="J8" i="3"/>
  <c r="C82" i="13" l="1"/>
  <c r="J5" i="14"/>
  <c r="N5" i="14" s="1"/>
  <c r="D45" i="3"/>
  <c r="D46" i="3" s="1"/>
  <c r="D47" i="3" s="1"/>
  <c r="D48" i="3" s="1"/>
  <c r="E48" i="3" a="1"/>
  <c r="E47" i="3" a="1"/>
  <c r="E44" i="3" a="1"/>
  <c r="E42" i="3" a="1"/>
  <c r="D49" i="3" l="1"/>
  <c r="H28" i="3" s="1"/>
  <c r="H26" i="3"/>
  <c r="H27" i="3"/>
  <c r="H16" i="3"/>
  <c r="E48" i="3"/>
  <c r="E47" i="3"/>
  <c r="E44" i="3"/>
  <c r="E42" i="3"/>
  <c r="G8" i="3"/>
  <c r="C89" i="13"/>
  <c r="E49" i="3" a="1"/>
  <c r="H36" i="3" l="1"/>
  <c r="H33" i="3"/>
  <c r="H21" i="3"/>
  <c r="E49" i="3"/>
  <c r="H14" i="3"/>
  <c r="H9" i="3"/>
  <c r="H22" i="3"/>
  <c r="H32" i="3"/>
  <c r="H12" i="3"/>
  <c r="H10" i="3"/>
  <c r="H20" i="3"/>
  <c r="H24" i="3"/>
  <c r="H19" i="3"/>
  <c r="H35" i="3"/>
  <c r="H39" i="3"/>
  <c r="H17" i="3"/>
  <c r="H23" i="3"/>
  <c r="H15" i="3"/>
  <c r="H8" i="3"/>
  <c r="H34" i="3"/>
  <c r="H13" i="3"/>
  <c r="H25" i="3"/>
  <c r="H31" i="3"/>
  <c r="H11" i="3"/>
  <c r="H38" i="3"/>
  <c r="H30" i="3"/>
  <c r="H29" i="3"/>
  <c r="H37" i="3"/>
  <c r="H1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K3" i="13"/>
  <c r="K4" i="13"/>
  <c r="K5" i="13"/>
  <c r="K6" i="13"/>
  <c r="K7" i="13"/>
  <c r="K8" i="13"/>
  <c r="K9" i="13"/>
  <c r="K10" i="13"/>
  <c r="K11" i="13"/>
  <c r="K12" i="13"/>
  <c r="K13" i="13"/>
  <c r="K14" i="13"/>
  <c r="K27" i="13"/>
  <c r="K56" i="13"/>
  <c r="K57" i="13"/>
  <c r="K58" i="13"/>
  <c r="K59" i="13"/>
  <c r="K60" i="13"/>
  <c r="K28" i="13"/>
  <c r="K29" i="13"/>
  <c r="K61" i="13"/>
  <c r="K30" i="13"/>
  <c r="K62" i="13"/>
  <c r="K63" i="13"/>
  <c r="K64" i="13"/>
  <c r="K65" i="13"/>
  <c r="K66" i="13"/>
  <c r="K67" i="13"/>
  <c r="K15" i="13"/>
  <c r="K16" i="13"/>
  <c r="K17" i="13"/>
  <c r="K18" i="13"/>
  <c r="K19" i="13"/>
  <c r="K20" i="13"/>
  <c r="K21" i="13"/>
  <c r="K31" i="13"/>
  <c r="K32" i="13"/>
  <c r="K68" i="13"/>
  <c r="K69" i="13"/>
  <c r="K33" i="13"/>
  <c r="K70" i="13"/>
  <c r="K71" i="13"/>
  <c r="K34" i="13"/>
  <c r="K35" i="13"/>
  <c r="K36" i="13"/>
  <c r="K72" i="13"/>
  <c r="K73" i="13"/>
  <c r="K37" i="13"/>
  <c r="K38" i="13"/>
  <c r="K74" i="13"/>
  <c r="K75" i="13"/>
  <c r="K76" i="13"/>
  <c r="K77" i="13"/>
  <c r="K22" i="13"/>
  <c r="K23" i="13"/>
  <c r="K78" i="13"/>
  <c r="K39" i="13"/>
  <c r="K24" i="13"/>
  <c r="K40" i="13"/>
  <c r="K25" i="13"/>
  <c r="K41" i="13"/>
  <c r="K79" i="13"/>
  <c r="K42" i="13"/>
  <c r="K43" i="13"/>
  <c r="K26" i="13"/>
  <c r="K80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O6" i="14" l="1"/>
  <c r="O7" i="14"/>
  <c r="O8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5" i="14"/>
  <c r="J6" i="14"/>
  <c r="N6" i="14" s="1"/>
  <c r="J7" i="14"/>
  <c r="N7" i="14" s="1"/>
  <c r="J8" i="14"/>
  <c r="N8" i="14" s="1"/>
  <c r="J10" i="14"/>
  <c r="N10" i="14" s="1"/>
  <c r="J11" i="14"/>
  <c r="N11" i="14" s="1"/>
  <c r="J12" i="14"/>
  <c r="N12" i="14" s="1"/>
  <c r="J13" i="14"/>
  <c r="N13" i="14" s="1"/>
  <c r="J14" i="14"/>
  <c r="N14" i="14" s="1"/>
  <c r="J15" i="14"/>
  <c r="N15" i="14" s="1"/>
  <c r="J16" i="14"/>
  <c r="N16" i="14" s="1"/>
  <c r="J17" i="14"/>
  <c r="N17" i="14" s="1"/>
  <c r="J18" i="14"/>
  <c r="N18" i="14" s="1"/>
  <c r="J19" i="14"/>
  <c r="N19" i="14" s="1"/>
  <c r="J20" i="14"/>
  <c r="N20" i="14" s="1"/>
  <c r="J21" i="14"/>
  <c r="N21" i="14" s="1"/>
  <c r="J22" i="14"/>
  <c r="N22" i="14" s="1"/>
  <c r="J23" i="14"/>
  <c r="N23" i="14" s="1"/>
  <c r="J24" i="14"/>
  <c r="N24" i="14" s="1"/>
  <c r="J25" i="14"/>
  <c r="N25" i="14" s="1"/>
  <c r="J26" i="14"/>
  <c r="N26" i="14" s="1"/>
  <c r="J27" i="14"/>
  <c r="N27" i="14" s="1"/>
  <c r="J28" i="14"/>
  <c r="N28" i="14" s="1"/>
  <c r="J29" i="14"/>
  <c r="N29" i="14" s="1"/>
  <c r="J30" i="14"/>
  <c r="N30" i="14" s="1"/>
  <c r="J31" i="14"/>
  <c r="N31" i="14" s="1"/>
  <c r="J32" i="14"/>
  <c r="N32" i="14" s="1"/>
  <c r="J33" i="14"/>
  <c r="N33" i="14" s="1"/>
  <c r="J34" i="14"/>
  <c r="N34" i="14" s="1"/>
  <c r="J683" i="12" l="1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H36" i="14"/>
  <c r="H35" i="14"/>
  <c r="H34" i="14"/>
  <c r="H33" i="14"/>
  <c r="H32" i="14"/>
  <c r="H31" i="14"/>
  <c r="H30" i="14"/>
  <c r="H29" i="14"/>
  <c r="H28" i="14"/>
  <c r="H27" i="14"/>
  <c r="H26" i="14"/>
  <c r="A24" i="7"/>
  <c r="H25" i="14"/>
  <c r="H24" i="14"/>
  <c r="H23" i="14"/>
  <c r="H22" i="14"/>
  <c r="A20" i="7"/>
  <c r="H21" i="14"/>
  <c r="H20" i="14"/>
  <c r="H19" i="14"/>
  <c r="H18" i="14"/>
  <c r="A16" i="7"/>
  <c r="H17" i="14"/>
  <c r="H16" i="14"/>
  <c r="H15" i="14"/>
  <c r="H14" i="14"/>
  <c r="A12" i="7"/>
  <c r="H13" i="14"/>
  <c r="H12" i="14"/>
  <c r="H11" i="14"/>
  <c r="H10" i="14"/>
  <c r="A8" i="7"/>
  <c r="H9" i="14"/>
  <c r="H8" i="14"/>
  <c r="H7" i="14"/>
  <c r="H6" i="14"/>
  <c r="H5" i="14"/>
  <c r="O9" i="14" l="1"/>
  <c r="J9" i="14"/>
  <c r="N9" i="14" s="1"/>
  <c r="A29" i="7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  <c r="J35" i="14" l="1"/>
  <c r="J36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<sst xmlns="http://schemas.openxmlformats.org/spreadsheetml/2006/main" count="7183" uniqueCount="407">
  <si>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</si>
  <si>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</si>
  <si>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</si>
  <si>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</si>
  <si>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</si>
  <si>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</si>
  <si>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</si>
  <si>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</si>
  <si>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</si>
  <si>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</si>
  <si>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</si>
  <si>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</si>
  <si>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</si>
  <si>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</si>
  <si>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</si>
  <si>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odd_draw</t>
  </si>
  <si>
    <t>odd_2</t>
  </si>
  <si>
    <t>odd_1</t>
  </si>
  <si>
    <t>commence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</si>
  <si>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</si>
  <si>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</si>
  <si>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</si>
  <si>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</si>
  <si>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</si>
  <si>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</si>
  <si>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</si>
  <si>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</si>
  <si>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</si>
  <si>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</si>
  <si>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probSpread2</t>
  </si>
  <si>
    <t>faveDec</t>
  </si>
  <si>
    <t>"_resultVector": [</t>
  </si>
  <si>
    <t>"_starts": [</t>
  </si>
  <si>
    <t>"_teamsched": [</t>
  </si>
  <si>
    <t>West Virgina</t>
  </si>
  <si>
    <t>Jake Matthews_Michael Morales</t>
  </si>
  <si>
    <t>2023-11-18T22:15:00.000Z</t>
  </si>
  <si>
    <t>Chase Hooper_Jordan Leavitt</t>
  </si>
  <si>
    <t>Brendan Allen_Paul Craig</t>
  </si>
  <si>
    <t>Georgia Bulldogs_Tennessee Volunteers</t>
  </si>
  <si>
    <t>Michigan Wolverines_Ohio State Buckeyes</t>
  </si>
  <si>
    <t>2023-11-25T17:00:00.000Z</t>
  </si>
  <si>
    <t>Amanda Ribas_Luana Pinheiro</t>
  </si>
  <si>
    <t>Jonny Parsons_Uros Medic</t>
  </si>
  <si>
    <t>Texas</t>
  </si>
  <si>
    <t>Arkansas</t>
  </si>
  <si>
    <t>Florida</t>
  </si>
  <si>
    <t>Utah</t>
  </si>
  <si>
    <t>Minnesota</t>
  </si>
  <si>
    <t>Iowa</t>
  </si>
  <si>
    <t>OklahomaState</t>
  </si>
  <si>
    <t>PennState</t>
  </si>
  <si>
    <t>Kansas</t>
  </si>
  <si>
    <t>Washington</t>
  </si>
  <si>
    <t>Kentucky</t>
  </si>
  <si>
    <t>Alabama</t>
  </si>
  <si>
    <t>Arizona</t>
  </si>
  <si>
    <t>Texans</t>
  </si>
  <si>
    <t>Buccaneers</t>
  </si>
  <si>
    <t>Commanders</t>
  </si>
  <si>
    <t>Patriots</t>
  </si>
  <si>
    <t>Vikings</t>
  </si>
  <si>
    <t>Falcons</t>
  </si>
  <si>
    <t>Saints</t>
  </si>
  <si>
    <t>Packers</t>
  </si>
  <si>
    <t>Ravens</t>
  </si>
  <si>
    <t>Browns</t>
  </si>
  <si>
    <t>Colts</t>
  </si>
  <si>
    <t>Raiders</t>
  </si>
  <si>
    <t>Bengals</t>
  </si>
  <si>
    <t>Bills</t>
  </si>
  <si>
    <t>Northwestern</t>
  </si>
  <si>
    <t>LSU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</si>
  <si>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</si>
  <si>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</si>
  <si>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</si>
  <si>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</si>
  <si>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</si>
  <si>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</si>
  <si>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</si>
  <si>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Winner2</t>
  </si>
  <si>
    <t>favorite</t>
  </si>
  <si>
    <t>underdog</t>
  </si>
  <si>
    <t>2023-11-18T20:30:00.000Z</t>
  </si>
  <si>
    <t>Nikolas Motta_Trey Ogden</t>
  </si>
  <si>
    <t>2023-11-18T19:10:00.000Z</t>
  </si>
  <si>
    <t>Charles Johnson_Rafael Estevam</t>
  </si>
  <si>
    <t>Jeka Saragih_Lucas Alexander</t>
  </si>
  <si>
    <t>Joanderson Brito_Jonathan Pearce</t>
  </si>
  <si>
    <t>Ailin Perez_Lucie Pudilova</t>
  </si>
  <si>
    <t>Chad Anheliger_Jose Johnson</t>
  </si>
  <si>
    <t>Caio Machado_Michael Parkin</t>
  </si>
  <si>
    <t>Nick Aguirre_Payton Talbott</t>
  </si>
  <si>
    <t>2023-11-18T23:15:00.000Z</t>
  </si>
  <si>
    <t>Boston College</t>
  </si>
  <si>
    <t>VirginiaTech</t>
  </si>
  <si>
    <t>Baltimore Ravens_Cincinnati Bengals</t>
  </si>
  <si>
    <t>2023-11-17T01:16:00.000Z</t>
  </si>
  <si>
    <t>Green Bay Packers_Los Angeles Chargers</t>
  </si>
  <si>
    <t>2023-11-19T18:01:00.000Z</t>
  </si>
  <si>
    <t>Jacksonville Jaguars_Tennessee Titans</t>
  </si>
  <si>
    <t>Las Vegas Raiders_Miami Dolphins</t>
  </si>
  <si>
    <t>Carolina Panthers_Dallas Cowboys</t>
  </si>
  <si>
    <t>Arizona Cardinals_Houston Texans</t>
  </si>
  <si>
    <t>Cleveland Browns_Pittsburgh Steelers</t>
  </si>
  <si>
    <t>New York Giants_Washington Commanders</t>
  </si>
  <si>
    <t>Chicago Bears_Detroit Lions</t>
  </si>
  <si>
    <t>San Francisco 49ers_Tampa Bay Buccaneers</t>
  </si>
  <si>
    <t>2023-11-19T21:06:00.000Z</t>
  </si>
  <si>
    <t>Buffalo Bills_New York Jets</t>
  </si>
  <si>
    <t>2023-11-19T21:26:00.000Z</t>
  </si>
  <si>
    <t>Los Angeles Rams_Seattle Seahawks</t>
  </si>
  <si>
    <t>Denver Broncos_Minnesota Vikings</t>
  </si>
  <si>
    <t>2023-11-20T01:21:00.000Z</t>
  </si>
  <si>
    <t>Kansas City Chiefs_Philadelphia Eagles</t>
  </si>
  <si>
    <t>2023-11-21T01:16:00.000Z</t>
  </si>
  <si>
    <t>"_probSpread2": [</t>
  </si>
  <si>
    <t>startTime</t>
  </si>
  <si>
    <t>SanFrancisco 49ers_Tampa Bay Buccaneers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</si>
  <si>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</si>
  <si>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</si>
  <si>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</si>
  <si>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</si>
  <si>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</si>
  <si>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</si>
  <si>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</si>
  <si>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Aspinall</t>
  </si>
  <si>
    <t>Pereira</t>
  </si>
  <si>
    <t>Pavlovich</t>
  </si>
  <si>
    <t>Prochazka</t>
  </si>
  <si>
    <t>Michigan</t>
  </si>
  <si>
    <t>Michigan-4.5</t>
  </si>
  <si>
    <t>Wisconsin</t>
  </si>
  <si>
    <t>UCF</t>
  </si>
  <si>
    <t>Rutgers</t>
  </si>
  <si>
    <t>Tennessee</t>
  </si>
  <si>
    <t>Missouri</t>
  </si>
  <si>
    <t>Purdue</t>
  </si>
  <si>
    <t>Auburn</t>
  </si>
  <si>
    <t>Houston</t>
  </si>
  <si>
    <t>Cincinnati</t>
  </si>
  <si>
    <t>Georgia</t>
  </si>
  <si>
    <t>TCU</t>
  </si>
  <si>
    <t>Steelers</t>
  </si>
  <si>
    <t>49ers</t>
  </si>
  <si>
    <t>Jaguars</t>
  </si>
  <si>
    <t>Titans</t>
  </si>
  <si>
    <t>Lions</t>
  </si>
  <si>
    <t>Broncos</t>
  </si>
  <si>
    <t>aaa</t>
  </si>
  <si>
    <t>bbb</t>
  </si>
  <si>
    <t>Bowling Green Falcons_Toledo Rockets</t>
  </si>
  <si>
    <t>2023-11-15T00:00:00.000Z</t>
  </si>
  <si>
    <t>Akron Zips_Eastern Michigan Eagles</t>
  </si>
  <si>
    <t>Northern Illinois Huskies_Western Michigan Broncos</t>
  </si>
  <si>
    <t>Central Michigan Chippewas_Ohio Bobcats</t>
  </si>
  <si>
    <t>2023-11-16T00:00:00.000Z</t>
  </si>
  <si>
    <t>Buffalo Bulls_Miami (OH) RedHawks</t>
  </si>
  <si>
    <t>Boston College Eagles_Pittsburgh Panthers</t>
  </si>
  <si>
    <t>2023-11-17T00:00:00.000Z</t>
  </si>
  <si>
    <t>South Florida Bulls_UTSA Roadrunners</t>
  </si>
  <si>
    <t>2023-11-18T02:00:00.000Z</t>
  </si>
  <si>
    <t>Colorado Buffaloes_Washington State Cougars</t>
  </si>
  <si>
    <t>2023-11-18T03:30:00.000Z</t>
  </si>
  <si>
    <t>Louisville Cardinals_Miami Hurricanes</t>
  </si>
  <si>
    <t>2023-11-18T17:00:00.000Z</t>
  </si>
  <si>
    <t>Maryland Terrapins_Michigan Wolverines</t>
  </si>
  <si>
    <t>Memphis Tigers_SMU Mustangs</t>
  </si>
  <si>
    <t>Indiana Hoosiers_Michigan State Spartans</t>
  </si>
  <si>
    <t>Northwestern Wildcats_Purdue Boilermakers</t>
  </si>
  <si>
    <t>BYU Cougars_Oklahoma Sooners</t>
  </si>
  <si>
    <t>Army Black Knights_Coastal Carolina Chanticleers</t>
  </si>
  <si>
    <t>Florida Atlantic Owls_Tulane Green Wave</t>
  </si>
  <si>
    <t>East Carolina Pirates_Navy Midshipmen</t>
  </si>
  <si>
    <t>Ole Miss Rebels_UL Monroe Warhawks</t>
  </si>
  <si>
    <t>Mississippi State Bulldogs_Southern Mississippi Golden Eagles</t>
  </si>
  <si>
    <t>Penn State Nittany Lions_Rutgers Scarlet Knights</t>
  </si>
  <si>
    <t>Kansas Jayhawks_Kansas State Wildcats</t>
  </si>
  <si>
    <t>2023-11-18T18:00:00.000Z</t>
  </si>
  <si>
    <t>Liberty Flames_UMass Minutemen</t>
  </si>
  <si>
    <t>Appalachian State Mountaineers_James Madison Dukes</t>
  </si>
  <si>
    <t>2023-11-18T19:00:00.000Z</t>
  </si>
  <si>
    <t>Ball State Cardinals_Kent State Golden Flashes</t>
  </si>
  <si>
    <t>Charlotte 49ers_Rice Owls</t>
  </si>
  <si>
    <t>Middle Tennessee Blue Raiders_UTEP Miners</t>
  </si>
  <si>
    <t>Jacksonville State Gamecocks_Louisiana Tech Bulldogs</t>
  </si>
  <si>
    <t>Hawaii Rainbow Warriors_Wyoming Cowboys</t>
  </si>
  <si>
    <t>Arizona Wildcats_Utah Utes</t>
  </si>
  <si>
    <t>2023-11-18T19:30:00.000Z</t>
  </si>
  <si>
    <t>Cincinnati Bearcats_West Virginia Mountaineers</t>
  </si>
  <si>
    <t>Duke Blue Devils_Virginia Cavaliers</t>
  </si>
  <si>
    <t>2023-11-18T20:00:00.000Z</t>
  </si>
  <si>
    <t>Arkansas State Red Wolves_Texas State Bobcats</t>
  </si>
  <si>
    <t>North Texas Mean Green_Tulsa Golden Hurricane</t>
  </si>
  <si>
    <t>Temple Owls_UAB Blazers</t>
  </si>
  <si>
    <t>Colorado State Rams_Nevada Wolf Pack</t>
  </si>
  <si>
    <t>Clemson Tigers_North Carolina Tar Heels</t>
  </si>
  <si>
    <t>Air Force Falcons_UNLV Rebels</t>
  </si>
  <si>
    <t>UCLA Bruins_USC Trojans</t>
  </si>
  <si>
    <t>Illinois Fighting Illini_Iowa Hawkeyes</t>
  </si>
  <si>
    <t>Notre Dame Fighting Irish_Wake Forest Demon Deacons</t>
  </si>
  <si>
    <t>NC State Wolfpack_Virginia Tech Hokies</t>
  </si>
  <si>
    <t>Sam Houston State Bearkats_Western Kentucky Hilltoppers</t>
  </si>
  <si>
    <t>Baylor Bears_TCU Horned Frogs</t>
  </si>
  <si>
    <t>Louisiana Ragin Cajuns_Troy Trojans</t>
  </si>
  <si>
    <t>Minnesota Golden Gophers_Ohio State Buckeyes</t>
  </si>
  <si>
    <t>2023-11-18T21:00:00.000Z</t>
  </si>
  <si>
    <t>Arizona State Sun Devils_Oregon Ducks</t>
  </si>
  <si>
    <t>Auburn Tigers_New Mexico State Aggies</t>
  </si>
  <si>
    <t>Houston Cougars_Oklahoma State Cowboys</t>
  </si>
  <si>
    <t>Texas Tech Red Raiders_UCF Knights</t>
  </si>
  <si>
    <t>2023-11-18T22:00:00.000Z</t>
  </si>
  <si>
    <t>Marshall Thundering Herd_South Alabama Jaguars</t>
  </si>
  <si>
    <t>Georgia Southern Eagles_Old Dominion Monarchs</t>
  </si>
  <si>
    <t>2023-11-18T23:00:00.000Z</t>
  </si>
  <si>
    <t>California Golden Bears_Stanford Cardinal</t>
  </si>
  <si>
    <t>2023-11-18T23:30:00.000Z</t>
  </si>
  <si>
    <t>Boise State Broncos_Utah State Aggies</t>
  </si>
  <si>
    <t>2023-11-19T00:00:00.000Z</t>
  </si>
  <si>
    <t>Oregon State Beavers_Washington Huskies</t>
  </si>
  <si>
    <t>2023-11-19T00:30:00.000Z</t>
  </si>
  <si>
    <t>Kentucky Wildcats_South Carolina Gamecocks</t>
  </si>
  <si>
    <t>Florida Gators_Missouri Tigers</t>
  </si>
  <si>
    <t>Nebraska Cornhuskers_Wisconsin Badgers</t>
  </si>
  <si>
    <t>Arkansas Razorbacks_Florida International Panthers</t>
  </si>
  <si>
    <t>Iowa State Cyclones_Texas Longhorns</t>
  </si>
  <si>
    <t>2023-11-19T01:00:00.000Z</t>
  </si>
  <si>
    <t>Georgia Tech Yellow Jackets_Syracuse Orange</t>
  </si>
  <si>
    <t>Georgia State Panthers_LSU Tigers</t>
  </si>
  <si>
    <t>San Diego State Aztecs_San Jose State Spartans</t>
  </si>
  <si>
    <t>2023-11-19T03:30:00.000Z</t>
  </si>
  <si>
    <t>Fresno State Bulldogs_New Mexico Lobos</t>
  </si>
  <si>
    <t>Mississippi State Bulldogs_Ole Miss Rebels</t>
  </si>
  <si>
    <t>2023-11-24T00:30:00.000Z</t>
  </si>
  <si>
    <t>Oregon Ducks_Oregon State Beavers</t>
  </si>
  <si>
    <t>2023-11-25T01:30:00.000Z</t>
  </si>
  <si>
    <t>LSU Tigers_Texas A&amp;M Aggies</t>
  </si>
  <si>
    <t>Kentucky Wildcats_Louisville Cardinals</t>
  </si>
  <si>
    <t>2023-11-25T18:00:00.000Z</t>
  </si>
  <si>
    <t>Virginia Cavaliers_Virginia Tech Hokies</t>
  </si>
  <si>
    <t>NC State Wolfpack_North Carolina Tar Heels</t>
  </si>
  <si>
    <t>Arizona State Sun Devils_Arizona Wildcats</t>
  </si>
  <si>
    <t>Alabama Crimson Tide_Auburn Tigers</t>
  </si>
  <si>
    <t>2023-11-25T20:30:00.000Z</t>
  </si>
  <si>
    <t>Washington Huskies_Washington State Cougars</t>
  </si>
  <si>
    <t>2023-11-25T21:00:00.000Z</t>
  </si>
  <si>
    <t>Florida Gators_Florida State Seminoles</t>
  </si>
  <si>
    <t>2023-11-26T00:00:00.000Z</t>
  </si>
  <si>
    <t>Clemson Tigers_South Carolina Gamecocks</t>
  </si>
  <si>
    <t>2023-11-26T00:30:00.000Z</t>
  </si>
  <si>
    <t>Liberty Flames_New Mexico State Aggies</t>
  </si>
  <si>
    <t>2023-12-02T00:00:00.000Z</t>
  </si>
  <si>
    <t>Alabama Crimson Tide_Georgia Bulldogs</t>
  </si>
  <si>
    <t>2023-12-02T21:00:00.000Z</t>
  </si>
  <si>
    <t>Danny Sabatello_Raufeon Stots</t>
  </si>
  <si>
    <t>2023-11-17T22:00:00.000Z</t>
  </si>
  <si>
    <t>Alexander Shabliy_Patricky Freire</t>
  </si>
  <si>
    <t>Marcelo Golm_Tyrell Fortune</t>
  </si>
  <si>
    <t>Ali Isaev_Daniel James</t>
  </si>
  <si>
    <t>Denise Kielholtz_Sumiko Inaba</t>
  </si>
  <si>
    <t>Justin Gonzales_Timur Khizriev</t>
  </si>
  <si>
    <t>Archie Colgan_Pieter Buist</t>
  </si>
  <si>
    <t>Mike Hamel_Tim Wilde</t>
  </si>
  <si>
    <t>Islam Mamedov_Killys Mota</t>
  </si>
  <si>
    <t>Patchy Mix_Sergio Pettis</t>
  </si>
  <si>
    <t>2023-11-17T22:30:00.000Z</t>
  </si>
  <si>
    <t>Damon Jackson_Yaroslav Amosov</t>
  </si>
  <si>
    <t>AJ McKee_Sidney Outlaw</t>
  </si>
  <si>
    <t>Alexander Shabliy_Patricky Pitbull</t>
  </si>
  <si>
    <t>2023-11-18T23:45:00.000Z</t>
  </si>
  <si>
    <t>2023-11-19T00:15:00.000Z</t>
  </si>
  <si>
    <t>2023-11-19T00:45:00.000Z</t>
  </si>
  <si>
    <t>"MMA:Parkin:Machado"</t>
  </si>
  <si>
    <t>"MMA:Perez:Pudilova"</t>
  </si>
  <si>
    <t>"MMA:Alexander:Saragih"</t>
  </si>
  <si>
    <t>"MMA:Johnson:Anheliger"</t>
  </si>
  <si>
    <t>"MMA:Pearce:Brito"</t>
  </si>
  <si>
    <t>"MMA:Motta:Ogden"</t>
  </si>
  <si>
    <t>"MMA:Morales:Matthews"</t>
  </si>
  <si>
    <t>"MMA:Ribas:Pinheiro"</t>
  </si>
  <si>
    <t>"MMA:Medic:Parsons"</t>
  </si>
  <si>
    <t>"MMA:Allen:Craig"</t>
  </si>
  <si>
    <t>"MMA:Hooper:Leavitt"</t>
  </si>
  <si>
    <t>"NCAAF:Georgia:Tennessee"</t>
  </si>
  <si>
    <t>"NFL:Commanders:Giants"</t>
  </si>
  <si>
    <t>"NFL:Texans:Cardinals"</t>
  </si>
  <si>
    <t>"NFL:Chargers:Packers"</t>
  </si>
  <si>
    <t>"NFL:Lions:Bears"</t>
  </si>
  <si>
    <t>"NFL:Jaguars:Titans"</t>
  </si>
  <si>
    <t>"NFL:Browns:Steelers"</t>
  </si>
  <si>
    <t>"NFL:Cowboys:Panthers"</t>
  </si>
  <si>
    <t>"NFL:Seahawks:Rams"</t>
  </si>
  <si>
    <t>"NFL:Bills:Jets"</t>
  </si>
  <si>
    <t>"NFL:Broncos:Vikings"</t>
  </si>
  <si>
    <t>"NFL:Chiefs:Eagles"</t>
  </si>
  <si>
    <t>OleMiss Rebels_UL Monroe Warhawks</t>
  </si>
  <si>
    <t>Colorado Buffaloes_WashingtonState Cougars</t>
  </si>
  <si>
    <t>Indiana Hoosiers_MichiganState Spartans</t>
  </si>
  <si>
    <t>MississippiState Bulldogs_Southern Mississippi Golden Eagles</t>
  </si>
  <si>
    <t>PennState Nittany Lions_Rutgers Scarlet Knights</t>
  </si>
  <si>
    <t>Kansas Jayhawks_KansasState Wildcats</t>
  </si>
  <si>
    <t>AppalachianState Mountaineers_James Madison Dukes</t>
  </si>
  <si>
    <t>BallState Cardinals_KentState Golden Flashes</t>
  </si>
  <si>
    <t>JacksonvilleState Gamecocks_Louisiana Tech Bulldogs</t>
  </si>
  <si>
    <t>ArkansasState Red Wolves_TexasState Bobcats</t>
  </si>
  <si>
    <t>ColoradoState Rams_Nevada Wolf Pack</t>
  </si>
  <si>
    <t>NCState Wolfpack_Virginia Tech Hokies</t>
  </si>
  <si>
    <t>Sam HoustonState Bearkats_Western Kentucky Hilltoppers</t>
  </si>
  <si>
    <t>Minnesota Golden Gophers_OhioState Buckeyes</t>
  </si>
  <si>
    <t>ArizonaState Sun Devils_Oregon Ducks</t>
  </si>
  <si>
    <t>Auburn Tigers_New MexicoState Aggies</t>
  </si>
  <si>
    <t>Houston Cougars_OklahomaState Cowboys</t>
  </si>
  <si>
    <t>BoiseState Broncos_UtahState Aggies</t>
  </si>
  <si>
    <t>OregonState Beavers_Washington Huskies</t>
  </si>
  <si>
    <t>IowaState Cyclones_Texas Longhorns</t>
  </si>
  <si>
    <t>GeorgiaState Panthers_LSU Tigers</t>
  </si>
  <si>
    <t>SanDiegoState Aztecs_SanJoseState Spartans</t>
  </si>
  <si>
    <t>FresnoState Bulldogs_New Mexico Lobos</t>
  </si>
  <si>
    <t>MississippiState Bulldogs_OleMiss Rebels</t>
  </si>
  <si>
    <t>Oregon Ducks_OregonState Beavers</t>
  </si>
  <si>
    <t>ArizonaState Sun Devils_Arizona Wildcats</t>
  </si>
  <si>
    <t>Washington Huskies_WashingtonState Cougars</t>
  </si>
  <si>
    <t>Florida Gators_FloridaState Seminoles</t>
  </si>
  <si>
    <t>Liberty Flames_New MexicoState Aggies</t>
  </si>
  <si>
    <t>SouthFlorida Bulls_UTSA Roadrunners</t>
  </si>
  <si>
    <t>Marshall Thundering Herd_SouthAlabama Jaguars</t>
  </si>
  <si>
    <t>Kentucky Wildcats_SouthCarolina Gamecocks</t>
  </si>
  <si>
    <t>Clemson Tigers_SouthCarolina Gamecocks</t>
  </si>
  <si>
    <t>NorthTexas Mean Green_Tulsa Golden Hurricane</t>
  </si>
  <si>
    <t>Clemson Tigers_NorthCarolina Tar Heels</t>
  </si>
  <si>
    <t>NCState Wolfpack_NorthCarolina Tar Heels</t>
  </si>
  <si>
    <t>TexasTech Red Raiders_UCF Knights</t>
  </si>
  <si>
    <t>LSU Tigers_TexasA&amp;M Aggies</t>
  </si>
  <si>
    <t>NotreDame Fighting Irish_WakeForest Demon Deacons</t>
  </si>
  <si>
    <t>Cincinnati Bearcats_WestVirginia Mountaineers</t>
  </si>
  <si>
    <t>"MMA:Mamedov:Mota"</t>
  </si>
  <si>
    <t>"MMA:Hamel:Wilde"</t>
  </si>
  <si>
    <t>"MMA:Khizriev:Gonzales"</t>
  </si>
  <si>
    <t>"MMA:Inaba:Kielholtz"</t>
  </si>
  <si>
    <t>"MMA:Fortune:Golm"</t>
  </si>
  <si>
    <t>"MMA:Isaev:James"</t>
  </si>
  <si>
    <t>"MMA:Shabliy:Freire"</t>
  </si>
  <si>
    <t>"MMA:Sabatello:Stots"</t>
  </si>
  <si>
    <t>"MMA:Mix:Pettis"</t>
  </si>
  <si>
    <t>"MMA:Shabliy:Pitbull"</t>
  </si>
  <si>
    <t>"MMA:Amosov:Jackson"</t>
  </si>
  <si>
    <t>"MMA:McKee:Outlaw"</t>
  </si>
  <si>
    <t>"MMA:Estevam:Johnson"</t>
  </si>
  <si>
    <t>"NCAAF:WashingtonState:Colorado"</t>
  </si>
  <si>
    <t>"NCAAF:Coastal:Army"</t>
  </si>
  <si>
    <t>"NCAAF:Tulane:Florida"</t>
  </si>
  <si>
    <t>"NCAAF:Navy:East"</t>
  </si>
  <si>
    <t>"NCAAF:MississippiState:Southern"</t>
  </si>
  <si>
    <t>"NCAAF:SMU:Memphis"</t>
  </si>
  <si>
    <t>"NCAAF:Indiana:MichiganState"</t>
  </si>
  <si>
    <t>"NCAAF:Louisville:Miami"</t>
  </si>
  <si>
    <t>"NCAAF:Purdue:Northwestern"</t>
  </si>
  <si>
    <t>"NCAAF:KansasState:Kansas"</t>
  </si>
  <si>
    <t>"NCAAF:JacksonvilleState:Louisiana"</t>
  </si>
  <si>
    <t>"NCAAF:Middle:UTEP"</t>
  </si>
  <si>
    <t>"NCAAF:Rice:Charlotte"</t>
  </si>
  <si>
    <t>"NCAAF:BallState:KentState"</t>
  </si>
  <si>
    <t>"NCAAF:James:AppalachianState"</t>
  </si>
  <si>
    <t>"NCAAF:Wyoming:Hawaii"</t>
  </si>
  <si>
    <t>"NCAAF:WestVirginia:Cincinnati"</t>
  </si>
  <si>
    <t>"NCAAF:Utah:Arizona"</t>
  </si>
  <si>
    <t>"NCAAF:ColoradoState:Nevada"</t>
  </si>
  <si>
    <t>"NCAAF:TexasState:ArkansasState"</t>
  </si>
  <si>
    <t>"NCAAF:Duke:Virginia"</t>
  </si>
  <si>
    <t>"NCAAF:UAB:Temple"</t>
  </si>
  <si>
    <t>"NCAAF:NorthTexas:Tulsa"</t>
  </si>
  <si>
    <t>"NCAAF:Clemson:NorthCarolina"</t>
  </si>
  <si>
    <t>"NCAAF:USC:UCLA"</t>
  </si>
  <si>
    <t>"NCAAF:Western:Sam"</t>
  </si>
  <si>
    <t>"NCAAF:Air:UNLV"</t>
  </si>
  <si>
    <t>"NCAAF:TCU:Baylor"</t>
  </si>
  <si>
    <t>"NCAAF:Iowa:Illinois"</t>
  </si>
  <si>
    <t>"NCAAF:Virginia:NCState"</t>
  </si>
  <si>
    <t>"NCAAF:OklahomaState:Houston"</t>
  </si>
  <si>
    <t>"NCAAF:TexasTech:UCF"</t>
  </si>
  <si>
    <t>"NCAAF:SouthAlabama:Marshall"</t>
  </si>
  <si>
    <t>"NCAAF:Georgia:Old"</t>
  </si>
  <si>
    <t>"NCAAF:California:Stanford"</t>
  </si>
  <si>
    <t>"NCAAF:BoiseState:UtahState"</t>
  </si>
  <si>
    <t>"NCAAF:Missouri:Florida"</t>
  </si>
  <si>
    <t>"NCAAF:Wisconsin:Nebraska"</t>
  </si>
  <si>
    <t>"NCAAF:Kentucky:SouthCarolina"</t>
  </si>
  <si>
    <t>"NCAAF:OregonState:Washington"</t>
  </si>
  <si>
    <t>"NCAAF:Georgia:Syracuse"</t>
  </si>
  <si>
    <t>"NCAAF:Texas:IowaState"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</si>
  <si>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</si>
  <si>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</si>
  <si>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</si>
  <si>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</si>
  <si>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</si>
  <si>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</si>
  <si>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</si>
  <si>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</si>
  <si>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</si>
  <si>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</si>
  <si>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BowlingGreen Falcons_Toledo Rockets</t>
  </si>
  <si>
    <t>"NCAAF:Arizona:Utah"</t>
  </si>
  <si>
    <t>NetDecOdds0</t>
  </si>
  <si>
    <t>netDecOdds1</t>
  </si>
  <si>
    <t xml:space="preserve"> "Odds"</t>
  </si>
  <si>
    <t>see odds in columns J&amp;K</t>
  </si>
  <si>
    <t>0.512 +/- (x/1e3)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</si>
</sst>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#,##0;[Red]#,##0"/>
    <numFmt numFmtId="169" formatCode="0.0000000"/>
    <numFmt numFmtId="170" formatCode="#,##0.000;[Red]#,##0.00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10" fillId="0" borderId="0" applyFont="0" applyFill="0" applyBorder="0" applyAlignment="0" applyProtection="0"/>
    <xf numFmtId="0" fontId="11" fillId="0" borderId="0"/>
  </cellStyleXfs>
  <cellXfs count="43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5" borderId="1" xfId="0" applyFill="1" applyBorder="1"/>
    <xf numFmtId="0" fontId="9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9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0" fontId="3" fillId="7" borderId="12" xfId="5" applyFont="1" applyFill="1" applyBorder="1" applyAlignment="1">
      <alignment horizontal="center"/>
    </xf>
    <xf numFmtId="0" fontId="3" fillId="0" borderId="13" xfId="5" applyFont="1" applyBorder="1" applyAlignment="1">
      <alignment wrapText="1"/>
    </xf>
    <xf numFmtId="0" fontId="3" fillId="0" borderId="13" xfId="5" applyFont="1" applyBorder="1" applyAlignment="1">
      <alignment horizontal="right" wrapText="1"/>
    </xf>
    <xf numFmtId="2" fontId="3" fillId="0" borderId="13" xfId="5" applyNumberFormat="1" applyFont="1" applyBorder="1" applyAlignment="1">
      <alignment horizontal="right" wrapText="1"/>
    </xf>
    <xf numFmtId="9" fontId="2" fillId="0" borderId="0" xfId="4" applyFont="1"/>
    <xf numFmtId="170" fontId="2" fillId="0" borderId="0" xfId="0" applyNumberFormat="1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</cellXfs>
  <cellStyles count="6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Normal_FromMSAccess" xfId="5" xr:uid="{E9B33717-1BAB-4AA3-8A30-805E55A5B4AE}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130175</xdr:colOff>
      <xdr:row>0</xdr:row>
      <xdr:rowOff>95250</xdr:rowOff>
    </xdr:from>
    <xdr:to>
      <xdr:col>8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O36"/>
  <sheetViews>
    <sheetView tabSelected="1" topLeftCell="A9" zoomScaleNormal="100" workbookViewId="0">
      <selection activeCell="D15" sqref="D15"/>
    </sheetView>
  </sheetViews>
  <sheetFormatPr defaultRowHeight="15" x14ac:dyDescent="0.25"/>
  <cols>
    <col min="2" max="2" width="10.140625" customWidth="1"/>
    <col min="3" max="3" width="12.42578125" customWidth="1"/>
    <col min="4" max="4" width="36.7109375" customWidth="1"/>
    <col min="5" max="5" width="20" customWidth="1"/>
    <col min="6" max="6" width="17.42578125" customWidth="1"/>
    <col min="7" max="8" width="19.140625" customWidth="1"/>
    <col min="9" max="9" width="28" customWidth="1"/>
    <col min="10" max="10" width="24.140625" customWidth="1"/>
    <col min="11" max="11" width="23.7109375" customWidth="1"/>
    <col min="12" max="12" width="22.42578125" customWidth="1"/>
  </cols>
  <sheetData>
    <row r="2" spans="1:15" x14ac:dyDescent="0.25">
      <c r="C2" s="2"/>
      <c r="D2" s="2"/>
      <c r="E2" s="14"/>
      <c r="F2" s="5"/>
      <c r="G2" t="s">
        <v>79</v>
      </c>
    </row>
    <row r="3" spans="1:15" x14ac:dyDescent="0.25">
      <c r="E3" s="7" t="s">
        <v>6</v>
      </c>
    </row>
    <row r="4" spans="1:15" ht="15.75" thickBot="1" x14ac:dyDescent="0.3">
      <c r="A4" t="s">
        <v>3</v>
      </c>
      <c r="D4" t="s">
        <v>0</v>
      </c>
      <c r="E4" t="s">
        <v>1</v>
      </c>
      <c r="F4" t="s">
        <v>2</v>
      </c>
      <c r="G4" s="3" t="s">
        <v>7</v>
      </c>
      <c r="I4" s="3" t="s">
        <v>7</v>
      </c>
      <c r="J4" s="3" t="s">
        <v>80</v>
      </c>
      <c r="K4" s="3" t="s">
        <v>81</v>
      </c>
      <c r="L4" s="3" t="s">
        <v>82</v>
      </c>
    </row>
    <row r="5" spans="1:15" x14ac:dyDescent="0.25">
      <c r="A5" s="1">
        <v>0</v>
      </c>
      <c r="D5" s="18" t="s">
        <v>282</v>
      </c>
      <c r="E5" s="19">
        <v>1700351100</v>
      </c>
      <c r="F5" s="23">
        <v>165</v>
      </c>
      <c r="G5" s="27">
        <v>0</v>
      </c>
      <c r="H5" s="11">
        <f>E5/86400+25569-5/24</f>
        <v>45248.781249999993</v>
      </c>
      <c r="I5" s="17" t="s">
        <v>126</v>
      </c>
      <c r="J5" s="17" t="str">
        <f ca="1">OFFSET(K5,0,G5)</f>
        <v>Aspinall</v>
      </c>
      <c r="K5" t="s">
        <v>126</v>
      </c>
      <c r="L5" t="s">
        <v>128</v>
      </c>
      <c r="M5">
        <v>0</v>
      </c>
      <c r="N5">
        <f ca="1">IF(I5=J5,0,1)</f>
        <v>0</v>
      </c>
      <c r="O5">
        <f>G5-M5</f>
        <v>0</v>
      </c>
    </row>
    <row r="6" spans="1:15" x14ac:dyDescent="0.25">
      <c r="A6" s="1">
        <v>1</v>
      </c>
      <c r="D6" s="20" t="s">
        <v>278</v>
      </c>
      <c r="E6" s="30">
        <v>1700352899</v>
      </c>
      <c r="F6" s="24">
        <v>222</v>
      </c>
      <c r="G6" s="28">
        <v>0</v>
      </c>
      <c r="H6" s="11">
        <f t="shared" ref="H6:H36" si="0">E6/86400+25569-5/24</f>
        <v>45248.802071759252</v>
      </c>
      <c r="I6" s="17" t="s">
        <v>127</v>
      </c>
      <c r="J6" s="17" t="str">
        <f t="shared" ref="J6:J36" ca="1" si="1">OFFSET(K6,0,G6)</f>
        <v>Pereira</v>
      </c>
      <c r="K6" t="s">
        <v>127</v>
      </c>
      <c r="L6" t="s">
        <v>129</v>
      </c>
      <c r="M6">
        <v>0</v>
      </c>
      <c r="N6">
        <f t="shared" ref="N6:N34" ca="1" si="2">IF(I6=J6,0,1)</f>
        <v>0</v>
      </c>
      <c r="O6">
        <f t="shared" ref="O6:O34" si="3">G6-M6</f>
        <v>0</v>
      </c>
    </row>
    <row r="7" spans="1:15" x14ac:dyDescent="0.25">
      <c r="A7" s="1">
        <v>2</v>
      </c>
      <c r="D7" s="20" t="s">
        <v>281</v>
      </c>
      <c r="E7" s="31">
        <v>1700354700</v>
      </c>
      <c r="F7" s="24">
        <v>288</v>
      </c>
      <c r="G7" s="28">
        <v>0</v>
      </c>
      <c r="H7" s="11">
        <f t="shared" si="0"/>
        <v>45248.822916666664</v>
      </c>
      <c r="I7" s="17" t="s">
        <v>55</v>
      </c>
      <c r="J7" s="17" t="str">
        <f t="shared" ca="1" si="1"/>
        <v>Alabama</v>
      </c>
      <c r="K7" t="s">
        <v>55</v>
      </c>
      <c r="L7" t="s">
        <v>54</v>
      </c>
      <c r="M7">
        <v>0</v>
      </c>
      <c r="N7">
        <f t="shared" ca="1" si="2"/>
        <v>0</v>
      </c>
      <c r="O7">
        <f t="shared" si="3"/>
        <v>0</v>
      </c>
    </row>
    <row r="8" spans="1:15" x14ac:dyDescent="0.25">
      <c r="A8" s="1">
        <v>3</v>
      </c>
      <c r="D8" s="20" t="s">
        <v>348</v>
      </c>
      <c r="E8" s="31">
        <v>1700278200</v>
      </c>
      <c r="F8" s="24">
        <v>140</v>
      </c>
      <c r="G8" s="28">
        <v>0</v>
      </c>
      <c r="H8" s="11">
        <f t="shared" si="0"/>
        <v>45247.937499999993</v>
      </c>
      <c r="I8" s="17" t="s">
        <v>130</v>
      </c>
      <c r="J8" s="17" t="str">
        <f t="shared" ca="1" si="1"/>
        <v>Michigan</v>
      </c>
      <c r="K8" t="s">
        <v>130</v>
      </c>
      <c r="L8" t="s">
        <v>51</v>
      </c>
      <c r="M8">
        <v>0</v>
      </c>
      <c r="N8">
        <f t="shared" ca="1" si="2"/>
        <v>0</v>
      </c>
      <c r="O8">
        <f t="shared" si="3"/>
        <v>0</v>
      </c>
    </row>
    <row r="9" spans="1:15" x14ac:dyDescent="0.25">
      <c r="A9" s="1">
        <v>4</v>
      </c>
      <c r="D9" s="20" t="s">
        <v>354</v>
      </c>
      <c r="E9" s="31">
        <v>1700326800</v>
      </c>
      <c r="F9" s="24">
        <v>141</v>
      </c>
      <c r="G9" s="28">
        <v>0</v>
      </c>
      <c r="H9" s="11">
        <f t="shared" si="0"/>
        <v>45248.499999999993</v>
      </c>
      <c r="I9" s="17" t="s">
        <v>131</v>
      </c>
      <c r="J9" s="17" t="str">
        <f t="shared" ca="1" si="1"/>
        <v>Michigan-4.5</v>
      </c>
      <c r="K9" t="s">
        <v>131</v>
      </c>
      <c r="L9" t="s">
        <v>51</v>
      </c>
      <c r="M9">
        <v>0</v>
      </c>
      <c r="N9">
        <f t="shared" ca="1" si="2"/>
        <v>0</v>
      </c>
      <c r="O9">
        <f t="shared" si="3"/>
        <v>0</v>
      </c>
    </row>
    <row r="10" spans="1:15" x14ac:dyDescent="0.25">
      <c r="A10" s="1">
        <v>5</v>
      </c>
      <c r="D10" s="20" t="s">
        <v>355</v>
      </c>
      <c r="E10" s="31">
        <v>1700326800</v>
      </c>
      <c r="F10" s="24">
        <v>9</v>
      </c>
      <c r="G10" s="28">
        <v>1</v>
      </c>
      <c r="H10" s="11">
        <f t="shared" si="0"/>
        <v>45248.499999999993</v>
      </c>
      <c r="I10" s="17" t="s">
        <v>20</v>
      </c>
      <c r="J10" s="17" t="str">
        <f t="shared" ca="1" si="1"/>
        <v>TexasTech</v>
      </c>
      <c r="K10" t="s">
        <v>52</v>
      </c>
      <c r="L10" t="s">
        <v>20</v>
      </c>
      <c r="M10">
        <v>1</v>
      </c>
      <c r="N10">
        <f t="shared" ca="1" si="2"/>
        <v>0</v>
      </c>
      <c r="O10">
        <f t="shared" si="3"/>
        <v>0</v>
      </c>
    </row>
    <row r="11" spans="1:15" x14ac:dyDescent="0.25">
      <c r="A11" s="1">
        <v>6</v>
      </c>
      <c r="D11" s="20" t="s">
        <v>357</v>
      </c>
      <c r="E11" s="31">
        <v>1700330400</v>
      </c>
      <c r="F11" s="24">
        <v>236</v>
      </c>
      <c r="G11" s="28">
        <v>0</v>
      </c>
      <c r="H11" s="11">
        <f t="shared" si="0"/>
        <v>45248.541666666664</v>
      </c>
      <c r="I11" s="17" t="s">
        <v>56</v>
      </c>
      <c r="J11" s="17" t="str">
        <f t="shared" ca="1" si="1"/>
        <v>Arizona</v>
      </c>
      <c r="K11" t="s">
        <v>56</v>
      </c>
      <c r="L11" t="s">
        <v>73</v>
      </c>
      <c r="M11">
        <v>0</v>
      </c>
      <c r="N11">
        <f t="shared" ca="1" si="2"/>
        <v>0</v>
      </c>
      <c r="O11">
        <f t="shared" si="3"/>
        <v>0</v>
      </c>
    </row>
    <row r="12" spans="1:15" s="4" customFormat="1" x14ac:dyDescent="0.25">
      <c r="A12" s="1">
        <v>7</v>
      </c>
      <c r="B12"/>
      <c r="C12"/>
      <c r="D12" s="20" t="s">
        <v>364</v>
      </c>
      <c r="E12" s="31">
        <v>1700335800</v>
      </c>
      <c r="F12" s="24">
        <v>200</v>
      </c>
      <c r="G12" s="28">
        <v>1</v>
      </c>
      <c r="H12" s="11">
        <f t="shared" si="0"/>
        <v>45248.604166666664</v>
      </c>
      <c r="I12" s="17" t="s">
        <v>71</v>
      </c>
      <c r="J12" s="17" t="str">
        <f t="shared" ca="1" si="1"/>
        <v>Northwestern</v>
      </c>
      <c r="K12" s="4" t="s">
        <v>132</v>
      </c>
      <c r="L12" s="4" t="s">
        <v>71</v>
      </c>
      <c r="M12">
        <v>1</v>
      </c>
      <c r="N12">
        <f t="shared" ca="1" si="2"/>
        <v>0</v>
      </c>
      <c r="O12">
        <f t="shared" si="3"/>
        <v>0</v>
      </c>
    </row>
    <row r="13" spans="1:15" x14ac:dyDescent="0.25">
      <c r="A13" s="1">
        <v>8</v>
      </c>
      <c r="D13" s="20" t="s">
        <v>401</v>
      </c>
      <c r="E13" s="31">
        <v>1700335800</v>
      </c>
      <c r="F13" s="24">
        <v>2</v>
      </c>
      <c r="G13" s="28">
        <v>1</v>
      </c>
      <c r="H13" s="11">
        <f t="shared" si="0"/>
        <v>45248.604166666664</v>
      </c>
      <c r="I13" s="17" t="s">
        <v>133</v>
      </c>
      <c r="J13" s="17" t="str">
        <f t="shared" ca="1" si="1"/>
        <v>UCF</v>
      </c>
      <c r="K13" t="s">
        <v>50</v>
      </c>
      <c r="L13" t="s">
        <v>133</v>
      </c>
      <c r="M13">
        <v>1</v>
      </c>
      <c r="N13">
        <f t="shared" ca="1" si="2"/>
        <v>0</v>
      </c>
      <c r="O13">
        <f t="shared" si="3"/>
        <v>0</v>
      </c>
    </row>
    <row r="14" spans="1:15" x14ac:dyDescent="0.25">
      <c r="A14" s="1">
        <v>9</v>
      </c>
      <c r="D14" s="20" t="s">
        <v>368</v>
      </c>
      <c r="E14" s="31">
        <v>1700337600</v>
      </c>
      <c r="F14" s="24">
        <v>121</v>
      </c>
      <c r="G14" s="28">
        <v>0</v>
      </c>
      <c r="H14" s="11">
        <f t="shared" si="0"/>
        <v>45248.624999999993</v>
      </c>
      <c r="I14" s="17" t="s">
        <v>53</v>
      </c>
      <c r="J14" s="17" t="str">
        <f t="shared" ca="1" si="1"/>
        <v>Washington</v>
      </c>
      <c r="K14" t="s">
        <v>53</v>
      </c>
      <c r="L14" t="s">
        <v>47</v>
      </c>
      <c r="M14">
        <v>0</v>
      </c>
      <c r="N14">
        <f t="shared" ca="1" si="2"/>
        <v>0</v>
      </c>
      <c r="O14">
        <f t="shared" si="3"/>
        <v>0</v>
      </c>
    </row>
    <row r="15" spans="1:15" x14ac:dyDescent="0.25">
      <c r="A15" s="1">
        <v>10</v>
      </c>
      <c r="D15" s="20" t="s">
        <v>371</v>
      </c>
      <c r="E15" s="31">
        <v>1700339399</v>
      </c>
      <c r="F15" s="24">
        <v>212</v>
      </c>
      <c r="G15" s="28">
        <v>0</v>
      </c>
      <c r="H15" s="11">
        <f t="shared" si="0"/>
        <v>45248.645821759252</v>
      </c>
      <c r="I15" s="17" t="s">
        <v>49</v>
      </c>
      <c r="J15" s="17" t="str">
        <f t="shared" ca="1" si="1"/>
        <v>Iowa</v>
      </c>
      <c r="K15" t="s">
        <v>49</v>
      </c>
      <c r="L15" t="s">
        <v>134</v>
      </c>
      <c r="M15">
        <v>0</v>
      </c>
      <c r="N15">
        <f t="shared" ca="1" si="2"/>
        <v>0</v>
      </c>
      <c r="O15">
        <f t="shared" si="3"/>
        <v>0</v>
      </c>
    </row>
    <row r="16" spans="1:15" x14ac:dyDescent="0.25">
      <c r="A16" s="1">
        <v>11</v>
      </c>
      <c r="D16" s="20" t="s">
        <v>283</v>
      </c>
      <c r="E16" s="31">
        <v>1700339399</v>
      </c>
      <c r="F16" s="24">
        <v>273</v>
      </c>
      <c r="G16" s="28">
        <v>1</v>
      </c>
      <c r="H16" s="11">
        <f t="shared" si="0"/>
        <v>45248.645821759252</v>
      </c>
      <c r="I16" s="17" t="s">
        <v>136</v>
      </c>
      <c r="J16" s="17" t="str">
        <f t="shared" ca="1" si="1"/>
        <v>Missouri</v>
      </c>
      <c r="K16" t="s">
        <v>135</v>
      </c>
      <c r="L16" t="s">
        <v>136</v>
      </c>
      <c r="M16">
        <v>1</v>
      </c>
      <c r="N16">
        <f t="shared" ca="1" si="2"/>
        <v>0</v>
      </c>
      <c r="O16">
        <f t="shared" si="3"/>
        <v>0</v>
      </c>
    </row>
    <row r="17" spans="1:15" x14ac:dyDescent="0.25">
      <c r="A17" s="1">
        <v>12</v>
      </c>
      <c r="D17" s="20" t="s">
        <v>372</v>
      </c>
      <c r="E17" s="31">
        <v>1700339399</v>
      </c>
      <c r="F17" s="24">
        <v>197</v>
      </c>
      <c r="G17" s="28">
        <v>0</v>
      </c>
      <c r="H17" s="11">
        <f t="shared" si="0"/>
        <v>45248.645821759252</v>
      </c>
      <c r="I17" s="17" t="s">
        <v>137</v>
      </c>
      <c r="J17" s="17" t="str">
        <f t="shared" ca="1" si="1"/>
        <v>Purdue</v>
      </c>
      <c r="K17" t="s">
        <v>137</v>
      </c>
      <c r="L17" t="s">
        <v>48</v>
      </c>
      <c r="M17">
        <v>0</v>
      </c>
      <c r="N17">
        <f t="shared" ca="1" si="2"/>
        <v>0</v>
      </c>
      <c r="O17">
        <f t="shared" si="3"/>
        <v>0</v>
      </c>
    </row>
    <row r="18" spans="1:15" x14ac:dyDescent="0.25">
      <c r="A18" s="1">
        <v>13</v>
      </c>
      <c r="D18" s="20" t="s">
        <v>375</v>
      </c>
      <c r="E18" s="31">
        <v>1700339399</v>
      </c>
      <c r="F18" s="24">
        <v>321</v>
      </c>
      <c r="G18" s="28">
        <v>1</v>
      </c>
      <c r="H18" s="11">
        <f t="shared" si="0"/>
        <v>45248.645821759252</v>
      </c>
      <c r="I18" s="17" t="s">
        <v>138</v>
      </c>
      <c r="J18" s="17" t="str">
        <f t="shared" ca="1" si="1"/>
        <v>Auburn</v>
      </c>
      <c r="K18" t="s">
        <v>45</v>
      </c>
      <c r="L18" t="s">
        <v>138</v>
      </c>
      <c r="M18">
        <v>1</v>
      </c>
      <c r="N18">
        <f t="shared" ca="1" si="2"/>
        <v>0</v>
      </c>
      <c r="O18">
        <f t="shared" si="3"/>
        <v>0</v>
      </c>
    </row>
    <row r="19" spans="1:15" x14ac:dyDescent="0.25">
      <c r="A19" s="1">
        <v>14</v>
      </c>
      <c r="D19" s="20" t="s">
        <v>376</v>
      </c>
      <c r="E19" s="31">
        <v>1700339399</v>
      </c>
      <c r="F19" s="24">
        <v>102</v>
      </c>
      <c r="G19" s="28">
        <v>1</v>
      </c>
      <c r="H19" s="11">
        <f t="shared" si="0"/>
        <v>45248.645821759252</v>
      </c>
      <c r="I19" s="17" t="s">
        <v>140</v>
      </c>
      <c r="J19" s="17" t="str">
        <f t="shared" ca="1" si="1"/>
        <v>Cincinnati</v>
      </c>
      <c r="K19" t="s">
        <v>139</v>
      </c>
      <c r="L19" t="s">
        <v>140</v>
      </c>
      <c r="M19">
        <v>1</v>
      </c>
      <c r="N19">
        <f t="shared" ca="1" si="2"/>
        <v>0</v>
      </c>
      <c r="O19">
        <f t="shared" si="3"/>
        <v>0</v>
      </c>
    </row>
    <row r="20" spans="1:15" x14ac:dyDescent="0.25">
      <c r="A20" s="1">
        <v>15</v>
      </c>
      <c r="D20" s="20" t="s">
        <v>382</v>
      </c>
      <c r="E20" s="31">
        <v>1700350199</v>
      </c>
      <c r="F20" s="24">
        <v>204</v>
      </c>
      <c r="G20" s="28">
        <v>0</v>
      </c>
      <c r="H20" s="11">
        <f t="shared" si="0"/>
        <v>45248.770821759252</v>
      </c>
      <c r="I20" s="17" t="s">
        <v>72</v>
      </c>
      <c r="J20" s="17" t="str">
        <f t="shared" ca="1" si="1"/>
        <v>LSU</v>
      </c>
      <c r="K20" t="s">
        <v>72</v>
      </c>
      <c r="L20" t="s">
        <v>46</v>
      </c>
      <c r="M20">
        <v>0</v>
      </c>
      <c r="N20">
        <f t="shared" ca="1" si="2"/>
        <v>0</v>
      </c>
      <c r="O20">
        <f t="shared" si="3"/>
        <v>0</v>
      </c>
    </row>
    <row r="21" spans="1:15" x14ac:dyDescent="0.25">
      <c r="A21" s="1">
        <v>16</v>
      </c>
      <c r="D21" s="20" t="s">
        <v>383</v>
      </c>
      <c r="E21" s="31">
        <v>1700352000</v>
      </c>
      <c r="F21" s="24">
        <v>106</v>
      </c>
      <c r="G21" s="28">
        <v>0</v>
      </c>
      <c r="H21" s="11">
        <f t="shared" si="0"/>
        <v>45248.791666666664</v>
      </c>
      <c r="I21" s="17" t="s">
        <v>141</v>
      </c>
      <c r="J21" s="17" t="str">
        <f t="shared" ca="1" si="1"/>
        <v>Georgia</v>
      </c>
      <c r="K21" t="s">
        <v>141</v>
      </c>
      <c r="L21" t="s">
        <v>27</v>
      </c>
      <c r="M21">
        <v>0</v>
      </c>
      <c r="N21">
        <f t="shared" ca="1" si="2"/>
        <v>0</v>
      </c>
      <c r="O21">
        <f t="shared" si="3"/>
        <v>0</v>
      </c>
    </row>
    <row r="22" spans="1:15" x14ac:dyDescent="0.25">
      <c r="A22" s="1">
        <v>17</v>
      </c>
      <c r="D22" s="20" t="s">
        <v>384</v>
      </c>
      <c r="E22" s="31">
        <v>1700353800</v>
      </c>
      <c r="F22" s="24">
        <v>290</v>
      </c>
      <c r="G22" s="28">
        <v>0</v>
      </c>
      <c r="H22" s="11">
        <f t="shared" si="0"/>
        <v>45248.812499999993</v>
      </c>
      <c r="I22" s="17" t="s">
        <v>44</v>
      </c>
      <c r="J22" s="17" t="str">
        <f t="shared" ca="1" si="1"/>
        <v>Texas</v>
      </c>
      <c r="K22" t="s">
        <v>44</v>
      </c>
      <c r="L22" t="s">
        <v>142</v>
      </c>
      <c r="M22">
        <v>0</v>
      </c>
      <c r="N22">
        <f t="shared" ca="1" si="2"/>
        <v>0</v>
      </c>
      <c r="O22">
        <f t="shared" si="3"/>
        <v>0</v>
      </c>
    </row>
    <row r="23" spans="1:15" x14ac:dyDescent="0.25">
      <c r="A23" s="1">
        <v>18</v>
      </c>
      <c r="D23" s="20" t="s">
        <v>386</v>
      </c>
      <c r="E23" s="31">
        <v>1700353800</v>
      </c>
      <c r="F23" s="24">
        <v>34</v>
      </c>
      <c r="G23" s="28">
        <v>0</v>
      </c>
      <c r="H23" s="11">
        <f t="shared" si="0"/>
        <v>45248.812499999993</v>
      </c>
      <c r="I23" s="17" t="s">
        <v>67</v>
      </c>
      <c r="J23" s="17" t="str">
        <f t="shared" ca="1" si="1"/>
        <v>Colts</v>
      </c>
      <c r="K23" t="s">
        <v>67</v>
      </c>
      <c r="L23" t="s">
        <v>60</v>
      </c>
      <c r="M23">
        <v>0</v>
      </c>
      <c r="N23">
        <f t="shared" ca="1" si="2"/>
        <v>0</v>
      </c>
      <c r="O23">
        <f t="shared" si="3"/>
        <v>0</v>
      </c>
    </row>
    <row r="24" spans="1:15" x14ac:dyDescent="0.25">
      <c r="A24" s="1">
        <v>19</v>
      </c>
      <c r="D24" s="20" t="s">
        <v>387</v>
      </c>
      <c r="E24" s="31">
        <v>1700353800</v>
      </c>
      <c r="F24" s="24">
        <v>47</v>
      </c>
      <c r="G24" s="28">
        <v>1</v>
      </c>
      <c r="H24" s="11">
        <f t="shared" si="0"/>
        <v>45248.812499999993</v>
      </c>
      <c r="I24" s="17" t="s">
        <v>66</v>
      </c>
      <c r="J24" s="17" t="str">
        <f t="shared" ca="1" si="1"/>
        <v>Browns</v>
      </c>
      <c r="K24" t="s">
        <v>65</v>
      </c>
      <c r="L24" t="s">
        <v>66</v>
      </c>
      <c r="M24">
        <v>1</v>
      </c>
      <c r="N24">
        <f t="shared" ca="1" si="2"/>
        <v>0</v>
      </c>
      <c r="O24">
        <f t="shared" si="3"/>
        <v>0</v>
      </c>
    </row>
    <row r="25" spans="1:15" x14ac:dyDescent="0.25">
      <c r="A25" s="1">
        <v>20</v>
      </c>
      <c r="D25" s="20" t="s">
        <v>389</v>
      </c>
      <c r="E25" s="31">
        <v>1700355599</v>
      </c>
      <c r="F25" s="24">
        <v>247</v>
      </c>
      <c r="G25" s="28">
        <v>1</v>
      </c>
      <c r="H25" s="11">
        <f t="shared" si="0"/>
        <v>45248.833321759252</v>
      </c>
      <c r="I25" s="17" t="s">
        <v>57</v>
      </c>
      <c r="J25" s="17" t="str">
        <f t="shared" ca="1" si="1"/>
        <v>Texans</v>
      </c>
      <c r="K25" t="s">
        <v>69</v>
      </c>
      <c r="L25" t="s">
        <v>57</v>
      </c>
      <c r="M25">
        <v>1</v>
      </c>
      <c r="N25">
        <f t="shared" ca="1" si="2"/>
        <v>0</v>
      </c>
      <c r="O25">
        <f t="shared" si="3"/>
        <v>0</v>
      </c>
    </row>
    <row r="26" spans="1:15" x14ac:dyDescent="0.25">
      <c r="A26" s="1">
        <v>21</v>
      </c>
      <c r="D26" s="20" t="s">
        <v>287</v>
      </c>
      <c r="E26" s="31">
        <v>1700416860</v>
      </c>
      <c r="F26" s="24">
        <v>311</v>
      </c>
      <c r="G26" s="28">
        <v>0</v>
      </c>
      <c r="H26" s="11">
        <f t="shared" si="0"/>
        <v>45249.542361111111</v>
      </c>
      <c r="I26" s="17" t="s">
        <v>143</v>
      </c>
      <c r="J26" s="17" t="str">
        <f t="shared" ca="1" si="1"/>
        <v>Steelers</v>
      </c>
      <c r="K26" t="s">
        <v>143</v>
      </c>
      <c r="L26" t="s">
        <v>64</v>
      </c>
      <c r="M26">
        <v>0</v>
      </c>
      <c r="N26">
        <f t="shared" ca="1" si="2"/>
        <v>0</v>
      </c>
      <c r="O26">
        <f t="shared" si="3"/>
        <v>0</v>
      </c>
    </row>
    <row r="27" spans="1:15" x14ac:dyDescent="0.25">
      <c r="A27" s="1">
        <v>22</v>
      </c>
      <c r="D27" s="20" t="s">
        <v>286</v>
      </c>
      <c r="E27" s="31">
        <v>1700416860</v>
      </c>
      <c r="F27" s="24">
        <v>101</v>
      </c>
      <c r="G27" s="28">
        <v>0</v>
      </c>
      <c r="H27" s="11">
        <f t="shared" si="0"/>
        <v>45249.542361111111</v>
      </c>
      <c r="I27" s="17" t="s">
        <v>144</v>
      </c>
      <c r="J27" s="17" t="str">
        <f t="shared" ca="1" si="1"/>
        <v>49ers</v>
      </c>
      <c r="K27" t="s">
        <v>144</v>
      </c>
      <c r="L27" t="s">
        <v>145</v>
      </c>
      <c r="M27">
        <v>0</v>
      </c>
      <c r="N27">
        <f t="shared" ca="1" si="2"/>
        <v>0</v>
      </c>
      <c r="O27">
        <f t="shared" si="3"/>
        <v>0</v>
      </c>
    </row>
    <row r="28" spans="1:15" x14ac:dyDescent="0.25">
      <c r="A28" s="1">
        <v>23</v>
      </c>
      <c r="D28" s="20" t="s">
        <v>288</v>
      </c>
      <c r="E28" s="31">
        <v>1700416860</v>
      </c>
      <c r="F28" s="24">
        <v>222</v>
      </c>
      <c r="G28" s="28">
        <v>1</v>
      </c>
      <c r="H28" s="11">
        <f t="shared" si="0"/>
        <v>45249.542361111111</v>
      </c>
      <c r="I28" s="17" t="s">
        <v>61</v>
      </c>
      <c r="J28" s="17" t="str">
        <f t="shared" ca="1" si="1"/>
        <v>Vikings</v>
      </c>
      <c r="K28" t="s">
        <v>63</v>
      </c>
      <c r="L28" t="s">
        <v>61</v>
      </c>
      <c r="M28">
        <v>1</v>
      </c>
      <c r="N28">
        <f t="shared" ca="1" si="2"/>
        <v>0</v>
      </c>
      <c r="O28">
        <f t="shared" si="3"/>
        <v>0</v>
      </c>
    </row>
    <row r="29" spans="1:15" x14ac:dyDescent="0.25">
      <c r="A29" s="1">
        <v>24</v>
      </c>
      <c r="D29" s="20" t="s">
        <v>290</v>
      </c>
      <c r="E29" s="31">
        <v>1700416860</v>
      </c>
      <c r="F29" s="24">
        <v>335</v>
      </c>
      <c r="G29" s="28">
        <v>0</v>
      </c>
      <c r="H29" s="11">
        <f t="shared" si="0"/>
        <v>45249.542361111111</v>
      </c>
      <c r="I29" s="17" t="s">
        <v>58</v>
      </c>
      <c r="J29" s="17" t="str">
        <f t="shared" ca="1" si="1"/>
        <v>Buccaneers</v>
      </c>
      <c r="K29" t="s">
        <v>58</v>
      </c>
      <c r="L29" t="s">
        <v>146</v>
      </c>
      <c r="M29">
        <v>0</v>
      </c>
      <c r="N29">
        <f t="shared" ca="1" si="2"/>
        <v>0</v>
      </c>
      <c r="O29">
        <f t="shared" si="3"/>
        <v>0</v>
      </c>
    </row>
    <row r="30" spans="1:15" s="6" customFormat="1" x14ac:dyDescent="0.25">
      <c r="A30" s="9">
        <v>25</v>
      </c>
      <c r="B30"/>
      <c r="C30"/>
      <c r="D30" s="20" t="s">
        <v>289</v>
      </c>
      <c r="E30" s="31">
        <v>1700416860</v>
      </c>
      <c r="F30" s="24">
        <v>140</v>
      </c>
      <c r="G30" s="28">
        <v>1</v>
      </c>
      <c r="H30" s="11">
        <f t="shared" si="0"/>
        <v>45249.542361111111</v>
      </c>
      <c r="I30" s="17" t="s">
        <v>75</v>
      </c>
      <c r="J30" s="17" t="str">
        <f t="shared" ca="1" si="1"/>
        <v>Cardinals</v>
      </c>
      <c r="K30" s="6" t="s">
        <v>62</v>
      </c>
      <c r="L30" s="6" t="s">
        <v>75</v>
      </c>
      <c r="M30">
        <v>1</v>
      </c>
      <c r="N30">
        <f t="shared" ca="1" si="2"/>
        <v>0</v>
      </c>
      <c r="O30">
        <f t="shared" si="3"/>
        <v>0</v>
      </c>
    </row>
    <row r="31" spans="1:15" x14ac:dyDescent="0.25">
      <c r="A31" s="1">
        <v>26</v>
      </c>
      <c r="D31" s="20" t="s">
        <v>284</v>
      </c>
      <c r="E31" s="31">
        <v>1700416860</v>
      </c>
      <c r="F31" s="24">
        <v>304</v>
      </c>
      <c r="G31" s="28">
        <v>0</v>
      </c>
      <c r="H31" s="11">
        <f t="shared" si="0"/>
        <v>45249.542361111111</v>
      </c>
      <c r="I31" s="17" t="s">
        <v>147</v>
      </c>
      <c r="J31" s="17" t="str">
        <f t="shared" ca="1" si="1"/>
        <v>Lions</v>
      </c>
      <c r="K31" t="s">
        <v>147</v>
      </c>
      <c r="L31" t="s">
        <v>76</v>
      </c>
      <c r="M31">
        <v>0</v>
      </c>
      <c r="N31">
        <f t="shared" ca="1" si="2"/>
        <v>0</v>
      </c>
      <c r="O31">
        <f t="shared" si="3"/>
        <v>0</v>
      </c>
    </row>
    <row r="32" spans="1:15" x14ac:dyDescent="0.25">
      <c r="A32" s="1">
        <v>27</v>
      </c>
      <c r="D32" s="20" t="s">
        <v>285</v>
      </c>
      <c r="E32" s="31">
        <v>1700416860</v>
      </c>
      <c r="F32" s="24">
        <v>161</v>
      </c>
      <c r="G32" s="28">
        <v>0</v>
      </c>
      <c r="H32" s="11">
        <f t="shared" si="0"/>
        <v>45249.542361111111</v>
      </c>
      <c r="I32" s="17" t="s">
        <v>74</v>
      </c>
      <c r="J32" s="17" t="str">
        <f t="shared" ca="1" si="1"/>
        <v>Seahawks</v>
      </c>
      <c r="K32" t="s">
        <v>74</v>
      </c>
      <c r="L32" t="s">
        <v>59</v>
      </c>
      <c r="M32">
        <v>0</v>
      </c>
      <c r="N32">
        <f t="shared" ca="1" si="2"/>
        <v>0</v>
      </c>
      <c r="O32">
        <f t="shared" si="3"/>
        <v>0</v>
      </c>
    </row>
    <row r="33" spans="1:15" x14ac:dyDescent="0.25">
      <c r="A33" s="1">
        <v>28</v>
      </c>
      <c r="D33" s="20" t="s">
        <v>291</v>
      </c>
      <c r="E33" s="31">
        <v>1700429160</v>
      </c>
      <c r="F33" s="24">
        <v>8</v>
      </c>
      <c r="G33" s="28">
        <v>1</v>
      </c>
      <c r="H33" s="11">
        <f t="shared" si="0"/>
        <v>45249.68472222222</v>
      </c>
      <c r="I33" s="17" t="s">
        <v>68</v>
      </c>
      <c r="J33" s="17" t="str">
        <f t="shared" ca="1" si="1"/>
        <v>Raiders</v>
      </c>
      <c r="K33" t="s">
        <v>77</v>
      </c>
      <c r="L33" t="s">
        <v>68</v>
      </c>
      <c r="M33">
        <v>1</v>
      </c>
      <c r="N33">
        <f t="shared" ca="1" si="2"/>
        <v>0</v>
      </c>
      <c r="O33">
        <f t="shared" si="3"/>
        <v>0</v>
      </c>
    </row>
    <row r="34" spans="1:15" x14ac:dyDescent="0.25">
      <c r="A34" s="1">
        <v>29</v>
      </c>
      <c r="D34" s="20" t="s">
        <v>292</v>
      </c>
      <c r="E34" s="31">
        <v>1700429160</v>
      </c>
      <c r="F34" s="24">
        <v>246</v>
      </c>
      <c r="G34" s="28">
        <v>1</v>
      </c>
      <c r="H34" s="11">
        <f t="shared" si="0"/>
        <v>45249.68472222222</v>
      </c>
      <c r="I34" s="17" t="s">
        <v>148</v>
      </c>
      <c r="J34" s="17" t="str">
        <f t="shared" ca="1" si="1"/>
        <v>Broncos</v>
      </c>
      <c r="K34" t="s">
        <v>70</v>
      </c>
      <c r="L34" t="s">
        <v>148</v>
      </c>
      <c r="M34">
        <v>1</v>
      </c>
      <c r="N34">
        <f t="shared" ca="1" si="2"/>
        <v>0</v>
      </c>
      <c r="O34">
        <f t="shared" si="3"/>
        <v>0</v>
      </c>
    </row>
    <row r="35" spans="1:15" ht="15.75" x14ac:dyDescent="0.25">
      <c r="A35" s="1">
        <v>30</v>
      </c>
      <c r="D35" s="20" t="s">
        <v>293</v>
      </c>
      <c r="E35" s="31">
        <v>1700443260</v>
      </c>
      <c r="F35" s="24">
        <v>42</v>
      </c>
      <c r="G35" s="28">
        <v>2</v>
      </c>
      <c r="H35" s="11">
        <f t="shared" si="0"/>
        <v>45249.847916666666</v>
      </c>
      <c r="I35" s="15"/>
      <c r="J35" s="17">
        <f t="shared" ca="1" si="1"/>
        <v>0</v>
      </c>
      <c r="K35" t="s">
        <v>149</v>
      </c>
      <c r="L35" t="s">
        <v>150</v>
      </c>
    </row>
    <row r="36" spans="1:15" ht="16.5" thickBot="1" x14ac:dyDescent="0.3">
      <c r="A36" s="1">
        <v>31</v>
      </c>
      <c r="D36" s="21" t="s">
        <v>294</v>
      </c>
      <c r="E36" s="22">
        <v>1700529359</v>
      </c>
      <c r="F36" s="25">
        <v>80</v>
      </c>
      <c r="G36" s="29">
        <v>2</v>
      </c>
      <c r="H36" s="11">
        <f t="shared" si="0"/>
        <v>45250.84443287037</v>
      </c>
      <c r="I36" s="15"/>
      <c r="J36" s="17">
        <f t="shared" ca="1" si="1"/>
        <v>0</v>
      </c>
      <c r="K36" t="s">
        <v>149</v>
      </c>
      <c r="L36" t="s">
        <v>150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N51"/>
  <sheetViews>
    <sheetView topLeftCell="D10" zoomScaleNormal="100" workbookViewId="0">
      <selection activeCell="E6" sqref="E6"/>
    </sheetView>
  </sheetViews>
  <sheetFormatPr defaultRowHeight="15" x14ac:dyDescent="0.25"/>
  <cols>
    <col min="2" max="2" width="33.28515625" customWidth="1"/>
    <col min="3" max="3" width="34.42578125" bestFit="1" customWidth="1"/>
    <col min="4" max="4" width="15.140625" customWidth="1"/>
    <col min="5" max="5" width="18.28515625" customWidth="1"/>
    <col min="6" max="6" width="11.85546875" customWidth="1"/>
    <col min="7" max="7" width="23.140625" customWidth="1"/>
    <col min="8" max="8" width="19.140625" customWidth="1"/>
    <col min="9" max="9" width="22.140625" customWidth="1"/>
    <col min="10" max="10" width="14.7109375" customWidth="1"/>
    <col min="11" max="11" width="15.7109375" customWidth="1"/>
    <col min="12" max="12" width="39" bestFit="1" customWidth="1"/>
    <col min="13" max="13" width="33.42578125" customWidth="1"/>
  </cols>
  <sheetData>
    <row r="1" spans="1:14" ht="12.75" customHeight="1" x14ac:dyDescent="0.25"/>
    <row r="2" spans="1:14" x14ac:dyDescent="0.25">
      <c r="C2" s="2"/>
      <c r="D2" s="2"/>
      <c r="E2" s="2"/>
      <c r="F2" s="14"/>
      <c r="G2" s="5"/>
    </row>
    <row r="4" spans="1:14" x14ac:dyDescent="0.25">
      <c r="F4" s="7"/>
    </row>
    <row r="5" spans="1:14" x14ac:dyDescent="0.25">
      <c r="E5" t="s">
        <v>405</v>
      </c>
      <c r="F5" s="7"/>
    </row>
    <row r="6" spans="1:14" x14ac:dyDescent="0.25">
      <c r="D6" s="7" t="s">
        <v>6</v>
      </c>
      <c r="E6" s="42" t="s">
        <v>406</v>
      </c>
      <c r="H6" t="s">
        <v>398</v>
      </c>
    </row>
    <row r="7" spans="1:14" ht="15.75" thickBot="1" x14ac:dyDescent="0.3">
      <c r="A7" t="s">
        <v>3</v>
      </c>
      <c r="B7" s="3"/>
      <c r="C7" s="3" t="s">
        <v>0</v>
      </c>
      <c r="D7" s="3" t="s">
        <v>1</v>
      </c>
      <c r="E7" s="41" t="s">
        <v>404</v>
      </c>
      <c r="G7" s="3" t="s">
        <v>78</v>
      </c>
      <c r="H7" s="3" t="s">
        <v>395</v>
      </c>
      <c r="J7" s="3" t="s">
        <v>402</v>
      </c>
      <c r="K7" s="3" t="s">
        <v>403</v>
      </c>
      <c r="L7" s="3"/>
      <c r="M7" s="3"/>
    </row>
    <row r="8" spans="1:14" x14ac:dyDescent="0.25">
      <c r="A8" s="1">
        <v>0</v>
      </c>
      <c r="B8">
        <v>0</v>
      </c>
      <c r="C8" s="18" t="s">
        <v>282</v>
      </c>
      <c r="D8" s="19">
        <v>1700351100</v>
      </c>
      <c r="E8" s="23">
        <v>165</v>
      </c>
      <c r="F8" s="1"/>
      <c r="G8" s="11">
        <f>D8/86400+25569-6/24</f>
        <v>45248.739583333328</v>
      </c>
      <c r="H8">
        <f>IF(AND(D8&gt;D$48,D$49&gt;D8),0,1)</f>
        <v>0</v>
      </c>
      <c r="I8" s="26"/>
      <c r="J8" s="2">
        <f>(10000000/(512+E8)/10000-1)*0.95+1</f>
        <v>1.4532496307237814</v>
      </c>
      <c r="K8" s="2">
        <f>(10000000/(512-E8)/10000-1)*0.95+1</f>
        <v>2.7877521613832852</v>
      </c>
    </row>
    <row r="9" spans="1:14" x14ac:dyDescent="0.25">
      <c r="A9" s="1">
        <v>1</v>
      </c>
      <c r="B9">
        <v>1</v>
      </c>
      <c r="C9" s="20" t="s">
        <v>278</v>
      </c>
      <c r="D9" s="30">
        <v>1700352899</v>
      </c>
      <c r="E9" s="24">
        <v>222</v>
      </c>
      <c r="F9" s="26"/>
      <c r="G9" s="11">
        <f t="shared" ref="G9:G39" si="0">D9/86400+25569-6/24</f>
        <v>45248.760405092587</v>
      </c>
      <c r="H9">
        <f t="shared" ref="H9:H39" si="1">IF(AND(D9&gt;D$48,D$49&gt;D9),0,1)</f>
        <v>0</v>
      </c>
      <c r="I9" s="39"/>
      <c r="J9" s="2">
        <f t="shared" ref="J9:J39" si="2">(10000000/(512+E9)/10000-1)*0.95+1</f>
        <v>1.3442779291553135</v>
      </c>
      <c r="K9" s="2">
        <f t="shared" ref="K9:K39" si="3">(10000000/(512-E9)/10000-1)*0.95+1</f>
        <v>3.3258620689655167</v>
      </c>
    </row>
    <row r="10" spans="1:14" x14ac:dyDescent="0.25">
      <c r="A10" s="1">
        <v>2</v>
      </c>
      <c r="B10">
        <v>2</v>
      </c>
      <c r="C10" s="20" t="s">
        <v>281</v>
      </c>
      <c r="D10" s="31">
        <v>1700354700</v>
      </c>
      <c r="E10" s="24">
        <v>288</v>
      </c>
      <c r="F10" s="26"/>
      <c r="G10" s="11">
        <f t="shared" si="0"/>
        <v>45248.78125</v>
      </c>
      <c r="H10">
        <f t="shared" si="1"/>
        <v>0</v>
      </c>
      <c r="I10" s="26"/>
      <c r="J10" s="2">
        <f t="shared" si="2"/>
        <v>1.2375</v>
      </c>
      <c r="K10" s="2">
        <f t="shared" si="3"/>
        <v>4.2910714285714286</v>
      </c>
    </row>
    <row r="11" spans="1:14" x14ac:dyDescent="0.25">
      <c r="A11" s="1">
        <v>3</v>
      </c>
      <c r="B11">
        <v>3</v>
      </c>
      <c r="C11" s="20" t="s">
        <v>348</v>
      </c>
      <c r="D11" s="31">
        <v>1700278200</v>
      </c>
      <c r="E11" s="24">
        <v>140</v>
      </c>
      <c r="F11" s="26"/>
      <c r="G11" s="11">
        <f t="shared" si="0"/>
        <v>45247.895833333328</v>
      </c>
      <c r="H11">
        <f t="shared" si="1"/>
        <v>0</v>
      </c>
      <c r="I11" s="26"/>
      <c r="J11" s="2">
        <f t="shared" si="2"/>
        <v>1.5070552147239265</v>
      </c>
      <c r="K11" s="2">
        <f t="shared" si="3"/>
        <v>2.6037634408602148</v>
      </c>
    </row>
    <row r="12" spans="1:14" x14ac:dyDescent="0.25">
      <c r="A12" s="1">
        <v>4</v>
      </c>
      <c r="B12">
        <v>4</v>
      </c>
      <c r="C12" s="20" t="s">
        <v>354</v>
      </c>
      <c r="D12" s="31">
        <v>1700326800</v>
      </c>
      <c r="E12" s="24">
        <v>141</v>
      </c>
      <c r="F12" s="26"/>
      <c r="G12" s="11">
        <f t="shared" si="0"/>
        <v>45248.458333333328</v>
      </c>
      <c r="H12">
        <f t="shared" si="1"/>
        <v>0</v>
      </c>
      <c r="I12" s="26"/>
      <c r="J12" s="2">
        <f t="shared" si="2"/>
        <v>1.5048238897396633</v>
      </c>
      <c r="K12" s="2">
        <f t="shared" si="3"/>
        <v>2.610646900269542</v>
      </c>
    </row>
    <row r="13" spans="1:14" x14ac:dyDescent="0.25">
      <c r="A13" s="1">
        <v>5</v>
      </c>
      <c r="B13">
        <v>5</v>
      </c>
      <c r="C13" s="20" t="s">
        <v>355</v>
      </c>
      <c r="D13" s="31">
        <v>1700326800</v>
      </c>
      <c r="E13" s="24">
        <v>9</v>
      </c>
      <c r="F13" s="26"/>
      <c r="G13" s="11">
        <f t="shared" si="0"/>
        <v>45248.458333333328</v>
      </c>
      <c r="H13">
        <f t="shared" si="1"/>
        <v>0</v>
      </c>
      <c r="I13" s="26"/>
      <c r="J13" s="2">
        <f t="shared" si="2"/>
        <v>1.8734165067178501</v>
      </c>
      <c r="K13" s="2">
        <f t="shared" si="3"/>
        <v>1.9386679920477139</v>
      </c>
    </row>
    <row r="14" spans="1:14" x14ac:dyDescent="0.25">
      <c r="A14" s="1">
        <v>6</v>
      </c>
      <c r="B14">
        <v>6</v>
      </c>
      <c r="C14" s="20" t="s">
        <v>357</v>
      </c>
      <c r="D14" s="31">
        <v>1700330400</v>
      </c>
      <c r="E14" s="24">
        <v>236</v>
      </c>
      <c r="F14" s="26"/>
      <c r="G14" s="11">
        <f t="shared" si="0"/>
        <v>45248.5</v>
      </c>
      <c r="H14">
        <f t="shared" si="1"/>
        <v>0</v>
      </c>
      <c r="I14" s="26"/>
      <c r="J14" s="2">
        <f t="shared" si="2"/>
        <v>1.3200534759358289</v>
      </c>
      <c r="K14" s="2">
        <f t="shared" si="3"/>
        <v>3.4920289855072464</v>
      </c>
    </row>
    <row r="15" spans="1:14" s="4" customFormat="1" x14ac:dyDescent="0.25">
      <c r="A15" s="1">
        <v>7</v>
      </c>
      <c r="B15">
        <v>7</v>
      </c>
      <c r="C15" s="20" t="s">
        <v>364</v>
      </c>
      <c r="D15" s="31">
        <v>1700335800</v>
      </c>
      <c r="E15" s="24">
        <v>200</v>
      </c>
      <c r="F15" s="26"/>
      <c r="G15" s="11">
        <f t="shared" si="0"/>
        <v>45248.5625</v>
      </c>
      <c r="H15">
        <f t="shared" si="1"/>
        <v>0</v>
      </c>
      <c r="I15" s="26"/>
      <c r="J15" s="2">
        <f t="shared" si="2"/>
        <v>1.3842696629213482</v>
      </c>
      <c r="K15" s="2">
        <f t="shared" si="3"/>
        <v>3.094871794871795</v>
      </c>
      <c r="L15"/>
      <c r="M15"/>
      <c r="N15"/>
    </row>
    <row r="16" spans="1:14" x14ac:dyDescent="0.25">
      <c r="A16" s="1">
        <v>8</v>
      </c>
      <c r="B16">
        <v>8</v>
      </c>
      <c r="C16" s="20" t="s">
        <v>401</v>
      </c>
      <c r="D16" s="31">
        <v>1700335800</v>
      </c>
      <c r="E16" s="24">
        <v>2</v>
      </c>
      <c r="F16" s="26"/>
      <c r="G16" s="11">
        <f t="shared" si="0"/>
        <v>45248.5625</v>
      </c>
      <c r="H16">
        <f t="shared" si="1"/>
        <v>0</v>
      </c>
      <c r="I16" s="26"/>
      <c r="J16" s="2">
        <f t="shared" si="2"/>
        <v>1.898249027237354</v>
      </c>
      <c r="K16" s="2">
        <f t="shared" si="3"/>
        <v>1.9127450980392156</v>
      </c>
    </row>
    <row r="17" spans="1:11" x14ac:dyDescent="0.25">
      <c r="A17" s="1">
        <v>9</v>
      </c>
      <c r="B17">
        <v>9</v>
      </c>
      <c r="C17" s="20" t="s">
        <v>368</v>
      </c>
      <c r="D17" s="31">
        <v>1700337600</v>
      </c>
      <c r="E17" s="24">
        <v>121</v>
      </c>
      <c r="F17" s="26"/>
      <c r="G17" s="11">
        <f t="shared" si="0"/>
        <v>45248.583333333328</v>
      </c>
      <c r="H17">
        <f t="shared" si="1"/>
        <v>0</v>
      </c>
      <c r="I17" s="26"/>
      <c r="J17" s="2">
        <f t="shared" si="2"/>
        <v>1.5507898894154817</v>
      </c>
      <c r="K17" s="2">
        <f t="shared" si="3"/>
        <v>2.4796675191815858</v>
      </c>
    </row>
    <row r="18" spans="1:11" x14ac:dyDescent="0.25">
      <c r="A18" s="1">
        <v>10</v>
      </c>
      <c r="B18">
        <v>10</v>
      </c>
      <c r="C18" s="20" t="s">
        <v>371</v>
      </c>
      <c r="D18" s="31">
        <v>1700339399</v>
      </c>
      <c r="E18" s="24">
        <v>212</v>
      </c>
      <c r="F18" s="26"/>
      <c r="G18" s="11">
        <f t="shared" si="0"/>
        <v>45248.604155092587</v>
      </c>
      <c r="H18">
        <f t="shared" si="1"/>
        <v>0</v>
      </c>
      <c r="I18" s="26"/>
      <c r="J18" s="2">
        <f t="shared" si="2"/>
        <v>1.3621546961325968</v>
      </c>
      <c r="K18" s="2">
        <f t="shared" si="3"/>
        <v>3.2166666666666668</v>
      </c>
    </row>
    <row r="19" spans="1:11" x14ac:dyDescent="0.25">
      <c r="A19" s="1">
        <v>11</v>
      </c>
      <c r="B19">
        <v>11</v>
      </c>
      <c r="C19" s="20" t="s">
        <v>283</v>
      </c>
      <c r="D19" s="31">
        <v>1700339399</v>
      </c>
      <c r="E19" s="24">
        <v>273</v>
      </c>
      <c r="F19" s="26"/>
      <c r="G19" s="11">
        <f t="shared" si="0"/>
        <v>45248.604155092587</v>
      </c>
      <c r="H19">
        <f t="shared" si="1"/>
        <v>0</v>
      </c>
      <c r="I19" s="26"/>
      <c r="J19" s="2">
        <f t="shared" si="2"/>
        <v>1.2601910828025478</v>
      </c>
      <c r="K19" s="2">
        <f t="shared" si="3"/>
        <v>4.024895397489539</v>
      </c>
    </row>
    <row r="20" spans="1:11" x14ac:dyDescent="0.25">
      <c r="A20" s="1">
        <v>12</v>
      </c>
      <c r="B20">
        <v>12</v>
      </c>
      <c r="C20" s="20" t="s">
        <v>372</v>
      </c>
      <c r="D20" s="31">
        <v>1700339399</v>
      </c>
      <c r="E20" s="24">
        <v>197</v>
      </c>
      <c r="F20" s="26"/>
      <c r="G20" s="11">
        <f t="shared" si="0"/>
        <v>45248.604155092587</v>
      </c>
      <c r="H20">
        <f t="shared" si="1"/>
        <v>0</v>
      </c>
      <c r="I20" s="26"/>
      <c r="J20" s="2">
        <f t="shared" si="2"/>
        <v>1.3899153737658674</v>
      </c>
      <c r="K20" s="2">
        <f t="shared" si="3"/>
        <v>3.0658730158730156</v>
      </c>
    </row>
    <row r="21" spans="1:11" x14ac:dyDescent="0.25">
      <c r="A21" s="1">
        <v>13</v>
      </c>
      <c r="B21">
        <v>13</v>
      </c>
      <c r="C21" s="20" t="s">
        <v>375</v>
      </c>
      <c r="D21" s="31">
        <v>1700339399</v>
      </c>
      <c r="E21" s="24">
        <v>321</v>
      </c>
      <c r="F21" s="26"/>
      <c r="G21" s="11">
        <f t="shared" si="0"/>
        <v>45248.604155092587</v>
      </c>
      <c r="H21">
        <f t="shared" si="1"/>
        <v>0</v>
      </c>
      <c r="I21" s="26"/>
      <c r="J21" s="2">
        <f t="shared" si="2"/>
        <v>1.1904561824729891</v>
      </c>
      <c r="K21" s="2">
        <f t="shared" si="3"/>
        <v>5.0238219895287965</v>
      </c>
    </row>
    <row r="22" spans="1:11" x14ac:dyDescent="0.25">
      <c r="A22" s="1">
        <v>14</v>
      </c>
      <c r="B22">
        <v>14</v>
      </c>
      <c r="C22" s="20" t="s">
        <v>376</v>
      </c>
      <c r="D22" s="31">
        <v>1700339399</v>
      </c>
      <c r="E22" s="24">
        <v>102</v>
      </c>
      <c r="F22" s="26"/>
      <c r="G22" s="11">
        <f t="shared" si="0"/>
        <v>45248.604155092587</v>
      </c>
      <c r="H22">
        <f t="shared" si="1"/>
        <v>0</v>
      </c>
      <c r="I22" s="26"/>
      <c r="J22" s="2">
        <f t="shared" si="2"/>
        <v>1.5972312703583063</v>
      </c>
      <c r="K22" s="2">
        <f t="shared" si="3"/>
        <v>2.3670731707317074</v>
      </c>
    </row>
    <row r="23" spans="1:11" x14ac:dyDescent="0.25">
      <c r="A23" s="1">
        <v>15</v>
      </c>
      <c r="B23">
        <v>15</v>
      </c>
      <c r="C23" s="20" t="s">
        <v>382</v>
      </c>
      <c r="D23" s="31">
        <v>1700350199</v>
      </c>
      <c r="E23" s="24">
        <v>204</v>
      </c>
      <c r="F23" s="26"/>
      <c r="G23" s="11">
        <f t="shared" si="0"/>
        <v>45248.729155092587</v>
      </c>
      <c r="H23">
        <f t="shared" si="1"/>
        <v>0</v>
      </c>
      <c r="I23" s="26"/>
      <c r="J23" s="2">
        <f t="shared" si="2"/>
        <v>1.3768156424581006</v>
      </c>
      <c r="K23" s="2">
        <f t="shared" si="3"/>
        <v>3.1344155844155841</v>
      </c>
    </row>
    <row r="24" spans="1:11" x14ac:dyDescent="0.25">
      <c r="A24" s="1">
        <v>16</v>
      </c>
      <c r="B24">
        <v>16</v>
      </c>
      <c r="C24" s="20" t="s">
        <v>383</v>
      </c>
      <c r="D24" s="31">
        <v>1700352000</v>
      </c>
      <c r="E24" s="24">
        <v>106</v>
      </c>
      <c r="F24" s="26"/>
      <c r="G24" s="11">
        <f t="shared" si="0"/>
        <v>45248.75</v>
      </c>
      <c r="H24">
        <f t="shared" si="1"/>
        <v>0</v>
      </c>
      <c r="I24" s="26"/>
      <c r="J24" s="2">
        <f t="shared" si="2"/>
        <v>1.5872168284789643</v>
      </c>
      <c r="K24" s="2">
        <f t="shared" si="3"/>
        <v>2.3899014778325123</v>
      </c>
    </row>
    <row r="25" spans="1:11" x14ac:dyDescent="0.25">
      <c r="A25" s="1">
        <v>17</v>
      </c>
      <c r="B25">
        <v>17</v>
      </c>
      <c r="C25" s="20" t="s">
        <v>384</v>
      </c>
      <c r="D25" s="31">
        <v>1700353800</v>
      </c>
      <c r="E25" s="24">
        <v>290</v>
      </c>
      <c r="F25" s="26"/>
      <c r="G25" s="11">
        <f t="shared" si="0"/>
        <v>45248.770833333328</v>
      </c>
      <c r="H25">
        <f t="shared" si="1"/>
        <v>0</v>
      </c>
      <c r="I25" s="26"/>
      <c r="J25" s="2">
        <f t="shared" si="2"/>
        <v>1.2345386533665836</v>
      </c>
      <c r="K25" s="2">
        <f t="shared" si="3"/>
        <v>4.3292792792792794</v>
      </c>
    </row>
    <row r="26" spans="1:11" x14ac:dyDescent="0.25">
      <c r="A26" s="1">
        <v>18</v>
      </c>
      <c r="B26">
        <v>18</v>
      </c>
      <c r="C26" s="20" t="s">
        <v>386</v>
      </c>
      <c r="D26" s="31">
        <v>1700353800</v>
      </c>
      <c r="E26" s="24">
        <v>34</v>
      </c>
      <c r="F26" s="26"/>
      <c r="G26" s="11">
        <f t="shared" si="0"/>
        <v>45248.770833333328</v>
      </c>
      <c r="H26">
        <f t="shared" si="1"/>
        <v>0</v>
      </c>
      <c r="I26" s="26"/>
      <c r="J26" s="2">
        <f t="shared" si="2"/>
        <v>1.7899267399267398</v>
      </c>
      <c r="K26" s="2">
        <f t="shared" si="3"/>
        <v>2.0374476987447698</v>
      </c>
    </row>
    <row r="27" spans="1:11" x14ac:dyDescent="0.25">
      <c r="A27" s="1">
        <v>19</v>
      </c>
      <c r="B27">
        <v>19</v>
      </c>
      <c r="C27" s="20" t="s">
        <v>387</v>
      </c>
      <c r="D27" s="31">
        <v>1700353800</v>
      </c>
      <c r="E27" s="24">
        <v>47</v>
      </c>
      <c r="F27" s="26"/>
      <c r="G27" s="11">
        <f t="shared" si="0"/>
        <v>45248.770833333328</v>
      </c>
      <c r="H27">
        <f t="shared" si="1"/>
        <v>0</v>
      </c>
      <c r="I27" s="26"/>
      <c r="J27" s="2">
        <f t="shared" si="2"/>
        <v>1.7494633273703042</v>
      </c>
      <c r="K27" s="2">
        <f t="shared" si="3"/>
        <v>2.0930107526881718</v>
      </c>
    </row>
    <row r="28" spans="1:11" x14ac:dyDescent="0.25">
      <c r="A28" s="1">
        <v>20</v>
      </c>
      <c r="B28">
        <v>20</v>
      </c>
      <c r="C28" s="20" t="s">
        <v>389</v>
      </c>
      <c r="D28" s="31">
        <v>1700355599</v>
      </c>
      <c r="E28" s="24">
        <v>247</v>
      </c>
      <c r="F28" s="26"/>
      <c r="G28" s="11">
        <f t="shared" si="0"/>
        <v>45248.791655092587</v>
      </c>
      <c r="H28">
        <f t="shared" si="1"/>
        <v>0</v>
      </c>
      <c r="I28" s="26"/>
      <c r="J28" s="2">
        <f t="shared" si="2"/>
        <v>1.3016469038208169</v>
      </c>
      <c r="K28" s="2">
        <f t="shared" si="3"/>
        <v>3.6349056603773584</v>
      </c>
    </row>
    <row r="29" spans="1:11" x14ac:dyDescent="0.25">
      <c r="A29" s="1">
        <v>21</v>
      </c>
      <c r="B29">
        <v>21</v>
      </c>
      <c r="C29" s="20" t="s">
        <v>287</v>
      </c>
      <c r="D29" s="31">
        <v>1700416860</v>
      </c>
      <c r="E29" s="24">
        <v>311</v>
      </c>
      <c r="F29" s="26"/>
      <c r="G29" s="11">
        <f t="shared" si="0"/>
        <v>45249.500694444447</v>
      </c>
      <c r="H29">
        <f t="shared" si="1"/>
        <v>0</v>
      </c>
      <c r="I29" s="26"/>
      <c r="J29" s="2">
        <f t="shared" si="2"/>
        <v>1.2043134872417984</v>
      </c>
      <c r="K29" s="2">
        <f t="shared" si="3"/>
        <v>4.7763681592039795</v>
      </c>
    </row>
    <row r="30" spans="1:11" x14ac:dyDescent="0.25">
      <c r="A30" s="1">
        <v>22</v>
      </c>
      <c r="B30">
        <v>22</v>
      </c>
      <c r="C30" s="20" t="s">
        <v>286</v>
      </c>
      <c r="D30" s="31">
        <v>1700416860</v>
      </c>
      <c r="E30" s="24">
        <v>101</v>
      </c>
      <c r="F30" s="26"/>
      <c r="G30" s="11">
        <f t="shared" si="0"/>
        <v>45249.500694444447</v>
      </c>
      <c r="H30">
        <f t="shared" si="1"/>
        <v>0</v>
      </c>
      <c r="I30" s="26"/>
      <c r="J30" s="2">
        <f t="shared" si="2"/>
        <v>1.5997553017944535</v>
      </c>
      <c r="K30" s="2">
        <f t="shared" si="3"/>
        <v>2.3614355231143556</v>
      </c>
    </row>
    <row r="31" spans="1:11" x14ac:dyDescent="0.25">
      <c r="A31" s="1">
        <v>23</v>
      </c>
      <c r="B31">
        <v>23</v>
      </c>
      <c r="C31" s="20" t="s">
        <v>288</v>
      </c>
      <c r="D31" s="31">
        <v>1700416860</v>
      </c>
      <c r="E31" s="24">
        <v>222</v>
      </c>
      <c r="F31" s="26"/>
      <c r="G31" s="11">
        <f t="shared" si="0"/>
        <v>45249.500694444447</v>
      </c>
      <c r="H31">
        <f t="shared" si="1"/>
        <v>0</v>
      </c>
      <c r="I31" s="26"/>
      <c r="J31" s="2">
        <f t="shared" si="2"/>
        <v>1.3442779291553135</v>
      </c>
      <c r="K31" s="2">
        <f t="shared" si="3"/>
        <v>3.3258620689655167</v>
      </c>
    </row>
    <row r="32" spans="1:11" x14ac:dyDescent="0.25">
      <c r="A32" s="1">
        <v>24</v>
      </c>
      <c r="B32">
        <v>24</v>
      </c>
      <c r="C32" s="20" t="s">
        <v>290</v>
      </c>
      <c r="D32" s="31">
        <v>1700416860</v>
      </c>
      <c r="E32" s="24">
        <v>335</v>
      </c>
      <c r="F32" s="1"/>
      <c r="G32" s="11">
        <f t="shared" si="0"/>
        <v>45249.500694444447</v>
      </c>
      <c r="H32">
        <f t="shared" si="1"/>
        <v>0</v>
      </c>
      <c r="I32" s="26"/>
      <c r="J32" s="2">
        <f t="shared" si="2"/>
        <v>1.1716056670602124</v>
      </c>
      <c r="K32" s="2">
        <f t="shared" si="3"/>
        <v>5.4172316384180785</v>
      </c>
    </row>
    <row r="33" spans="1:14" s="6" customFormat="1" x14ac:dyDescent="0.25">
      <c r="A33" s="1">
        <v>25</v>
      </c>
      <c r="B33">
        <v>25</v>
      </c>
      <c r="C33" s="20" t="s">
        <v>289</v>
      </c>
      <c r="D33" s="31">
        <v>1700416860</v>
      </c>
      <c r="E33" s="24">
        <v>140</v>
      </c>
      <c r="F33" s="40"/>
      <c r="G33" s="11">
        <f t="shared" si="0"/>
        <v>45249.500694444447</v>
      </c>
      <c r="H33">
        <f t="shared" si="1"/>
        <v>0</v>
      </c>
      <c r="I33" s="26"/>
      <c r="J33" s="2">
        <f t="shared" si="2"/>
        <v>1.5070552147239265</v>
      </c>
      <c r="K33" s="2">
        <f t="shared" si="3"/>
        <v>2.6037634408602148</v>
      </c>
      <c r="L33"/>
      <c r="M33"/>
      <c r="N33"/>
    </row>
    <row r="34" spans="1:14" x14ac:dyDescent="0.25">
      <c r="A34" s="1">
        <v>26</v>
      </c>
      <c r="B34">
        <v>26</v>
      </c>
      <c r="C34" s="20" t="s">
        <v>284</v>
      </c>
      <c r="D34" s="31">
        <v>1700416860</v>
      </c>
      <c r="E34" s="24">
        <v>304</v>
      </c>
      <c r="F34" s="13"/>
      <c r="G34" s="11">
        <f t="shared" si="0"/>
        <v>45249.500694444447</v>
      </c>
      <c r="H34">
        <f t="shared" si="1"/>
        <v>0</v>
      </c>
      <c r="I34" s="26"/>
      <c r="J34" s="2">
        <f t="shared" si="2"/>
        <v>1.2142156862745097</v>
      </c>
      <c r="K34" s="2">
        <f t="shared" si="3"/>
        <v>4.6173076923076923</v>
      </c>
    </row>
    <row r="35" spans="1:14" x14ac:dyDescent="0.25">
      <c r="A35" s="1">
        <v>27</v>
      </c>
      <c r="B35">
        <v>27</v>
      </c>
      <c r="C35" s="20" t="s">
        <v>285</v>
      </c>
      <c r="D35" s="31">
        <v>1700416860</v>
      </c>
      <c r="E35" s="24">
        <v>161</v>
      </c>
      <c r="F35" s="26"/>
      <c r="G35" s="11">
        <f t="shared" si="0"/>
        <v>45249.500694444447</v>
      </c>
      <c r="H35">
        <f t="shared" si="1"/>
        <v>0</v>
      </c>
      <c r="I35" s="26"/>
      <c r="J35" s="2">
        <f t="shared" si="2"/>
        <v>1.4615898959881131</v>
      </c>
      <c r="K35" s="2">
        <f t="shared" si="3"/>
        <v>2.7565527065527062</v>
      </c>
    </row>
    <row r="36" spans="1:14" x14ac:dyDescent="0.25">
      <c r="A36" s="1">
        <v>28</v>
      </c>
      <c r="B36">
        <v>28</v>
      </c>
      <c r="C36" s="20" t="s">
        <v>291</v>
      </c>
      <c r="D36" s="31">
        <v>1700429160</v>
      </c>
      <c r="E36" s="24">
        <v>8</v>
      </c>
      <c r="F36" s="26"/>
      <c r="G36" s="11">
        <f t="shared" si="0"/>
        <v>45249.643055555556</v>
      </c>
      <c r="H36">
        <f t="shared" si="1"/>
        <v>0</v>
      </c>
      <c r="I36" s="26"/>
      <c r="J36" s="2">
        <f t="shared" si="2"/>
        <v>1.8769230769230769</v>
      </c>
      <c r="K36" s="2">
        <f t="shared" si="3"/>
        <v>1.9349206349206349</v>
      </c>
    </row>
    <row r="37" spans="1:14" x14ac:dyDescent="0.25">
      <c r="A37" s="1">
        <v>29</v>
      </c>
      <c r="B37">
        <v>29</v>
      </c>
      <c r="C37" s="20" t="s">
        <v>292</v>
      </c>
      <c r="D37" s="31">
        <v>1700429160</v>
      </c>
      <c r="E37" s="24">
        <v>246</v>
      </c>
      <c r="F37" s="26"/>
      <c r="G37" s="11">
        <f t="shared" si="0"/>
        <v>45249.643055555556</v>
      </c>
      <c r="H37">
        <f t="shared" si="1"/>
        <v>0</v>
      </c>
      <c r="I37" s="26"/>
      <c r="J37" s="2">
        <f t="shared" si="2"/>
        <v>1.3032981530343006</v>
      </c>
      <c r="K37" s="2">
        <f t="shared" si="3"/>
        <v>3.6214285714285714</v>
      </c>
    </row>
    <row r="38" spans="1:14" x14ac:dyDescent="0.25">
      <c r="A38" s="1">
        <v>30</v>
      </c>
      <c r="B38">
        <v>30</v>
      </c>
      <c r="C38" s="20" t="s">
        <v>293</v>
      </c>
      <c r="D38" s="31">
        <v>1700443260</v>
      </c>
      <c r="E38" s="24">
        <v>42</v>
      </c>
      <c r="F38" s="26"/>
      <c r="G38" s="11">
        <f t="shared" si="0"/>
        <v>45249.806250000001</v>
      </c>
      <c r="H38">
        <f t="shared" si="1"/>
        <v>0</v>
      </c>
      <c r="I38" s="26"/>
      <c r="J38" s="2">
        <f t="shared" si="2"/>
        <v>1.7648014440433215</v>
      </c>
      <c r="K38" s="2">
        <f t="shared" si="3"/>
        <v>2.0712765957446808</v>
      </c>
    </row>
    <row r="39" spans="1:14" ht="15.75" thickBot="1" x14ac:dyDescent="0.3">
      <c r="A39" s="1">
        <v>31</v>
      </c>
      <c r="B39">
        <v>31</v>
      </c>
      <c r="C39" s="21" t="s">
        <v>294</v>
      </c>
      <c r="D39" s="22">
        <v>1700529359</v>
      </c>
      <c r="E39" s="25">
        <v>80</v>
      </c>
      <c r="F39" s="26"/>
      <c r="G39" s="11">
        <f t="shared" si="0"/>
        <v>45250.802766203706</v>
      </c>
      <c r="H39">
        <f t="shared" si="1"/>
        <v>0</v>
      </c>
      <c r="I39" s="26"/>
      <c r="J39" s="2">
        <f t="shared" si="2"/>
        <v>1.6547297297297296</v>
      </c>
      <c r="K39" s="2">
        <f t="shared" si="3"/>
        <v>2.2490740740740742</v>
      </c>
    </row>
    <row r="40" spans="1:14" x14ac:dyDescent="0.25">
      <c r="G40" s="11"/>
    </row>
    <row r="41" spans="1:14" x14ac:dyDescent="0.25">
      <c r="G41" s="11"/>
    </row>
    <row r="42" spans="1:14" x14ac:dyDescent="0.25">
      <c r="C42" s="31" t="s">
        <v>399</v>
      </c>
      <c r="D42" s="33">
        <v>1687554000</v>
      </c>
      <c r="E42" s="11" cm="1">
        <f t="array" ref="E42">[1]!datefromutc(D42)</f>
        <v>45100.875</v>
      </c>
      <c r="G42" s="11"/>
    </row>
    <row r="43" spans="1:14" x14ac:dyDescent="0.25">
      <c r="C43" s="31" t="s">
        <v>390</v>
      </c>
      <c r="D43" s="33">
        <v>345600</v>
      </c>
      <c r="E43" s="34"/>
      <c r="G43" s="11"/>
    </row>
    <row r="44" spans="1:14" x14ac:dyDescent="0.25">
      <c r="C44" s="31" t="s">
        <v>391</v>
      </c>
      <c r="D44" s="33">
        <v>1700070834</v>
      </c>
      <c r="E44" s="11" cm="1">
        <f t="array" ref="E44">[1]!datefromutc(D44)</f>
        <v>45245.745763888888</v>
      </c>
      <c r="G44" s="11"/>
    </row>
    <row r="45" spans="1:14" x14ac:dyDescent="0.25">
      <c r="C45" s="31" t="s">
        <v>392</v>
      </c>
      <c r="D45" s="33">
        <f>D44-D42</f>
        <v>12516834</v>
      </c>
      <c r="E45" s="11"/>
      <c r="G45" s="11"/>
    </row>
    <row r="46" spans="1:14" x14ac:dyDescent="0.25">
      <c r="C46" s="31" t="s">
        <v>393</v>
      </c>
      <c r="D46" s="33">
        <f>MOD(D45,604800)</f>
        <v>420834</v>
      </c>
      <c r="E46" s="11"/>
      <c r="G46" s="11"/>
    </row>
    <row r="47" spans="1:14" x14ac:dyDescent="0.25">
      <c r="C47" s="31" t="s">
        <v>394</v>
      </c>
      <c r="D47" s="33">
        <f>D44-D46</f>
        <v>1699650000</v>
      </c>
      <c r="E47" s="11" cm="1">
        <f t="array" ref="E47">[1]!datefromutc(D47)</f>
        <v>45240.875</v>
      </c>
      <c r="G47" s="11"/>
    </row>
    <row r="48" spans="1:14" x14ac:dyDescent="0.25">
      <c r="C48" s="31" t="s">
        <v>396</v>
      </c>
      <c r="D48" s="33">
        <f>D47+604800</f>
        <v>1700254800</v>
      </c>
      <c r="E48" s="11" cm="1">
        <f t="array" ref="E48">[1]!datefromutc(D48)</f>
        <v>45247.875</v>
      </c>
      <c r="G48" s="11"/>
    </row>
    <row r="49" spans="3:7" x14ac:dyDescent="0.25">
      <c r="C49" s="31" t="s">
        <v>397</v>
      </c>
      <c r="D49" s="33">
        <f>D48+D43</f>
        <v>1700600400</v>
      </c>
      <c r="E49" s="11" cm="1">
        <f t="array" ref="E49">[1]!datefromutc(D49)</f>
        <v>45251.875</v>
      </c>
      <c r="G49" s="11"/>
    </row>
    <row r="50" spans="3:7" x14ac:dyDescent="0.25">
      <c r="D50" s="33"/>
      <c r="E50" s="11"/>
      <c r="G50" s="11"/>
    </row>
    <row r="51" spans="3:7" x14ac:dyDescent="0.25">
      <c r="D51" s="26"/>
      <c r="E51" s="32"/>
      <c r="G51" s="11"/>
    </row>
  </sheetData>
  <sheetProtection selectLockedCells="1"/>
  <sortState xmlns:xlrd2="http://schemas.microsoft.com/office/spreadsheetml/2017/richdata2" ref="I26:N38">
    <sortCondition ref="L26:L38"/>
  </sortState>
  <conditionalFormatting sqref="H8:H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1336"/>
  <sheetViews>
    <sheetView zoomScaleNormal="100" workbookViewId="0">
      <pane ySplit="3600" topLeftCell="A1106"/>
      <selection activeCell="M6" sqref="M6"/>
      <selection pane="bottomLeft" activeCell="G1123" sqref="G1123"/>
    </sheetView>
  </sheetViews>
  <sheetFormatPr defaultRowHeight="15" x14ac:dyDescent="0.25"/>
  <cols>
    <col min="1" max="1" width="24.140625" customWidth="1"/>
    <col min="2" max="2" width="24.42578125" customWidth="1"/>
    <col min="7" max="7" width="43.5703125" customWidth="1"/>
    <col min="8" max="8" width="26.140625" customWidth="1"/>
  </cols>
  <sheetData>
    <row r="1" spans="1:15" x14ac:dyDescent="0.25">
      <c r="A1" t="s">
        <v>11</v>
      </c>
      <c r="B1" t="s">
        <v>18</v>
      </c>
      <c r="C1" t="s">
        <v>17</v>
      </c>
      <c r="D1" t="s">
        <v>16</v>
      </c>
      <c r="E1" t="s">
        <v>15</v>
      </c>
      <c r="G1" s="1" t="s">
        <v>11</v>
      </c>
      <c r="H1" s="1" t="s">
        <v>117</v>
      </c>
      <c r="I1" s="1" t="s">
        <v>17</v>
      </c>
      <c r="J1" s="1" t="s">
        <v>16</v>
      </c>
      <c r="K1" s="1" t="s">
        <v>12</v>
      </c>
      <c r="M1" s="1" t="s">
        <v>8</v>
      </c>
      <c r="N1" s="1" t="s">
        <v>9</v>
      </c>
      <c r="O1" s="1" t="s">
        <v>10</v>
      </c>
    </row>
    <row r="2" spans="1:15" x14ac:dyDescent="0.25">
      <c r="G2" t="s">
        <v>151</v>
      </c>
      <c r="H2" t="s">
        <v>152</v>
      </c>
      <c r="I2">
        <v>3.8</v>
      </c>
      <c r="J2">
        <v>1.28</v>
      </c>
      <c r="K2" t="s">
        <v>8</v>
      </c>
    </row>
    <row r="3" spans="1:15" x14ac:dyDescent="0.25">
      <c r="G3" t="s">
        <v>151</v>
      </c>
      <c r="H3" t="s">
        <v>152</v>
      </c>
      <c r="I3">
        <v>4.2</v>
      </c>
      <c r="J3">
        <v>1.24</v>
      </c>
      <c r="K3" t="s">
        <v>8</v>
      </c>
    </row>
    <row r="4" spans="1:15" x14ac:dyDescent="0.25">
      <c r="G4" t="s">
        <v>151</v>
      </c>
      <c r="H4" t="s">
        <v>152</v>
      </c>
      <c r="I4">
        <v>4.0999999999999996</v>
      </c>
      <c r="J4">
        <v>1.26</v>
      </c>
      <c r="K4" t="s">
        <v>8</v>
      </c>
    </row>
    <row r="5" spans="1:15" x14ac:dyDescent="0.25">
      <c r="G5" t="s">
        <v>151</v>
      </c>
      <c r="H5" t="s">
        <v>152</v>
      </c>
      <c r="I5">
        <v>4.0999999999999996</v>
      </c>
      <c r="J5">
        <v>1.25</v>
      </c>
      <c r="K5" t="s">
        <v>8</v>
      </c>
    </row>
    <row r="6" spans="1:15" x14ac:dyDescent="0.25">
      <c r="G6" t="s">
        <v>151</v>
      </c>
      <c r="H6" t="s">
        <v>152</v>
      </c>
      <c r="I6">
        <v>4</v>
      </c>
      <c r="J6">
        <v>1.25</v>
      </c>
      <c r="K6" t="s">
        <v>8</v>
      </c>
    </row>
    <row r="7" spans="1:15" x14ac:dyDescent="0.25">
      <c r="G7" t="s">
        <v>151</v>
      </c>
      <c r="H7" t="s">
        <v>152</v>
      </c>
      <c r="I7">
        <v>3.85</v>
      </c>
      <c r="J7">
        <v>1.27</v>
      </c>
      <c r="K7" t="s">
        <v>8</v>
      </c>
    </row>
    <row r="8" spans="1:15" x14ac:dyDescent="0.25">
      <c r="G8" t="s">
        <v>151</v>
      </c>
      <c r="H8" t="s">
        <v>152</v>
      </c>
      <c r="I8">
        <v>4.0999999999999996</v>
      </c>
      <c r="J8">
        <v>1.26</v>
      </c>
      <c r="K8" t="s">
        <v>8</v>
      </c>
    </row>
    <row r="9" spans="1:15" x14ac:dyDescent="0.25">
      <c r="G9" t="s">
        <v>151</v>
      </c>
      <c r="H9" t="s">
        <v>152</v>
      </c>
      <c r="I9">
        <v>4.0999999999999996</v>
      </c>
      <c r="J9">
        <v>1.25</v>
      </c>
      <c r="K9" t="s">
        <v>8</v>
      </c>
    </row>
    <row r="10" spans="1:15" x14ac:dyDescent="0.25">
      <c r="G10" t="s">
        <v>151</v>
      </c>
      <c r="H10" t="s">
        <v>152</v>
      </c>
      <c r="I10">
        <v>3.9</v>
      </c>
      <c r="J10">
        <v>1.27</v>
      </c>
      <c r="K10" t="s">
        <v>8</v>
      </c>
    </row>
    <row r="11" spans="1:15" x14ac:dyDescent="0.25">
      <c r="G11" t="s">
        <v>151</v>
      </c>
      <c r="H11" t="s">
        <v>152</v>
      </c>
      <c r="I11">
        <v>4.0999999999999996</v>
      </c>
      <c r="J11">
        <v>1.25</v>
      </c>
      <c r="K11" t="s">
        <v>8</v>
      </c>
    </row>
    <row r="12" spans="1:15" x14ac:dyDescent="0.25">
      <c r="G12" t="s">
        <v>151</v>
      </c>
      <c r="H12" t="s">
        <v>152</v>
      </c>
      <c r="I12">
        <v>3.75</v>
      </c>
      <c r="J12">
        <v>1.29</v>
      </c>
      <c r="K12" t="s">
        <v>8</v>
      </c>
    </row>
    <row r="13" spans="1:15" x14ac:dyDescent="0.25">
      <c r="G13" t="s">
        <v>151</v>
      </c>
      <c r="H13" t="s">
        <v>152</v>
      </c>
      <c r="I13">
        <v>3.9</v>
      </c>
      <c r="J13">
        <v>1.26</v>
      </c>
      <c r="K13" t="s">
        <v>8</v>
      </c>
    </row>
    <row r="14" spans="1:15" x14ac:dyDescent="0.25">
      <c r="G14" t="s">
        <v>153</v>
      </c>
      <c r="H14" t="s">
        <v>152</v>
      </c>
      <c r="I14">
        <v>2.36</v>
      </c>
      <c r="J14">
        <v>1.62</v>
      </c>
      <c r="K14" t="s">
        <v>8</v>
      </c>
    </row>
    <row r="15" spans="1:15" x14ac:dyDescent="0.25">
      <c r="G15" t="s">
        <v>153</v>
      </c>
      <c r="H15" t="s">
        <v>152</v>
      </c>
      <c r="I15">
        <v>2.42</v>
      </c>
      <c r="J15">
        <v>1.58</v>
      </c>
      <c r="K15" t="s">
        <v>8</v>
      </c>
    </row>
    <row r="16" spans="1:15" x14ac:dyDescent="0.25">
      <c r="G16" t="s">
        <v>153</v>
      </c>
      <c r="H16" t="s">
        <v>152</v>
      </c>
      <c r="I16">
        <v>2.4500000000000002</v>
      </c>
      <c r="J16">
        <v>1.61</v>
      </c>
      <c r="K16" t="s">
        <v>8</v>
      </c>
    </row>
    <row r="17" spans="7:11" x14ac:dyDescent="0.25">
      <c r="G17" t="s">
        <v>153</v>
      </c>
      <c r="H17" t="s">
        <v>152</v>
      </c>
      <c r="I17">
        <v>2.38</v>
      </c>
      <c r="J17">
        <v>1.6</v>
      </c>
      <c r="K17" t="s">
        <v>8</v>
      </c>
    </row>
    <row r="18" spans="7:11" x14ac:dyDescent="0.25">
      <c r="G18" t="s">
        <v>153</v>
      </c>
      <c r="H18" t="s">
        <v>152</v>
      </c>
      <c r="I18">
        <v>2.35</v>
      </c>
      <c r="J18">
        <v>1.62</v>
      </c>
      <c r="K18" t="s">
        <v>8</v>
      </c>
    </row>
    <row r="19" spans="7:11" x14ac:dyDescent="0.25">
      <c r="G19" t="s">
        <v>153</v>
      </c>
      <c r="H19" t="s">
        <v>152</v>
      </c>
      <c r="I19">
        <v>2.4300000000000002</v>
      </c>
      <c r="J19">
        <v>1.59</v>
      </c>
      <c r="K19" t="s">
        <v>8</v>
      </c>
    </row>
    <row r="20" spans="7:11" x14ac:dyDescent="0.25">
      <c r="G20" t="s">
        <v>153</v>
      </c>
      <c r="H20" t="s">
        <v>152</v>
      </c>
      <c r="I20">
        <v>2.4500000000000002</v>
      </c>
      <c r="J20">
        <v>1.61</v>
      </c>
      <c r="K20" t="s">
        <v>8</v>
      </c>
    </row>
    <row r="21" spans="7:11" x14ac:dyDescent="0.25">
      <c r="G21" t="s">
        <v>153</v>
      </c>
      <c r="H21" t="s">
        <v>152</v>
      </c>
      <c r="I21">
        <v>2.38</v>
      </c>
      <c r="J21">
        <v>1.6</v>
      </c>
      <c r="K21" t="s">
        <v>8</v>
      </c>
    </row>
    <row r="22" spans="7:11" x14ac:dyDescent="0.25">
      <c r="G22" t="s">
        <v>153</v>
      </c>
      <c r="H22" t="s">
        <v>152</v>
      </c>
      <c r="I22">
        <v>2.4</v>
      </c>
      <c r="J22">
        <v>1.62</v>
      </c>
      <c r="K22" t="s">
        <v>8</v>
      </c>
    </row>
    <row r="23" spans="7:11" x14ac:dyDescent="0.25">
      <c r="G23" t="s">
        <v>153</v>
      </c>
      <c r="H23" t="s">
        <v>152</v>
      </c>
      <c r="I23">
        <v>2.4</v>
      </c>
      <c r="J23">
        <v>1.61</v>
      </c>
      <c r="K23" t="s">
        <v>8</v>
      </c>
    </row>
    <row r="24" spans="7:11" x14ac:dyDescent="0.25">
      <c r="G24" t="s">
        <v>153</v>
      </c>
      <c r="H24" t="s">
        <v>152</v>
      </c>
      <c r="I24">
        <v>2.4500000000000002</v>
      </c>
      <c r="J24">
        <v>1.59</v>
      </c>
      <c r="K24" t="s">
        <v>8</v>
      </c>
    </row>
    <row r="25" spans="7:11" x14ac:dyDescent="0.25">
      <c r="G25" t="s">
        <v>153</v>
      </c>
      <c r="H25" t="s">
        <v>152</v>
      </c>
      <c r="I25">
        <v>2.4500000000000002</v>
      </c>
      <c r="J25">
        <v>1.57</v>
      </c>
      <c r="K25" t="s">
        <v>8</v>
      </c>
    </row>
    <row r="26" spans="7:11" x14ac:dyDescent="0.25">
      <c r="G26" t="s">
        <v>154</v>
      </c>
      <c r="H26" t="s">
        <v>152</v>
      </c>
      <c r="I26">
        <v>1.51</v>
      </c>
      <c r="J26">
        <v>2.64</v>
      </c>
      <c r="K26" t="s">
        <v>8</v>
      </c>
    </row>
    <row r="27" spans="7:11" x14ac:dyDescent="0.25">
      <c r="G27" t="s">
        <v>154</v>
      </c>
      <c r="H27" t="s">
        <v>152</v>
      </c>
      <c r="I27">
        <v>1.5</v>
      </c>
      <c r="J27">
        <v>2.64</v>
      </c>
      <c r="K27" t="s">
        <v>8</v>
      </c>
    </row>
    <row r="28" spans="7:11" x14ac:dyDescent="0.25">
      <c r="G28" t="s">
        <v>154</v>
      </c>
      <c r="H28" t="s">
        <v>152</v>
      </c>
      <c r="I28">
        <v>1.53</v>
      </c>
      <c r="J28">
        <v>2.65</v>
      </c>
      <c r="K28" t="s">
        <v>8</v>
      </c>
    </row>
    <row r="29" spans="7:11" x14ac:dyDescent="0.25">
      <c r="G29" t="s">
        <v>154</v>
      </c>
      <c r="H29" t="s">
        <v>152</v>
      </c>
      <c r="I29">
        <v>1.47</v>
      </c>
      <c r="J29">
        <v>2.7</v>
      </c>
      <c r="K29" t="s">
        <v>8</v>
      </c>
    </row>
    <row r="30" spans="7:11" x14ac:dyDescent="0.25">
      <c r="G30" t="s">
        <v>154</v>
      </c>
      <c r="H30" t="s">
        <v>152</v>
      </c>
      <c r="I30">
        <v>1.5</v>
      </c>
      <c r="J30">
        <v>2.7</v>
      </c>
      <c r="K30" t="s">
        <v>8</v>
      </c>
    </row>
    <row r="31" spans="7:11" x14ac:dyDescent="0.25">
      <c r="G31" t="s">
        <v>154</v>
      </c>
      <c r="H31" t="s">
        <v>152</v>
      </c>
      <c r="I31">
        <v>1.53</v>
      </c>
      <c r="J31">
        <v>2.58</v>
      </c>
      <c r="K31" t="s">
        <v>8</v>
      </c>
    </row>
    <row r="32" spans="7:11" x14ac:dyDescent="0.25">
      <c r="G32" t="s">
        <v>154</v>
      </c>
      <c r="H32" t="s">
        <v>152</v>
      </c>
      <c r="I32">
        <v>1.53</v>
      </c>
      <c r="J32">
        <v>2.65</v>
      </c>
      <c r="K32" t="s">
        <v>8</v>
      </c>
    </row>
    <row r="33" spans="7:11" x14ac:dyDescent="0.25">
      <c r="G33" t="s">
        <v>154</v>
      </c>
      <c r="H33" t="s">
        <v>152</v>
      </c>
      <c r="I33">
        <v>1.47</v>
      </c>
      <c r="J33">
        <v>2.7</v>
      </c>
      <c r="K33" t="s">
        <v>8</v>
      </c>
    </row>
    <row r="34" spans="7:11" x14ac:dyDescent="0.25">
      <c r="G34" t="s">
        <v>154</v>
      </c>
      <c r="H34" t="s">
        <v>152</v>
      </c>
      <c r="I34">
        <v>1.53</v>
      </c>
      <c r="J34">
        <v>2.63</v>
      </c>
      <c r="K34" t="s">
        <v>8</v>
      </c>
    </row>
    <row r="35" spans="7:11" x14ac:dyDescent="0.25">
      <c r="G35" t="s">
        <v>154</v>
      </c>
      <c r="H35" t="s">
        <v>152</v>
      </c>
      <c r="I35">
        <v>1.5</v>
      </c>
      <c r="J35">
        <v>2.65</v>
      </c>
      <c r="K35" t="s">
        <v>8</v>
      </c>
    </row>
    <row r="36" spans="7:11" x14ac:dyDescent="0.25">
      <c r="G36" t="s">
        <v>154</v>
      </c>
      <c r="H36" t="s">
        <v>152</v>
      </c>
      <c r="I36">
        <v>1.53</v>
      </c>
      <c r="J36">
        <v>2.6</v>
      </c>
      <c r="K36" t="s">
        <v>8</v>
      </c>
    </row>
    <row r="37" spans="7:11" x14ac:dyDescent="0.25">
      <c r="G37" t="s">
        <v>154</v>
      </c>
      <c r="H37" t="s">
        <v>152</v>
      </c>
      <c r="I37">
        <v>1.5</v>
      </c>
      <c r="J37">
        <v>2.65</v>
      </c>
      <c r="K37" t="s">
        <v>8</v>
      </c>
    </row>
    <row r="38" spans="7:11" x14ac:dyDescent="0.25">
      <c r="G38" t="s">
        <v>155</v>
      </c>
      <c r="H38" t="s">
        <v>156</v>
      </c>
      <c r="I38">
        <v>4.0999999999999996</v>
      </c>
      <c r="J38">
        <v>1.25</v>
      </c>
      <c r="K38" t="s">
        <v>8</v>
      </c>
    </row>
    <row r="39" spans="7:11" x14ac:dyDescent="0.25">
      <c r="G39" t="s">
        <v>155</v>
      </c>
      <c r="H39" t="s">
        <v>156</v>
      </c>
      <c r="I39">
        <v>4.3</v>
      </c>
      <c r="J39">
        <v>1.23</v>
      </c>
      <c r="K39" t="s">
        <v>8</v>
      </c>
    </row>
    <row r="40" spans="7:11" x14ac:dyDescent="0.25">
      <c r="G40" t="s">
        <v>155</v>
      </c>
      <c r="H40" t="s">
        <v>156</v>
      </c>
      <c r="I40">
        <v>4.3</v>
      </c>
      <c r="J40">
        <v>1.24</v>
      </c>
      <c r="K40" t="s">
        <v>8</v>
      </c>
    </row>
    <row r="41" spans="7:11" x14ac:dyDescent="0.25">
      <c r="G41" t="s">
        <v>155</v>
      </c>
      <c r="H41" t="s">
        <v>156</v>
      </c>
      <c r="I41">
        <v>4.2</v>
      </c>
      <c r="J41">
        <v>1.23</v>
      </c>
      <c r="K41" t="s">
        <v>8</v>
      </c>
    </row>
    <row r="42" spans="7:11" x14ac:dyDescent="0.25">
      <c r="G42" t="s">
        <v>155</v>
      </c>
      <c r="H42" t="s">
        <v>156</v>
      </c>
      <c r="I42">
        <v>4.28</v>
      </c>
      <c r="J42">
        <v>1.23</v>
      </c>
      <c r="K42" t="s">
        <v>8</v>
      </c>
    </row>
    <row r="43" spans="7:11" x14ac:dyDescent="0.25">
      <c r="G43" t="s">
        <v>155</v>
      </c>
      <c r="H43" t="s">
        <v>156</v>
      </c>
      <c r="I43">
        <v>4.4000000000000004</v>
      </c>
      <c r="J43">
        <v>1.2</v>
      </c>
      <c r="K43" t="s">
        <v>8</v>
      </c>
    </row>
    <row r="44" spans="7:11" x14ac:dyDescent="0.25">
      <c r="G44" t="s">
        <v>155</v>
      </c>
      <c r="H44" t="s">
        <v>156</v>
      </c>
      <c r="I44">
        <v>4.3</v>
      </c>
      <c r="J44">
        <v>1.24</v>
      </c>
      <c r="K44" t="s">
        <v>8</v>
      </c>
    </row>
    <row r="45" spans="7:11" x14ac:dyDescent="0.25">
      <c r="G45" t="s">
        <v>155</v>
      </c>
      <c r="H45" t="s">
        <v>156</v>
      </c>
      <c r="I45">
        <v>4.4000000000000004</v>
      </c>
      <c r="J45">
        <v>1.2</v>
      </c>
      <c r="K45" t="s">
        <v>8</v>
      </c>
    </row>
    <row r="46" spans="7:11" x14ac:dyDescent="0.25">
      <c r="G46" t="s">
        <v>155</v>
      </c>
      <c r="H46" t="s">
        <v>156</v>
      </c>
      <c r="I46">
        <v>4.25</v>
      </c>
      <c r="J46">
        <v>1.24</v>
      </c>
      <c r="K46" t="s">
        <v>8</v>
      </c>
    </row>
    <row r="47" spans="7:11" x14ac:dyDescent="0.25">
      <c r="G47" t="s">
        <v>155</v>
      </c>
      <c r="H47" t="s">
        <v>156</v>
      </c>
      <c r="I47">
        <v>4.4000000000000004</v>
      </c>
      <c r="J47">
        <v>1.22</v>
      </c>
      <c r="K47" t="s">
        <v>8</v>
      </c>
    </row>
    <row r="48" spans="7:11" x14ac:dyDescent="0.25">
      <c r="G48" t="s">
        <v>155</v>
      </c>
      <c r="H48" t="s">
        <v>156</v>
      </c>
      <c r="I48">
        <v>4.25</v>
      </c>
      <c r="J48">
        <v>1.24</v>
      </c>
      <c r="K48" t="s">
        <v>8</v>
      </c>
    </row>
    <row r="49" spans="7:11" x14ac:dyDescent="0.25">
      <c r="G49" t="s">
        <v>155</v>
      </c>
      <c r="H49" t="s">
        <v>156</v>
      </c>
      <c r="I49">
        <v>4.3</v>
      </c>
      <c r="J49">
        <v>1.23</v>
      </c>
      <c r="K49" t="s">
        <v>8</v>
      </c>
    </row>
    <row r="50" spans="7:11" x14ac:dyDescent="0.25">
      <c r="G50" t="s">
        <v>157</v>
      </c>
      <c r="H50" t="s">
        <v>156</v>
      </c>
      <c r="I50">
        <v>3.4</v>
      </c>
      <c r="J50">
        <v>1.34</v>
      </c>
      <c r="K50" t="s">
        <v>8</v>
      </c>
    </row>
    <row r="51" spans="7:11" x14ac:dyDescent="0.25">
      <c r="G51" t="s">
        <v>157</v>
      </c>
      <c r="H51" t="s">
        <v>156</v>
      </c>
      <c r="I51">
        <v>3.5</v>
      </c>
      <c r="J51">
        <v>1.32</v>
      </c>
      <c r="K51" t="s">
        <v>8</v>
      </c>
    </row>
    <row r="52" spans="7:11" x14ac:dyDescent="0.25">
      <c r="G52" t="s">
        <v>157</v>
      </c>
      <c r="H52" t="s">
        <v>156</v>
      </c>
      <c r="I52">
        <v>3.7</v>
      </c>
      <c r="J52">
        <v>1.31</v>
      </c>
      <c r="K52" t="s">
        <v>8</v>
      </c>
    </row>
    <row r="53" spans="7:11" x14ac:dyDescent="0.25">
      <c r="G53" t="s">
        <v>157</v>
      </c>
      <c r="H53" t="s">
        <v>156</v>
      </c>
      <c r="I53">
        <v>3.8</v>
      </c>
      <c r="J53">
        <v>1.27</v>
      </c>
      <c r="K53" t="s">
        <v>8</v>
      </c>
    </row>
    <row r="54" spans="7:11" x14ac:dyDescent="0.25">
      <c r="G54" t="s">
        <v>157</v>
      </c>
      <c r="H54" t="s">
        <v>156</v>
      </c>
      <c r="I54">
        <v>3.75</v>
      </c>
      <c r="J54">
        <v>1.29</v>
      </c>
      <c r="K54" t="s">
        <v>8</v>
      </c>
    </row>
    <row r="55" spans="7:11" x14ac:dyDescent="0.25">
      <c r="G55" t="s">
        <v>157</v>
      </c>
      <c r="H55" t="s">
        <v>156</v>
      </c>
      <c r="I55">
        <v>3.6</v>
      </c>
      <c r="J55">
        <v>1.3</v>
      </c>
      <c r="K55" t="s">
        <v>8</v>
      </c>
    </row>
    <row r="56" spans="7:11" x14ac:dyDescent="0.25">
      <c r="G56" t="s">
        <v>157</v>
      </c>
      <c r="H56" t="s">
        <v>156</v>
      </c>
      <c r="I56">
        <v>3.7</v>
      </c>
      <c r="J56">
        <v>1.31</v>
      </c>
      <c r="K56" t="s">
        <v>8</v>
      </c>
    </row>
    <row r="57" spans="7:11" x14ac:dyDescent="0.25">
      <c r="G57" t="s">
        <v>157</v>
      </c>
      <c r="H57" t="s">
        <v>156</v>
      </c>
      <c r="I57">
        <v>3.8</v>
      </c>
      <c r="J57">
        <v>1.27</v>
      </c>
      <c r="K57" t="s">
        <v>8</v>
      </c>
    </row>
    <row r="58" spans="7:11" x14ac:dyDescent="0.25">
      <c r="G58" t="s">
        <v>157</v>
      </c>
      <c r="H58" t="s">
        <v>156</v>
      </c>
      <c r="I58">
        <v>3.65</v>
      </c>
      <c r="J58">
        <v>1.31</v>
      </c>
      <c r="K58" t="s">
        <v>8</v>
      </c>
    </row>
    <row r="59" spans="7:11" x14ac:dyDescent="0.25">
      <c r="G59" t="s">
        <v>157</v>
      </c>
      <c r="H59" t="s">
        <v>156</v>
      </c>
      <c r="I59">
        <v>3.75</v>
      </c>
      <c r="J59">
        <v>1.29</v>
      </c>
      <c r="K59" t="s">
        <v>8</v>
      </c>
    </row>
    <row r="60" spans="7:11" x14ac:dyDescent="0.25">
      <c r="G60" t="s">
        <v>157</v>
      </c>
      <c r="H60" t="s">
        <v>156</v>
      </c>
      <c r="I60">
        <v>3.5</v>
      </c>
      <c r="J60">
        <v>1.32</v>
      </c>
      <c r="K60" t="s">
        <v>8</v>
      </c>
    </row>
    <row r="61" spans="7:11" x14ac:dyDescent="0.25">
      <c r="G61" t="s">
        <v>157</v>
      </c>
      <c r="H61" t="s">
        <v>156</v>
      </c>
      <c r="I61">
        <v>3.55</v>
      </c>
      <c r="J61">
        <v>1.3</v>
      </c>
      <c r="K61" t="s">
        <v>8</v>
      </c>
    </row>
    <row r="62" spans="7:11" x14ac:dyDescent="0.25">
      <c r="G62" t="s">
        <v>158</v>
      </c>
      <c r="H62" t="s">
        <v>159</v>
      </c>
      <c r="I62">
        <v>2.36</v>
      </c>
      <c r="J62">
        <v>1.62</v>
      </c>
      <c r="K62" t="s">
        <v>8</v>
      </c>
    </row>
    <row r="63" spans="7:11" x14ac:dyDescent="0.25">
      <c r="G63" t="s">
        <v>158</v>
      </c>
      <c r="H63" t="s">
        <v>159</v>
      </c>
      <c r="I63">
        <v>2.2999999999999998</v>
      </c>
      <c r="J63">
        <v>1.64</v>
      </c>
      <c r="K63" t="s">
        <v>8</v>
      </c>
    </row>
    <row r="64" spans="7:11" x14ac:dyDescent="0.25">
      <c r="G64" t="s">
        <v>158</v>
      </c>
      <c r="H64" t="s">
        <v>159</v>
      </c>
      <c r="I64">
        <v>2.2999999999999998</v>
      </c>
      <c r="J64">
        <v>1.67</v>
      </c>
      <c r="K64" t="s">
        <v>8</v>
      </c>
    </row>
    <row r="65" spans="7:11" x14ac:dyDescent="0.25">
      <c r="G65" t="s">
        <v>158</v>
      </c>
      <c r="H65" t="s">
        <v>159</v>
      </c>
      <c r="I65">
        <v>2.0699999999999998</v>
      </c>
      <c r="J65">
        <v>1.73</v>
      </c>
      <c r="K65" t="s">
        <v>8</v>
      </c>
    </row>
    <row r="66" spans="7:11" x14ac:dyDescent="0.25">
      <c r="G66" t="s">
        <v>158</v>
      </c>
      <c r="H66" t="s">
        <v>159</v>
      </c>
      <c r="I66">
        <v>2.25</v>
      </c>
      <c r="J66">
        <v>1.69</v>
      </c>
      <c r="K66" t="s">
        <v>8</v>
      </c>
    </row>
    <row r="67" spans="7:11" x14ac:dyDescent="0.25">
      <c r="G67" t="s">
        <v>158</v>
      </c>
      <c r="H67" t="s">
        <v>159</v>
      </c>
      <c r="I67">
        <v>2.2999999999999998</v>
      </c>
      <c r="J67">
        <v>1.65</v>
      </c>
      <c r="K67" t="s">
        <v>8</v>
      </c>
    </row>
    <row r="68" spans="7:11" x14ac:dyDescent="0.25">
      <c r="G68" t="s">
        <v>158</v>
      </c>
      <c r="H68" t="s">
        <v>159</v>
      </c>
      <c r="I68">
        <v>2.2999999999999998</v>
      </c>
      <c r="J68">
        <v>1.67</v>
      </c>
      <c r="K68" t="s">
        <v>8</v>
      </c>
    </row>
    <row r="69" spans="7:11" x14ac:dyDescent="0.25">
      <c r="G69" t="s">
        <v>158</v>
      </c>
      <c r="H69" t="s">
        <v>159</v>
      </c>
      <c r="I69">
        <v>2.0699999999999998</v>
      </c>
      <c r="J69">
        <v>1.73</v>
      </c>
      <c r="K69" t="s">
        <v>8</v>
      </c>
    </row>
    <row r="70" spans="7:11" x14ac:dyDescent="0.25">
      <c r="G70" t="s">
        <v>158</v>
      </c>
      <c r="H70" t="s">
        <v>159</v>
      </c>
      <c r="I70">
        <v>2.2999999999999998</v>
      </c>
      <c r="J70">
        <v>1.67</v>
      </c>
      <c r="K70" t="s">
        <v>8</v>
      </c>
    </row>
    <row r="71" spans="7:11" x14ac:dyDescent="0.25">
      <c r="G71" t="s">
        <v>158</v>
      </c>
      <c r="H71" t="s">
        <v>159</v>
      </c>
      <c r="I71">
        <v>2.25</v>
      </c>
      <c r="J71">
        <v>1.67</v>
      </c>
      <c r="K71" t="s">
        <v>8</v>
      </c>
    </row>
    <row r="72" spans="7:11" x14ac:dyDescent="0.25">
      <c r="G72" t="s">
        <v>158</v>
      </c>
      <c r="H72" t="s">
        <v>159</v>
      </c>
      <c r="I72">
        <v>2.35</v>
      </c>
      <c r="J72">
        <v>1.65</v>
      </c>
      <c r="K72" t="s">
        <v>8</v>
      </c>
    </row>
    <row r="73" spans="7:11" x14ac:dyDescent="0.25">
      <c r="G73" t="s">
        <v>158</v>
      </c>
      <c r="H73" t="s">
        <v>159</v>
      </c>
      <c r="I73">
        <v>2.2999999999999998</v>
      </c>
      <c r="J73">
        <v>1.65</v>
      </c>
      <c r="K73" t="s">
        <v>8</v>
      </c>
    </row>
    <row r="74" spans="7:11" x14ac:dyDescent="0.25">
      <c r="G74" t="s">
        <v>160</v>
      </c>
      <c r="H74" t="s">
        <v>161</v>
      </c>
      <c r="I74">
        <v>7</v>
      </c>
      <c r="J74">
        <v>1.1100000000000001</v>
      </c>
      <c r="K74" t="s">
        <v>8</v>
      </c>
    </row>
    <row r="75" spans="7:11" x14ac:dyDescent="0.25">
      <c r="G75" t="s">
        <v>160</v>
      </c>
      <c r="H75" t="s">
        <v>161</v>
      </c>
      <c r="I75">
        <v>6.7</v>
      </c>
      <c r="J75">
        <v>1.1200000000000001</v>
      </c>
      <c r="K75" t="s">
        <v>8</v>
      </c>
    </row>
    <row r="76" spans="7:11" x14ac:dyDescent="0.25">
      <c r="G76" t="s">
        <v>160</v>
      </c>
      <c r="H76" t="s">
        <v>161</v>
      </c>
      <c r="I76">
        <v>6.5</v>
      </c>
      <c r="J76">
        <v>1.1299999999999999</v>
      </c>
      <c r="K76" t="s">
        <v>8</v>
      </c>
    </row>
    <row r="77" spans="7:11" x14ac:dyDescent="0.25">
      <c r="G77" t="s">
        <v>160</v>
      </c>
      <c r="H77" t="s">
        <v>161</v>
      </c>
      <c r="I77">
        <v>6.25</v>
      </c>
      <c r="J77">
        <v>1.1200000000000001</v>
      </c>
      <c r="K77" t="s">
        <v>8</v>
      </c>
    </row>
    <row r="78" spans="7:11" x14ac:dyDescent="0.25">
      <c r="G78" t="s">
        <v>160</v>
      </c>
      <c r="H78" t="s">
        <v>161</v>
      </c>
      <c r="I78">
        <v>6.25</v>
      </c>
      <c r="J78">
        <v>1.1200000000000001</v>
      </c>
      <c r="K78" t="s">
        <v>8</v>
      </c>
    </row>
    <row r="79" spans="7:11" x14ac:dyDescent="0.25">
      <c r="G79" t="s">
        <v>160</v>
      </c>
      <c r="H79" t="s">
        <v>161</v>
      </c>
      <c r="I79">
        <v>6.5</v>
      </c>
      <c r="J79">
        <v>1.1200000000000001</v>
      </c>
      <c r="K79" t="s">
        <v>8</v>
      </c>
    </row>
    <row r="80" spans="7:11" x14ac:dyDescent="0.25">
      <c r="G80" t="s">
        <v>160</v>
      </c>
      <c r="H80" t="s">
        <v>161</v>
      </c>
      <c r="I80">
        <v>6.5</v>
      </c>
      <c r="J80">
        <v>1.1299999999999999</v>
      </c>
      <c r="K80" t="s">
        <v>8</v>
      </c>
    </row>
    <row r="81" spans="7:11" x14ac:dyDescent="0.25">
      <c r="G81" t="s">
        <v>160</v>
      </c>
      <c r="H81" t="s">
        <v>161</v>
      </c>
      <c r="I81">
        <v>6.25</v>
      </c>
      <c r="J81">
        <v>1.1200000000000001</v>
      </c>
      <c r="K81" t="s">
        <v>8</v>
      </c>
    </row>
    <row r="82" spans="7:11" x14ac:dyDescent="0.25">
      <c r="G82" t="s">
        <v>160</v>
      </c>
      <c r="H82" t="s">
        <v>161</v>
      </c>
      <c r="I82">
        <v>6.2</v>
      </c>
      <c r="J82">
        <v>1.1299999999999999</v>
      </c>
      <c r="K82" t="s">
        <v>8</v>
      </c>
    </row>
    <row r="83" spans="7:11" x14ac:dyDescent="0.25">
      <c r="G83" t="s">
        <v>160</v>
      </c>
      <c r="H83" t="s">
        <v>161</v>
      </c>
      <c r="I83">
        <v>6.5</v>
      </c>
      <c r="J83">
        <v>1.1200000000000001</v>
      </c>
      <c r="K83" t="s">
        <v>8</v>
      </c>
    </row>
    <row r="84" spans="7:11" x14ac:dyDescent="0.25">
      <c r="G84" t="s">
        <v>160</v>
      </c>
      <c r="H84" t="s">
        <v>161</v>
      </c>
      <c r="I84">
        <v>6.5</v>
      </c>
      <c r="J84">
        <v>1.1200000000000001</v>
      </c>
      <c r="K84" t="s">
        <v>8</v>
      </c>
    </row>
    <row r="85" spans="7:11" x14ac:dyDescent="0.25">
      <c r="G85" t="s">
        <v>160</v>
      </c>
      <c r="H85" t="s">
        <v>161</v>
      </c>
      <c r="I85">
        <v>6.3</v>
      </c>
      <c r="J85">
        <v>1.1200000000000001</v>
      </c>
      <c r="K85" t="s">
        <v>8</v>
      </c>
    </row>
    <row r="86" spans="7:11" x14ac:dyDescent="0.25">
      <c r="G86" t="s">
        <v>162</v>
      </c>
      <c r="H86" t="s">
        <v>163</v>
      </c>
      <c r="I86">
        <v>2.64</v>
      </c>
      <c r="J86">
        <v>1.51</v>
      </c>
      <c r="K86" t="s">
        <v>8</v>
      </c>
    </row>
    <row r="87" spans="7:11" x14ac:dyDescent="0.25">
      <c r="G87" t="s">
        <v>162</v>
      </c>
      <c r="H87" t="s">
        <v>163</v>
      </c>
      <c r="I87">
        <v>2.6</v>
      </c>
      <c r="J87">
        <v>1.52</v>
      </c>
      <c r="K87" t="s">
        <v>8</v>
      </c>
    </row>
    <row r="88" spans="7:11" x14ac:dyDescent="0.25">
      <c r="G88" t="s">
        <v>162</v>
      </c>
      <c r="H88" t="s">
        <v>163</v>
      </c>
      <c r="I88">
        <v>2.65</v>
      </c>
      <c r="J88">
        <v>1.53</v>
      </c>
      <c r="K88" t="s">
        <v>8</v>
      </c>
    </row>
    <row r="89" spans="7:11" x14ac:dyDescent="0.25">
      <c r="G89" t="s">
        <v>162</v>
      </c>
      <c r="H89" t="s">
        <v>163</v>
      </c>
      <c r="I89">
        <v>2.6</v>
      </c>
      <c r="J89">
        <v>1.5</v>
      </c>
      <c r="K89" t="s">
        <v>8</v>
      </c>
    </row>
    <row r="90" spans="7:11" x14ac:dyDescent="0.25">
      <c r="G90" t="s">
        <v>162</v>
      </c>
      <c r="H90" t="s">
        <v>163</v>
      </c>
      <c r="I90">
        <v>2.65</v>
      </c>
      <c r="J90">
        <v>1.51</v>
      </c>
      <c r="K90" t="s">
        <v>8</v>
      </c>
    </row>
    <row r="91" spans="7:11" x14ac:dyDescent="0.25">
      <c r="G91" t="s">
        <v>162</v>
      </c>
      <c r="H91" t="s">
        <v>163</v>
      </c>
      <c r="I91">
        <v>2.62</v>
      </c>
      <c r="J91">
        <v>1.51</v>
      </c>
      <c r="K91" t="s">
        <v>8</v>
      </c>
    </row>
    <row r="92" spans="7:11" x14ac:dyDescent="0.25">
      <c r="G92" t="s">
        <v>162</v>
      </c>
      <c r="H92" t="s">
        <v>163</v>
      </c>
      <c r="I92">
        <v>2.65</v>
      </c>
      <c r="J92">
        <v>1.53</v>
      </c>
      <c r="K92" t="s">
        <v>8</v>
      </c>
    </row>
    <row r="93" spans="7:11" x14ac:dyDescent="0.25">
      <c r="G93" t="s">
        <v>162</v>
      </c>
      <c r="H93" t="s">
        <v>163</v>
      </c>
      <c r="I93">
        <v>2.6</v>
      </c>
      <c r="J93">
        <v>1.5</v>
      </c>
      <c r="K93" t="s">
        <v>8</v>
      </c>
    </row>
    <row r="94" spans="7:11" x14ac:dyDescent="0.25">
      <c r="G94" t="s">
        <v>162</v>
      </c>
      <c r="H94" t="s">
        <v>163</v>
      </c>
      <c r="I94">
        <v>2.63</v>
      </c>
      <c r="J94">
        <v>1.53</v>
      </c>
      <c r="K94" t="s">
        <v>8</v>
      </c>
    </row>
    <row r="95" spans="7:11" x14ac:dyDescent="0.25">
      <c r="G95" t="s">
        <v>162</v>
      </c>
      <c r="H95" t="s">
        <v>163</v>
      </c>
      <c r="I95">
        <v>2.6</v>
      </c>
      <c r="J95">
        <v>1.53</v>
      </c>
      <c r="K95" t="s">
        <v>8</v>
      </c>
    </row>
    <row r="96" spans="7:11" x14ac:dyDescent="0.25">
      <c r="G96" t="s">
        <v>162</v>
      </c>
      <c r="H96" t="s">
        <v>163</v>
      </c>
      <c r="I96">
        <v>2.65</v>
      </c>
      <c r="J96">
        <v>1.51</v>
      </c>
      <c r="K96" t="s">
        <v>8</v>
      </c>
    </row>
    <row r="97" spans="7:11" x14ac:dyDescent="0.25">
      <c r="G97" t="s">
        <v>162</v>
      </c>
      <c r="H97" t="s">
        <v>163</v>
      </c>
      <c r="I97">
        <v>2.65</v>
      </c>
      <c r="J97">
        <v>1.5</v>
      </c>
      <c r="K97" t="s">
        <v>8</v>
      </c>
    </row>
    <row r="98" spans="7:11" x14ac:dyDescent="0.25">
      <c r="G98" t="s">
        <v>164</v>
      </c>
      <c r="H98" t="s">
        <v>165</v>
      </c>
      <c r="I98">
        <v>1.87</v>
      </c>
      <c r="J98">
        <v>1.95</v>
      </c>
      <c r="K98" t="s">
        <v>8</v>
      </c>
    </row>
    <row r="99" spans="7:11" x14ac:dyDescent="0.25">
      <c r="G99" t="s">
        <v>164</v>
      </c>
      <c r="H99" t="s">
        <v>165</v>
      </c>
      <c r="I99">
        <v>1.91</v>
      </c>
      <c r="J99">
        <v>1.91</v>
      </c>
      <c r="K99" t="s">
        <v>8</v>
      </c>
    </row>
    <row r="100" spans="7:11" x14ac:dyDescent="0.25">
      <c r="G100" t="s">
        <v>164</v>
      </c>
      <c r="H100" t="s">
        <v>165</v>
      </c>
      <c r="I100">
        <v>1.87</v>
      </c>
      <c r="J100">
        <v>1.95</v>
      </c>
      <c r="K100" t="s">
        <v>8</v>
      </c>
    </row>
    <row r="101" spans="7:11" x14ac:dyDescent="0.25">
      <c r="G101" t="s">
        <v>164</v>
      </c>
      <c r="H101" t="s">
        <v>165</v>
      </c>
      <c r="I101">
        <v>1.88</v>
      </c>
      <c r="J101">
        <v>1.93</v>
      </c>
      <c r="K101" t="s">
        <v>8</v>
      </c>
    </row>
    <row r="102" spans="7:11" x14ac:dyDescent="0.25">
      <c r="G102" t="s">
        <v>164</v>
      </c>
      <c r="H102" t="s">
        <v>165</v>
      </c>
      <c r="I102">
        <v>1.91</v>
      </c>
      <c r="J102">
        <v>1.91</v>
      </c>
      <c r="K102" t="s">
        <v>8</v>
      </c>
    </row>
    <row r="103" spans="7:11" x14ac:dyDescent="0.25">
      <c r="G103" t="s">
        <v>164</v>
      </c>
      <c r="H103" t="s">
        <v>165</v>
      </c>
      <c r="I103">
        <v>1.83</v>
      </c>
      <c r="J103">
        <v>2</v>
      </c>
      <c r="K103" t="s">
        <v>8</v>
      </c>
    </row>
    <row r="104" spans="7:11" x14ac:dyDescent="0.25">
      <c r="G104" t="s">
        <v>164</v>
      </c>
      <c r="H104" t="s">
        <v>165</v>
      </c>
      <c r="I104">
        <v>1.87</v>
      </c>
      <c r="J104">
        <v>1.95</v>
      </c>
      <c r="K104" t="s">
        <v>8</v>
      </c>
    </row>
    <row r="105" spans="7:11" x14ac:dyDescent="0.25">
      <c r="G105" t="s">
        <v>164</v>
      </c>
      <c r="H105" t="s">
        <v>165</v>
      </c>
      <c r="I105">
        <v>1.88</v>
      </c>
      <c r="J105">
        <v>1.93</v>
      </c>
      <c r="K105" t="s">
        <v>8</v>
      </c>
    </row>
    <row r="106" spans="7:11" x14ac:dyDescent="0.25">
      <c r="G106" t="s">
        <v>164</v>
      </c>
      <c r="H106" t="s">
        <v>165</v>
      </c>
      <c r="I106">
        <v>1.87</v>
      </c>
      <c r="J106">
        <v>1.95</v>
      </c>
      <c r="K106" t="s">
        <v>8</v>
      </c>
    </row>
    <row r="107" spans="7:11" x14ac:dyDescent="0.25">
      <c r="G107" t="s">
        <v>164</v>
      </c>
      <c r="H107" t="s">
        <v>165</v>
      </c>
      <c r="I107">
        <v>1.83</v>
      </c>
      <c r="J107">
        <v>2</v>
      </c>
      <c r="K107" t="s">
        <v>8</v>
      </c>
    </row>
    <row r="108" spans="7:11" x14ac:dyDescent="0.25">
      <c r="G108" t="s">
        <v>164</v>
      </c>
      <c r="H108" t="s">
        <v>165</v>
      </c>
      <c r="I108">
        <v>1.83</v>
      </c>
      <c r="J108">
        <v>2</v>
      </c>
      <c r="K108" t="s">
        <v>8</v>
      </c>
    </row>
    <row r="109" spans="7:11" x14ac:dyDescent="0.25">
      <c r="G109" t="s">
        <v>164</v>
      </c>
      <c r="H109" t="s">
        <v>165</v>
      </c>
      <c r="I109">
        <v>1.83</v>
      </c>
      <c r="J109">
        <v>2</v>
      </c>
      <c r="K109" t="s">
        <v>8</v>
      </c>
    </row>
    <row r="110" spans="7:11" x14ac:dyDescent="0.25">
      <c r="G110" t="s">
        <v>166</v>
      </c>
      <c r="H110" t="s">
        <v>165</v>
      </c>
      <c r="I110">
        <v>7.5</v>
      </c>
      <c r="J110">
        <v>1.1000000000000001</v>
      </c>
      <c r="K110" t="s">
        <v>8</v>
      </c>
    </row>
    <row r="111" spans="7:11" x14ac:dyDescent="0.25">
      <c r="G111" t="s">
        <v>166</v>
      </c>
      <c r="H111" t="s">
        <v>165</v>
      </c>
      <c r="I111">
        <v>8.6</v>
      </c>
      <c r="J111">
        <v>1.08</v>
      </c>
      <c r="K111" t="s">
        <v>8</v>
      </c>
    </row>
    <row r="112" spans="7:11" x14ac:dyDescent="0.25">
      <c r="G112" t="s">
        <v>166</v>
      </c>
      <c r="H112" t="s">
        <v>165</v>
      </c>
      <c r="I112">
        <v>8</v>
      </c>
      <c r="J112">
        <v>1.0900000000000001</v>
      </c>
      <c r="K112" t="s">
        <v>8</v>
      </c>
    </row>
    <row r="113" spans="7:11" x14ac:dyDescent="0.25">
      <c r="G113" t="s">
        <v>166</v>
      </c>
      <c r="H113" t="s">
        <v>165</v>
      </c>
      <c r="I113">
        <v>8.5</v>
      </c>
      <c r="J113">
        <v>1.08</v>
      </c>
      <c r="K113" t="s">
        <v>8</v>
      </c>
    </row>
    <row r="114" spans="7:11" x14ac:dyDescent="0.25">
      <c r="G114" t="s">
        <v>166</v>
      </c>
      <c r="H114" t="s">
        <v>165</v>
      </c>
      <c r="I114">
        <v>8.25</v>
      </c>
      <c r="J114">
        <v>1.08</v>
      </c>
      <c r="K114" t="s">
        <v>8</v>
      </c>
    </row>
    <row r="115" spans="7:11" x14ac:dyDescent="0.25">
      <c r="G115" t="s">
        <v>166</v>
      </c>
      <c r="H115" t="s">
        <v>165</v>
      </c>
      <c r="I115">
        <v>8</v>
      </c>
      <c r="J115">
        <v>1.0900000000000001</v>
      </c>
      <c r="K115" t="s">
        <v>8</v>
      </c>
    </row>
    <row r="116" spans="7:11" x14ac:dyDescent="0.25">
      <c r="G116" t="s">
        <v>166</v>
      </c>
      <c r="H116" t="s">
        <v>165</v>
      </c>
      <c r="I116">
        <v>8</v>
      </c>
      <c r="J116">
        <v>1.0900000000000001</v>
      </c>
      <c r="K116" t="s">
        <v>8</v>
      </c>
    </row>
    <row r="117" spans="7:11" x14ac:dyDescent="0.25">
      <c r="G117" t="s">
        <v>166</v>
      </c>
      <c r="H117" t="s">
        <v>165</v>
      </c>
      <c r="I117">
        <v>8.5</v>
      </c>
      <c r="J117">
        <v>1.08</v>
      </c>
      <c r="K117" t="s">
        <v>8</v>
      </c>
    </row>
    <row r="118" spans="7:11" x14ac:dyDescent="0.25">
      <c r="G118" t="s">
        <v>166</v>
      </c>
      <c r="H118" t="s">
        <v>165</v>
      </c>
      <c r="I118">
        <v>9</v>
      </c>
      <c r="J118">
        <v>1.08</v>
      </c>
      <c r="K118" t="s">
        <v>8</v>
      </c>
    </row>
    <row r="119" spans="7:11" x14ac:dyDescent="0.25">
      <c r="G119" t="s">
        <v>166</v>
      </c>
      <c r="H119" t="s">
        <v>165</v>
      </c>
      <c r="I119">
        <v>9</v>
      </c>
      <c r="J119">
        <v>1.07</v>
      </c>
      <c r="K119" t="s">
        <v>8</v>
      </c>
    </row>
    <row r="120" spans="7:11" x14ac:dyDescent="0.25">
      <c r="G120" t="s">
        <v>166</v>
      </c>
      <c r="H120" t="s">
        <v>165</v>
      </c>
      <c r="I120">
        <v>8.5</v>
      </c>
      <c r="J120">
        <v>1.07</v>
      </c>
      <c r="K120" t="s">
        <v>8</v>
      </c>
    </row>
    <row r="121" spans="7:11" x14ac:dyDescent="0.25">
      <c r="G121" t="s">
        <v>166</v>
      </c>
      <c r="H121" t="s">
        <v>165</v>
      </c>
      <c r="I121">
        <v>8.5500000000000007</v>
      </c>
      <c r="J121">
        <v>1.07</v>
      </c>
      <c r="K121" t="s">
        <v>8</v>
      </c>
    </row>
    <row r="122" spans="7:11" x14ac:dyDescent="0.25">
      <c r="G122" t="s">
        <v>167</v>
      </c>
      <c r="H122" t="s">
        <v>165</v>
      </c>
      <c r="I122">
        <v>3.75</v>
      </c>
      <c r="J122">
        <v>1.29</v>
      </c>
      <c r="K122" t="s">
        <v>8</v>
      </c>
    </row>
    <row r="123" spans="7:11" x14ac:dyDescent="0.25">
      <c r="G123" t="s">
        <v>167</v>
      </c>
      <c r="H123" t="s">
        <v>165</v>
      </c>
      <c r="I123">
        <v>3.55</v>
      </c>
      <c r="J123">
        <v>1.31</v>
      </c>
      <c r="K123" t="s">
        <v>8</v>
      </c>
    </row>
    <row r="124" spans="7:11" x14ac:dyDescent="0.25">
      <c r="G124" t="s">
        <v>167</v>
      </c>
      <c r="H124" t="s">
        <v>165</v>
      </c>
      <c r="I124">
        <v>3.7</v>
      </c>
      <c r="J124">
        <v>1.31</v>
      </c>
      <c r="K124" t="s">
        <v>8</v>
      </c>
    </row>
    <row r="125" spans="7:11" x14ac:dyDescent="0.25">
      <c r="G125" t="s">
        <v>167</v>
      </c>
      <c r="H125" t="s">
        <v>165</v>
      </c>
      <c r="I125">
        <v>3.3</v>
      </c>
      <c r="J125">
        <v>1.33</v>
      </c>
      <c r="K125" t="s">
        <v>8</v>
      </c>
    </row>
    <row r="126" spans="7:11" x14ac:dyDescent="0.25">
      <c r="G126" t="s">
        <v>167</v>
      </c>
      <c r="H126" t="s">
        <v>165</v>
      </c>
      <c r="I126">
        <v>3.7</v>
      </c>
      <c r="J126">
        <v>1.29</v>
      </c>
      <c r="K126" t="s">
        <v>8</v>
      </c>
    </row>
    <row r="127" spans="7:11" x14ac:dyDescent="0.25">
      <c r="G127" t="s">
        <v>167</v>
      </c>
      <c r="H127" t="s">
        <v>165</v>
      </c>
      <c r="I127">
        <v>3.6</v>
      </c>
      <c r="J127">
        <v>1.3</v>
      </c>
      <c r="K127" t="s">
        <v>8</v>
      </c>
    </row>
    <row r="128" spans="7:11" x14ac:dyDescent="0.25">
      <c r="G128" t="s">
        <v>167</v>
      </c>
      <c r="H128" t="s">
        <v>165</v>
      </c>
      <c r="I128">
        <v>3.7</v>
      </c>
      <c r="J128">
        <v>1.31</v>
      </c>
      <c r="K128" t="s">
        <v>8</v>
      </c>
    </row>
    <row r="129" spans="7:11" x14ac:dyDescent="0.25">
      <c r="G129" t="s">
        <v>167</v>
      </c>
      <c r="H129" t="s">
        <v>165</v>
      </c>
      <c r="I129">
        <v>3.3</v>
      </c>
      <c r="J129">
        <v>1.33</v>
      </c>
      <c r="K129" t="s">
        <v>8</v>
      </c>
    </row>
    <row r="130" spans="7:11" x14ac:dyDescent="0.25">
      <c r="G130" t="s">
        <v>167</v>
      </c>
      <c r="H130" t="s">
        <v>165</v>
      </c>
      <c r="I130">
        <v>3.65</v>
      </c>
      <c r="J130">
        <v>1.31</v>
      </c>
      <c r="K130" t="s">
        <v>8</v>
      </c>
    </row>
    <row r="131" spans="7:11" x14ac:dyDescent="0.25">
      <c r="G131" t="s">
        <v>167</v>
      </c>
      <c r="H131" t="s">
        <v>165</v>
      </c>
      <c r="I131">
        <v>3.5</v>
      </c>
      <c r="J131">
        <v>1.33</v>
      </c>
      <c r="K131" t="s">
        <v>8</v>
      </c>
    </row>
    <row r="132" spans="7:11" x14ac:dyDescent="0.25">
      <c r="G132" t="s">
        <v>167</v>
      </c>
      <c r="H132" t="s">
        <v>165</v>
      </c>
      <c r="I132">
        <v>3.6</v>
      </c>
      <c r="J132">
        <v>1.3</v>
      </c>
      <c r="K132" t="s">
        <v>8</v>
      </c>
    </row>
    <row r="133" spans="7:11" x14ac:dyDescent="0.25">
      <c r="G133" t="s">
        <v>167</v>
      </c>
      <c r="H133" t="s">
        <v>165</v>
      </c>
      <c r="I133">
        <v>3.65</v>
      </c>
      <c r="J133">
        <v>1.29</v>
      </c>
      <c r="K133" t="s">
        <v>8</v>
      </c>
    </row>
    <row r="134" spans="7:11" x14ac:dyDescent="0.25">
      <c r="G134" t="s">
        <v>168</v>
      </c>
      <c r="H134" t="s">
        <v>165</v>
      </c>
      <c r="I134">
        <v>1.51</v>
      </c>
      <c r="J134">
        <v>2.64</v>
      </c>
      <c r="K134" t="s">
        <v>8</v>
      </c>
    </row>
    <row r="135" spans="7:11" x14ac:dyDescent="0.25">
      <c r="G135" t="s">
        <v>168</v>
      </c>
      <c r="H135" t="s">
        <v>165</v>
      </c>
      <c r="I135">
        <v>1.52</v>
      </c>
      <c r="J135">
        <v>2.58</v>
      </c>
      <c r="K135" t="s">
        <v>8</v>
      </c>
    </row>
    <row r="136" spans="7:11" x14ac:dyDescent="0.25">
      <c r="G136" t="s">
        <v>168</v>
      </c>
      <c r="H136" t="s">
        <v>165</v>
      </c>
      <c r="I136">
        <v>1.56</v>
      </c>
      <c r="J136">
        <v>2.6</v>
      </c>
      <c r="K136" t="s">
        <v>8</v>
      </c>
    </row>
    <row r="137" spans="7:11" x14ac:dyDescent="0.25">
      <c r="G137" t="s">
        <v>168</v>
      </c>
      <c r="H137" t="s">
        <v>165</v>
      </c>
      <c r="I137">
        <v>1.51</v>
      </c>
      <c r="J137">
        <v>2.5499999999999998</v>
      </c>
      <c r="K137" t="s">
        <v>8</v>
      </c>
    </row>
    <row r="138" spans="7:11" x14ac:dyDescent="0.25">
      <c r="G138" t="s">
        <v>168</v>
      </c>
      <c r="H138" t="s">
        <v>165</v>
      </c>
      <c r="I138">
        <v>1.51</v>
      </c>
      <c r="J138">
        <v>2.65</v>
      </c>
      <c r="K138" t="s">
        <v>8</v>
      </c>
    </row>
    <row r="139" spans="7:11" x14ac:dyDescent="0.25">
      <c r="G139" t="s">
        <v>168</v>
      </c>
      <c r="H139" t="s">
        <v>165</v>
      </c>
      <c r="I139">
        <v>1.53</v>
      </c>
      <c r="J139">
        <v>2.58</v>
      </c>
      <c r="K139" t="s">
        <v>8</v>
      </c>
    </row>
    <row r="140" spans="7:11" x14ac:dyDescent="0.25">
      <c r="G140" t="s">
        <v>168</v>
      </c>
      <c r="H140" t="s">
        <v>165</v>
      </c>
      <c r="I140">
        <v>1.56</v>
      </c>
      <c r="J140">
        <v>2.6</v>
      </c>
      <c r="K140" t="s">
        <v>8</v>
      </c>
    </row>
    <row r="141" spans="7:11" x14ac:dyDescent="0.25">
      <c r="G141" t="s">
        <v>168</v>
      </c>
      <c r="H141" t="s">
        <v>165</v>
      </c>
      <c r="I141">
        <v>1.51</v>
      </c>
      <c r="J141">
        <v>2.5499999999999998</v>
      </c>
      <c r="K141" t="s">
        <v>8</v>
      </c>
    </row>
    <row r="142" spans="7:11" x14ac:dyDescent="0.25">
      <c r="G142" t="s">
        <v>168</v>
      </c>
      <c r="H142" t="s">
        <v>165</v>
      </c>
      <c r="I142">
        <v>1.53</v>
      </c>
      <c r="J142">
        <v>2.63</v>
      </c>
      <c r="K142" t="s">
        <v>8</v>
      </c>
    </row>
    <row r="143" spans="7:11" x14ac:dyDescent="0.25">
      <c r="G143" t="s">
        <v>168</v>
      </c>
      <c r="H143" t="s">
        <v>165</v>
      </c>
      <c r="I143">
        <v>1.53</v>
      </c>
      <c r="J143">
        <v>2.6</v>
      </c>
      <c r="K143" t="s">
        <v>8</v>
      </c>
    </row>
    <row r="144" spans="7:11" x14ac:dyDescent="0.25">
      <c r="G144" t="s">
        <v>168</v>
      </c>
      <c r="H144" t="s">
        <v>165</v>
      </c>
      <c r="I144">
        <v>1.53</v>
      </c>
      <c r="J144">
        <v>2.6</v>
      </c>
      <c r="K144" t="s">
        <v>8</v>
      </c>
    </row>
    <row r="145" spans="7:11" x14ac:dyDescent="0.25">
      <c r="G145" t="s">
        <v>168</v>
      </c>
      <c r="H145" t="s">
        <v>165</v>
      </c>
      <c r="I145">
        <v>1.51</v>
      </c>
      <c r="J145">
        <v>2.6</v>
      </c>
      <c r="K145" t="s">
        <v>8</v>
      </c>
    </row>
    <row r="146" spans="7:11" x14ac:dyDescent="0.25">
      <c r="G146" t="s">
        <v>169</v>
      </c>
      <c r="H146" t="s">
        <v>165</v>
      </c>
      <c r="I146">
        <v>2.2999999999999998</v>
      </c>
      <c r="J146">
        <v>1.65</v>
      </c>
      <c r="K146" t="s">
        <v>8</v>
      </c>
    </row>
    <row r="147" spans="7:11" x14ac:dyDescent="0.25">
      <c r="G147" t="s">
        <v>169</v>
      </c>
      <c r="H147" t="s">
        <v>165</v>
      </c>
      <c r="I147">
        <v>2.14</v>
      </c>
      <c r="J147">
        <v>1.73</v>
      </c>
      <c r="K147" t="s">
        <v>8</v>
      </c>
    </row>
    <row r="148" spans="7:11" x14ac:dyDescent="0.25">
      <c r="G148" t="s">
        <v>169</v>
      </c>
      <c r="H148" t="s">
        <v>165</v>
      </c>
      <c r="I148">
        <v>2.2999999999999998</v>
      </c>
      <c r="J148">
        <v>1.67</v>
      </c>
      <c r="K148" t="s">
        <v>8</v>
      </c>
    </row>
    <row r="149" spans="7:11" x14ac:dyDescent="0.25">
      <c r="G149" t="s">
        <v>169</v>
      </c>
      <c r="H149" t="s">
        <v>165</v>
      </c>
      <c r="I149">
        <v>2.15</v>
      </c>
      <c r="J149">
        <v>1.74</v>
      </c>
      <c r="K149" t="s">
        <v>8</v>
      </c>
    </row>
    <row r="150" spans="7:11" x14ac:dyDescent="0.25">
      <c r="G150" t="s">
        <v>169</v>
      </c>
      <c r="H150" t="s">
        <v>165</v>
      </c>
      <c r="I150">
        <v>2.08</v>
      </c>
      <c r="J150">
        <v>1.76</v>
      </c>
      <c r="K150" t="s">
        <v>8</v>
      </c>
    </row>
    <row r="151" spans="7:11" x14ac:dyDescent="0.25">
      <c r="G151" t="s">
        <v>169</v>
      </c>
      <c r="H151" t="s">
        <v>165</v>
      </c>
      <c r="I151">
        <v>2.2599999999999998</v>
      </c>
      <c r="J151">
        <v>1.67</v>
      </c>
      <c r="K151" t="s">
        <v>8</v>
      </c>
    </row>
    <row r="152" spans="7:11" x14ac:dyDescent="0.25">
      <c r="G152" t="s">
        <v>169</v>
      </c>
      <c r="H152" t="s">
        <v>165</v>
      </c>
      <c r="I152">
        <v>2.2999999999999998</v>
      </c>
      <c r="J152">
        <v>1.67</v>
      </c>
      <c r="K152" t="s">
        <v>8</v>
      </c>
    </row>
    <row r="153" spans="7:11" x14ac:dyDescent="0.25">
      <c r="G153" t="s">
        <v>169</v>
      </c>
      <c r="H153" t="s">
        <v>165</v>
      </c>
      <c r="I153">
        <v>2.08</v>
      </c>
      <c r="J153">
        <v>1.76</v>
      </c>
      <c r="K153" t="s">
        <v>8</v>
      </c>
    </row>
    <row r="154" spans="7:11" x14ac:dyDescent="0.25">
      <c r="G154" t="s">
        <v>169</v>
      </c>
      <c r="H154" t="s">
        <v>165</v>
      </c>
      <c r="I154">
        <v>2.25</v>
      </c>
      <c r="J154">
        <v>1.69</v>
      </c>
      <c r="K154" t="s">
        <v>8</v>
      </c>
    </row>
    <row r="155" spans="7:11" x14ac:dyDescent="0.25">
      <c r="G155" t="s">
        <v>169</v>
      </c>
      <c r="H155" t="s">
        <v>165</v>
      </c>
      <c r="I155">
        <v>2.25</v>
      </c>
      <c r="J155">
        <v>1.67</v>
      </c>
      <c r="K155" t="s">
        <v>8</v>
      </c>
    </row>
    <row r="156" spans="7:11" x14ac:dyDescent="0.25">
      <c r="G156" t="s">
        <v>169</v>
      </c>
      <c r="H156" t="s">
        <v>165</v>
      </c>
      <c r="I156">
        <v>2.2999999999999998</v>
      </c>
      <c r="J156">
        <v>1.67</v>
      </c>
      <c r="K156" t="s">
        <v>8</v>
      </c>
    </row>
    <row r="157" spans="7:11" x14ac:dyDescent="0.25">
      <c r="G157" t="s">
        <v>169</v>
      </c>
      <c r="H157" t="s">
        <v>165</v>
      </c>
      <c r="I157">
        <v>2.25</v>
      </c>
      <c r="J157">
        <v>1.69</v>
      </c>
      <c r="K157" t="s">
        <v>8</v>
      </c>
    </row>
    <row r="158" spans="7:11" x14ac:dyDescent="0.25">
      <c r="G158" t="s">
        <v>170</v>
      </c>
      <c r="H158" t="s">
        <v>165</v>
      </c>
      <c r="I158">
        <v>13</v>
      </c>
      <c r="J158">
        <v>1.04</v>
      </c>
      <c r="K158" t="s">
        <v>8</v>
      </c>
    </row>
    <row r="159" spans="7:11" x14ac:dyDescent="0.25">
      <c r="G159" t="s">
        <v>170</v>
      </c>
      <c r="H159" t="s">
        <v>165</v>
      </c>
      <c r="I159">
        <v>12.6</v>
      </c>
      <c r="J159">
        <v>1.04</v>
      </c>
      <c r="K159" t="s">
        <v>8</v>
      </c>
    </row>
    <row r="160" spans="7:11" x14ac:dyDescent="0.25">
      <c r="G160" t="s">
        <v>170</v>
      </c>
      <c r="H160" t="s">
        <v>165</v>
      </c>
      <c r="I160">
        <v>12</v>
      </c>
      <c r="J160">
        <v>1.04</v>
      </c>
      <c r="K160" t="s">
        <v>8</v>
      </c>
    </row>
    <row r="161" spans="7:11" x14ac:dyDescent="0.25">
      <c r="G161" t="s">
        <v>170</v>
      </c>
      <c r="H161" t="s">
        <v>165</v>
      </c>
      <c r="I161">
        <v>12</v>
      </c>
      <c r="J161">
        <v>1.04</v>
      </c>
      <c r="K161" t="s">
        <v>8</v>
      </c>
    </row>
    <row r="162" spans="7:11" x14ac:dyDescent="0.25">
      <c r="G162" t="s">
        <v>170</v>
      </c>
      <c r="H162" t="s">
        <v>165</v>
      </c>
      <c r="I162">
        <v>14.5</v>
      </c>
      <c r="J162">
        <v>1.03</v>
      </c>
      <c r="K162" t="s">
        <v>8</v>
      </c>
    </row>
    <row r="163" spans="7:11" x14ac:dyDescent="0.25">
      <c r="G163" t="s">
        <v>170</v>
      </c>
      <c r="H163" t="s">
        <v>165</v>
      </c>
      <c r="I163">
        <v>12</v>
      </c>
      <c r="J163">
        <v>1.04</v>
      </c>
      <c r="K163" t="s">
        <v>8</v>
      </c>
    </row>
    <row r="164" spans="7:11" x14ac:dyDescent="0.25">
      <c r="G164" t="s">
        <v>170</v>
      </c>
      <c r="H164" t="s">
        <v>165</v>
      </c>
      <c r="I164">
        <v>13</v>
      </c>
      <c r="J164">
        <v>1.03</v>
      </c>
      <c r="K164" t="s">
        <v>8</v>
      </c>
    </row>
    <row r="165" spans="7:11" x14ac:dyDescent="0.25">
      <c r="G165" t="s">
        <v>170</v>
      </c>
      <c r="H165" t="s">
        <v>165</v>
      </c>
      <c r="I165">
        <v>15</v>
      </c>
      <c r="J165">
        <v>1.02</v>
      </c>
      <c r="K165" t="s">
        <v>8</v>
      </c>
    </row>
    <row r="166" spans="7:11" x14ac:dyDescent="0.25">
      <c r="G166" t="s">
        <v>171</v>
      </c>
      <c r="H166" t="s">
        <v>165</v>
      </c>
      <c r="I166">
        <v>2.5</v>
      </c>
      <c r="J166">
        <v>1.56</v>
      </c>
      <c r="K166" t="s">
        <v>8</v>
      </c>
    </row>
    <row r="167" spans="7:11" x14ac:dyDescent="0.25">
      <c r="G167" t="s">
        <v>171</v>
      </c>
      <c r="H167" t="s">
        <v>165</v>
      </c>
      <c r="I167">
        <v>2.5499999999999998</v>
      </c>
      <c r="J167">
        <v>1.53</v>
      </c>
      <c r="K167" t="s">
        <v>8</v>
      </c>
    </row>
    <row r="168" spans="7:11" x14ac:dyDescent="0.25">
      <c r="G168" t="s">
        <v>171</v>
      </c>
      <c r="H168" t="s">
        <v>165</v>
      </c>
      <c r="I168">
        <v>2.6</v>
      </c>
      <c r="J168">
        <v>1.56</v>
      </c>
      <c r="K168" t="s">
        <v>8</v>
      </c>
    </row>
    <row r="169" spans="7:11" x14ac:dyDescent="0.25">
      <c r="G169" t="s">
        <v>171</v>
      </c>
      <c r="H169" t="s">
        <v>165</v>
      </c>
      <c r="I169">
        <v>2.6</v>
      </c>
      <c r="J169">
        <v>1.5</v>
      </c>
      <c r="K169" t="s">
        <v>8</v>
      </c>
    </row>
    <row r="170" spans="7:11" x14ac:dyDescent="0.25">
      <c r="G170" t="s">
        <v>171</v>
      </c>
      <c r="H170" t="s">
        <v>165</v>
      </c>
      <c r="I170">
        <v>2.5499999999999998</v>
      </c>
      <c r="J170">
        <v>1.56</v>
      </c>
      <c r="K170" t="s">
        <v>8</v>
      </c>
    </row>
    <row r="171" spans="7:11" x14ac:dyDescent="0.25">
      <c r="G171" t="s">
        <v>171</v>
      </c>
      <c r="H171" t="s">
        <v>165</v>
      </c>
      <c r="I171">
        <v>2.58</v>
      </c>
      <c r="J171">
        <v>1.53</v>
      </c>
      <c r="K171" t="s">
        <v>8</v>
      </c>
    </row>
    <row r="172" spans="7:11" x14ac:dyDescent="0.25">
      <c r="G172" t="s">
        <v>171</v>
      </c>
      <c r="H172" t="s">
        <v>165</v>
      </c>
      <c r="I172">
        <v>2.6</v>
      </c>
      <c r="J172">
        <v>1.56</v>
      </c>
      <c r="K172" t="s">
        <v>8</v>
      </c>
    </row>
    <row r="173" spans="7:11" x14ac:dyDescent="0.25">
      <c r="G173" t="s">
        <v>171</v>
      </c>
      <c r="H173" t="s">
        <v>165</v>
      </c>
      <c r="I173">
        <v>2.6</v>
      </c>
      <c r="J173">
        <v>1.5</v>
      </c>
      <c r="K173" t="s">
        <v>8</v>
      </c>
    </row>
    <row r="174" spans="7:11" x14ac:dyDescent="0.25">
      <c r="G174" t="s">
        <v>171</v>
      </c>
      <c r="H174" t="s">
        <v>165</v>
      </c>
      <c r="I174">
        <v>2.5499999999999998</v>
      </c>
      <c r="J174">
        <v>1.56</v>
      </c>
      <c r="K174" t="s">
        <v>8</v>
      </c>
    </row>
    <row r="175" spans="7:11" x14ac:dyDescent="0.25">
      <c r="G175" t="s">
        <v>171</v>
      </c>
      <c r="H175" t="s">
        <v>165</v>
      </c>
      <c r="I175">
        <v>2.5</v>
      </c>
      <c r="J175">
        <v>1.54</v>
      </c>
      <c r="K175" t="s">
        <v>8</v>
      </c>
    </row>
    <row r="176" spans="7:11" x14ac:dyDescent="0.25">
      <c r="G176" t="s">
        <v>171</v>
      </c>
      <c r="H176" t="s">
        <v>165</v>
      </c>
      <c r="I176">
        <v>2.6</v>
      </c>
      <c r="J176">
        <v>1.53</v>
      </c>
      <c r="K176" t="s">
        <v>8</v>
      </c>
    </row>
    <row r="177" spans="7:11" x14ac:dyDescent="0.25">
      <c r="G177" t="s">
        <v>171</v>
      </c>
      <c r="H177" t="s">
        <v>165</v>
      </c>
      <c r="I177">
        <v>2.6</v>
      </c>
      <c r="J177">
        <v>1.51</v>
      </c>
      <c r="K177" t="s">
        <v>8</v>
      </c>
    </row>
    <row r="178" spans="7:11" x14ac:dyDescent="0.25">
      <c r="G178" t="s">
        <v>172</v>
      </c>
      <c r="H178" t="s">
        <v>165</v>
      </c>
      <c r="I178">
        <v>3.95</v>
      </c>
      <c r="J178">
        <v>1.27</v>
      </c>
      <c r="K178" t="s">
        <v>8</v>
      </c>
    </row>
    <row r="179" spans="7:11" x14ac:dyDescent="0.25">
      <c r="G179" t="s">
        <v>172</v>
      </c>
      <c r="H179" t="s">
        <v>165</v>
      </c>
      <c r="I179">
        <v>3.85</v>
      </c>
      <c r="J179">
        <v>1.27</v>
      </c>
      <c r="K179" t="s">
        <v>8</v>
      </c>
    </row>
    <row r="180" spans="7:11" x14ac:dyDescent="0.25">
      <c r="G180" t="s">
        <v>172</v>
      </c>
      <c r="H180" t="s">
        <v>165</v>
      </c>
      <c r="I180">
        <v>3.8</v>
      </c>
      <c r="J180">
        <v>1.29</v>
      </c>
      <c r="K180" t="s">
        <v>8</v>
      </c>
    </row>
    <row r="181" spans="7:11" x14ac:dyDescent="0.25">
      <c r="G181" t="s">
        <v>172</v>
      </c>
      <c r="H181" t="s">
        <v>165</v>
      </c>
      <c r="I181">
        <v>3.75</v>
      </c>
      <c r="J181">
        <v>1.28</v>
      </c>
      <c r="K181" t="s">
        <v>8</v>
      </c>
    </row>
    <row r="182" spans="7:11" x14ac:dyDescent="0.25">
      <c r="G182" t="s">
        <v>172</v>
      </c>
      <c r="H182" t="s">
        <v>165</v>
      </c>
      <c r="I182">
        <v>3.8</v>
      </c>
      <c r="J182">
        <v>1.28</v>
      </c>
      <c r="K182" t="s">
        <v>8</v>
      </c>
    </row>
    <row r="183" spans="7:11" x14ac:dyDescent="0.25">
      <c r="G183" t="s">
        <v>172</v>
      </c>
      <c r="H183" t="s">
        <v>165</v>
      </c>
      <c r="I183">
        <v>3.85</v>
      </c>
      <c r="J183">
        <v>1.27</v>
      </c>
      <c r="K183" t="s">
        <v>8</v>
      </c>
    </row>
    <row r="184" spans="7:11" x14ac:dyDescent="0.25">
      <c r="G184" t="s">
        <v>172</v>
      </c>
      <c r="H184" t="s">
        <v>165</v>
      </c>
      <c r="I184">
        <v>3.8</v>
      </c>
      <c r="J184">
        <v>1.29</v>
      </c>
      <c r="K184" t="s">
        <v>8</v>
      </c>
    </row>
    <row r="185" spans="7:11" x14ac:dyDescent="0.25">
      <c r="G185" t="s">
        <v>172</v>
      </c>
      <c r="H185" t="s">
        <v>165</v>
      </c>
      <c r="I185">
        <v>3.75</v>
      </c>
      <c r="J185">
        <v>1.28</v>
      </c>
      <c r="K185" t="s">
        <v>8</v>
      </c>
    </row>
    <row r="186" spans="7:11" x14ac:dyDescent="0.25">
      <c r="G186" t="s">
        <v>172</v>
      </c>
      <c r="H186" t="s">
        <v>165</v>
      </c>
      <c r="I186">
        <v>3.8</v>
      </c>
      <c r="J186">
        <v>1.29</v>
      </c>
      <c r="K186" t="s">
        <v>8</v>
      </c>
    </row>
    <row r="187" spans="7:11" x14ac:dyDescent="0.25">
      <c r="G187" t="s">
        <v>172</v>
      </c>
      <c r="H187" t="s">
        <v>165</v>
      </c>
      <c r="I187">
        <v>3.9</v>
      </c>
      <c r="J187">
        <v>1.27</v>
      </c>
      <c r="K187" t="s">
        <v>8</v>
      </c>
    </row>
    <row r="188" spans="7:11" x14ac:dyDescent="0.25">
      <c r="G188" t="s">
        <v>172</v>
      </c>
      <c r="H188" t="s">
        <v>165</v>
      </c>
      <c r="I188">
        <v>3.75</v>
      </c>
      <c r="J188">
        <v>1.29</v>
      </c>
      <c r="K188" t="s">
        <v>8</v>
      </c>
    </row>
    <row r="189" spans="7:11" x14ac:dyDescent="0.25">
      <c r="G189" t="s">
        <v>172</v>
      </c>
      <c r="H189" t="s">
        <v>165</v>
      </c>
      <c r="I189">
        <v>3.8</v>
      </c>
      <c r="J189">
        <v>1.28</v>
      </c>
      <c r="K189" t="s">
        <v>8</v>
      </c>
    </row>
    <row r="190" spans="7:11" x14ac:dyDescent="0.25">
      <c r="G190" t="s">
        <v>173</v>
      </c>
      <c r="H190" t="s">
        <v>165</v>
      </c>
      <c r="I190">
        <v>2.2000000000000002</v>
      </c>
      <c r="J190">
        <v>1.7</v>
      </c>
      <c r="K190" t="s">
        <v>8</v>
      </c>
    </row>
    <row r="191" spans="7:11" x14ac:dyDescent="0.25">
      <c r="G191" t="s">
        <v>173</v>
      </c>
      <c r="H191" t="s">
        <v>165</v>
      </c>
      <c r="I191">
        <v>2.16</v>
      </c>
      <c r="J191">
        <v>1.71</v>
      </c>
      <c r="K191" t="s">
        <v>8</v>
      </c>
    </row>
    <row r="192" spans="7:11" x14ac:dyDescent="0.25">
      <c r="G192" t="s">
        <v>173</v>
      </c>
      <c r="H192" t="s">
        <v>165</v>
      </c>
      <c r="I192">
        <v>2.2200000000000002</v>
      </c>
      <c r="J192">
        <v>1.7</v>
      </c>
      <c r="K192" t="s">
        <v>8</v>
      </c>
    </row>
    <row r="193" spans="7:11" x14ac:dyDescent="0.25">
      <c r="G193" t="s">
        <v>173</v>
      </c>
      <c r="H193" t="s">
        <v>165</v>
      </c>
      <c r="I193">
        <v>2.25</v>
      </c>
      <c r="J193">
        <v>1.69</v>
      </c>
      <c r="K193" t="s">
        <v>8</v>
      </c>
    </row>
    <row r="194" spans="7:11" x14ac:dyDescent="0.25">
      <c r="G194" t="s">
        <v>173</v>
      </c>
      <c r="H194" t="s">
        <v>165</v>
      </c>
      <c r="I194">
        <v>2.1</v>
      </c>
      <c r="J194">
        <v>1.74</v>
      </c>
      <c r="K194" t="s">
        <v>8</v>
      </c>
    </row>
    <row r="195" spans="7:11" x14ac:dyDescent="0.25">
      <c r="G195" t="s">
        <v>173</v>
      </c>
      <c r="H195" t="s">
        <v>165</v>
      </c>
      <c r="I195">
        <v>2.1800000000000002</v>
      </c>
      <c r="J195">
        <v>1.71</v>
      </c>
      <c r="K195" t="s">
        <v>8</v>
      </c>
    </row>
    <row r="196" spans="7:11" x14ac:dyDescent="0.25">
      <c r="G196" t="s">
        <v>173</v>
      </c>
      <c r="H196" t="s">
        <v>165</v>
      </c>
      <c r="I196">
        <v>2.2200000000000002</v>
      </c>
      <c r="J196">
        <v>1.7</v>
      </c>
      <c r="K196" t="s">
        <v>8</v>
      </c>
    </row>
    <row r="197" spans="7:11" x14ac:dyDescent="0.25">
      <c r="G197" t="s">
        <v>173</v>
      </c>
      <c r="H197" t="s">
        <v>165</v>
      </c>
      <c r="I197">
        <v>2.1</v>
      </c>
      <c r="J197">
        <v>1.74</v>
      </c>
      <c r="K197" t="s">
        <v>8</v>
      </c>
    </row>
    <row r="198" spans="7:11" x14ac:dyDescent="0.25">
      <c r="G198" t="s">
        <v>173</v>
      </c>
      <c r="H198" t="s">
        <v>165</v>
      </c>
      <c r="I198">
        <v>2.2000000000000002</v>
      </c>
      <c r="J198">
        <v>1.71</v>
      </c>
      <c r="K198" t="s">
        <v>8</v>
      </c>
    </row>
    <row r="199" spans="7:11" x14ac:dyDescent="0.25">
      <c r="G199" t="s">
        <v>173</v>
      </c>
      <c r="H199" t="s">
        <v>165</v>
      </c>
      <c r="I199">
        <v>2.15</v>
      </c>
      <c r="J199">
        <v>1.71</v>
      </c>
      <c r="K199" t="s">
        <v>8</v>
      </c>
    </row>
    <row r="200" spans="7:11" x14ac:dyDescent="0.25">
      <c r="G200" t="s">
        <v>173</v>
      </c>
      <c r="H200" t="s">
        <v>165</v>
      </c>
      <c r="I200">
        <v>2.2000000000000002</v>
      </c>
      <c r="J200">
        <v>1.71</v>
      </c>
      <c r="K200" t="s">
        <v>8</v>
      </c>
    </row>
    <row r="201" spans="7:11" x14ac:dyDescent="0.25">
      <c r="G201" t="s">
        <v>173</v>
      </c>
      <c r="H201" t="s">
        <v>165</v>
      </c>
      <c r="I201">
        <v>2.2000000000000002</v>
      </c>
      <c r="J201">
        <v>1.71</v>
      </c>
      <c r="K201" t="s">
        <v>8</v>
      </c>
    </row>
    <row r="202" spans="7:11" x14ac:dyDescent="0.25">
      <c r="G202" t="s">
        <v>174</v>
      </c>
      <c r="H202" t="s">
        <v>165</v>
      </c>
      <c r="I202">
        <v>1</v>
      </c>
      <c r="J202">
        <v>41</v>
      </c>
      <c r="K202" t="s">
        <v>8</v>
      </c>
    </row>
    <row r="203" spans="7:11" x14ac:dyDescent="0.25">
      <c r="G203" t="s">
        <v>175</v>
      </c>
      <c r="H203" t="s">
        <v>165</v>
      </c>
      <c r="I203">
        <v>1.18</v>
      </c>
      <c r="J203">
        <v>5.0999999999999996</v>
      </c>
      <c r="K203" t="s">
        <v>8</v>
      </c>
    </row>
    <row r="204" spans="7:11" x14ac:dyDescent="0.25">
      <c r="G204" t="s">
        <v>175</v>
      </c>
      <c r="H204" t="s">
        <v>165</v>
      </c>
      <c r="I204">
        <v>1.17</v>
      </c>
      <c r="J204">
        <v>5.3</v>
      </c>
      <c r="K204" t="s">
        <v>8</v>
      </c>
    </row>
    <row r="205" spans="7:11" x14ac:dyDescent="0.25">
      <c r="G205" t="s">
        <v>175</v>
      </c>
      <c r="H205" t="s">
        <v>165</v>
      </c>
      <c r="I205">
        <v>1.2</v>
      </c>
      <c r="J205">
        <v>4.95</v>
      </c>
      <c r="K205" t="s">
        <v>8</v>
      </c>
    </row>
    <row r="206" spans="7:11" x14ac:dyDescent="0.25">
      <c r="G206" t="s">
        <v>175</v>
      </c>
      <c r="H206" t="s">
        <v>165</v>
      </c>
      <c r="I206">
        <v>1.17</v>
      </c>
      <c r="J206">
        <v>5.2</v>
      </c>
      <c r="K206" t="s">
        <v>8</v>
      </c>
    </row>
    <row r="207" spans="7:11" x14ac:dyDescent="0.25">
      <c r="G207" t="s">
        <v>175</v>
      </c>
      <c r="H207" t="s">
        <v>165</v>
      </c>
      <c r="I207">
        <v>1.17</v>
      </c>
      <c r="J207">
        <v>5</v>
      </c>
      <c r="K207" t="s">
        <v>8</v>
      </c>
    </row>
    <row r="208" spans="7:11" x14ac:dyDescent="0.25">
      <c r="G208" t="s">
        <v>175</v>
      </c>
      <c r="H208" t="s">
        <v>165</v>
      </c>
      <c r="I208">
        <v>1.17</v>
      </c>
      <c r="J208">
        <v>5.3</v>
      </c>
      <c r="K208" t="s">
        <v>8</v>
      </c>
    </row>
    <row r="209" spans="7:11" x14ac:dyDescent="0.25">
      <c r="G209" t="s">
        <v>175</v>
      </c>
      <c r="H209" t="s">
        <v>165</v>
      </c>
      <c r="I209">
        <v>1.2</v>
      </c>
      <c r="J209">
        <v>4.95</v>
      </c>
      <c r="K209" t="s">
        <v>8</v>
      </c>
    </row>
    <row r="210" spans="7:11" x14ac:dyDescent="0.25">
      <c r="G210" t="s">
        <v>175</v>
      </c>
      <c r="H210" t="s">
        <v>165</v>
      </c>
      <c r="I210">
        <v>1.17</v>
      </c>
      <c r="J210">
        <v>5.2</v>
      </c>
      <c r="K210" t="s">
        <v>8</v>
      </c>
    </row>
    <row r="211" spans="7:11" x14ac:dyDescent="0.25">
      <c r="G211" t="s">
        <v>175</v>
      </c>
      <c r="H211" t="s">
        <v>165</v>
      </c>
      <c r="I211">
        <v>1.18</v>
      </c>
      <c r="J211">
        <v>5.15</v>
      </c>
      <c r="K211" t="s">
        <v>8</v>
      </c>
    </row>
    <row r="212" spans="7:11" x14ac:dyDescent="0.25">
      <c r="G212" t="s">
        <v>175</v>
      </c>
      <c r="H212" t="s">
        <v>165</v>
      </c>
      <c r="I212">
        <v>1.17</v>
      </c>
      <c r="J212">
        <v>5.25</v>
      </c>
      <c r="K212" t="s">
        <v>8</v>
      </c>
    </row>
    <row r="213" spans="7:11" x14ac:dyDescent="0.25">
      <c r="G213" t="s">
        <v>175</v>
      </c>
      <c r="H213" t="s">
        <v>165</v>
      </c>
      <c r="I213">
        <v>1.18</v>
      </c>
      <c r="J213">
        <v>5</v>
      </c>
      <c r="K213" t="s">
        <v>8</v>
      </c>
    </row>
    <row r="214" spans="7:11" x14ac:dyDescent="0.25">
      <c r="G214" t="s">
        <v>175</v>
      </c>
      <c r="H214" t="s">
        <v>165</v>
      </c>
      <c r="I214">
        <v>1.18</v>
      </c>
      <c r="J214">
        <v>5.05</v>
      </c>
      <c r="K214" t="s">
        <v>8</v>
      </c>
    </row>
    <row r="215" spans="7:11" x14ac:dyDescent="0.25">
      <c r="G215" t="s">
        <v>176</v>
      </c>
      <c r="H215" t="s">
        <v>165</v>
      </c>
      <c r="I215">
        <v>1.07</v>
      </c>
      <c r="J215">
        <v>9.25</v>
      </c>
      <c r="K215" t="s">
        <v>8</v>
      </c>
    </row>
    <row r="216" spans="7:11" x14ac:dyDescent="0.25">
      <c r="G216" t="s">
        <v>176</v>
      </c>
      <c r="H216" t="s">
        <v>165</v>
      </c>
      <c r="I216">
        <v>1.05</v>
      </c>
      <c r="J216">
        <v>10.5</v>
      </c>
      <c r="K216" t="s">
        <v>8</v>
      </c>
    </row>
    <row r="217" spans="7:11" x14ac:dyDescent="0.25">
      <c r="G217" t="s">
        <v>176</v>
      </c>
      <c r="H217" t="s">
        <v>165</v>
      </c>
      <c r="I217">
        <v>1.08</v>
      </c>
      <c r="J217">
        <v>8</v>
      </c>
      <c r="K217" t="s">
        <v>8</v>
      </c>
    </row>
    <row r="218" spans="7:11" x14ac:dyDescent="0.25">
      <c r="G218" t="s">
        <v>176</v>
      </c>
      <c r="H218" t="s">
        <v>165</v>
      </c>
      <c r="I218">
        <v>1.07</v>
      </c>
      <c r="J218">
        <v>9.1</v>
      </c>
      <c r="K218" t="s">
        <v>8</v>
      </c>
    </row>
    <row r="219" spans="7:11" x14ac:dyDescent="0.25">
      <c r="G219" t="s">
        <v>176</v>
      </c>
      <c r="H219" t="s">
        <v>165</v>
      </c>
      <c r="I219">
        <v>1.07</v>
      </c>
      <c r="J219">
        <v>9</v>
      </c>
      <c r="K219" t="s">
        <v>8</v>
      </c>
    </row>
    <row r="220" spans="7:11" x14ac:dyDescent="0.25">
      <c r="G220" t="s">
        <v>176</v>
      </c>
      <c r="H220" t="s">
        <v>165</v>
      </c>
      <c r="I220">
        <v>1.07</v>
      </c>
      <c r="J220">
        <v>9.25</v>
      </c>
      <c r="K220" t="s">
        <v>8</v>
      </c>
    </row>
    <row r="221" spans="7:11" x14ac:dyDescent="0.25">
      <c r="G221" t="s">
        <v>176</v>
      </c>
      <c r="H221" t="s">
        <v>165</v>
      </c>
      <c r="I221">
        <v>1.05</v>
      </c>
      <c r="J221">
        <v>10.5</v>
      </c>
      <c r="K221" t="s">
        <v>8</v>
      </c>
    </row>
    <row r="222" spans="7:11" x14ac:dyDescent="0.25">
      <c r="G222" t="s">
        <v>176</v>
      </c>
      <c r="H222" t="s">
        <v>165</v>
      </c>
      <c r="I222">
        <v>1.07</v>
      </c>
      <c r="J222">
        <v>9.1999999999999993</v>
      </c>
      <c r="K222" t="s">
        <v>8</v>
      </c>
    </row>
    <row r="223" spans="7:11" x14ac:dyDescent="0.25">
      <c r="G223" t="s">
        <v>176</v>
      </c>
      <c r="H223" t="s">
        <v>165</v>
      </c>
      <c r="I223">
        <v>1.07</v>
      </c>
      <c r="J223">
        <v>9</v>
      </c>
      <c r="K223" t="s">
        <v>8</v>
      </c>
    </row>
    <row r="224" spans="7:11" x14ac:dyDescent="0.25">
      <c r="G224" t="s">
        <v>176</v>
      </c>
      <c r="H224" t="s">
        <v>165</v>
      </c>
      <c r="I224">
        <v>1.06</v>
      </c>
      <c r="J224">
        <v>9.5</v>
      </c>
      <c r="K224" t="s">
        <v>8</v>
      </c>
    </row>
    <row r="225" spans="7:11" x14ac:dyDescent="0.25">
      <c r="G225" t="s">
        <v>176</v>
      </c>
      <c r="H225" t="s">
        <v>165</v>
      </c>
      <c r="I225">
        <v>1.06</v>
      </c>
      <c r="J225">
        <v>9.4499999999999993</v>
      </c>
      <c r="K225" t="s">
        <v>8</v>
      </c>
    </row>
    <row r="226" spans="7:11" x14ac:dyDescent="0.25">
      <c r="G226" t="s">
        <v>177</v>
      </c>
      <c r="H226" t="s">
        <v>178</v>
      </c>
      <c r="I226">
        <v>3.7</v>
      </c>
      <c r="J226">
        <v>1.29</v>
      </c>
      <c r="K226" t="s">
        <v>8</v>
      </c>
    </row>
    <row r="227" spans="7:11" x14ac:dyDescent="0.25">
      <c r="G227" t="s">
        <v>177</v>
      </c>
      <c r="H227" t="s">
        <v>178</v>
      </c>
      <c r="I227">
        <v>3.6</v>
      </c>
      <c r="J227">
        <v>1.3</v>
      </c>
      <c r="K227" t="s">
        <v>8</v>
      </c>
    </row>
    <row r="228" spans="7:11" x14ac:dyDescent="0.25">
      <c r="G228" t="s">
        <v>177</v>
      </c>
      <c r="H228" t="s">
        <v>178</v>
      </c>
      <c r="I228">
        <v>3.35</v>
      </c>
      <c r="J228">
        <v>1.36</v>
      </c>
      <c r="K228" t="s">
        <v>8</v>
      </c>
    </row>
    <row r="229" spans="7:11" x14ac:dyDescent="0.25">
      <c r="G229" t="s">
        <v>177</v>
      </c>
      <c r="H229" t="s">
        <v>178</v>
      </c>
      <c r="I229">
        <v>3.5</v>
      </c>
      <c r="J229">
        <v>1.33</v>
      </c>
      <c r="K229" t="s">
        <v>8</v>
      </c>
    </row>
    <row r="230" spans="7:11" x14ac:dyDescent="0.25">
      <c r="G230" t="s">
        <v>177</v>
      </c>
      <c r="H230" t="s">
        <v>178</v>
      </c>
      <c r="I230">
        <v>3.5</v>
      </c>
      <c r="J230">
        <v>1.31</v>
      </c>
      <c r="K230" t="s">
        <v>8</v>
      </c>
    </row>
    <row r="231" spans="7:11" x14ac:dyDescent="0.25">
      <c r="G231" t="s">
        <v>177</v>
      </c>
      <c r="H231" t="s">
        <v>178</v>
      </c>
      <c r="I231">
        <v>3.45</v>
      </c>
      <c r="J231">
        <v>1.32</v>
      </c>
      <c r="K231" t="s">
        <v>8</v>
      </c>
    </row>
    <row r="232" spans="7:11" x14ac:dyDescent="0.25">
      <c r="G232" t="s">
        <v>177</v>
      </c>
      <c r="H232" t="s">
        <v>178</v>
      </c>
      <c r="I232">
        <v>3.35</v>
      </c>
      <c r="J232">
        <v>1.36</v>
      </c>
      <c r="K232" t="s">
        <v>8</v>
      </c>
    </row>
    <row r="233" spans="7:11" x14ac:dyDescent="0.25">
      <c r="G233" t="s">
        <v>177</v>
      </c>
      <c r="H233" t="s">
        <v>178</v>
      </c>
      <c r="I233">
        <v>3.45</v>
      </c>
      <c r="J233">
        <v>1.32</v>
      </c>
      <c r="K233" t="s">
        <v>8</v>
      </c>
    </row>
    <row r="234" spans="7:11" x14ac:dyDescent="0.25">
      <c r="G234" t="s">
        <v>177</v>
      </c>
      <c r="H234" t="s">
        <v>178</v>
      </c>
      <c r="I234">
        <v>3.3</v>
      </c>
      <c r="J234">
        <v>1.36</v>
      </c>
      <c r="K234" t="s">
        <v>8</v>
      </c>
    </row>
    <row r="235" spans="7:11" x14ac:dyDescent="0.25">
      <c r="G235" t="s">
        <v>177</v>
      </c>
      <c r="H235" t="s">
        <v>178</v>
      </c>
      <c r="I235">
        <v>3.5</v>
      </c>
      <c r="J235">
        <v>1.32</v>
      </c>
      <c r="K235" t="s">
        <v>8</v>
      </c>
    </row>
    <row r="236" spans="7:11" x14ac:dyDescent="0.25">
      <c r="G236" t="s">
        <v>177</v>
      </c>
      <c r="H236" t="s">
        <v>178</v>
      </c>
      <c r="I236">
        <v>3.5</v>
      </c>
      <c r="J236">
        <v>1.32</v>
      </c>
      <c r="K236" t="s">
        <v>8</v>
      </c>
    </row>
    <row r="237" spans="7:11" x14ac:dyDescent="0.25">
      <c r="G237" t="s">
        <v>179</v>
      </c>
      <c r="H237" t="s">
        <v>178</v>
      </c>
      <c r="I237">
        <v>1.03</v>
      </c>
      <c r="J237">
        <v>16</v>
      </c>
      <c r="K237" t="s">
        <v>8</v>
      </c>
    </row>
    <row r="238" spans="7:11" x14ac:dyDescent="0.25">
      <c r="G238" t="s">
        <v>179</v>
      </c>
      <c r="H238" t="s">
        <v>178</v>
      </c>
      <c r="I238">
        <v>1.01</v>
      </c>
      <c r="J238">
        <v>15</v>
      </c>
      <c r="K238" t="s">
        <v>8</v>
      </c>
    </row>
    <row r="239" spans="7:11" x14ac:dyDescent="0.25">
      <c r="G239" t="s">
        <v>179</v>
      </c>
      <c r="H239" t="s">
        <v>178</v>
      </c>
      <c r="I239">
        <v>1.02</v>
      </c>
      <c r="J239">
        <v>16.5</v>
      </c>
      <c r="K239" t="s">
        <v>8</v>
      </c>
    </row>
    <row r="240" spans="7:11" x14ac:dyDescent="0.25">
      <c r="G240" t="s">
        <v>179</v>
      </c>
      <c r="H240" t="s">
        <v>178</v>
      </c>
      <c r="I240">
        <v>1.01</v>
      </c>
      <c r="J240">
        <v>19</v>
      </c>
      <c r="K240" t="s">
        <v>8</v>
      </c>
    </row>
    <row r="241" spans="7:11" x14ac:dyDescent="0.25">
      <c r="G241" t="s">
        <v>179</v>
      </c>
      <c r="H241" t="s">
        <v>178</v>
      </c>
      <c r="I241">
        <v>1.01</v>
      </c>
      <c r="J241">
        <v>17</v>
      </c>
      <c r="K241" t="s">
        <v>8</v>
      </c>
    </row>
    <row r="242" spans="7:11" x14ac:dyDescent="0.25">
      <c r="G242" t="s">
        <v>179</v>
      </c>
      <c r="H242" t="s">
        <v>178</v>
      </c>
      <c r="I242">
        <v>1.02</v>
      </c>
      <c r="J242">
        <v>17</v>
      </c>
      <c r="K242" t="s">
        <v>8</v>
      </c>
    </row>
    <row r="243" spans="7:11" x14ac:dyDescent="0.25">
      <c r="G243" t="s">
        <v>179</v>
      </c>
      <c r="H243" t="s">
        <v>178</v>
      </c>
      <c r="I243">
        <v>1.01</v>
      </c>
      <c r="J243">
        <v>17</v>
      </c>
      <c r="K243" t="s">
        <v>8</v>
      </c>
    </row>
    <row r="244" spans="7:11" x14ac:dyDescent="0.25">
      <c r="G244" t="s">
        <v>179</v>
      </c>
      <c r="H244" t="s">
        <v>178</v>
      </c>
      <c r="I244">
        <v>1.03</v>
      </c>
      <c r="J244">
        <v>13</v>
      </c>
      <c r="K244" t="s">
        <v>8</v>
      </c>
    </row>
    <row r="245" spans="7:11" x14ac:dyDescent="0.25">
      <c r="G245" t="s">
        <v>180</v>
      </c>
      <c r="H245" t="s">
        <v>181</v>
      </c>
      <c r="I245">
        <v>3.7</v>
      </c>
      <c r="J245">
        <v>1.29</v>
      </c>
      <c r="K245" t="s">
        <v>8</v>
      </c>
    </row>
    <row r="246" spans="7:11" x14ac:dyDescent="0.25">
      <c r="G246" t="s">
        <v>180</v>
      </c>
      <c r="H246" t="s">
        <v>181</v>
      </c>
      <c r="I246">
        <v>3.75</v>
      </c>
      <c r="J246">
        <v>1.3</v>
      </c>
      <c r="K246" t="s">
        <v>8</v>
      </c>
    </row>
    <row r="247" spans="7:11" x14ac:dyDescent="0.25">
      <c r="G247" t="s">
        <v>180</v>
      </c>
      <c r="H247" t="s">
        <v>181</v>
      </c>
      <c r="I247">
        <v>4.0999999999999996</v>
      </c>
      <c r="J247">
        <v>1.24</v>
      </c>
      <c r="K247" t="s">
        <v>8</v>
      </c>
    </row>
    <row r="248" spans="7:11" x14ac:dyDescent="0.25">
      <c r="G248" t="s">
        <v>180</v>
      </c>
      <c r="H248" t="s">
        <v>181</v>
      </c>
      <c r="I248">
        <v>3.75</v>
      </c>
      <c r="J248">
        <v>1.29</v>
      </c>
      <c r="K248" t="s">
        <v>8</v>
      </c>
    </row>
    <row r="249" spans="7:11" x14ac:dyDescent="0.25">
      <c r="G249" t="s">
        <v>180</v>
      </c>
      <c r="H249" t="s">
        <v>181</v>
      </c>
      <c r="I249">
        <v>3.4</v>
      </c>
      <c r="J249">
        <v>1.33</v>
      </c>
      <c r="K249" t="s">
        <v>8</v>
      </c>
    </row>
    <row r="250" spans="7:11" x14ac:dyDescent="0.25">
      <c r="G250" t="s">
        <v>180</v>
      </c>
      <c r="H250" t="s">
        <v>181</v>
      </c>
      <c r="I250">
        <v>3.8</v>
      </c>
      <c r="J250">
        <v>1.28</v>
      </c>
      <c r="K250" t="s">
        <v>8</v>
      </c>
    </row>
    <row r="251" spans="7:11" x14ac:dyDescent="0.25">
      <c r="G251" t="s">
        <v>180</v>
      </c>
      <c r="H251" t="s">
        <v>181</v>
      </c>
      <c r="I251">
        <v>3.75</v>
      </c>
      <c r="J251">
        <v>1.3</v>
      </c>
      <c r="K251" t="s">
        <v>8</v>
      </c>
    </row>
    <row r="252" spans="7:11" x14ac:dyDescent="0.25">
      <c r="G252" t="s">
        <v>180</v>
      </c>
      <c r="H252" t="s">
        <v>181</v>
      </c>
      <c r="I252">
        <v>3.4</v>
      </c>
      <c r="J252">
        <v>1.33</v>
      </c>
      <c r="K252" t="s">
        <v>8</v>
      </c>
    </row>
    <row r="253" spans="7:11" x14ac:dyDescent="0.25">
      <c r="G253" t="s">
        <v>180</v>
      </c>
      <c r="H253" t="s">
        <v>181</v>
      </c>
      <c r="I253">
        <v>3.8</v>
      </c>
      <c r="J253">
        <v>1.29</v>
      </c>
      <c r="K253" t="s">
        <v>8</v>
      </c>
    </row>
    <row r="254" spans="7:11" x14ac:dyDescent="0.25">
      <c r="G254" t="s">
        <v>180</v>
      </c>
      <c r="H254" t="s">
        <v>181</v>
      </c>
      <c r="I254">
        <v>3.6</v>
      </c>
      <c r="J254">
        <v>1.29</v>
      </c>
      <c r="K254" t="s">
        <v>8</v>
      </c>
    </row>
    <row r="255" spans="7:11" x14ac:dyDescent="0.25">
      <c r="G255" t="s">
        <v>180</v>
      </c>
      <c r="H255" t="s">
        <v>181</v>
      </c>
      <c r="I255">
        <v>3.75</v>
      </c>
      <c r="J255">
        <v>1.29</v>
      </c>
      <c r="K255" t="s">
        <v>8</v>
      </c>
    </row>
    <row r="256" spans="7:11" x14ac:dyDescent="0.25">
      <c r="G256" t="s">
        <v>180</v>
      </c>
      <c r="H256" t="s">
        <v>181</v>
      </c>
      <c r="I256">
        <v>3.75</v>
      </c>
      <c r="J256">
        <v>1.28</v>
      </c>
      <c r="K256" t="s">
        <v>8</v>
      </c>
    </row>
    <row r="257" spans="7:11" x14ac:dyDescent="0.25">
      <c r="G257" t="s">
        <v>182</v>
      </c>
      <c r="H257" t="s">
        <v>181</v>
      </c>
      <c r="I257">
        <v>1.21</v>
      </c>
      <c r="J257">
        <v>4.7</v>
      </c>
      <c r="K257" t="s">
        <v>8</v>
      </c>
    </row>
    <row r="258" spans="7:11" x14ac:dyDescent="0.25">
      <c r="G258" t="s">
        <v>182</v>
      </c>
      <c r="H258" t="s">
        <v>181</v>
      </c>
      <c r="I258">
        <v>1.22</v>
      </c>
      <c r="J258">
        <v>4.7</v>
      </c>
      <c r="K258" t="s">
        <v>8</v>
      </c>
    </row>
    <row r="259" spans="7:11" x14ac:dyDescent="0.25">
      <c r="G259" t="s">
        <v>182</v>
      </c>
      <c r="H259" t="s">
        <v>181</v>
      </c>
      <c r="I259">
        <v>1.19</v>
      </c>
      <c r="J259">
        <v>4.75</v>
      </c>
      <c r="K259" t="s">
        <v>8</v>
      </c>
    </row>
    <row r="260" spans="7:11" x14ac:dyDescent="0.25">
      <c r="G260" t="s">
        <v>182</v>
      </c>
      <c r="H260" t="s">
        <v>181</v>
      </c>
      <c r="I260">
        <v>1.2</v>
      </c>
      <c r="J260">
        <v>4.75</v>
      </c>
      <c r="K260" t="s">
        <v>8</v>
      </c>
    </row>
    <row r="261" spans="7:11" x14ac:dyDescent="0.25">
      <c r="G261" t="s">
        <v>182</v>
      </c>
      <c r="H261" t="s">
        <v>181</v>
      </c>
      <c r="I261">
        <v>1.21</v>
      </c>
      <c r="J261">
        <v>4.5999999999999996</v>
      </c>
      <c r="K261" t="s">
        <v>8</v>
      </c>
    </row>
    <row r="262" spans="7:11" x14ac:dyDescent="0.25">
      <c r="G262" t="s">
        <v>182</v>
      </c>
      <c r="H262" t="s">
        <v>181</v>
      </c>
      <c r="I262">
        <v>1.19</v>
      </c>
      <c r="J262">
        <v>4.8</v>
      </c>
      <c r="K262" t="s">
        <v>8</v>
      </c>
    </row>
    <row r="263" spans="7:11" x14ac:dyDescent="0.25">
      <c r="G263" t="s">
        <v>182</v>
      </c>
      <c r="H263" t="s">
        <v>181</v>
      </c>
      <c r="I263">
        <v>1.18</v>
      </c>
      <c r="J263">
        <v>5</v>
      </c>
      <c r="K263" t="s">
        <v>8</v>
      </c>
    </row>
    <row r="264" spans="7:11" x14ac:dyDescent="0.25">
      <c r="G264" t="s">
        <v>182</v>
      </c>
      <c r="H264" t="s">
        <v>181</v>
      </c>
      <c r="I264">
        <v>1.22</v>
      </c>
      <c r="J264">
        <v>4.7</v>
      </c>
      <c r="K264" t="s">
        <v>8</v>
      </c>
    </row>
    <row r="265" spans="7:11" x14ac:dyDescent="0.25">
      <c r="G265" t="s">
        <v>182</v>
      </c>
      <c r="H265" t="s">
        <v>181</v>
      </c>
      <c r="I265">
        <v>1.19</v>
      </c>
      <c r="J265">
        <v>4.8</v>
      </c>
      <c r="K265" t="s">
        <v>8</v>
      </c>
    </row>
    <row r="266" spans="7:11" x14ac:dyDescent="0.25">
      <c r="G266" t="s">
        <v>182</v>
      </c>
      <c r="H266" t="s">
        <v>181</v>
      </c>
      <c r="I266">
        <v>1.2</v>
      </c>
      <c r="J266">
        <v>4.8499999999999996</v>
      </c>
      <c r="K266" t="s">
        <v>8</v>
      </c>
    </row>
    <row r="267" spans="7:11" x14ac:dyDescent="0.25">
      <c r="G267" t="s">
        <v>182</v>
      </c>
      <c r="H267" t="s">
        <v>181</v>
      </c>
      <c r="I267">
        <v>1.2</v>
      </c>
      <c r="J267">
        <v>4.75</v>
      </c>
      <c r="K267" t="s">
        <v>8</v>
      </c>
    </row>
    <row r="268" spans="7:11" x14ac:dyDescent="0.25">
      <c r="G268" t="s">
        <v>182</v>
      </c>
      <c r="H268" t="s">
        <v>181</v>
      </c>
      <c r="I268">
        <v>1.2</v>
      </c>
      <c r="J268">
        <v>4.7</v>
      </c>
      <c r="K268" t="s">
        <v>8</v>
      </c>
    </row>
    <row r="269" spans="7:11" x14ac:dyDescent="0.25">
      <c r="G269" t="s">
        <v>183</v>
      </c>
      <c r="H269" t="s">
        <v>181</v>
      </c>
      <c r="I269">
        <v>2.14</v>
      </c>
      <c r="J269">
        <v>1.74</v>
      </c>
      <c r="K269" t="s">
        <v>8</v>
      </c>
    </row>
    <row r="270" spans="7:11" x14ac:dyDescent="0.25">
      <c r="G270" t="s">
        <v>183</v>
      </c>
      <c r="H270" t="s">
        <v>181</v>
      </c>
      <c r="I270">
        <v>2.2000000000000002</v>
      </c>
      <c r="J270">
        <v>1.71</v>
      </c>
      <c r="K270" t="s">
        <v>8</v>
      </c>
    </row>
    <row r="271" spans="7:11" x14ac:dyDescent="0.25">
      <c r="G271" t="s">
        <v>183</v>
      </c>
      <c r="H271" t="s">
        <v>181</v>
      </c>
      <c r="I271">
        <v>2.2000000000000002</v>
      </c>
      <c r="J271">
        <v>1.71</v>
      </c>
      <c r="K271" t="s">
        <v>8</v>
      </c>
    </row>
    <row r="272" spans="7:11" x14ac:dyDescent="0.25">
      <c r="G272" t="s">
        <v>183</v>
      </c>
      <c r="H272" t="s">
        <v>181</v>
      </c>
      <c r="I272">
        <v>2.25</v>
      </c>
      <c r="J272">
        <v>1.69</v>
      </c>
      <c r="K272" t="s">
        <v>8</v>
      </c>
    </row>
    <row r="273" spans="7:11" x14ac:dyDescent="0.25">
      <c r="G273" t="s">
        <v>183</v>
      </c>
      <c r="H273" t="s">
        <v>181</v>
      </c>
      <c r="I273">
        <v>2.1800000000000002</v>
      </c>
      <c r="J273">
        <v>1.71</v>
      </c>
      <c r="K273" t="s">
        <v>8</v>
      </c>
    </row>
    <row r="274" spans="7:11" x14ac:dyDescent="0.25">
      <c r="G274" t="s">
        <v>183</v>
      </c>
      <c r="H274" t="s">
        <v>181</v>
      </c>
      <c r="I274">
        <v>2.1800000000000002</v>
      </c>
      <c r="J274">
        <v>1.7</v>
      </c>
      <c r="K274" t="s">
        <v>8</v>
      </c>
    </row>
    <row r="275" spans="7:11" x14ac:dyDescent="0.25">
      <c r="G275" t="s">
        <v>183</v>
      </c>
      <c r="H275" t="s">
        <v>181</v>
      </c>
      <c r="I275">
        <v>2.1800000000000002</v>
      </c>
      <c r="J275">
        <v>1.7</v>
      </c>
      <c r="K275" t="s">
        <v>8</v>
      </c>
    </row>
    <row r="276" spans="7:11" x14ac:dyDescent="0.25">
      <c r="G276" t="s">
        <v>183</v>
      </c>
      <c r="H276" t="s">
        <v>181</v>
      </c>
      <c r="I276">
        <v>2.2000000000000002</v>
      </c>
      <c r="J276">
        <v>1.71</v>
      </c>
      <c r="K276" t="s">
        <v>8</v>
      </c>
    </row>
    <row r="277" spans="7:11" x14ac:dyDescent="0.25">
      <c r="G277" t="s">
        <v>183</v>
      </c>
      <c r="H277" t="s">
        <v>181</v>
      </c>
      <c r="I277">
        <v>2.1800000000000002</v>
      </c>
      <c r="J277">
        <v>1.7</v>
      </c>
      <c r="K277" t="s">
        <v>8</v>
      </c>
    </row>
    <row r="278" spans="7:11" x14ac:dyDescent="0.25">
      <c r="G278" t="s">
        <v>183</v>
      </c>
      <c r="H278" t="s">
        <v>181</v>
      </c>
      <c r="I278">
        <v>2.2000000000000002</v>
      </c>
      <c r="J278">
        <v>1.71</v>
      </c>
      <c r="K278" t="s">
        <v>8</v>
      </c>
    </row>
    <row r="279" spans="7:11" x14ac:dyDescent="0.25">
      <c r="G279" t="s">
        <v>183</v>
      </c>
      <c r="H279" t="s">
        <v>181</v>
      </c>
      <c r="I279">
        <v>2.15</v>
      </c>
      <c r="J279">
        <v>1.71</v>
      </c>
      <c r="K279" t="s">
        <v>8</v>
      </c>
    </row>
    <row r="280" spans="7:11" x14ac:dyDescent="0.25">
      <c r="G280" t="s">
        <v>183</v>
      </c>
      <c r="H280" t="s">
        <v>181</v>
      </c>
      <c r="I280">
        <v>2.2000000000000002</v>
      </c>
      <c r="J280">
        <v>1.71</v>
      </c>
      <c r="K280" t="s">
        <v>8</v>
      </c>
    </row>
    <row r="281" spans="7:11" x14ac:dyDescent="0.25">
      <c r="G281" t="s">
        <v>184</v>
      </c>
      <c r="H281" t="s">
        <v>181</v>
      </c>
      <c r="I281">
        <v>1.34</v>
      </c>
      <c r="J281">
        <v>3.4</v>
      </c>
      <c r="K281" t="s">
        <v>8</v>
      </c>
    </row>
    <row r="282" spans="7:11" x14ac:dyDescent="0.25">
      <c r="G282" t="s">
        <v>184</v>
      </c>
      <c r="H282" t="s">
        <v>181</v>
      </c>
      <c r="I282">
        <v>1.34</v>
      </c>
      <c r="J282">
        <v>3.45</v>
      </c>
      <c r="K282" t="s">
        <v>8</v>
      </c>
    </row>
    <row r="283" spans="7:11" x14ac:dyDescent="0.25">
      <c r="G283" t="s">
        <v>184</v>
      </c>
      <c r="H283" t="s">
        <v>181</v>
      </c>
      <c r="I283">
        <v>1.34</v>
      </c>
      <c r="J283">
        <v>3.4</v>
      </c>
      <c r="K283" t="s">
        <v>8</v>
      </c>
    </row>
    <row r="284" spans="7:11" x14ac:dyDescent="0.25">
      <c r="G284" t="s">
        <v>184</v>
      </c>
      <c r="H284" t="s">
        <v>181</v>
      </c>
      <c r="I284">
        <v>1.33</v>
      </c>
      <c r="J284">
        <v>3.4</v>
      </c>
      <c r="K284" t="s">
        <v>8</v>
      </c>
    </row>
    <row r="285" spans="7:11" x14ac:dyDescent="0.25">
      <c r="G285" t="s">
        <v>184</v>
      </c>
      <c r="H285" t="s">
        <v>181</v>
      </c>
      <c r="I285">
        <v>1.33</v>
      </c>
      <c r="J285">
        <v>3.4</v>
      </c>
      <c r="K285" t="s">
        <v>8</v>
      </c>
    </row>
    <row r="286" spans="7:11" x14ac:dyDescent="0.25">
      <c r="G286" t="s">
        <v>184</v>
      </c>
      <c r="H286" t="s">
        <v>181</v>
      </c>
      <c r="I286">
        <v>1.3</v>
      </c>
      <c r="J286">
        <v>3.55</v>
      </c>
      <c r="K286" t="s">
        <v>8</v>
      </c>
    </row>
    <row r="287" spans="7:11" x14ac:dyDescent="0.25">
      <c r="G287" t="s">
        <v>184</v>
      </c>
      <c r="H287" t="s">
        <v>181</v>
      </c>
      <c r="I287">
        <v>1.3</v>
      </c>
      <c r="J287">
        <v>3.6</v>
      </c>
      <c r="K287" t="s">
        <v>8</v>
      </c>
    </row>
    <row r="288" spans="7:11" x14ac:dyDescent="0.25">
      <c r="G288" t="s">
        <v>184</v>
      </c>
      <c r="H288" t="s">
        <v>181</v>
      </c>
      <c r="I288">
        <v>1.34</v>
      </c>
      <c r="J288">
        <v>3.45</v>
      </c>
      <c r="K288" t="s">
        <v>8</v>
      </c>
    </row>
    <row r="289" spans="7:11" x14ac:dyDescent="0.25">
      <c r="G289" t="s">
        <v>184</v>
      </c>
      <c r="H289" t="s">
        <v>181</v>
      </c>
      <c r="I289">
        <v>1.3</v>
      </c>
      <c r="J289">
        <v>3.55</v>
      </c>
      <c r="K289" t="s">
        <v>8</v>
      </c>
    </row>
    <row r="290" spans="7:11" x14ac:dyDescent="0.25">
      <c r="G290" t="s">
        <v>184</v>
      </c>
      <c r="H290" t="s">
        <v>181</v>
      </c>
      <c r="I290">
        <v>1.34</v>
      </c>
      <c r="J290">
        <v>3.4</v>
      </c>
      <c r="K290" t="s">
        <v>8</v>
      </c>
    </row>
    <row r="291" spans="7:11" x14ac:dyDescent="0.25">
      <c r="G291" t="s">
        <v>184</v>
      </c>
      <c r="H291" t="s">
        <v>181</v>
      </c>
      <c r="I291">
        <v>1.33</v>
      </c>
      <c r="J291">
        <v>3.5</v>
      </c>
      <c r="K291" t="s">
        <v>8</v>
      </c>
    </row>
    <row r="292" spans="7:11" x14ac:dyDescent="0.25">
      <c r="G292" t="s">
        <v>184</v>
      </c>
      <c r="H292" t="s">
        <v>181</v>
      </c>
      <c r="I292">
        <v>1.33</v>
      </c>
      <c r="J292">
        <v>3.4</v>
      </c>
      <c r="K292" t="s">
        <v>8</v>
      </c>
    </row>
    <row r="293" spans="7:11" x14ac:dyDescent="0.25">
      <c r="G293" t="s">
        <v>185</v>
      </c>
      <c r="H293" t="s">
        <v>181</v>
      </c>
      <c r="I293">
        <v>1.32</v>
      </c>
      <c r="J293">
        <v>3.5</v>
      </c>
      <c r="K293" t="s">
        <v>8</v>
      </c>
    </row>
    <row r="294" spans="7:11" x14ac:dyDescent="0.25">
      <c r="G294" t="s">
        <v>185</v>
      </c>
      <c r="H294" t="s">
        <v>181</v>
      </c>
      <c r="I294">
        <v>1.32</v>
      </c>
      <c r="J294">
        <v>3.6</v>
      </c>
      <c r="K294" t="s">
        <v>8</v>
      </c>
    </row>
    <row r="295" spans="7:11" x14ac:dyDescent="0.25">
      <c r="G295" t="s">
        <v>185</v>
      </c>
      <c r="H295" t="s">
        <v>181</v>
      </c>
      <c r="I295">
        <v>1.32</v>
      </c>
      <c r="J295">
        <v>3.55</v>
      </c>
      <c r="K295" t="s">
        <v>8</v>
      </c>
    </row>
    <row r="296" spans="7:11" x14ac:dyDescent="0.25">
      <c r="G296" t="s">
        <v>185</v>
      </c>
      <c r="H296" t="s">
        <v>181</v>
      </c>
      <c r="I296">
        <v>1.3</v>
      </c>
      <c r="J296">
        <v>3.6</v>
      </c>
      <c r="K296" t="s">
        <v>8</v>
      </c>
    </row>
    <row r="297" spans="7:11" x14ac:dyDescent="0.25">
      <c r="G297" t="s">
        <v>185</v>
      </c>
      <c r="H297" t="s">
        <v>181</v>
      </c>
      <c r="I297">
        <v>1.3</v>
      </c>
      <c r="J297">
        <v>3.6</v>
      </c>
      <c r="K297" t="s">
        <v>8</v>
      </c>
    </row>
    <row r="298" spans="7:11" x14ac:dyDescent="0.25">
      <c r="G298" t="s">
        <v>185</v>
      </c>
      <c r="H298" t="s">
        <v>181</v>
      </c>
      <c r="I298">
        <v>1.29</v>
      </c>
      <c r="J298">
        <v>3.65</v>
      </c>
      <c r="K298" t="s">
        <v>8</v>
      </c>
    </row>
    <row r="299" spans="7:11" x14ac:dyDescent="0.25">
      <c r="G299" t="s">
        <v>185</v>
      </c>
      <c r="H299" t="s">
        <v>181</v>
      </c>
      <c r="I299">
        <v>1.29</v>
      </c>
      <c r="J299">
        <v>3.75</v>
      </c>
      <c r="K299" t="s">
        <v>8</v>
      </c>
    </row>
    <row r="300" spans="7:11" x14ac:dyDescent="0.25">
      <c r="G300" t="s">
        <v>185</v>
      </c>
      <c r="H300" t="s">
        <v>181</v>
      </c>
      <c r="I300">
        <v>1.32</v>
      </c>
      <c r="J300">
        <v>3.6</v>
      </c>
      <c r="K300" t="s">
        <v>8</v>
      </c>
    </row>
    <row r="301" spans="7:11" x14ac:dyDescent="0.25">
      <c r="G301" t="s">
        <v>185</v>
      </c>
      <c r="H301" t="s">
        <v>181</v>
      </c>
      <c r="I301">
        <v>1.29</v>
      </c>
      <c r="J301">
        <v>3.65</v>
      </c>
      <c r="K301" t="s">
        <v>8</v>
      </c>
    </row>
    <row r="302" spans="7:11" x14ac:dyDescent="0.25">
      <c r="G302" t="s">
        <v>185</v>
      </c>
      <c r="H302" t="s">
        <v>181</v>
      </c>
      <c r="I302">
        <v>1.32</v>
      </c>
      <c r="J302">
        <v>3.56</v>
      </c>
      <c r="K302" t="s">
        <v>8</v>
      </c>
    </row>
    <row r="303" spans="7:11" x14ac:dyDescent="0.25">
      <c r="G303" t="s">
        <v>185</v>
      </c>
      <c r="H303" t="s">
        <v>181</v>
      </c>
      <c r="I303">
        <v>1.29</v>
      </c>
      <c r="J303">
        <v>3.75</v>
      </c>
      <c r="K303" t="s">
        <v>8</v>
      </c>
    </row>
    <row r="304" spans="7:11" x14ac:dyDescent="0.25">
      <c r="G304" t="s">
        <v>185</v>
      </c>
      <c r="H304" t="s">
        <v>181</v>
      </c>
      <c r="I304">
        <v>1.3</v>
      </c>
      <c r="J304">
        <v>3.55</v>
      </c>
      <c r="K304" t="s">
        <v>8</v>
      </c>
    </row>
    <row r="305" spans="7:11" x14ac:dyDescent="0.25">
      <c r="G305" t="s">
        <v>186</v>
      </c>
      <c r="H305" t="s">
        <v>181</v>
      </c>
      <c r="I305">
        <v>5.55</v>
      </c>
      <c r="J305">
        <v>1.1599999999999999</v>
      </c>
      <c r="K305" t="s">
        <v>8</v>
      </c>
    </row>
    <row r="306" spans="7:11" x14ac:dyDescent="0.25">
      <c r="G306" t="s">
        <v>186</v>
      </c>
      <c r="H306" t="s">
        <v>181</v>
      </c>
      <c r="I306">
        <v>5.3</v>
      </c>
      <c r="J306">
        <v>1.18</v>
      </c>
      <c r="K306" t="s">
        <v>8</v>
      </c>
    </row>
    <row r="307" spans="7:11" x14ac:dyDescent="0.25">
      <c r="G307" t="s">
        <v>186</v>
      </c>
      <c r="H307" t="s">
        <v>181</v>
      </c>
      <c r="I307">
        <v>5.0999999999999996</v>
      </c>
      <c r="J307">
        <v>1.17</v>
      </c>
      <c r="K307" t="s">
        <v>8</v>
      </c>
    </row>
    <row r="308" spans="7:11" x14ac:dyDescent="0.25">
      <c r="G308" t="s">
        <v>186</v>
      </c>
      <c r="H308" t="s">
        <v>181</v>
      </c>
      <c r="I308">
        <v>5</v>
      </c>
      <c r="J308">
        <v>1.18</v>
      </c>
      <c r="K308" t="s">
        <v>8</v>
      </c>
    </row>
    <row r="309" spans="7:11" x14ac:dyDescent="0.25">
      <c r="G309" t="s">
        <v>186</v>
      </c>
      <c r="H309" t="s">
        <v>181</v>
      </c>
      <c r="I309">
        <v>5</v>
      </c>
      <c r="J309">
        <v>1.18</v>
      </c>
      <c r="K309" t="s">
        <v>8</v>
      </c>
    </row>
    <row r="310" spans="7:11" x14ac:dyDescent="0.25">
      <c r="G310" t="s">
        <v>186</v>
      </c>
      <c r="H310" t="s">
        <v>181</v>
      </c>
      <c r="I310">
        <v>5.6</v>
      </c>
      <c r="J310">
        <v>1.1499999999999999</v>
      </c>
      <c r="K310" t="s">
        <v>8</v>
      </c>
    </row>
    <row r="311" spans="7:11" x14ac:dyDescent="0.25">
      <c r="G311" t="s">
        <v>186</v>
      </c>
      <c r="H311" t="s">
        <v>181</v>
      </c>
      <c r="I311">
        <v>5.8</v>
      </c>
      <c r="J311">
        <v>1.1399999999999999</v>
      </c>
      <c r="K311" t="s">
        <v>8</v>
      </c>
    </row>
    <row r="312" spans="7:11" x14ac:dyDescent="0.25">
      <c r="G312" t="s">
        <v>186</v>
      </c>
      <c r="H312" t="s">
        <v>181</v>
      </c>
      <c r="I312">
        <v>5.3</v>
      </c>
      <c r="J312">
        <v>1.18</v>
      </c>
      <c r="K312" t="s">
        <v>8</v>
      </c>
    </row>
    <row r="313" spans="7:11" x14ac:dyDescent="0.25">
      <c r="G313" t="s">
        <v>186</v>
      </c>
      <c r="H313" t="s">
        <v>181</v>
      </c>
      <c r="I313">
        <v>5.6</v>
      </c>
      <c r="J313">
        <v>1.1499999999999999</v>
      </c>
      <c r="K313" t="s">
        <v>8</v>
      </c>
    </row>
    <row r="314" spans="7:11" x14ac:dyDescent="0.25">
      <c r="G314" t="s">
        <v>186</v>
      </c>
      <c r="H314" t="s">
        <v>181</v>
      </c>
      <c r="I314">
        <v>5.15</v>
      </c>
      <c r="J314">
        <v>1.18</v>
      </c>
      <c r="K314" t="s">
        <v>8</v>
      </c>
    </row>
    <row r="315" spans="7:11" x14ac:dyDescent="0.25">
      <c r="G315" t="s">
        <v>186</v>
      </c>
      <c r="H315" t="s">
        <v>181</v>
      </c>
      <c r="I315">
        <v>5.25</v>
      </c>
      <c r="J315">
        <v>1.17</v>
      </c>
      <c r="K315" t="s">
        <v>8</v>
      </c>
    </row>
    <row r="316" spans="7:11" x14ac:dyDescent="0.25">
      <c r="G316" t="s">
        <v>186</v>
      </c>
      <c r="H316" t="s">
        <v>181</v>
      </c>
      <c r="I316">
        <v>5.0999999999999996</v>
      </c>
      <c r="J316">
        <v>1.18</v>
      </c>
      <c r="K316" t="s">
        <v>8</v>
      </c>
    </row>
    <row r="317" spans="7:11" x14ac:dyDescent="0.25">
      <c r="G317" t="s">
        <v>187</v>
      </c>
      <c r="H317" t="s">
        <v>188</v>
      </c>
      <c r="I317">
        <v>1.89</v>
      </c>
      <c r="J317">
        <v>1.93</v>
      </c>
      <c r="K317" t="s">
        <v>8</v>
      </c>
    </row>
    <row r="318" spans="7:11" x14ac:dyDescent="0.25">
      <c r="G318" t="s">
        <v>187</v>
      </c>
      <c r="H318" t="s">
        <v>188</v>
      </c>
      <c r="I318">
        <v>1.91</v>
      </c>
      <c r="J318">
        <v>1.91</v>
      </c>
      <c r="K318" t="s">
        <v>8</v>
      </c>
    </row>
    <row r="319" spans="7:11" x14ac:dyDescent="0.25">
      <c r="G319" t="s">
        <v>187</v>
      </c>
      <c r="H319" t="s">
        <v>188</v>
      </c>
      <c r="I319">
        <v>2</v>
      </c>
      <c r="J319">
        <v>1.83</v>
      </c>
      <c r="K319" t="s">
        <v>8</v>
      </c>
    </row>
    <row r="320" spans="7:11" x14ac:dyDescent="0.25">
      <c r="G320" t="s">
        <v>187</v>
      </c>
      <c r="H320" t="s">
        <v>188</v>
      </c>
      <c r="I320">
        <v>1.98</v>
      </c>
      <c r="J320">
        <v>1.87</v>
      </c>
      <c r="K320" t="s">
        <v>8</v>
      </c>
    </row>
    <row r="321" spans="7:11" x14ac:dyDescent="0.25">
      <c r="G321" t="s">
        <v>187</v>
      </c>
      <c r="H321" t="s">
        <v>188</v>
      </c>
      <c r="I321">
        <v>1.91</v>
      </c>
      <c r="J321">
        <v>1.91</v>
      </c>
      <c r="K321" t="s">
        <v>8</v>
      </c>
    </row>
    <row r="322" spans="7:11" x14ac:dyDescent="0.25">
      <c r="G322" t="s">
        <v>187</v>
      </c>
      <c r="H322" t="s">
        <v>188</v>
      </c>
      <c r="I322">
        <v>1.87</v>
      </c>
      <c r="J322">
        <v>1.95</v>
      </c>
      <c r="K322" t="s">
        <v>8</v>
      </c>
    </row>
    <row r="323" spans="7:11" x14ac:dyDescent="0.25">
      <c r="G323" t="s">
        <v>187</v>
      </c>
      <c r="H323" t="s">
        <v>188</v>
      </c>
      <c r="I323">
        <v>1.91</v>
      </c>
      <c r="J323">
        <v>1.91</v>
      </c>
      <c r="K323" t="s">
        <v>8</v>
      </c>
    </row>
    <row r="324" spans="7:11" x14ac:dyDescent="0.25">
      <c r="G324" t="s">
        <v>187</v>
      </c>
      <c r="H324" t="s">
        <v>188</v>
      </c>
      <c r="I324">
        <v>1.91</v>
      </c>
      <c r="J324">
        <v>1.91</v>
      </c>
      <c r="K324" t="s">
        <v>8</v>
      </c>
    </row>
    <row r="325" spans="7:11" x14ac:dyDescent="0.25">
      <c r="G325" t="s">
        <v>187</v>
      </c>
      <c r="H325" t="s">
        <v>188</v>
      </c>
      <c r="I325">
        <v>1.91</v>
      </c>
      <c r="J325">
        <v>1.91</v>
      </c>
      <c r="K325" t="s">
        <v>8</v>
      </c>
    </row>
    <row r="326" spans="7:11" x14ac:dyDescent="0.25">
      <c r="G326" t="s">
        <v>189</v>
      </c>
      <c r="H326" t="s">
        <v>188</v>
      </c>
      <c r="I326">
        <v>3.15</v>
      </c>
      <c r="J326">
        <v>1.38</v>
      </c>
      <c r="K326" t="s">
        <v>8</v>
      </c>
    </row>
    <row r="327" spans="7:11" x14ac:dyDescent="0.25">
      <c r="G327" t="s">
        <v>189</v>
      </c>
      <c r="H327" t="s">
        <v>188</v>
      </c>
      <c r="I327">
        <v>3.1</v>
      </c>
      <c r="J327">
        <v>1.4</v>
      </c>
      <c r="K327" t="s">
        <v>8</v>
      </c>
    </row>
    <row r="328" spans="7:11" x14ac:dyDescent="0.25">
      <c r="G328" t="s">
        <v>189</v>
      </c>
      <c r="H328" t="s">
        <v>188</v>
      </c>
      <c r="I328">
        <v>3.05</v>
      </c>
      <c r="J328">
        <v>1.41</v>
      </c>
      <c r="K328" t="s">
        <v>8</v>
      </c>
    </row>
    <row r="329" spans="7:11" x14ac:dyDescent="0.25">
      <c r="G329" t="s">
        <v>189</v>
      </c>
      <c r="H329" t="s">
        <v>188</v>
      </c>
      <c r="I329">
        <v>3.05</v>
      </c>
      <c r="J329">
        <v>1.4</v>
      </c>
      <c r="K329" t="s">
        <v>8</v>
      </c>
    </row>
    <row r="330" spans="7:11" x14ac:dyDescent="0.25">
      <c r="G330" t="s">
        <v>189</v>
      </c>
      <c r="H330" t="s">
        <v>188</v>
      </c>
      <c r="I330">
        <v>2.98</v>
      </c>
      <c r="J330">
        <v>1.41</v>
      </c>
      <c r="K330" t="s">
        <v>8</v>
      </c>
    </row>
    <row r="331" spans="7:11" x14ac:dyDescent="0.25">
      <c r="G331" t="s">
        <v>189</v>
      </c>
      <c r="H331" t="s">
        <v>188</v>
      </c>
      <c r="I331">
        <v>3.1</v>
      </c>
      <c r="J331">
        <v>1.38</v>
      </c>
      <c r="K331" t="s">
        <v>8</v>
      </c>
    </row>
    <row r="332" spans="7:11" x14ac:dyDescent="0.25">
      <c r="G332" t="s">
        <v>189</v>
      </c>
      <c r="H332" t="s">
        <v>188</v>
      </c>
      <c r="I332">
        <v>3.1</v>
      </c>
      <c r="J332">
        <v>1.4</v>
      </c>
      <c r="K332" t="s">
        <v>8</v>
      </c>
    </row>
    <row r="333" spans="7:11" x14ac:dyDescent="0.25">
      <c r="G333" t="s">
        <v>189</v>
      </c>
      <c r="H333" t="s">
        <v>188</v>
      </c>
      <c r="I333">
        <v>3.1</v>
      </c>
      <c r="J333">
        <v>1.38</v>
      </c>
      <c r="K333" t="s">
        <v>8</v>
      </c>
    </row>
    <row r="334" spans="7:11" x14ac:dyDescent="0.25">
      <c r="G334" t="s">
        <v>189</v>
      </c>
      <c r="H334" t="s">
        <v>188</v>
      </c>
      <c r="I334">
        <v>3.05</v>
      </c>
      <c r="J334">
        <v>1.4</v>
      </c>
      <c r="K334" t="s">
        <v>8</v>
      </c>
    </row>
    <row r="335" spans="7:11" x14ac:dyDescent="0.25">
      <c r="G335" t="s">
        <v>189</v>
      </c>
      <c r="H335" t="s">
        <v>188</v>
      </c>
      <c r="I335">
        <v>3</v>
      </c>
      <c r="J335">
        <v>1.4</v>
      </c>
      <c r="K335" t="s">
        <v>8</v>
      </c>
    </row>
    <row r="336" spans="7:11" x14ac:dyDescent="0.25">
      <c r="G336" t="s">
        <v>189</v>
      </c>
      <c r="H336" t="s">
        <v>188</v>
      </c>
      <c r="I336">
        <v>3.2</v>
      </c>
      <c r="J336">
        <v>1.36</v>
      </c>
      <c r="K336" t="s">
        <v>8</v>
      </c>
    </row>
    <row r="337" spans="7:11" x14ac:dyDescent="0.25">
      <c r="G337" t="s">
        <v>189</v>
      </c>
      <c r="H337" t="s">
        <v>188</v>
      </c>
      <c r="I337">
        <v>3.05</v>
      </c>
      <c r="J337">
        <v>1.39</v>
      </c>
      <c r="K337" t="s">
        <v>8</v>
      </c>
    </row>
    <row r="338" spans="7:11" x14ac:dyDescent="0.25">
      <c r="G338" t="s">
        <v>190</v>
      </c>
      <c r="H338" t="s">
        <v>191</v>
      </c>
      <c r="I338">
        <v>1.54</v>
      </c>
      <c r="J338">
        <v>2.54</v>
      </c>
      <c r="K338" t="s">
        <v>8</v>
      </c>
    </row>
    <row r="339" spans="7:11" x14ac:dyDescent="0.25">
      <c r="G339" t="s">
        <v>190</v>
      </c>
      <c r="H339" t="s">
        <v>191</v>
      </c>
      <c r="I339">
        <v>1.59</v>
      </c>
      <c r="J339">
        <v>2.5</v>
      </c>
      <c r="K339" t="s">
        <v>8</v>
      </c>
    </row>
    <row r="340" spans="7:11" x14ac:dyDescent="0.25">
      <c r="G340" t="s">
        <v>190</v>
      </c>
      <c r="H340" t="s">
        <v>191</v>
      </c>
      <c r="I340">
        <v>1.52</v>
      </c>
      <c r="J340">
        <v>2.58</v>
      </c>
      <c r="K340" t="s">
        <v>8</v>
      </c>
    </row>
    <row r="341" spans="7:11" x14ac:dyDescent="0.25">
      <c r="G341" t="s">
        <v>190</v>
      </c>
      <c r="H341" t="s">
        <v>191</v>
      </c>
      <c r="I341">
        <v>1.56</v>
      </c>
      <c r="J341">
        <v>2.5499999999999998</v>
      </c>
      <c r="K341" t="s">
        <v>8</v>
      </c>
    </row>
    <row r="342" spans="7:11" x14ac:dyDescent="0.25">
      <c r="G342" t="s">
        <v>190</v>
      </c>
      <c r="H342" t="s">
        <v>191</v>
      </c>
      <c r="I342">
        <v>1.53</v>
      </c>
      <c r="J342">
        <v>2.58</v>
      </c>
      <c r="K342" t="s">
        <v>8</v>
      </c>
    </row>
    <row r="343" spans="7:11" x14ac:dyDescent="0.25">
      <c r="G343" t="s">
        <v>190</v>
      </c>
      <c r="H343" t="s">
        <v>191</v>
      </c>
      <c r="I343">
        <v>1.54</v>
      </c>
      <c r="J343">
        <v>2.4500000000000002</v>
      </c>
      <c r="K343" t="s">
        <v>8</v>
      </c>
    </row>
    <row r="344" spans="7:11" x14ac:dyDescent="0.25">
      <c r="G344" t="s">
        <v>190</v>
      </c>
      <c r="H344" t="s">
        <v>191</v>
      </c>
      <c r="I344">
        <v>1.59</v>
      </c>
      <c r="J344">
        <v>2.5</v>
      </c>
      <c r="K344" t="s">
        <v>8</v>
      </c>
    </row>
    <row r="345" spans="7:11" x14ac:dyDescent="0.25">
      <c r="G345" t="s">
        <v>190</v>
      </c>
      <c r="H345" t="s">
        <v>191</v>
      </c>
      <c r="I345">
        <v>1.54</v>
      </c>
      <c r="J345">
        <v>2.4500000000000002</v>
      </c>
      <c r="K345" t="s">
        <v>8</v>
      </c>
    </row>
    <row r="346" spans="7:11" x14ac:dyDescent="0.25">
      <c r="G346" t="s">
        <v>190</v>
      </c>
      <c r="H346" t="s">
        <v>191</v>
      </c>
      <c r="I346">
        <v>1.59</v>
      </c>
      <c r="J346">
        <v>2.48</v>
      </c>
      <c r="K346" t="s">
        <v>8</v>
      </c>
    </row>
    <row r="347" spans="7:11" x14ac:dyDescent="0.25">
      <c r="G347" t="s">
        <v>190</v>
      </c>
      <c r="H347" t="s">
        <v>191</v>
      </c>
      <c r="I347">
        <v>1.54</v>
      </c>
      <c r="J347">
        <v>2.5499999999999998</v>
      </c>
      <c r="K347" t="s">
        <v>8</v>
      </c>
    </row>
    <row r="348" spans="7:11" x14ac:dyDescent="0.25">
      <c r="G348" t="s">
        <v>190</v>
      </c>
      <c r="H348" t="s">
        <v>191</v>
      </c>
      <c r="I348">
        <v>1.53</v>
      </c>
      <c r="J348">
        <v>2.6</v>
      </c>
      <c r="K348" t="s">
        <v>8</v>
      </c>
    </row>
    <row r="349" spans="7:11" x14ac:dyDescent="0.25">
      <c r="G349" t="s">
        <v>190</v>
      </c>
      <c r="H349" t="s">
        <v>191</v>
      </c>
      <c r="I349">
        <v>1.54</v>
      </c>
      <c r="J349">
        <v>2.5499999999999998</v>
      </c>
      <c r="K349" t="s">
        <v>8</v>
      </c>
    </row>
    <row r="350" spans="7:11" x14ac:dyDescent="0.25">
      <c r="G350" t="s">
        <v>192</v>
      </c>
      <c r="H350" t="s">
        <v>191</v>
      </c>
      <c r="I350">
        <v>2.54</v>
      </c>
      <c r="J350">
        <v>1.54</v>
      </c>
      <c r="K350" t="s">
        <v>8</v>
      </c>
    </row>
    <row r="351" spans="7:11" x14ac:dyDescent="0.25">
      <c r="G351" t="s">
        <v>192</v>
      </c>
      <c r="H351" t="s">
        <v>191</v>
      </c>
      <c r="I351">
        <v>2.5</v>
      </c>
      <c r="J351">
        <v>1.59</v>
      </c>
      <c r="K351" t="s">
        <v>8</v>
      </c>
    </row>
    <row r="352" spans="7:11" x14ac:dyDescent="0.25">
      <c r="G352" t="s">
        <v>192</v>
      </c>
      <c r="H352" t="s">
        <v>191</v>
      </c>
      <c r="I352">
        <v>2.5</v>
      </c>
      <c r="J352">
        <v>1.57</v>
      </c>
      <c r="K352" t="s">
        <v>8</v>
      </c>
    </row>
    <row r="353" spans="7:11" x14ac:dyDescent="0.25">
      <c r="G353" t="s">
        <v>192</v>
      </c>
      <c r="H353" t="s">
        <v>191</v>
      </c>
      <c r="I353">
        <v>2.4300000000000002</v>
      </c>
      <c r="J353">
        <v>1.59</v>
      </c>
      <c r="K353" t="s">
        <v>8</v>
      </c>
    </row>
    <row r="354" spans="7:11" x14ac:dyDescent="0.25">
      <c r="G354" t="s">
        <v>192</v>
      </c>
      <c r="H354" t="s">
        <v>191</v>
      </c>
      <c r="I354">
        <v>2.4500000000000002</v>
      </c>
      <c r="J354">
        <v>1.56</v>
      </c>
      <c r="K354" t="s">
        <v>8</v>
      </c>
    </row>
    <row r="355" spans="7:11" x14ac:dyDescent="0.25">
      <c r="G355" t="s">
        <v>192</v>
      </c>
      <c r="H355" t="s">
        <v>191</v>
      </c>
      <c r="I355">
        <v>2.58</v>
      </c>
      <c r="J355">
        <v>1.52</v>
      </c>
      <c r="K355" t="s">
        <v>8</v>
      </c>
    </row>
    <row r="356" spans="7:11" x14ac:dyDescent="0.25">
      <c r="G356" t="s">
        <v>192</v>
      </c>
      <c r="H356" t="s">
        <v>191</v>
      </c>
      <c r="I356">
        <v>2.5</v>
      </c>
      <c r="J356">
        <v>1.59</v>
      </c>
      <c r="K356" t="s">
        <v>8</v>
      </c>
    </row>
    <row r="357" spans="7:11" x14ac:dyDescent="0.25">
      <c r="G357" t="s">
        <v>192</v>
      </c>
      <c r="H357" t="s">
        <v>191</v>
      </c>
      <c r="I357">
        <v>2.4500000000000002</v>
      </c>
      <c r="J357">
        <v>1.56</v>
      </c>
      <c r="K357" t="s">
        <v>8</v>
      </c>
    </row>
    <row r="358" spans="7:11" x14ac:dyDescent="0.25">
      <c r="G358" t="s">
        <v>192</v>
      </c>
      <c r="H358" t="s">
        <v>191</v>
      </c>
      <c r="I358">
        <v>2.48</v>
      </c>
      <c r="J358">
        <v>1.59</v>
      </c>
      <c r="K358" t="s">
        <v>8</v>
      </c>
    </row>
    <row r="359" spans="7:11" x14ac:dyDescent="0.25">
      <c r="G359" t="s">
        <v>192</v>
      </c>
      <c r="H359" t="s">
        <v>191</v>
      </c>
      <c r="I359">
        <v>2.5</v>
      </c>
      <c r="J359">
        <v>1.54</v>
      </c>
      <c r="K359" t="s">
        <v>8</v>
      </c>
    </row>
    <row r="360" spans="7:11" x14ac:dyDescent="0.25">
      <c r="G360" t="s">
        <v>192</v>
      </c>
      <c r="H360" t="s">
        <v>191</v>
      </c>
      <c r="I360">
        <v>2.4500000000000002</v>
      </c>
      <c r="J360">
        <v>1.59</v>
      </c>
      <c r="K360" t="s">
        <v>8</v>
      </c>
    </row>
    <row r="361" spans="7:11" x14ac:dyDescent="0.25">
      <c r="G361" t="s">
        <v>192</v>
      </c>
      <c r="H361" t="s">
        <v>191</v>
      </c>
      <c r="I361">
        <v>2.4500000000000002</v>
      </c>
      <c r="J361">
        <v>1.57</v>
      </c>
      <c r="K361" t="s">
        <v>8</v>
      </c>
    </row>
    <row r="362" spans="7:11" x14ac:dyDescent="0.25">
      <c r="G362" t="s">
        <v>193</v>
      </c>
      <c r="H362" t="s">
        <v>191</v>
      </c>
      <c r="I362">
        <v>1.8</v>
      </c>
      <c r="J362">
        <v>2.0499999999999998</v>
      </c>
      <c r="K362" t="s">
        <v>8</v>
      </c>
    </row>
    <row r="363" spans="7:11" x14ac:dyDescent="0.25">
      <c r="G363" t="s">
        <v>193</v>
      </c>
      <c r="H363" t="s">
        <v>191</v>
      </c>
      <c r="I363">
        <v>1.71</v>
      </c>
      <c r="J363">
        <v>2.2000000000000002</v>
      </c>
      <c r="K363" t="s">
        <v>8</v>
      </c>
    </row>
    <row r="364" spans="7:11" x14ac:dyDescent="0.25">
      <c r="G364" t="s">
        <v>193</v>
      </c>
      <c r="H364" t="s">
        <v>191</v>
      </c>
      <c r="I364">
        <v>1.74</v>
      </c>
      <c r="J364">
        <v>2.15</v>
      </c>
      <c r="K364" t="s">
        <v>8</v>
      </c>
    </row>
    <row r="365" spans="7:11" x14ac:dyDescent="0.25">
      <c r="G365" t="s">
        <v>193</v>
      </c>
      <c r="H365" t="s">
        <v>191</v>
      </c>
      <c r="I365">
        <v>1.74</v>
      </c>
      <c r="J365">
        <v>2.15</v>
      </c>
      <c r="K365" t="s">
        <v>8</v>
      </c>
    </row>
    <row r="366" spans="7:11" x14ac:dyDescent="0.25">
      <c r="G366" t="s">
        <v>193</v>
      </c>
      <c r="H366" t="s">
        <v>191</v>
      </c>
      <c r="I366">
        <v>1.75</v>
      </c>
      <c r="J366">
        <v>2.08</v>
      </c>
      <c r="K366" t="s">
        <v>8</v>
      </c>
    </row>
    <row r="367" spans="7:11" x14ac:dyDescent="0.25">
      <c r="G367" t="s">
        <v>193</v>
      </c>
      <c r="H367" t="s">
        <v>191</v>
      </c>
      <c r="I367">
        <v>1.71</v>
      </c>
      <c r="J367">
        <v>2.16</v>
      </c>
      <c r="K367" t="s">
        <v>8</v>
      </c>
    </row>
    <row r="368" spans="7:11" x14ac:dyDescent="0.25">
      <c r="G368" t="s">
        <v>193</v>
      </c>
      <c r="H368" t="s">
        <v>191</v>
      </c>
      <c r="I368">
        <v>1.71</v>
      </c>
      <c r="J368">
        <v>2.2000000000000002</v>
      </c>
      <c r="K368" t="s">
        <v>8</v>
      </c>
    </row>
    <row r="369" spans="7:11" x14ac:dyDescent="0.25">
      <c r="G369" t="s">
        <v>193</v>
      </c>
      <c r="H369" t="s">
        <v>191</v>
      </c>
      <c r="I369">
        <v>1.75</v>
      </c>
      <c r="J369">
        <v>2.08</v>
      </c>
      <c r="K369" t="s">
        <v>8</v>
      </c>
    </row>
    <row r="370" spans="7:11" x14ac:dyDescent="0.25">
      <c r="G370" t="s">
        <v>193</v>
      </c>
      <c r="H370" t="s">
        <v>191</v>
      </c>
      <c r="I370">
        <v>1.74</v>
      </c>
      <c r="J370">
        <v>2.15</v>
      </c>
      <c r="K370" t="s">
        <v>8</v>
      </c>
    </row>
    <row r="371" spans="7:11" x14ac:dyDescent="0.25">
      <c r="G371" t="s">
        <v>193</v>
      </c>
      <c r="H371" t="s">
        <v>191</v>
      </c>
      <c r="I371">
        <v>1.74</v>
      </c>
      <c r="J371">
        <v>2.1</v>
      </c>
      <c r="K371" t="s">
        <v>8</v>
      </c>
    </row>
    <row r="372" spans="7:11" x14ac:dyDescent="0.25">
      <c r="G372" t="s">
        <v>193</v>
      </c>
      <c r="H372" t="s">
        <v>191</v>
      </c>
      <c r="I372">
        <v>1.74</v>
      </c>
      <c r="J372">
        <v>2.15</v>
      </c>
      <c r="K372" t="s">
        <v>8</v>
      </c>
    </row>
    <row r="373" spans="7:11" x14ac:dyDescent="0.25">
      <c r="G373" t="s">
        <v>193</v>
      </c>
      <c r="H373" t="s">
        <v>191</v>
      </c>
      <c r="I373">
        <v>1.74</v>
      </c>
      <c r="J373">
        <v>2.15</v>
      </c>
      <c r="K373" t="s">
        <v>8</v>
      </c>
    </row>
    <row r="374" spans="7:11" x14ac:dyDescent="0.25">
      <c r="G374" t="s">
        <v>194</v>
      </c>
      <c r="H374" t="s">
        <v>191</v>
      </c>
      <c r="I374">
        <v>3.45</v>
      </c>
      <c r="J374">
        <v>1.33</v>
      </c>
      <c r="K374" t="s">
        <v>8</v>
      </c>
    </row>
    <row r="375" spans="7:11" x14ac:dyDescent="0.25">
      <c r="G375" t="s">
        <v>194</v>
      </c>
      <c r="H375" t="s">
        <v>191</v>
      </c>
      <c r="I375">
        <v>3.5</v>
      </c>
      <c r="J375">
        <v>1.33</v>
      </c>
      <c r="K375" t="s">
        <v>8</v>
      </c>
    </row>
    <row r="376" spans="7:11" x14ac:dyDescent="0.25">
      <c r="G376" t="s">
        <v>194</v>
      </c>
      <c r="H376" t="s">
        <v>191</v>
      </c>
      <c r="I376">
        <v>3.4</v>
      </c>
      <c r="J376">
        <v>1.34</v>
      </c>
      <c r="K376" t="s">
        <v>8</v>
      </c>
    </row>
    <row r="377" spans="7:11" x14ac:dyDescent="0.25">
      <c r="G377" t="s">
        <v>194</v>
      </c>
      <c r="H377" t="s">
        <v>191</v>
      </c>
      <c r="I377">
        <v>3.4</v>
      </c>
      <c r="J377">
        <v>1.33</v>
      </c>
      <c r="K377" t="s">
        <v>8</v>
      </c>
    </row>
    <row r="378" spans="7:11" x14ac:dyDescent="0.25">
      <c r="G378" t="s">
        <v>194</v>
      </c>
      <c r="H378" t="s">
        <v>191</v>
      </c>
      <c r="I378">
        <v>3.3</v>
      </c>
      <c r="J378">
        <v>1.34</v>
      </c>
      <c r="K378" t="s">
        <v>8</v>
      </c>
    </row>
    <row r="379" spans="7:11" x14ac:dyDescent="0.25">
      <c r="G379" t="s">
        <v>194</v>
      </c>
      <c r="H379" t="s">
        <v>191</v>
      </c>
      <c r="I379">
        <v>3.45</v>
      </c>
      <c r="J379">
        <v>1.32</v>
      </c>
      <c r="K379" t="s">
        <v>8</v>
      </c>
    </row>
    <row r="380" spans="7:11" x14ac:dyDescent="0.25">
      <c r="G380" t="s">
        <v>194</v>
      </c>
      <c r="H380" t="s">
        <v>191</v>
      </c>
      <c r="I380">
        <v>3.5</v>
      </c>
      <c r="J380">
        <v>1.33</v>
      </c>
      <c r="K380" t="s">
        <v>8</v>
      </c>
    </row>
    <row r="381" spans="7:11" x14ac:dyDescent="0.25">
      <c r="G381" t="s">
        <v>194</v>
      </c>
      <c r="H381" t="s">
        <v>191</v>
      </c>
      <c r="I381">
        <v>3.3</v>
      </c>
      <c r="J381">
        <v>1.34</v>
      </c>
      <c r="K381" t="s">
        <v>8</v>
      </c>
    </row>
    <row r="382" spans="7:11" x14ac:dyDescent="0.25">
      <c r="G382" t="s">
        <v>194</v>
      </c>
      <c r="H382" t="s">
        <v>191</v>
      </c>
      <c r="I382">
        <v>3.5</v>
      </c>
      <c r="J382">
        <v>1.33</v>
      </c>
      <c r="K382" t="s">
        <v>8</v>
      </c>
    </row>
    <row r="383" spans="7:11" x14ac:dyDescent="0.25">
      <c r="G383" t="s">
        <v>194</v>
      </c>
      <c r="H383" t="s">
        <v>191</v>
      </c>
      <c r="I383">
        <v>3.5</v>
      </c>
      <c r="J383">
        <v>1.33</v>
      </c>
      <c r="K383" t="s">
        <v>8</v>
      </c>
    </row>
    <row r="384" spans="7:11" x14ac:dyDescent="0.25">
      <c r="G384" t="s">
        <v>194</v>
      </c>
      <c r="H384" t="s">
        <v>191</v>
      </c>
      <c r="I384">
        <v>3.4</v>
      </c>
      <c r="J384">
        <v>1.33</v>
      </c>
      <c r="K384" t="s">
        <v>8</v>
      </c>
    </row>
    <row r="385" spans="7:11" x14ac:dyDescent="0.25">
      <c r="G385" t="s">
        <v>194</v>
      </c>
      <c r="H385" t="s">
        <v>191</v>
      </c>
      <c r="I385">
        <v>3.4</v>
      </c>
      <c r="J385">
        <v>1.33</v>
      </c>
      <c r="K385" t="s">
        <v>8</v>
      </c>
    </row>
    <row r="386" spans="7:11" x14ac:dyDescent="0.25">
      <c r="G386" t="s">
        <v>195</v>
      </c>
      <c r="H386" t="s">
        <v>191</v>
      </c>
      <c r="I386">
        <v>1.22</v>
      </c>
      <c r="J386">
        <v>4.5</v>
      </c>
      <c r="K386" t="s">
        <v>8</v>
      </c>
    </row>
    <row r="387" spans="7:11" x14ac:dyDescent="0.25">
      <c r="G387" t="s">
        <v>195</v>
      </c>
      <c r="H387" t="s">
        <v>191</v>
      </c>
      <c r="I387">
        <v>1.21</v>
      </c>
      <c r="J387">
        <v>4.8</v>
      </c>
      <c r="K387" t="s">
        <v>8</v>
      </c>
    </row>
    <row r="388" spans="7:11" x14ac:dyDescent="0.25">
      <c r="G388" t="s">
        <v>195</v>
      </c>
      <c r="H388" t="s">
        <v>191</v>
      </c>
      <c r="I388">
        <v>1.2</v>
      </c>
      <c r="J388">
        <v>4.5999999999999996</v>
      </c>
      <c r="K388" t="s">
        <v>8</v>
      </c>
    </row>
    <row r="389" spans="7:11" x14ac:dyDescent="0.25">
      <c r="G389" t="s">
        <v>195</v>
      </c>
      <c r="H389" t="s">
        <v>191</v>
      </c>
      <c r="I389">
        <v>1.24</v>
      </c>
      <c r="J389">
        <v>4.25</v>
      </c>
      <c r="K389" t="s">
        <v>8</v>
      </c>
    </row>
    <row r="390" spans="7:11" x14ac:dyDescent="0.25">
      <c r="G390" t="s">
        <v>195</v>
      </c>
      <c r="H390" t="s">
        <v>191</v>
      </c>
      <c r="I390">
        <v>1.22</v>
      </c>
      <c r="J390">
        <v>4.45</v>
      </c>
      <c r="K390" t="s">
        <v>8</v>
      </c>
    </row>
    <row r="391" spans="7:11" x14ac:dyDescent="0.25">
      <c r="G391" t="s">
        <v>195</v>
      </c>
      <c r="H391" t="s">
        <v>191</v>
      </c>
      <c r="I391">
        <v>1.21</v>
      </c>
      <c r="J391">
        <v>4.5999999999999996</v>
      </c>
      <c r="K391" t="s">
        <v>8</v>
      </c>
    </row>
    <row r="392" spans="7:11" x14ac:dyDescent="0.25">
      <c r="G392" t="s">
        <v>195</v>
      </c>
      <c r="H392" t="s">
        <v>191</v>
      </c>
      <c r="I392">
        <v>1.2</v>
      </c>
      <c r="J392">
        <v>4.6500000000000004</v>
      </c>
      <c r="K392" t="s">
        <v>8</v>
      </c>
    </row>
    <row r="393" spans="7:11" x14ac:dyDescent="0.25">
      <c r="G393" t="s">
        <v>195</v>
      </c>
      <c r="H393" t="s">
        <v>191</v>
      </c>
      <c r="I393">
        <v>1.21</v>
      </c>
      <c r="J393">
        <v>4.8</v>
      </c>
      <c r="K393" t="s">
        <v>8</v>
      </c>
    </row>
    <row r="394" spans="7:11" x14ac:dyDescent="0.25">
      <c r="G394" t="s">
        <v>195</v>
      </c>
      <c r="H394" t="s">
        <v>191</v>
      </c>
      <c r="I394">
        <v>1.21</v>
      </c>
      <c r="J394">
        <v>4.5999999999999996</v>
      </c>
      <c r="K394" t="s">
        <v>8</v>
      </c>
    </row>
    <row r="395" spans="7:11" x14ac:dyDescent="0.25">
      <c r="G395" t="s">
        <v>195</v>
      </c>
      <c r="H395" t="s">
        <v>191</v>
      </c>
      <c r="I395">
        <v>1.22</v>
      </c>
      <c r="J395">
        <v>4.4000000000000004</v>
      </c>
      <c r="K395" t="s">
        <v>8</v>
      </c>
    </row>
    <row r="396" spans="7:11" x14ac:dyDescent="0.25">
      <c r="G396" t="s">
        <v>195</v>
      </c>
      <c r="H396" t="s">
        <v>191</v>
      </c>
      <c r="I396">
        <v>1.22</v>
      </c>
      <c r="J396">
        <v>4.25</v>
      </c>
      <c r="K396" t="s">
        <v>8</v>
      </c>
    </row>
    <row r="397" spans="7:11" x14ac:dyDescent="0.25">
      <c r="G397" t="s">
        <v>195</v>
      </c>
      <c r="H397" t="s">
        <v>191</v>
      </c>
      <c r="I397">
        <v>1.22</v>
      </c>
      <c r="J397">
        <v>4.4000000000000004</v>
      </c>
      <c r="K397" t="s">
        <v>8</v>
      </c>
    </row>
    <row r="398" spans="7:11" x14ac:dyDescent="0.25">
      <c r="G398" t="s">
        <v>39</v>
      </c>
      <c r="H398" t="s">
        <v>83</v>
      </c>
      <c r="I398">
        <v>1.26</v>
      </c>
      <c r="J398">
        <v>3.95</v>
      </c>
      <c r="K398" t="s">
        <v>8</v>
      </c>
    </row>
    <row r="399" spans="7:11" x14ac:dyDescent="0.25">
      <c r="G399" t="s">
        <v>39</v>
      </c>
      <c r="H399" t="s">
        <v>83</v>
      </c>
      <c r="I399">
        <v>1.22</v>
      </c>
      <c r="J399">
        <v>4.5</v>
      </c>
      <c r="K399" t="s">
        <v>8</v>
      </c>
    </row>
    <row r="400" spans="7:11" x14ac:dyDescent="0.25">
      <c r="G400" t="s">
        <v>39</v>
      </c>
      <c r="H400" t="s">
        <v>83</v>
      </c>
      <c r="I400">
        <v>1.26</v>
      </c>
      <c r="J400">
        <v>3.95</v>
      </c>
      <c r="K400" t="s">
        <v>8</v>
      </c>
    </row>
    <row r="401" spans="7:11" x14ac:dyDescent="0.25">
      <c r="G401" t="s">
        <v>39</v>
      </c>
      <c r="H401" t="s">
        <v>83</v>
      </c>
      <c r="I401">
        <v>1.25</v>
      </c>
      <c r="J401">
        <v>4.25</v>
      </c>
      <c r="K401" t="s">
        <v>8</v>
      </c>
    </row>
    <row r="402" spans="7:11" x14ac:dyDescent="0.25">
      <c r="G402" t="s">
        <v>39</v>
      </c>
      <c r="H402" t="s">
        <v>83</v>
      </c>
      <c r="I402">
        <v>1.25</v>
      </c>
      <c r="J402">
        <v>4.25</v>
      </c>
      <c r="K402" t="s">
        <v>8</v>
      </c>
    </row>
    <row r="403" spans="7:11" x14ac:dyDescent="0.25">
      <c r="G403" t="s">
        <v>39</v>
      </c>
      <c r="H403" t="s">
        <v>83</v>
      </c>
      <c r="I403">
        <v>1.24</v>
      </c>
      <c r="J403">
        <v>4.2</v>
      </c>
      <c r="K403" t="s">
        <v>8</v>
      </c>
    </row>
    <row r="404" spans="7:11" x14ac:dyDescent="0.25">
      <c r="G404" t="s">
        <v>39</v>
      </c>
      <c r="H404" t="s">
        <v>83</v>
      </c>
      <c r="I404">
        <v>1.25</v>
      </c>
      <c r="J404">
        <v>4</v>
      </c>
      <c r="K404" t="s">
        <v>8</v>
      </c>
    </row>
    <row r="405" spans="7:11" x14ac:dyDescent="0.25">
      <c r="G405" t="s">
        <v>39</v>
      </c>
      <c r="H405" t="s">
        <v>83</v>
      </c>
      <c r="I405">
        <v>1.24</v>
      </c>
      <c r="J405">
        <v>4.2</v>
      </c>
      <c r="K405" t="s">
        <v>8</v>
      </c>
    </row>
    <row r="406" spans="7:11" x14ac:dyDescent="0.25">
      <c r="G406" t="s">
        <v>39</v>
      </c>
      <c r="H406" t="s">
        <v>83</v>
      </c>
      <c r="I406">
        <v>1.25</v>
      </c>
      <c r="J406">
        <v>4.25</v>
      </c>
      <c r="K406" t="s">
        <v>8</v>
      </c>
    </row>
    <row r="407" spans="7:11" x14ac:dyDescent="0.25">
      <c r="G407" t="s">
        <v>39</v>
      </c>
      <c r="H407" t="s">
        <v>83</v>
      </c>
      <c r="I407">
        <v>1.25</v>
      </c>
      <c r="J407">
        <v>4</v>
      </c>
      <c r="K407" t="s">
        <v>8</v>
      </c>
    </row>
    <row r="408" spans="7:11" x14ac:dyDescent="0.25">
      <c r="G408" t="s">
        <v>39</v>
      </c>
      <c r="H408" t="s">
        <v>83</v>
      </c>
      <c r="I408">
        <v>1.24</v>
      </c>
      <c r="J408">
        <v>4.1500000000000004</v>
      </c>
      <c r="K408" t="s">
        <v>8</v>
      </c>
    </row>
    <row r="409" spans="7:11" x14ac:dyDescent="0.25">
      <c r="G409" t="s">
        <v>39</v>
      </c>
      <c r="H409" t="s">
        <v>83</v>
      </c>
      <c r="I409">
        <v>1.25</v>
      </c>
      <c r="J409">
        <v>4.0999999999999996</v>
      </c>
      <c r="K409" t="s">
        <v>8</v>
      </c>
    </row>
    <row r="410" spans="7:11" x14ac:dyDescent="0.25">
      <c r="G410" t="s">
        <v>196</v>
      </c>
      <c r="H410" t="s">
        <v>83</v>
      </c>
      <c r="I410">
        <v>1.37</v>
      </c>
      <c r="J410">
        <v>3.2</v>
      </c>
      <c r="K410" t="s">
        <v>8</v>
      </c>
    </row>
    <row r="411" spans="7:11" x14ac:dyDescent="0.25">
      <c r="G411" t="s">
        <v>196</v>
      </c>
      <c r="H411" t="s">
        <v>83</v>
      </c>
      <c r="I411">
        <v>1.38</v>
      </c>
      <c r="J411">
        <v>3.1</v>
      </c>
      <c r="K411" t="s">
        <v>8</v>
      </c>
    </row>
    <row r="412" spans="7:11" x14ac:dyDescent="0.25">
      <c r="G412" t="s">
        <v>196</v>
      </c>
      <c r="H412" t="s">
        <v>83</v>
      </c>
      <c r="I412">
        <v>1.39</v>
      </c>
      <c r="J412">
        <v>3.15</v>
      </c>
      <c r="K412" t="s">
        <v>8</v>
      </c>
    </row>
    <row r="413" spans="7:11" x14ac:dyDescent="0.25">
      <c r="G413" t="s">
        <v>196</v>
      </c>
      <c r="H413" t="s">
        <v>83</v>
      </c>
      <c r="I413">
        <v>1.41</v>
      </c>
      <c r="J413">
        <v>3.05</v>
      </c>
      <c r="K413" t="s">
        <v>8</v>
      </c>
    </row>
    <row r="414" spans="7:11" x14ac:dyDescent="0.25">
      <c r="G414" t="s">
        <v>196</v>
      </c>
      <c r="H414" t="s">
        <v>83</v>
      </c>
      <c r="I414">
        <v>1.4</v>
      </c>
      <c r="J414">
        <v>2.95</v>
      </c>
      <c r="K414" t="s">
        <v>8</v>
      </c>
    </row>
    <row r="415" spans="7:11" x14ac:dyDescent="0.25">
      <c r="G415" t="s">
        <v>196</v>
      </c>
      <c r="H415" t="s">
        <v>83</v>
      </c>
      <c r="I415">
        <v>1.37</v>
      </c>
      <c r="J415">
        <v>3.15</v>
      </c>
      <c r="K415" t="s">
        <v>8</v>
      </c>
    </row>
    <row r="416" spans="7:11" x14ac:dyDescent="0.25">
      <c r="G416" t="s">
        <v>196</v>
      </c>
      <c r="H416" t="s">
        <v>83</v>
      </c>
      <c r="I416">
        <v>1.39</v>
      </c>
      <c r="J416">
        <v>3.15</v>
      </c>
      <c r="K416" t="s">
        <v>8</v>
      </c>
    </row>
    <row r="417" spans="7:11" x14ac:dyDescent="0.25">
      <c r="G417" t="s">
        <v>196</v>
      </c>
      <c r="H417" t="s">
        <v>83</v>
      </c>
      <c r="I417">
        <v>1.4</v>
      </c>
      <c r="J417">
        <v>2.95</v>
      </c>
      <c r="K417" t="s">
        <v>8</v>
      </c>
    </row>
    <row r="418" spans="7:11" x14ac:dyDescent="0.25">
      <c r="G418" t="s">
        <v>196</v>
      </c>
      <c r="H418" t="s">
        <v>83</v>
      </c>
      <c r="I418">
        <v>1.39</v>
      </c>
      <c r="J418">
        <v>3.08</v>
      </c>
      <c r="K418" t="s">
        <v>8</v>
      </c>
    </row>
    <row r="419" spans="7:11" x14ac:dyDescent="0.25">
      <c r="G419" t="s">
        <v>196</v>
      </c>
      <c r="H419" t="s">
        <v>83</v>
      </c>
      <c r="I419">
        <v>1.37</v>
      </c>
      <c r="J419">
        <v>3.2</v>
      </c>
      <c r="K419" t="s">
        <v>8</v>
      </c>
    </row>
    <row r="420" spans="7:11" x14ac:dyDescent="0.25">
      <c r="G420" t="s">
        <v>196</v>
      </c>
      <c r="H420" t="s">
        <v>83</v>
      </c>
      <c r="I420">
        <v>1.36</v>
      </c>
      <c r="J420">
        <v>3.2</v>
      </c>
      <c r="K420" t="s">
        <v>8</v>
      </c>
    </row>
    <row r="421" spans="7:11" x14ac:dyDescent="0.25">
      <c r="G421" t="s">
        <v>196</v>
      </c>
      <c r="H421" t="s">
        <v>83</v>
      </c>
      <c r="I421">
        <v>1.37</v>
      </c>
      <c r="J421">
        <v>3.15</v>
      </c>
      <c r="K421" t="s">
        <v>8</v>
      </c>
    </row>
    <row r="422" spans="7:11" x14ac:dyDescent="0.25">
      <c r="G422" t="s">
        <v>197</v>
      </c>
      <c r="H422" t="s">
        <v>83</v>
      </c>
      <c r="I422">
        <v>1.65</v>
      </c>
      <c r="J422">
        <v>2.2999999999999998</v>
      </c>
      <c r="K422" t="s">
        <v>8</v>
      </c>
    </row>
    <row r="423" spans="7:11" x14ac:dyDescent="0.25">
      <c r="G423" t="s">
        <v>197</v>
      </c>
      <c r="H423" t="s">
        <v>83</v>
      </c>
      <c r="I423">
        <v>1.62</v>
      </c>
      <c r="J423">
        <v>2.4</v>
      </c>
      <c r="K423" t="s">
        <v>8</v>
      </c>
    </row>
    <row r="424" spans="7:11" x14ac:dyDescent="0.25">
      <c r="G424" t="s">
        <v>197</v>
      </c>
      <c r="H424" t="s">
        <v>83</v>
      </c>
      <c r="I424">
        <v>1.61</v>
      </c>
      <c r="J424">
        <v>2.4</v>
      </c>
      <c r="K424" t="s">
        <v>8</v>
      </c>
    </row>
    <row r="425" spans="7:11" x14ac:dyDescent="0.25">
      <c r="G425" t="s">
        <v>197</v>
      </c>
      <c r="H425" t="s">
        <v>83</v>
      </c>
      <c r="I425">
        <v>1.65</v>
      </c>
      <c r="J425">
        <v>2.25</v>
      </c>
      <c r="K425" t="s">
        <v>8</v>
      </c>
    </row>
    <row r="426" spans="7:11" x14ac:dyDescent="0.25">
      <c r="G426" t="s">
        <v>197</v>
      </c>
      <c r="H426" t="s">
        <v>83</v>
      </c>
      <c r="I426">
        <v>1.61</v>
      </c>
      <c r="J426">
        <v>2.4</v>
      </c>
      <c r="K426" t="s">
        <v>8</v>
      </c>
    </row>
    <row r="427" spans="7:11" x14ac:dyDescent="0.25">
      <c r="G427" t="s">
        <v>197</v>
      </c>
      <c r="H427" t="s">
        <v>83</v>
      </c>
      <c r="I427">
        <v>1.62</v>
      </c>
      <c r="J427">
        <v>2.34</v>
      </c>
      <c r="K427" t="s">
        <v>8</v>
      </c>
    </row>
    <row r="428" spans="7:11" x14ac:dyDescent="0.25">
      <c r="G428" t="s">
        <v>197</v>
      </c>
      <c r="H428" t="s">
        <v>83</v>
      </c>
      <c r="I428">
        <v>1.62</v>
      </c>
      <c r="J428">
        <v>2.4</v>
      </c>
      <c r="K428" t="s">
        <v>8</v>
      </c>
    </row>
    <row r="429" spans="7:11" x14ac:dyDescent="0.25">
      <c r="G429" t="s">
        <v>197</v>
      </c>
      <c r="H429" t="s">
        <v>83</v>
      </c>
      <c r="I429">
        <v>1.65</v>
      </c>
      <c r="J429">
        <v>2.25</v>
      </c>
      <c r="K429" t="s">
        <v>8</v>
      </c>
    </row>
    <row r="430" spans="7:11" x14ac:dyDescent="0.25">
      <c r="G430" t="s">
        <v>197</v>
      </c>
      <c r="H430" t="s">
        <v>83</v>
      </c>
      <c r="I430">
        <v>1.62</v>
      </c>
      <c r="J430">
        <v>2.4</v>
      </c>
      <c r="K430" t="s">
        <v>8</v>
      </c>
    </row>
    <row r="431" spans="7:11" x14ac:dyDescent="0.25">
      <c r="G431" t="s">
        <v>197</v>
      </c>
      <c r="H431" t="s">
        <v>83</v>
      </c>
      <c r="I431">
        <v>1.62</v>
      </c>
      <c r="J431">
        <v>2.35</v>
      </c>
      <c r="K431" t="s">
        <v>8</v>
      </c>
    </row>
    <row r="432" spans="7:11" x14ac:dyDescent="0.25">
      <c r="G432" t="s">
        <v>197</v>
      </c>
      <c r="H432" t="s">
        <v>83</v>
      </c>
      <c r="I432">
        <v>1.62</v>
      </c>
      <c r="J432">
        <v>2.4</v>
      </c>
      <c r="K432" t="s">
        <v>8</v>
      </c>
    </row>
    <row r="433" spans="7:11" x14ac:dyDescent="0.25">
      <c r="G433" t="s">
        <v>197</v>
      </c>
      <c r="H433" t="s">
        <v>83</v>
      </c>
      <c r="I433">
        <v>1.61</v>
      </c>
      <c r="J433">
        <v>2.4</v>
      </c>
      <c r="K433" t="s">
        <v>8</v>
      </c>
    </row>
    <row r="434" spans="7:11" x14ac:dyDescent="0.25">
      <c r="G434" t="s">
        <v>198</v>
      </c>
      <c r="H434" t="s">
        <v>83</v>
      </c>
      <c r="I434">
        <v>3.35</v>
      </c>
      <c r="J434">
        <v>1.34</v>
      </c>
      <c r="K434" t="s">
        <v>8</v>
      </c>
    </row>
    <row r="435" spans="7:11" x14ac:dyDescent="0.25">
      <c r="G435" t="s">
        <v>198</v>
      </c>
      <c r="H435" t="s">
        <v>83</v>
      </c>
      <c r="I435">
        <v>3.02</v>
      </c>
      <c r="J435">
        <v>1.4</v>
      </c>
      <c r="K435" t="s">
        <v>8</v>
      </c>
    </row>
    <row r="436" spans="7:11" x14ac:dyDescent="0.25">
      <c r="G436" t="s">
        <v>198</v>
      </c>
      <c r="H436" t="s">
        <v>83</v>
      </c>
      <c r="I436">
        <v>3.1</v>
      </c>
      <c r="J436">
        <v>1.4</v>
      </c>
      <c r="K436" t="s">
        <v>8</v>
      </c>
    </row>
    <row r="437" spans="7:11" x14ac:dyDescent="0.25">
      <c r="G437" t="s">
        <v>198</v>
      </c>
      <c r="H437" t="s">
        <v>83</v>
      </c>
      <c r="I437">
        <v>3.1</v>
      </c>
      <c r="J437">
        <v>1.38</v>
      </c>
      <c r="K437" t="s">
        <v>8</v>
      </c>
    </row>
    <row r="438" spans="7:11" x14ac:dyDescent="0.25">
      <c r="G438" t="s">
        <v>198</v>
      </c>
      <c r="H438" t="s">
        <v>83</v>
      </c>
      <c r="I438">
        <v>3</v>
      </c>
      <c r="J438">
        <v>1.42</v>
      </c>
      <c r="K438" t="s">
        <v>8</v>
      </c>
    </row>
    <row r="439" spans="7:11" x14ac:dyDescent="0.25">
      <c r="G439" t="s">
        <v>198</v>
      </c>
      <c r="H439" t="s">
        <v>83</v>
      </c>
      <c r="I439">
        <v>3.05</v>
      </c>
      <c r="J439">
        <v>1.4</v>
      </c>
      <c r="K439" t="s">
        <v>8</v>
      </c>
    </row>
    <row r="440" spans="7:11" x14ac:dyDescent="0.25">
      <c r="G440" t="s">
        <v>198</v>
      </c>
      <c r="H440" t="s">
        <v>83</v>
      </c>
      <c r="I440">
        <v>3.1</v>
      </c>
      <c r="J440">
        <v>1.4</v>
      </c>
      <c r="K440" t="s">
        <v>8</v>
      </c>
    </row>
    <row r="441" spans="7:11" x14ac:dyDescent="0.25">
      <c r="G441" t="s">
        <v>198</v>
      </c>
      <c r="H441" t="s">
        <v>83</v>
      </c>
      <c r="I441">
        <v>3.1</v>
      </c>
      <c r="J441">
        <v>1.38</v>
      </c>
      <c r="K441" t="s">
        <v>8</v>
      </c>
    </row>
    <row r="442" spans="7:11" x14ac:dyDescent="0.25">
      <c r="G442" t="s">
        <v>198</v>
      </c>
      <c r="H442" t="s">
        <v>83</v>
      </c>
      <c r="I442">
        <v>3.05</v>
      </c>
      <c r="J442">
        <v>1.4</v>
      </c>
      <c r="K442" t="s">
        <v>8</v>
      </c>
    </row>
    <row r="443" spans="7:11" x14ac:dyDescent="0.25">
      <c r="G443" t="s">
        <v>198</v>
      </c>
      <c r="H443" t="s">
        <v>83</v>
      </c>
      <c r="I443">
        <v>3</v>
      </c>
      <c r="J443">
        <v>1.4</v>
      </c>
      <c r="K443" t="s">
        <v>8</v>
      </c>
    </row>
    <row r="444" spans="7:11" x14ac:dyDescent="0.25">
      <c r="G444" t="s">
        <v>198</v>
      </c>
      <c r="H444" t="s">
        <v>83</v>
      </c>
      <c r="I444">
        <v>3</v>
      </c>
      <c r="J444">
        <v>1.4</v>
      </c>
      <c r="K444" t="s">
        <v>8</v>
      </c>
    </row>
    <row r="445" spans="7:11" x14ac:dyDescent="0.25">
      <c r="G445" t="s">
        <v>198</v>
      </c>
      <c r="H445" t="s">
        <v>83</v>
      </c>
      <c r="I445">
        <v>3.1</v>
      </c>
      <c r="J445">
        <v>1.38</v>
      </c>
      <c r="K445" t="s">
        <v>8</v>
      </c>
    </row>
    <row r="446" spans="7:11" x14ac:dyDescent="0.25">
      <c r="G446" t="s">
        <v>199</v>
      </c>
      <c r="H446" t="s">
        <v>83</v>
      </c>
      <c r="I446">
        <v>2.2999999999999998</v>
      </c>
      <c r="J446">
        <v>1.65</v>
      </c>
      <c r="K446" t="s">
        <v>8</v>
      </c>
    </row>
    <row r="447" spans="7:11" x14ac:dyDescent="0.25">
      <c r="G447" t="s">
        <v>199</v>
      </c>
      <c r="H447" t="s">
        <v>83</v>
      </c>
      <c r="I447">
        <v>2.34</v>
      </c>
      <c r="J447">
        <v>1.62</v>
      </c>
      <c r="K447" t="s">
        <v>8</v>
      </c>
    </row>
    <row r="448" spans="7:11" x14ac:dyDescent="0.25">
      <c r="G448" t="s">
        <v>199</v>
      </c>
      <c r="H448" t="s">
        <v>83</v>
      </c>
      <c r="I448">
        <v>2.35</v>
      </c>
      <c r="J448">
        <v>1.65</v>
      </c>
      <c r="K448" t="s">
        <v>8</v>
      </c>
    </row>
    <row r="449" spans="7:11" x14ac:dyDescent="0.25">
      <c r="G449" t="s">
        <v>199</v>
      </c>
      <c r="H449" t="s">
        <v>83</v>
      </c>
      <c r="I449">
        <v>2.35</v>
      </c>
      <c r="J449">
        <v>1.62</v>
      </c>
      <c r="K449" t="s">
        <v>8</v>
      </c>
    </row>
    <row r="450" spans="7:11" x14ac:dyDescent="0.25">
      <c r="G450" t="s">
        <v>199</v>
      </c>
      <c r="H450" t="s">
        <v>83</v>
      </c>
      <c r="I450">
        <v>2.4500000000000002</v>
      </c>
      <c r="J450">
        <v>1.56</v>
      </c>
      <c r="K450" t="s">
        <v>8</v>
      </c>
    </row>
    <row r="451" spans="7:11" x14ac:dyDescent="0.25">
      <c r="G451" t="s">
        <v>199</v>
      </c>
      <c r="H451" t="s">
        <v>83</v>
      </c>
      <c r="I451">
        <v>2.4</v>
      </c>
      <c r="J451">
        <v>1.61</v>
      </c>
      <c r="K451" t="s">
        <v>8</v>
      </c>
    </row>
    <row r="452" spans="7:11" x14ac:dyDescent="0.25">
      <c r="G452" t="s">
        <v>199</v>
      </c>
      <c r="H452" t="s">
        <v>83</v>
      </c>
      <c r="I452">
        <v>2.35</v>
      </c>
      <c r="J452">
        <v>1.64</v>
      </c>
      <c r="K452" t="s">
        <v>8</v>
      </c>
    </row>
    <row r="453" spans="7:11" x14ac:dyDescent="0.25">
      <c r="G453" t="s">
        <v>199</v>
      </c>
      <c r="H453" t="s">
        <v>83</v>
      </c>
      <c r="I453">
        <v>2.4500000000000002</v>
      </c>
      <c r="J453">
        <v>1.56</v>
      </c>
      <c r="K453" t="s">
        <v>8</v>
      </c>
    </row>
    <row r="454" spans="7:11" x14ac:dyDescent="0.25">
      <c r="G454" t="s">
        <v>199</v>
      </c>
      <c r="H454" t="s">
        <v>83</v>
      </c>
      <c r="I454">
        <v>2.4</v>
      </c>
      <c r="J454">
        <v>1.62</v>
      </c>
      <c r="K454" t="s">
        <v>8</v>
      </c>
    </row>
    <row r="455" spans="7:11" x14ac:dyDescent="0.25">
      <c r="G455" t="s">
        <v>199</v>
      </c>
      <c r="H455" t="s">
        <v>83</v>
      </c>
      <c r="I455">
        <v>2.35</v>
      </c>
      <c r="J455">
        <v>1.62</v>
      </c>
      <c r="K455" t="s">
        <v>8</v>
      </c>
    </row>
    <row r="456" spans="7:11" x14ac:dyDescent="0.25">
      <c r="G456" t="s">
        <v>199</v>
      </c>
      <c r="H456" t="s">
        <v>83</v>
      </c>
      <c r="I456">
        <v>2.42</v>
      </c>
      <c r="J456">
        <v>1.61</v>
      </c>
      <c r="K456" t="s">
        <v>8</v>
      </c>
    </row>
    <row r="457" spans="7:11" x14ac:dyDescent="0.25">
      <c r="G457" t="s">
        <v>199</v>
      </c>
      <c r="H457" t="s">
        <v>83</v>
      </c>
      <c r="I457">
        <v>2.4</v>
      </c>
      <c r="J457">
        <v>1.61</v>
      </c>
      <c r="K457" t="s">
        <v>8</v>
      </c>
    </row>
    <row r="458" spans="7:11" x14ac:dyDescent="0.25">
      <c r="G458" t="s">
        <v>200</v>
      </c>
      <c r="H458" t="s">
        <v>83</v>
      </c>
      <c r="I458">
        <v>1.04</v>
      </c>
      <c r="J458">
        <v>13</v>
      </c>
      <c r="K458" t="s">
        <v>8</v>
      </c>
    </row>
    <row r="459" spans="7:11" x14ac:dyDescent="0.25">
      <c r="G459" t="s">
        <v>200</v>
      </c>
      <c r="H459" t="s">
        <v>83</v>
      </c>
      <c r="I459">
        <v>1.03</v>
      </c>
      <c r="J459">
        <v>13.8</v>
      </c>
      <c r="K459" t="s">
        <v>8</v>
      </c>
    </row>
    <row r="460" spans="7:11" x14ac:dyDescent="0.25">
      <c r="G460" t="s">
        <v>200</v>
      </c>
      <c r="H460" t="s">
        <v>83</v>
      </c>
      <c r="I460">
        <v>1.03</v>
      </c>
      <c r="J460">
        <v>12</v>
      </c>
      <c r="K460" t="s">
        <v>8</v>
      </c>
    </row>
    <row r="461" spans="7:11" x14ac:dyDescent="0.25">
      <c r="G461" t="s">
        <v>200</v>
      </c>
      <c r="H461" t="s">
        <v>83</v>
      </c>
      <c r="I461">
        <v>1.02</v>
      </c>
      <c r="J461">
        <v>16.5</v>
      </c>
      <c r="K461" t="s">
        <v>8</v>
      </c>
    </row>
    <row r="462" spans="7:11" x14ac:dyDescent="0.25">
      <c r="G462" t="s">
        <v>200</v>
      </c>
      <c r="H462" t="s">
        <v>83</v>
      </c>
      <c r="I462">
        <v>1.03</v>
      </c>
      <c r="J462">
        <v>13</v>
      </c>
      <c r="K462" t="s">
        <v>8</v>
      </c>
    </row>
    <row r="463" spans="7:11" x14ac:dyDescent="0.25">
      <c r="G463" t="s">
        <v>200</v>
      </c>
      <c r="H463" t="s">
        <v>83</v>
      </c>
      <c r="I463">
        <v>1.02</v>
      </c>
      <c r="J463">
        <v>16</v>
      </c>
      <c r="K463" t="s">
        <v>8</v>
      </c>
    </row>
    <row r="464" spans="7:11" x14ac:dyDescent="0.25">
      <c r="G464" t="s">
        <v>201</v>
      </c>
      <c r="H464" t="s">
        <v>83</v>
      </c>
      <c r="I464">
        <v>2.14</v>
      </c>
      <c r="J464">
        <v>1.74</v>
      </c>
      <c r="K464" t="s">
        <v>8</v>
      </c>
    </row>
    <row r="465" spans="7:11" x14ac:dyDescent="0.25">
      <c r="G465" t="s">
        <v>201</v>
      </c>
      <c r="H465" t="s">
        <v>83</v>
      </c>
      <c r="I465">
        <v>2.2000000000000002</v>
      </c>
      <c r="J465">
        <v>1.71</v>
      </c>
      <c r="K465" t="s">
        <v>8</v>
      </c>
    </row>
    <row r="466" spans="7:11" x14ac:dyDescent="0.25">
      <c r="G466" t="s">
        <v>201</v>
      </c>
      <c r="H466" t="s">
        <v>83</v>
      </c>
      <c r="I466">
        <v>2.2000000000000002</v>
      </c>
      <c r="J466">
        <v>1.71</v>
      </c>
      <c r="K466" t="s">
        <v>8</v>
      </c>
    </row>
    <row r="467" spans="7:11" x14ac:dyDescent="0.25">
      <c r="G467" t="s">
        <v>201</v>
      </c>
      <c r="H467" t="s">
        <v>83</v>
      </c>
      <c r="I467">
        <v>2.2999999999999998</v>
      </c>
      <c r="J467">
        <v>1.63</v>
      </c>
      <c r="K467" t="s">
        <v>8</v>
      </c>
    </row>
    <row r="468" spans="7:11" x14ac:dyDescent="0.25">
      <c r="G468" t="s">
        <v>201</v>
      </c>
      <c r="H468" t="s">
        <v>83</v>
      </c>
      <c r="I468">
        <v>2.2000000000000002</v>
      </c>
      <c r="J468">
        <v>1.71</v>
      </c>
      <c r="K468" t="s">
        <v>8</v>
      </c>
    </row>
    <row r="469" spans="7:11" x14ac:dyDescent="0.25">
      <c r="G469" t="s">
        <v>201</v>
      </c>
      <c r="H469" t="s">
        <v>83</v>
      </c>
      <c r="I469">
        <v>2.14</v>
      </c>
      <c r="J469">
        <v>1.73</v>
      </c>
      <c r="K469" t="s">
        <v>8</v>
      </c>
    </row>
    <row r="470" spans="7:11" x14ac:dyDescent="0.25">
      <c r="G470" t="s">
        <v>201</v>
      </c>
      <c r="H470" t="s">
        <v>83</v>
      </c>
      <c r="I470">
        <v>2.1800000000000002</v>
      </c>
      <c r="J470">
        <v>1.71</v>
      </c>
      <c r="K470" t="s">
        <v>8</v>
      </c>
    </row>
    <row r="471" spans="7:11" x14ac:dyDescent="0.25">
      <c r="G471" t="s">
        <v>201</v>
      </c>
      <c r="H471" t="s">
        <v>83</v>
      </c>
      <c r="I471">
        <v>2.2000000000000002</v>
      </c>
      <c r="J471">
        <v>1.71</v>
      </c>
      <c r="K471" t="s">
        <v>8</v>
      </c>
    </row>
    <row r="472" spans="7:11" x14ac:dyDescent="0.25">
      <c r="G472" t="s">
        <v>201</v>
      </c>
      <c r="H472" t="s">
        <v>83</v>
      </c>
      <c r="I472">
        <v>2.2999999999999998</v>
      </c>
      <c r="J472">
        <v>1.63</v>
      </c>
      <c r="K472" t="s">
        <v>8</v>
      </c>
    </row>
    <row r="473" spans="7:11" x14ac:dyDescent="0.25">
      <c r="G473" t="s">
        <v>201</v>
      </c>
      <c r="H473" t="s">
        <v>83</v>
      </c>
      <c r="I473">
        <v>2.2000000000000002</v>
      </c>
      <c r="J473">
        <v>1.71</v>
      </c>
      <c r="K473" t="s">
        <v>8</v>
      </c>
    </row>
    <row r="474" spans="7:11" x14ac:dyDescent="0.25">
      <c r="G474" t="s">
        <v>201</v>
      </c>
      <c r="H474" t="s">
        <v>83</v>
      </c>
      <c r="I474">
        <v>2.2000000000000002</v>
      </c>
      <c r="J474">
        <v>1.69</v>
      </c>
      <c r="K474" t="s">
        <v>8</v>
      </c>
    </row>
    <row r="475" spans="7:11" x14ac:dyDescent="0.25">
      <c r="G475" t="s">
        <v>201</v>
      </c>
      <c r="H475" t="s">
        <v>83</v>
      </c>
      <c r="I475">
        <v>2.2000000000000002</v>
      </c>
      <c r="J475">
        <v>1.71</v>
      </c>
      <c r="K475" t="s">
        <v>8</v>
      </c>
    </row>
    <row r="476" spans="7:11" x14ac:dyDescent="0.25">
      <c r="G476" t="s">
        <v>202</v>
      </c>
      <c r="H476" t="s">
        <v>83</v>
      </c>
      <c r="I476">
        <v>4.5999999999999996</v>
      </c>
      <c r="J476">
        <v>1.21</v>
      </c>
      <c r="K476" t="s">
        <v>8</v>
      </c>
    </row>
    <row r="477" spans="7:11" x14ac:dyDescent="0.25">
      <c r="G477" t="s">
        <v>202</v>
      </c>
      <c r="H477" t="s">
        <v>83</v>
      </c>
      <c r="I477">
        <v>4.5999999999999996</v>
      </c>
      <c r="J477">
        <v>1.22</v>
      </c>
      <c r="K477" t="s">
        <v>8</v>
      </c>
    </row>
    <row r="478" spans="7:11" x14ac:dyDescent="0.25">
      <c r="G478" t="s">
        <v>202</v>
      </c>
      <c r="H478" t="s">
        <v>83</v>
      </c>
      <c r="I478">
        <v>5.0999999999999996</v>
      </c>
      <c r="J478">
        <v>1.18</v>
      </c>
      <c r="K478" t="s">
        <v>8</v>
      </c>
    </row>
    <row r="479" spans="7:11" x14ac:dyDescent="0.25">
      <c r="G479" t="s">
        <v>202</v>
      </c>
      <c r="H479" t="s">
        <v>83</v>
      </c>
      <c r="I479">
        <v>4.75</v>
      </c>
      <c r="J479">
        <v>1.19</v>
      </c>
      <c r="K479" t="s">
        <v>8</v>
      </c>
    </row>
    <row r="480" spans="7:11" x14ac:dyDescent="0.25">
      <c r="G480" t="s">
        <v>202</v>
      </c>
      <c r="H480" t="s">
        <v>83</v>
      </c>
      <c r="I480">
        <v>4.5999999999999996</v>
      </c>
      <c r="J480">
        <v>1.21</v>
      </c>
      <c r="K480" t="s">
        <v>8</v>
      </c>
    </row>
    <row r="481" spans="7:11" x14ac:dyDescent="0.25">
      <c r="G481" t="s">
        <v>202</v>
      </c>
      <c r="H481" t="s">
        <v>83</v>
      </c>
      <c r="I481">
        <v>5</v>
      </c>
      <c r="J481">
        <v>1.18</v>
      </c>
      <c r="K481" t="s">
        <v>8</v>
      </c>
    </row>
    <row r="482" spans="7:11" x14ac:dyDescent="0.25">
      <c r="G482" t="s">
        <v>202</v>
      </c>
      <c r="H482" t="s">
        <v>83</v>
      </c>
      <c r="I482">
        <v>4.5999999999999996</v>
      </c>
      <c r="J482">
        <v>1.22</v>
      </c>
      <c r="K482" t="s">
        <v>8</v>
      </c>
    </row>
    <row r="483" spans="7:11" x14ac:dyDescent="0.25">
      <c r="G483" t="s">
        <v>202</v>
      </c>
      <c r="H483" t="s">
        <v>83</v>
      </c>
      <c r="I483">
        <v>5.0999999999999996</v>
      </c>
      <c r="J483">
        <v>1.18</v>
      </c>
      <c r="K483" t="s">
        <v>8</v>
      </c>
    </row>
    <row r="484" spans="7:11" x14ac:dyDescent="0.25">
      <c r="G484" t="s">
        <v>202</v>
      </c>
      <c r="H484" t="s">
        <v>83</v>
      </c>
      <c r="I484">
        <v>4.4000000000000004</v>
      </c>
      <c r="J484">
        <v>1.22</v>
      </c>
      <c r="K484" t="s">
        <v>8</v>
      </c>
    </row>
    <row r="485" spans="7:11" x14ac:dyDescent="0.25">
      <c r="G485" t="s">
        <v>202</v>
      </c>
      <c r="H485" t="s">
        <v>83</v>
      </c>
      <c r="I485">
        <v>4.5</v>
      </c>
      <c r="J485">
        <v>1.22</v>
      </c>
      <c r="K485" t="s">
        <v>8</v>
      </c>
    </row>
    <row r="486" spans="7:11" x14ac:dyDescent="0.25">
      <c r="G486" t="s">
        <v>202</v>
      </c>
      <c r="H486" t="s">
        <v>83</v>
      </c>
      <c r="I486">
        <v>4.4000000000000004</v>
      </c>
      <c r="J486">
        <v>1.22</v>
      </c>
      <c r="K486" t="s">
        <v>8</v>
      </c>
    </row>
    <row r="487" spans="7:11" x14ac:dyDescent="0.25">
      <c r="G487" t="s">
        <v>202</v>
      </c>
      <c r="H487" t="s">
        <v>83</v>
      </c>
      <c r="I487">
        <v>4.5999999999999996</v>
      </c>
      <c r="J487">
        <v>1.21</v>
      </c>
      <c r="K487" t="s">
        <v>8</v>
      </c>
    </row>
    <row r="488" spans="7:11" x14ac:dyDescent="0.25">
      <c r="G488" t="s">
        <v>203</v>
      </c>
      <c r="H488" t="s">
        <v>83</v>
      </c>
      <c r="I488">
        <v>5</v>
      </c>
      <c r="J488">
        <v>1.19</v>
      </c>
      <c r="K488" t="s">
        <v>8</v>
      </c>
    </row>
    <row r="489" spans="7:11" x14ac:dyDescent="0.25">
      <c r="G489" t="s">
        <v>203</v>
      </c>
      <c r="H489" t="s">
        <v>83</v>
      </c>
      <c r="I489">
        <v>4.95</v>
      </c>
      <c r="J489">
        <v>1.2</v>
      </c>
      <c r="K489" t="s">
        <v>8</v>
      </c>
    </row>
    <row r="490" spans="7:11" x14ac:dyDescent="0.25">
      <c r="G490" t="s">
        <v>203</v>
      </c>
      <c r="H490" t="s">
        <v>83</v>
      </c>
      <c r="I490">
        <v>4.9000000000000004</v>
      </c>
      <c r="J490">
        <v>1.19</v>
      </c>
      <c r="K490" t="s">
        <v>8</v>
      </c>
    </row>
    <row r="491" spans="7:11" x14ac:dyDescent="0.25">
      <c r="G491" t="s">
        <v>203</v>
      </c>
      <c r="H491" t="s">
        <v>83</v>
      </c>
      <c r="I491">
        <v>5</v>
      </c>
      <c r="J491">
        <v>1.17</v>
      </c>
      <c r="K491" t="s">
        <v>8</v>
      </c>
    </row>
    <row r="492" spans="7:11" x14ac:dyDescent="0.25">
      <c r="G492" t="s">
        <v>203</v>
      </c>
      <c r="H492" t="s">
        <v>83</v>
      </c>
      <c r="I492">
        <v>4.9000000000000004</v>
      </c>
      <c r="J492">
        <v>1.18</v>
      </c>
      <c r="K492" t="s">
        <v>8</v>
      </c>
    </row>
    <row r="493" spans="7:11" x14ac:dyDescent="0.25">
      <c r="G493" t="s">
        <v>203</v>
      </c>
      <c r="H493" t="s">
        <v>83</v>
      </c>
      <c r="I493">
        <v>5</v>
      </c>
      <c r="J493">
        <v>1.18</v>
      </c>
      <c r="K493" t="s">
        <v>8</v>
      </c>
    </row>
    <row r="494" spans="7:11" x14ac:dyDescent="0.25">
      <c r="G494" t="s">
        <v>203</v>
      </c>
      <c r="H494" t="s">
        <v>83</v>
      </c>
      <c r="I494">
        <v>4.95</v>
      </c>
      <c r="J494">
        <v>1.2</v>
      </c>
      <c r="K494" t="s">
        <v>8</v>
      </c>
    </row>
    <row r="495" spans="7:11" x14ac:dyDescent="0.25">
      <c r="G495" t="s">
        <v>203</v>
      </c>
      <c r="H495" t="s">
        <v>83</v>
      </c>
      <c r="I495">
        <v>5</v>
      </c>
      <c r="J495">
        <v>1.17</v>
      </c>
      <c r="K495" t="s">
        <v>8</v>
      </c>
    </row>
    <row r="496" spans="7:11" x14ac:dyDescent="0.25">
      <c r="G496" t="s">
        <v>203</v>
      </c>
      <c r="H496" t="s">
        <v>83</v>
      </c>
      <c r="I496">
        <v>4.8499999999999996</v>
      </c>
      <c r="J496">
        <v>1.2</v>
      </c>
      <c r="K496" t="s">
        <v>8</v>
      </c>
    </row>
    <row r="497" spans="7:11" x14ac:dyDescent="0.25">
      <c r="G497" t="s">
        <v>203</v>
      </c>
      <c r="H497" t="s">
        <v>83</v>
      </c>
      <c r="I497">
        <v>5</v>
      </c>
      <c r="J497">
        <v>1.18</v>
      </c>
      <c r="K497" t="s">
        <v>8</v>
      </c>
    </row>
    <row r="498" spans="7:11" x14ac:dyDescent="0.25">
      <c r="G498" t="s">
        <v>203</v>
      </c>
      <c r="H498" t="s">
        <v>83</v>
      </c>
      <c r="I498">
        <v>5</v>
      </c>
      <c r="J498">
        <v>1.18</v>
      </c>
      <c r="K498" t="s">
        <v>8</v>
      </c>
    </row>
    <row r="499" spans="7:11" x14ac:dyDescent="0.25">
      <c r="G499" t="s">
        <v>203</v>
      </c>
      <c r="H499" t="s">
        <v>83</v>
      </c>
      <c r="I499">
        <v>5</v>
      </c>
      <c r="J499">
        <v>1.18</v>
      </c>
      <c r="K499" t="s">
        <v>8</v>
      </c>
    </row>
    <row r="500" spans="7:11" x14ac:dyDescent="0.25">
      <c r="G500" t="s">
        <v>204</v>
      </c>
      <c r="H500" t="s">
        <v>83</v>
      </c>
      <c r="I500">
        <v>6.25</v>
      </c>
      <c r="J500">
        <v>1.1299999999999999</v>
      </c>
      <c r="K500" t="s">
        <v>8</v>
      </c>
    </row>
    <row r="501" spans="7:11" x14ac:dyDescent="0.25">
      <c r="G501" t="s">
        <v>204</v>
      </c>
      <c r="H501" t="s">
        <v>83</v>
      </c>
      <c r="I501">
        <v>6.5</v>
      </c>
      <c r="J501">
        <v>1.1299999999999999</v>
      </c>
      <c r="K501" t="s">
        <v>8</v>
      </c>
    </row>
    <row r="502" spans="7:11" x14ac:dyDescent="0.25">
      <c r="G502" t="s">
        <v>204</v>
      </c>
      <c r="H502" t="s">
        <v>83</v>
      </c>
      <c r="I502">
        <v>6.75</v>
      </c>
      <c r="J502">
        <v>1.1100000000000001</v>
      </c>
      <c r="K502" t="s">
        <v>8</v>
      </c>
    </row>
    <row r="503" spans="7:11" x14ac:dyDescent="0.25">
      <c r="G503" t="s">
        <v>204</v>
      </c>
      <c r="H503" t="s">
        <v>83</v>
      </c>
      <c r="I503">
        <v>6.25</v>
      </c>
      <c r="J503">
        <v>1.1200000000000001</v>
      </c>
      <c r="K503" t="s">
        <v>8</v>
      </c>
    </row>
    <row r="504" spans="7:11" x14ac:dyDescent="0.25">
      <c r="G504" t="s">
        <v>204</v>
      </c>
      <c r="H504" t="s">
        <v>83</v>
      </c>
      <c r="I504">
        <v>6.5</v>
      </c>
      <c r="J504">
        <v>1.1200000000000001</v>
      </c>
      <c r="K504" t="s">
        <v>8</v>
      </c>
    </row>
    <row r="505" spans="7:11" x14ac:dyDescent="0.25">
      <c r="G505" t="s">
        <v>204</v>
      </c>
      <c r="H505" t="s">
        <v>83</v>
      </c>
      <c r="I505">
        <v>6.8</v>
      </c>
      <c r="J505">
        <v>1.1100000000000001</v>
      </c>
      <c r="K505" t="s">
        <v>8</v>
      </c>
    </row>
    <row r="506" spans="7:11" x14ac:dyDescent="0.25">
      <c r="G506" t="s">
        <v>204</v>
      </c>
      <c r="H506" t="s">
        <v>83</v>
      </c>
      <c r="I506">
        <v>6.5</v>
      </c>
      <c r="J506">
        <v>1.1299999999999999</v>
      </c>
      <c r="K506" t="s">
        <v>8</v>
      </c>
    </row>
    <row r="507" spans="7:11" x14ac:dyDescent="0.25">
      <c r="G507" t="s">
        <v>204</v>
      </c>
      <c r="H507" t="s">
        <v>83</v>
      </c>
      <c r="I507">
        <v>6.75</v>
      </c>
      <c r="J507">
        <v>1.1100000000000001</v>
      </c>
      <c r="K507" t="s">
        <v>8</v>
      </c>
    </row>
    <row r="508" spans="7:11" x14ac:dyDescent="0.25">
      <c r="G508" t="s">
        <v>204</v>
      </c>
      <c r="H508" t="s">
        <v>83</v>
      </c>
      <c r="I508">
        <v>6.2</v>
      </c>
      <c r="J508">
        <v>1.1299999999999999</v>
      </c>
      <c r="K508" t="s">
        <v>8</v>
      </c>
    </row>
    <row r="509" spans="7:11" x14ac:dyDescent="0.25">
      <c r="G509" t="s">
        <v>204</v>
      </c>
      <c r="H509" t="s">
        <v>83</v>
      </c>
      <c r="I509">
        <v>6.5</v>
      </c>
      <c r="J509">
        <v>1.1200000000000001</v>
      </c>
      <c r="K509" t="s">
        <v>8</v>
      </c>
    </row>
    <row r="510" spans="7:11" x14ac:dyDescent="0.25">
      <c r="G510" t="s">
        <v>204</v>
      </c>
      <c r="H510" t="s">
        <v>83</v>
      </c>
      <c r="I510">
        <v>6</v>
      </c>
      <c r="J510">
        <v>1.1299999999999999</v>
      </c>
      <c r="K510" t="s">
        <v>8</v>
      </c>
    </row>
    <row r="511" spans="7:11" x14ac:dyDescent="0.25">
      <c r="G511" t="s">
        <v>204</v>
      </c>
      <c r="H511" t="s">
        <v>83</v>
      </c>
      <c r="I511">
        <v>6.2</v>
      </c>
      <c r="J511">
        <v>1.1299999999999999</v>
      </c>
      <c r="K511" t="s">
        <v>8</v>
      </c>
    </row>
    <row r="512" spans="7:11" x14ac:dyDescent="0.25">
      <c r="G512" t="s">
        <v>205</v>
      </c>
      <c r="H512" t="s">
        <v>206</v>
      </c>
      <c r="I512">
        <v>16</v>
      </c>
      <c r="J512">
        <v>1.03</v>
      </c>
      <c r="K512" t="s">
        <v>8</v>
      </c>
    </row>
    <row r="513" spans="7:11" x14ac:dyDescent="0.25">
      <c r="G513" t="s">
        <v>205</v>
      </c>
      <c r="H513" t="s">
        <v>206</v>
      </c>
      <c r="I513">
        <v>17</v>
      </c>
      <c r="J513">
        <v>1.02</v>
      </c>
      <c r="K513" t="s">
        <v>8</v>
      </c>
    </row>
    <row r="514" spans="7:11" x14ac:dyDescent="0.25">
      <c r="G514" t="s">
        <v>205</v>
      </c>
      <c r="H514" t="s">
        <v>206</v>
      </c>
      <c r="I514">
        <v>19</v>
      </c>
      <c r="J514">
        <v>1.01</v>
      </c>
      <c r="K514" t="s">
        <v>8</v>
      </c>
    </row>
    <row r="515" spans="7:11" x14ac:dyDescent="0.25">
      <c r="G515" t="s">
        <v>205</v>
      </c>
      <c r="H515" t="s">
        <v>206</v>
      </c>
      <c r="I515">
        <v>17</v>
      </c>
      <c r="J515">
        <v>1.01</v>
      </c>
      <c r="K515" t="s">
        <v>8</v>
      </c>
    </row>
    <row r="516" spans="7:11" x14ac:dyDescent="0.25">
      <c r="G516" t="s">
        <v>205</v>
      </c>
      <c r="H516" t="s">
        <v>206</v>
      </c>
      <c r="I516">
        <v>19</v>
      </c>
      <c r="J516">
        <v>1.01</v>
      </c>
      <c r="K516" t="s">
        <v>8</v>
      </c>
    </row>
    <row r="517" spans="7:11" x14ac:dyDescent="0.25">
      <c r="G517" t="s">
        <v>205</v>
      </c>
      <c r="H517" t="s">
        <v>206</v>
      </c>
      <c r="I517">
        <v>15</v>
      </c>
      <c r="J517">
        <v>1.02</v>
      </c>
      <c r="K517" t="s">
        <v>8</v>
      </c>
    </row>
    <row r="518" spans="7:11" x14ac:dyDescent="0.25">
      <c r="G518" t="s">
        <v>207</v>
      </c>
      <c r="H518" t="s">
        <v>206</v>
      </c>
      <c r="I518">
        <v>12</v>
      </c>
      <c r="J518">
        <v>1.05</v>
      </c>
      <c r="K518" t="s">
        <v>8</v>
      </c>
    </row>
    <row r="519" spans="7:11" x14ac:dyDescent="0.25">
      <c r="G519" t="s">
        <v>207</v>
      </c>
      <c r="H519" t="s">
        <v>206</v>
      </c>
      <c r="I519">
        <v>15</v>
      </c>
      <c r="J519">
        <v>1.02</v>
      </c>
      <c r="K519" t="s">
        <v>8</v>
      </c>
    </row>
    <row r="520" spans="7:11" x14ac:dyDescent="0.25">
      <c r="G520" t="s">
        <v>207</v>
      </c>
      <c r="H520" t="s">
        <v>206</v>
      </c>
      <c r="I520">
        <v>11</v>
      </c>
      <c r="J520">
        <v>1.05</v>
      </c>
      <c r="K520" t="s">
        <v>8</v>
      </c>
    </row>
    <row r="521" spans="7:11" x14ac:dyDescent="0.25">
      <c r="G521" t="s">
        <v>207</v>
      </c>
      <c r="H521" t="s">
        <v>206</v>
      </c>
      <c r="I521">
        <v>15</v>
      </c>
      <c r="J521">
        <v>1.02</v>
      </c>
      <c r="K521" t="s">
        <v>8</v>
      </c>
    </row>
    <row r="522" spans="7:11" x14ac:dyDescent="0.25">
      <c r="G522" t="s">
        <v>207</v>
      </c>
      <c r="H522" t="s">
        <v>206</v>
      </c>
      <c r="I522">
        <v>13.5</v>
      </c>
      <c r="J522">
        <v>1.04</v>
      </c>
      <c r="K522" t="s">
        <v>8</v>
      </c>
    </row>
    <row r="523" spans="7:11" x14ac:dyDescent="0.25">
      <c r="G523" t="s">
        <v>207</v>
      </c>
      <c r="H523" t="s">
        <v>206</v>
      </c>
      <c r="I523">
        <v>12.6</v>
      </c>
      <c r="J523">
        <v>1.04</v>
      </c>
      <c r="K523" t="s">
        <v>8</v>
      </c>
    </row>
    <row r="524" spans="7:11" x14ac:dyDescent="0.25">
      <c r="G524" t="s">
        <v>207</v>
      </c>
      <c r="H524" t="s">
        <v>206</v>
      </c>
      <c r="I524">
        <v>15</v>
      </c>
      <c r="J524">
        <v>1.02</v>
      </c>
      <c r="K524" t="s">
        <v>8</v>
      </c>
    </row>
    <row r="525" spans="7:11" x14ac:dyDescent="0.25">
      <c r="G525" t="s">
        <v>207</v>
      </c>
      <c r="H525" t="s">
        <v>206</v>
      </c>
      <c r="I525">
        <v>13</v>
      </c>
      <c r="J525">
        <v>1.03</v>
      </c>
      <c r="K525" t="s">
        <v>8</v>
      </c>
    </row>
    <row r="526" spans="7:11" x14ac:dyDescent="0.25">
      <c r="G526" t="s">
        <v>207</v>
      </c>
      <c r="H526" t="s">
        <v>206</v>
      </c>
      <c r="I526">
        <v>14.05</v>
      </c>
      <c r="J526">
        <v>1.02</v>
      </c>
      <c r="K526" t="s">
        <v>8</v>
      </c>
    </row>
    <row r="527" spans="7:11" x14ac:dyDescent="0.25">
      <c r="G527" t="s">
        <v>208</v>
      </c>
      <c r="H527" t="s">
        <v>206</v>
      </c>
      <c r="I527">
        <v>1.06</v>
      </c>
      <c r="J527">
        <v>10.5</v>
      </c>
      <c r="K527" t="s">
        <v>8</v>
      </c>
    </row>
    <row r="528" spans="7:11" x14ac:dyDescent="0.25">
      <c r="G528" t="s">
        <v>208</v>
      </c>
      <c r="H528" t="s">
        <v>206</v>
      </c>
      <c r="I528">
        <v>1.03</v>
      </c>
      <c r="J528">
        <v>13</v>
      </c>
      <c r="K528" t="s">
        <v>8</v>
      </c>
    </row>
    <row r="529" spans="7:11" x14ac:dyDescent="0.25">
      <c r="G529" t="s">
        <v>208</v>
      </c>
      <c r="H529" t="s">
        <v>206</v>
      </c>
      <c r="I529">
        <v>1.03</v>
      </c>
      <c r="J529">
        <v>12</v>
      </c>
      <c r="K529" t="s">
        <v>8</v>
      </c>
    </row>
    <row r="530" spans="7:11" x14ac:dyDescent="0.25">
      <c r="G530" t="s">
        <v>208</v>
      </c>
      <c r="H530" t="s">
        <v>206</v>
      </c>
      <c r="I530">
        <v>1.05</v>
      </c>
      <c r="J530">
        <v>11</v>
      </c>
      <c r="K530" t="s">
        <v>8</v>
      </c>
    </row>
    <row r="531" spans="7:11" x14ac:dyDescent="0.25">
      <c r="G531" t="s">
        <v>208</v>
      </c>
      <c r="H531" t="s">
        <v>206</v>
      </c>
      <c r="I531">
        <v>1.04</v>
      </c>
      <c r="J531">
        <v>12.5</v>
      </c>
      <c r="K531" t="s">
        <v>8</v>
      </c>
    </row>
    <row r="532" spans="7:11" x14ac:dyDescent="0.25">
      <c r="G532" t="s">
        <v>208</v>
      </c>
      <c r="H532" t="s">
        <v>206</v>
      </c>
      <c r="I532">
        <v>1.03</v>
      </c>
      <c r="J532">
        <v>13</v>
      </c>
      <c r="K532" t="s">
        <v>8</v>
      </c>
    </row>
    <row r="533" spans="7:11" x14ac:dyDescent="0.25">
      <c r="G533" t="s">
        <v>208</v>
      </c>
      <c r="H533" t="s">
        <v>206</v>
      </c>
      <c r="I533">
        <v>1.03</v>
      </c>
      <c r="J533">
        <v>13</v>
      </c>
      <c r="K533" t="s">
        <v>8</v>
      </c>
    </row>
    <row r="534" spans="7:11" x14ac:dyDescent="0.25">
      <c r="G534" t="s">
        <v>208</v>
      </c>
      <c r="H534" t="s">
        <v>206</v>
      </c>
      <c r="I534">
        <v>1.03</v>
      </c>
      <c r="J534">
        <v>12</v>
      </c>
      <c r="K534" t="s">
        <v>8</v>
      </c>
    </row>
    <row r="535" spans="7:11" x14ac:dyDescent="0.25">
      <c r="G535" t="s">
        <v>208</v>
      </c>
      <c r="H535" t="s">
        <v>206</v>
      </c>
      <c r="I535">
        <v>1.03</v>
      </c>
      <c r="J535">
        <v>13</v>
      </c>
      <c r="K535" t="s">
        <v>8</v>
      </c>
    </row>
    <row r="536" spans="7:11" x14ac:dyDescent="0.25">
      <c r="G536" t="s">
        <v>208</v>
      </c>
      <c r="H536" t="s">
        <v>206</v>
      </c>
      <c r="I536">
        <v>1.03</v>
      </c>
      <c r="J536">
        <v>13</v>
      </c>
      <c r="K536" t="s">
        <v>8</v>
      </c>
    </row>
    <row r="537" spans="7:11" x14ac:dyDescent="0.25">
      <c r="G537" t="s">
        <v>208</v>
      </c>
      <c r="H537" t="s">
        <v>206</v>
      </c>
      <c r="I537">
        <v>1.03</v>
      </c>
      <c r="J537">
        <v>12.95</v>
      </c>
      <c r="K537" t="s">
        <v>8</v>
      </c>
    </row>
    <row r="538" spans="7:11" x14ac:dyDescent="0.25">
      <c r="G538" t="s">
        <v>209</v>
      </c>
      <c r="H538" t="s">
        <v>206</v>
      </c>
      <c r="I538">
        <v>3.3</v>
      </c>
      <c r="J538">
        <v>1.35</v>
      </c>
      <c r="K538" t="s">
        <v>8</v>
      </c>
    </row>
    <row r="539" spans="7:11" x14ac:dyDescent="0.25">
      <c r="G539" t="s">
        <v>209</v>
      </c>
      <c r="H539" t="s">
        <v>206</v>
      </c>
      <c r="I539">
        <v>3.25</v>
      </c>
      <c r="J539">
        <v>1.38</v>
      </c>
      <c r="K539" t="s">
        <v>8</v>
      </c>
    </row>
    <row r="540" spans="7:11" x14ac:dyDescent="0.25">
      <c r="G540" t="s">
        <v>209</v>
      </c>
      <c r="H540" t="s">
        <v>206</v>
      </c>
      <c r="I540">
        <v>3.3</v>
      </c>
      <c r="J540">
        <v>1.35</v>
      </c>
      <c r="K540" t="s">
        <v>8</v>
      </c>
    </row>
    <row r="541" spans="7:11" x14ac:dyDescent="0.25">
      <c r="G541" t="s">
        <v>209</v>
      </c>
      <c r="H541" t="s">
        <v>206</v>
      </c>
      <c r="I541">
        <v>3.25</v>
      </c>
      <c r="J541">
        <v>1.35</v>
      </c>
      <c r="K541" t="s">
        <v>8</v>
      </c>
    </row>
    <row r="542" spans="7:11" x14ac:dyDescent="0.25">
      <c r="G542" t="s">
        <v>209</v>
      </c>
      <c r="H542" t="s">
        <v>206</v>
      </c>
      <c r="I542">
        <v>3.2</v>
      </c>
      <c r="J542">
        <v>1.37</v>
      </c>
      <c r="K542" t="s">
        <v>8</v>
      </c>
    </row>
    <row r="543" spans="7:11" x14ac:dyDescent="0.25">
      <c r="G543" t="s">
        <v>209</v>
      </c>
      <c r="H543" t="s">
        <v>206</v>
      </c>
      <c r="I543">
        <v>3.28</v>
      </c>
      <c r="J543">
        <v>1.35</v>
      </c>
      <c r="K543" t="s">
        <v>8</v>
      </c>
    </row>
    <row r="544" spans="7:11" x14ac:dyDescent="0.25">
      <c r="G544" t="s">
        <v>209</v>
      </c>
      <c r="H544" t="s">
        <v>206</v>
      </c>
      <c r="I544">
        <v>3.25</v>
      </c>
      <c r="J544">
        <v>1.38</v>
      </c>
      <c r="K544" t="s">
        <v>8</v>
      </c>
    </row>
    <row r="545" spans="7:11" x14ac:dyDescent="0.25">
      <c r="G545" t="s">
        <v>209</v>
      </c>
      <c r="H545" t="s">
        <v>206</v>
      </c>
      <c r="I545">
        <v>3.25</v>
      </c>
      <c r="J545">
        <v>1.35</v>
      </c>
      <c r="K545" t="s">
        <v>8</v>
      </c>
    </row>
    <row r="546" spans="7:11" x14ac:dyDescent="0.25">
      <c r="G546" t="s">
        <v>209</v>
      </c>
      <c r="H546" t="s">
        <v>206</v>
      </c>
      <c r="I546">
        <v>3.15</v>
      </c>
      <c r="J546">
        <v>1.38</v>
      </c>
      <c r="K546" t="s">
        <v>8</v>
      </c>
    </row>
    <row r="547" spans="7:11" x14ac:dyDescent="0.25">
      <c r="G547" t="s">
        <v>209</v>
      </c>
      <c r="H547" t="s">
        <v>206</v>
      </c>
      <c r="I547">
        <v>3.2</v>
      </c>
      <c r="J547">
        <v>1.37</v>
      </c>
      <c r="K547" t="s">
        <v>8</v>
      </c>
    </row>
    <row r="548" spans="7:11" x14ac:dyDescent="0.25">
      <c r="G548" t="s">
        <v>209</v>
      </c>
      <c r="H548" t="s">
        <v>206</v>
      </c>
      <c r="I548">
        <v>3.25</v>
      </c>
      <c r="J548">
        <v>1.36</v>
      </c>
      <c r="K548" t="s">
        <v>8</v>
      </c>
    </row>
    <row r="549" spans="7:11" x14ac:dyDescent="0.25">
      <c r="G549" t="s">
        <v>209</v>
      </c>
      <c r="H549" t="s">
        <v>206</v>
      </c>
      <c r="I549">
        <v>3.25</v>
      </c>
      <c r="J549">
        <v>1.36</v>
      </c>
      <c r="K549" t="s">
        <v>8</v>
      </c>
    </row>
    <row r="550" spans="7:11" x14ac:dyDescent="0.25">
      <c r="G550" t="s">
        <v>210</v>
      </c>
      <c r="H550" t="s">
        <v>211</v>
      </c>
      <c r="I550">
        <v>1.7</v>
      </c>
      <c r="J550">
        <v>2.2000000000000002</v>
      </c>
      <c r="K550" t="s">
        <v>8</v>
      </c>
    </row>
    <row r="551" spans="7:11" x14ac:dyDescent="0.25">
      <c r="G551" t="s">
        <v>210</v>
      </c>
      <c r="H551" t="s">
        <v>211</v>
      </c>
      <c r="I551">
        <v>1.67</v>
      </c>
      <c r="J551">
        <v>2.2999999999999998</v>
      </c>
      <c r="K551" t="s">
        <v>8</v>
      </c>
    </row>
    <row r="552" spans="7:11" x14ac:dyDescent="0.25">
      <c r="G552" t="s">
        <v>210</v>
      </c>
      <c r="H552" t="s">
        <v>211</v>
      </c>
      <c r="I552">
        <v>1.71</v>
      </c>
      <c r="J552">
        <v>2.16</v>
      </c>
      <c r="K552" t="s">
        <v>8</v>
      </c>
    </row>
    <row r="553" spans="7:11" x14ac:dyDescent="0.25">
      <c r="G553" t="s">
        <v>210</v>
      </c>
      <c r="H553" t="s">
        <v>211</v>
      </c>
      <c r="I553">
        <v>1.67</v>
      </c>
      <c r="J553">
        <v>2.23</v>
      </c>
      <c r="K553" t="s">
        <v>8</v>
      </c>
    </row>
    <row r="554" spans="7:11" x14ac:dyDescent="0.25">
      <c r="G554" t="s">
        <v>210</v>
      </c>
      <c r="H554" t="s">
        <v>211</v>
      </c>
      <c r="I554">
        <v>1.67</v>
      </c>
      <c r="J554">
        <v>2.2999999999999998</v>
      </c>
      <c r="K554" t="s">
        <v>8</v>
      </c>
    </row>
    <row r="555" spans="7:11" x14ac:dyDescent="0.25">
      <c r="G555" t="s">
        <v>210</v>
      </c>
      <c r="H555" t="s">
        <v>211</v>
      </c>
      <c r="I555">
        <v>1.65</v>
      </c>
      <c r="J555">
        <v>2.2999999999999998</v>
      </c>
      <c r="K555" t="s">
        <v>8</v>
      </c>
    </row>
    <row r="556" spans="7:11" x14ac:dyDescent="0.25">
      <c r="G556" t="s">
        <v>210</v>
      </c>
      <c r="H556" t="s">
        <v>211</v>
      </c>
      <c r="I556">
        <v>1.67</v>
      </c>
      <c r="J556">
        <v>2.2999999999999998</v>
      </c>
      <c r="K556" t="s">
        <v>8</v>
      </c>
    </row>
    <row r="557" spans="7:11" x14ac:dyDescent="0.25">
      <c r="G557" t="s">
        <v>210</v>
      </c>
      <c r="H557" t="s">
        <v>211</v>
      </c>
      <c r="I557">
        <v>1.67</v>
      </c>
      <c r="J557">
        <v>2.23</v>
      </c>
      <c r="K557" t="s">
        <v>8</v>
      </c>
    </row>
    <row r="558" spans="7:11" x14ac:dyDescent="0.25">
      <c r="G558" t="s">
        <v>210</v>
      </c>
      <c r="H558" t="s">
        <v>211</v>
      </c>
      <c r="I558">
        <v>1.67</v>
      </c>
      <c r="J558">
        <v>2.2999999999999998</v>
      </c>
      <c r="K558" t="s">
        <v>8</v>
      </c>
    </row>
    <row r="559" spans="7:11" x14ac:dyDescent="0.25">
      <c r="G559" t="s">
        <v>210</v>
      </c>
      <c r="H559" t="s">
        <v>211</v>
      </c>
      <c r="I559">
        <v>1.67</v>
      </c>
      <c r="J559">
        <v>2.2999999999999998</v>
      </c>
      <c r="K559" t="s">
        <v>8</v>
      </c>
    </row>
    <row r="560" spans="7:11" x14ac:dyDescent="0.25">
      <c r="G560" t="s">
        <v>210</v>
      </c>
      <c r="H560" t="s">
        <v>211</v>
      </c>
      <c r="I560">
        <v>1.69</v>
      </c>
      <c r="J560">
        <v>2.25</v>
      </c>
      <c r="K560" t="s">
        <v>8</v>
      </c>
    </row>
    <row r="561" spans="7:11" x14ac:dyDescent="0.25">
      <c r="G561" t="s">
        <v>210</v>
      </c>
      <c r="H561" t="s">
        <v>211</v>
      </c>
      <c r="I561">
        <v>1.69</v>
      </c>
      <c r="J561">
        <v>2.2000000000000002</v>
      </c>
      <c r="K561" t="s">
        <v>8</v>
      </c>
    </row>
    <row r="562" spans="7:11" x14ac:dyDescent="0.25">
      <c r="G562" t="s">
        <v>212</v>
      </c>
      <c r="H562" t="s">
        <v>211</v>
      </c>
      <c r="I562">
        <v>4.2</v>
      </c>
      <c r="J562">
        <v>1.24</v>
      </c>
      <c r="K562" t="s">
        <v>8</v>
      </c>
    </row>
    <row r="563" spans="7:11" x14ac:dyDescent="0.25">
      <c r="G563" t="s">
        <v>212</v>
      </c>
      <c r="H563" t="s">
        <v>211</v>
      </c>
      <c r="I563">
        <v>4.2</v>
      </c>
      <c r="J563">
        <v>1.25</v>
      </c>
      <c r="K563" t="s">
        <v>8</v>
      </c>
    </row>
    <row r="564" spans="7:11" x14ac:dyDescent="0.25">
      <c r="G564" t="s">
        <v>212</v>
      </c>
      <c r="H564" t="s">
        <v>211</v>
      </c>
      <c r="I564">
        <v>4.3</v>
      </c>
      <c r="J564">
        <v>1.23</v>
      </c>
      <c r="K564" t="s">
        <v>8</v>
      </c>
    </row>
    <row r="565" spans="7:11" x14ac:dyDescent="0.25">
      <c r="G565" t="s">
        <v>212</v>
      </c>
      <c r="H565" t="s">
        <v>211</v>
      </c>
      <c r="I565">
        <v>4.1500000000000004</v>
      </c>
      <c r="J565">
        <v>1.24</v>
      </c>
      <c r="K565" t="s">
        <v>8</v>
      </c>
    </row>
    <row r="566" spans="7:11" x14ac:dyDescent="0.25">
      <c r="G566" t="s">
        <v>212</v>
      </c>
      <c r="H566" t="s">
        <v>211</v>
      </c>
      <c r="I566">
        <v>4.2</v>
      </c>
      <c r="J566">
        <v>1.24</v>
      </c>
      <c r="K566" t="s">
        <v>8</v>
      </c>
    </row>
    <row r="567" spans="7:11" x14ac:dyDescent="0.25">
      <c r="G567" t="s">
        <v>212</v>
      </c>
      <c r="H567" t="s">
        <v>211</v>
      </c>
      <c r="I567">
        <v>4.1500000000000004</v>
      </c>
      <c r="J567">
        <v>1.24</v>
      </c>
      <c r="K567" t="s">
        <v>8</v>
      </c>
    </row>
    <row r="568" spans="7:11" x14ac:dyDescent="0.25">
      <c r="G568" t="s">
        <v>212</v>
      </c>
      <c r="H568" t="s">
        <v>211</v>
      </c>
      <c r="I568">
        <v>4.2</v>
      </c>
      <c r="J568">
        <v>1.25</v>
      </c>
      <c r="K568" t="s">
        <v>8</v>
      </c>
    </row>
    <row r="569" spans="7:11" x14ac:dyDescent="0.25">
      <c r="G569" t="s">
        <v>212</v>
      </c>
      <c r="H569" t="s">
        <v>211</v>
      </c>
      <c r="I569">
        <v>4.3</v>
      </c>
      <c r="J569">
        <v>1.23</v>
      </c>
      <c r="K569" t="s">
        <v>8</v>
      </c>
    </row>
    <row r="570" spans="7:11" x14ac:dyDescent="0.25">
      <c r="G570" t="s">
        <v>212</v>
      </c>
      <c r="H570" t="s">
        <v>211</v>
      </c>
      <c r="I570">
        <v>4.2</v>
      </c>
      <c r="J570">
        <v>1.25</v>
      </c>
      <c r="K570" t="s">
        <v>8</v>
      </c>
    </row>
    <row r="571" spans="7:11" x14ac:dyDescent="0.25">
      <c r="G571" t="s">
        <v>212</v>
      </c>
      <c r="H571" t="s">
        <v>211</v>
      </c>
      <c r="I571">
        <v>3.8</v>
      </c>
      <c r="J571">
        <v>1.28</v>
      </c>
      <c r="K571" t="s">
        <v>8</v>
      </c>
    </row>
    <row r="572" spans="7:11" x14ac:dyDescent="0.25">
      <c r="G572" t="s">
        <v>212</v>
      </c>
      <c r="H572" t="s">
        <v>211</v>
      </c>
      <c r="I572">
        <v>4</v>
      </c>
      <c r="J572">
        <v>1.25</v>
      </c>
      <c r="K572" t="s">
        <v>8</v>
      </c>
    </row>
    <row r="573" spans="7:11" x14ac:dyDescent="0.25">
      <c r="G573" t="s">
        <v>212</v>
      </c>
      <c r="H573" t="s">
        <v>211</v>
      </c>
      <c r="I573">
        <v>4.05</v>
      </c>
      <c r="J573">
        <v>1.25</v>
      </c>
      <c r="K573" t="s">
        <v>8</v>
      </c>
    </row>
    <row r="574" spans="7:11" x14ac:dyDescent="0.25">
      <c r="G574" t="s">
        <v>213</v>
      </c>
      <c r="H574" t="s">
        <v>214</v>
      </c>
      <c r="I574">
        <v>1.42</v>
      </c>
      <c r="J574">
        <v>2.95</v>
      </c>
      <c r="K574" t="s">
        <v>8</v>
      </c>
    </row>
    <row r="575" spans="7:11" x14ac:dyDescent="0.25">
      <c r="G575" t="s">
        <v>213</v>
      </c>
      <c r="H575" t="s">
        <v>214</v>
      </c>
      <c r="I575">
        <v>1.44</v>
      </c>
      <c r="J575">
        <v>2.95</v>
      </c>
      <c r="K575" t="s">
        <v>8</v>
      </c>
    </row>
    <row r="576" spans="7:11" x14ac:dyDescent="0.25">
      <c r="G576" t="s">
        <v>213</v>
      </c>
      <c r="H576" t="s">
        <v>214</v>
      </c>
      <c r="I576">
        <v>1.36</v>
      </c>
      <c r="J576">
        <v>3.2</v>
      </c>
      <c r="K576" t="s">
        <v>8</v>
      </c>
    </row>
    <row r="577" spans="7:11" x14ac:dyDescent="0.25">
      <c r="G577" t="s">
        <v>213</v>
      </c>
      <c r="H577" t="s">
        <v>214</v>
      </c>
      <c r="I577">
        <v>1.41</v>
      </c>
      <c r="J577">
        <v>3.05</v>
      </c>
      <c r="K577" t="s">
        <v>8</v>
      </c>
    </row>
    <row r="578" spans="7:11" x14ac:dyDescent="0.25">
      <c r="G578" t="s">
        <v>213</v>
      </c>
      <c r="H578" t="s">
        <v>214</v>
      </c>
      <c r="I578">
        <v>1.42</v>
      </c>
      <c r="J578">
        <v>2.96</v>
      </c>
      <c r="K578" t="s">
        <v>8</v>
      </c>
    </row>
    <row r="579" spans="7:11" x14ac:dyDescent="0.25">
      <c r="G579" t="s">
        <v>213</v>
      </c>
      <c r="H579" t="s">
        <v>214</v>
      </c>
      <c r="I579">
        <v>1.42</v>
      </c>
      <c r="J579">
        <v>2.95</v>
      </c>
      <c r="K579" t="s">
        <v>8</v>
      </c>
    </row>
    <row r="580" spans="7:11" x14ac:dyDescent="0.25">
      <c r="G580" t="s">
        <v>213</v>
      </c>
      <c r="H580" t="s">
        <v>214</v>
      </c>
      <c r="I580">
        <v>1.44</v>
      </c>
      <c r="J580">
        <v>2.95</v>
      </c>
      <c r="K580" t="s">
        <v>8</v>
      </c>
    </row>
    <row r="581" spans="7:11" x14ac:dyDescent="0.25">
      <c r="G581" t="s">
        <v>213</v>
      </c>
      <c r="H581" t="s">
        <v>214</v>
      </c>
      <c r="I581">
        <v>1.36</v>
      </c>
      <c r="J581">
        <v>3.2</v>
      </c>
      <c r="K581" t="s">
        <v>8</v>
      </c>
    </row>
    <row r="582" spans="7:11" x14ac:dyDescent="0.25">
      <c r="G582" t="s">
        <v>213</v>
      </c>
      <c r="H582" t="s">
        <v>214</v>
      </c>
      <c r="I582">
        <v>1.44</v>
      </c>
      <c r="J582">
        <v>2.85</v>
      </c>
      <c r="K582" t="s">
        <v>8</v>
      </c>
    </row>
    <row r="583" spans="7:11" x14ac:dyDescent="0.25">
      <c r="G583" t="s">
        <v>213</v>
      </c>
      <c r="H583" t="s">
        <v>214</v>
      </c>
      <c r="I583">
        <v>1.42</v>
      </c>
      <c r="J583">
        <v>2.9</v>
      </c>
      <c r="K583" t="s">
        <v>8</v>
      </c>
    </row>
    <row r="584" spans="7:11" x14ac:dyDescent="0.25">
      <c r="G584" t="s">
        <v>213</v>
      </c>
      <c r="H584" t="s">
        <v>214</v>
      </c>
      <c r="I584">
        <v>1.4</v>
      </c>
      <c r="J584">
        <v>3</v>
      </c>
      <c r="K584" t="s">
        <v>8</v>
      </c>
    </row>
    <row r="585" spans="7:11" x14ac:dyDescent="0.25">
      <c r="G585" t="s">
        <v>215</v>
      </c>
      <c r="H585" t="s">
        <v>216</v>
      </c>
      <c r="I585">
        <v>1.37</v>
      </c>
      <c r="J585">
        <v>3.15</v>
      </c>
      <c r="K585" t="s">
        <v>8</v>
      </c>
    </row>
    <row r="586" spans="7:11" x14ac:dyDescent="0.25">
      <c r="G586" t="s">
        <v>215</v>
      </c>
      <c r="H586" t="s">
        <v>216</v>
      </c>
      <c r="I586">
        <v>1.39</v>
      </c>
      <c r="J586">
        <v>3.15</v>
      </c>
      <c r="K586" t="s">
        <v>8</v>
      </c>
    </row>
    <row r="587" spans="7:11" x14ac:dyDescent="0.25">
      <c r="G587" t="s">
        <v>215</v>
      </c>
      <c r="H587" t="s">
        <v>216</v>
      </c>
      <c r="I587">
        <v>1.36</v>
      </c>
      <c r="J587">
        <v>3.25</v>
      </c>
      <c r="K587" t="s">
        <v>8</v>
      </c>
    </row>
    <row r="588" spans="7:11" x14ac:dyDescent="0.25">
      <c r="G588" t="s">
        <v>215</v>
      </c>
      <c r="H588" t="s">
        <v>216</v>
      </c>
      <c r="I588">
        <v>1.38</v>
      </c>
      <c r="J588">
        <v>3.1</v>
      </c>
      <c r="K588" t="s">
        <v>8</v>
      </c>
    </row>
    <row r="589" spans="7:11" x14ac:dyDescent="0.25">
      <c r="G589" t="s">
        <v>215</v>
      </c>
      <c r="H589" t="s">
        <v>216</v>
      </c>
      <c r="I589">
        <v>1.4</v>
      </c>
      <c r="J589">
        <v>3.1</v>
      </c>
      <c r="K589" t="s">
        <v>8</v>
      </c>
    </row>
    <row r="590" spans="7:11" x14ac:dyDescent="0.25">
      <c r="G590" t="s">
        <v>215</v>
      </c>
      <c r="H590" t="s">
        <v>216</v>
      </c>
      <c r="I590">
        <v>1.4</v>
      </c>
      <c r="J590">
        <v>3.05</v>
      </c>
      <c r="K590" t="s">
        <v>8</v>
      </c>
    </row>
    <row r="591" spans="7:11" x14ac:dyDescent="0.25">
      <c r="G591" t="s">
        <v>215</v>
      </c>
      <c r="H591" t="s">
        <v>216</v>
      </c>
      <c r="I591">
        <v>1.39</v>
      </c>
      <c r="J591">
        <v>3.15</v>
      </c>
      <c r="K591" t="s">
        <v>8</v>
      </c>
    </row>
    <row r="592" spans="7:11" x14ac:dyDescent="0.25">
      <c r="G592" t="s">
        <v>215</v>
      </c>
      <c r="H592" t="s">
        <v>216</v>
      </c>
      <c r="I592">
        <v>1.38</v>
      </c>
      <c r="J592">
        <v>3.1</v>
      </c>
      <c r="K592" t="s">
        <v>8</v>
      </c>
    </row>
    <row r="593" spans="7:11" x14ac:dyDescent="0.25">
      <c r="G593" t="s">
        <v>215</v>
      </c>
      <c r="H593" t="s">
        <v>216</v>
      </c>
      <c r="I593">
        <v>1.39</v>
      </c>
      <c r="J593">
        <v>3.08</v>
      </c>
      <c r="K593" t="s">
        <v>8</v>
      </c>
    </row>
    <row r="594" spans="7:11" x14ac:dyDescent="0.25">
      <c r="G594" t="s">
        <v>215</v>
      </c>
      <c r="H594" t="s">
        <v>216</v>
      </c>
      <c r="I594">
        <v>1.4</v>
      </c>
      <c r="J594">
        <v>3</v>
      </c>
      <c r="K594" t="s">
        <v>8</v>
      </c>
    </row>
    <row r="595" spans="7:11" x14ac:dyDescent="0.25">
      <c r="G595" t="s">
        <v>215</v>
      </c>
      <c r="H595" t="s">
        <v>216</v>
      </c>
      <c r="I595">
        <v>1.39</v>
      </c>
      <c r="J595">
        <v>3.05</v>
      </c>
      <c r="K595" t="s">
        <v>8</v>
      </c>
    </row>
    <row r="596" spans="7:11" x14ac:dyDescent="0.25">
      <c r="G596" t="s">
        <v>217</v>
      </c>
      <c r="H596" t="s">
        <v>218</v>
      </c>
      <c r="I596">
        <v>1.6</v>
      </c>
      <c r="J596">
        <v>2.4</v>
      </c>
      <c r="K596" t="s">
        <v>8</v>
      </c>
    </row>
    <row r="597" spans="7:11" x14ac:dyDescent="0.25">
      <c r="G597" t="s">
        <v>217</v>
      </c>
      <c r="H597" t="s">
        <v>218</v>
      </c>
      <c r="I597">
        <v>1.65</v>
      </c>
      <c r="J597">
        <v>2.35</v>
      </c>
      <c r="K597" t="s">
        <v>8</v>
      </c>
    </row>
    <row r="598" spans="7:11" x14ac:dyDescent="0.25">
      <c r="G598" t="s">
        <v>217</v>
      </c>
      <c r="H598" t="s">
        <v>218</v>
      </c>
      <c r="I598">
        <v>1.56</v>
      </c>
      <c r="J598">
        <v>2.4500000000000002</v>
      </c>
      <c r="K598" t="s">
        <v>8</v>
      </c>
    </row>
    <row r="599" spans="7:11" x14ac:dyDescent="0.25">
      <c r="G599" t="s">
        <v>217</v>
      </c>
      <c r="H599" t="s">
        <v>218</v>
      </c>
      <c r="I599">
        <v>1.62</v>
      </c>
      <c r="J599">
        <v>2.35</v>
      </c>
      <c r="K599" t="s">
        <v>8</v>
      </c>
    </row>
    <row r="600" spans="7:11" x14ac:dyDescent="0.25">
      <c r="G600" t="s">
        <v>217</v>
      </c>
      <c r="H600" t="s">
        <v>218</v>
      </c>
      <c r="I600">
        <v>1.62</v>
      </c>
      <c r="J600">
        <v>2.35</v>
      </c>
      <c r="K600" t="s">
        <v>8</v>
      </c>
    </row>
    <row r="601" spans="7:11" x14ac:dyDescent="0.25">
      <c r="G601" t="s">
        <v>217</v>
      </c>
      <c r="H601" t="s">
        <v>218</v>
      </c>
      <c r="I601">
        <v>1.59</v>
      </c>
      <c r="J601">
        <v>2.4</v>
      </c>
      <c r="K601" t="s">
        <v>8</v>
      </c>
    </row>
    <row r="602" spans="7:11" x14ac:dyDescent="0.25">
      <c r="G602" t="s">
        <v>217</v>
      </c>
      <c r="H602" t="s">
        <v>218</v>
      </c>
      <c r="I602">
        <v>1.64</v>
      </c>
      <c r="J602">
        <v>2.35</v>
      </c>
      <c r="K602" t="s">
        <v>8</v>
      </c>
    </row>
    <row r="603" spans="7:11" x14ac:dyDescent="0.25">
      <c r="G603" t="s">
        <v>217</v>
      </c>
      <c r="H603" t="s">
        <v>218</v>
      </c>
      <c r="I603">
        <v>1.56</v>
      </c>
      <c r="J603">
        <v>2.4500000000000002</v>
      </c>
      <c r="K603" t="s">
        <v>8</v>
      </c>
    </row>
    <row r="604" spans="7:11" x14ac:dyDescent="0.25">
      <c r="G604" t="s">
        <v>217</v>
      </c>
      <c r="H604" t="s">
        <v>218</v>
      </c>
      <c r="I604">
        <v>1.65</v>
      </c>
      <c r="J604">
        <v>2.35</v>
      </c>
      <c r="K604" t="s">
        <v>8</v>
      </c>
    </row>
    <row r="605" spans="7:11" x14ac:dyDescent="0.25">
      <c r="G605" t="s">
        <v>217</v>
      </c>
      <c r="H605" t="s">
        <v>218</v>
      </c>
      <c r="I605">
        <v>1.65</v>
      </c>
      <c r="J605">
        <v>2.35</v>
      </c>
      <c r="K605" t="s">
        <v>8</v>
      </c>
    </row>
    <row r="606" spans="7:11" x14ac:dyDescent="0.25">
      <c r="G606" t="s">
        <v>217</v>
      </c>
      <c r="H606" t="s">
        <v>218</v>
      </c>
      <c r="I606">
        <v>1.62</v>
      </c>
      <c r="J606">
        <v>2.35</v>
      </c>
      <c r="K606" t="s">
        <v>8</v>
      </c>
    </row>
    <row r="607" spans="7:11" x14ac:dyDescent="0.25">
      <c r="G607" t="s">
        <v>219</v>
      </c>
      <c r="H607" t="s">
        <v>220</v>
      </c>
      <c r="I607">
        <v>1.74</v>
      </c>
      <c r="J607">
        <v>2.14</v>
      </c>
      <c r="K607" t="s">
        <v>8</v>
      </c>
    </row>
    <row r="608" spans="7:11" x14ac:dyDescent="0.25">
      <c r="G608" t="s">
        <v>219</v>
      </c>
      <c r="H608" t="s">
        <v>220</v>
      </c>
      <c r="I608">
        <v>1.77</v>
      </c>
      <c r="J608">
        <v>2.1</v>
      </c>
      <c r="K608" t="s">
        <v>8</v>
      </c>
    </row>
    <row r="609" spans="7:11" x14ac:dyDescent="0.25">
      <c r="G609" t="s">
        <v>219</v>
      </c>
      <c r="H609" t="s">
        <v>220</v>
      </c>
      <c r="I609">
        <v>1.77</v>
      </c>
      <c r="J609">
        <v>2.1</v>
      </c>
      <c r="K609" t="s">
        <v>8</v>
      </c>
    </row>
    <row r="610" spans="7:11" x14ac:dyDescent="0.25">
      <c r="G610" t="s">
        <v>219</v>
      </c>
      <c r="H610" t="s">
        <v>220</v>
      </c>
      <c r="I610">
        <v>1.77</v>
      </c>
      <c r="J610">
        <v>2.08</v>
      </c>
      <c r="K610" t="s">
        <v>8</v>
      </c>
    </row>
    <row r="611" spans="7:11" x14ac:dyDescent="0.25">
      <c r="G611" t="s">
        <v>219</v>
      </c>
      <c r="H611" t="s">
        <v>220</v>
      </c>
      <c r="I611">
        <v>1.73</v>
      </c>
      <c r="J611">
        <v>2.12</v>
      </c>
      <c r="K611" t="s">
        <v>8</v>
      </c>
    </row>
    <row r="612" spans="7:11" x14ac:dyDescent="0.25">
      <c r="G612" t="s">
        <v>219</v>
      </c>
      <c r="H612" t="s">
        <v>220</v>
      </c>
      <c r="I612">
        <v>1.74</v>
      </c>
      <c r="J612">
        <v>2.15</v>
      </c>
      <c r="K612" t="s">
        <v>8</v>
      </c>
    </row>
    <row r="613" spans="7:11" x14ac:dyDescent="0.25">
      <c r="G613" t="s">
        <v>219</v>
      </c>
      <c r="H613" t="s">
        <v>220</v>
      </c>
      <c r="I613">
        <v>1.73</v>
      </c>
      <c r="J613">
        <v>2.12</v>
      </c>
      <c r="K613" t="s">
        <v>8</v>
      </c>
    </row>
    <row r="614" spans="7:11" x14ac:dyDescent="0.25">
      <c r="G614" t="s">
        <v>219</v>
      </c>
      <c r="H614" t="s">
        <v>220</v>
      </c>
      <c r="I614">
        <v>1.77</v>
      </c>
      <c r="J614">
        <v>2.1</v>
      </c>
      <c r="K614" t="s">
        <v>8</v>
      </c>
    </row>
    <row r="615" spans="7:11" x14ac:dyDescent="0.25">
      <c r="G615" t="s">
        <v>219</v>
      </c>
      <c r="H615" t="s">
        <v>220</v>
      </c>
      <c r="I615">
        <v>1.74</v>
      </c>
      <c r="J615">
        <v>2.15</v>
      </c>
      <c r="K615" t="s">
        <v>8</v>
      </c>
    </row>
    <row r="616" spans="7:11" x14ac:dyDescent="0.25">
      <c r="G616" t="s">
        <v>219</v>
      </c>
      <c r="H616" t="s">
        <v>220</v>
      </c>
      <c r="I616">
        <v>1.74</v>
      </c>
      <c r="J616">
        <v>2.15</v>
      </c>
      <c r="K616" t="s">
        <v>8</v>
      </c>
    </row>
    <row r="617" spans="7:11" x14ac:dyDescent="0.25">
      <c r="G617" t="s">
        <v>219</v>
      </c>
      <c r="H617" t="s">
        <v>220</v>
      </c>
      <c r="I617">
        <v>1.74</v>
      </c>
      <c r="J617">
        <v>2.15</v>
      </c>
      <c r="K617" t="s">
        <v>8</v>
      </c>
    </row>
    <row r="618" spans="7:11" x14ac:dyDescent="0.25">
      <c r="G618" t="s">
        <v>221</v>
      </c>
      <c r="H618" t="s">
        <v>220</v>
      </c>
      <c r="I618">
        <v>1.77</v>
      </c>
      <c r="J618">
        <v>2.1</v>
      </c>
      <c r="K618" t="s">
        <v>8</v>
      </c>
    </row>
    <row r="619" spans="7:11" x14ac:dyDescent="0.25">
      <c r="G619" t="s">
        <v>221</v>
      </c>
      <c r="H619" t="s">
        <v>220</v>
      </c>
      <c r="I619">
        <v>1.82</v>
      </c>
      <c r="J619">
        <v>2.02</v>
      </c>
      <c r="K619" t="s">
        <v>8</v>
      </c>
    </row>
    <row r="620" spans="7:11" x14ac:dyDescent="0.25">
      <c r="G620" t="s">
        <v>221</v>
      </c>
      <c r="H620" t="s">
        <v>220</v>
      </c>
      <c r="I620">
        <v>1.8</v>
      </c>
      <c r="J620">
        <v>2.0499999999999998</v>
      </c>
      <c r="K620" t="s">
        <v>8</v>
      </c>
    </row>
    <row r="621" spans="7:11" x14ac:dyDescent="0.25">
      <c r="G621" t="s">
        <v>221</v>
      </c>
      <c r="H621" t="s">
        <v>220</v>
      </c>
      <c r="I621">
        <v>1.85</v>
      </c>
      <c r="J621">
        <v>1.97</v>
      </c>
      <c r="K621" t="s">
        <v>8</v>
      </c>
    </row>
    <row r="622" spans="7:11" x14ac:dyDescent="0.25">
      <c r="G622" t="s">
        <v>221</v>
      </c>
      <c r="H622" t="s">
        <v>220</v>
      </c>
      <c r="I622">
        <v>1.83</v>
      </c>
      <c r="J622">
        <v>2</v>
      </c>
      <c r="K622" t="s">
        <v>8</v>
      </c>
    </row>
    <row r="623" spans="7:11" x14ac:dyDescent="0.25">
      <c r="G623" t="s">
        <v>221</v>
      </c>
      <c r="H623" t="s">
        <v>220</v>
      </c>
      <c r="I623">
        <v>1.8</v>
      </c>
      <c r="J623">
        <v>2.0499999999999998</v>
      </c>
      <c r="K623" t="s">
        <v>8</v>
      </c>
    </row>
    <row r="624" spans="7:11" x14ac:dyDescent="0.25">
      <c r="G624" t="s">
        <v>221</v>
      </c>
      <c r="H624" t="s">
        <v>220</v>
      </c>
      <c r="I624">
        <v>1.8</v>
      </c>
      <c r="J624">
        <v>2.0499999999999998</v>
      </c>
      <c r="K624" t="s">
        <v>8</v>
      </c>
    </row>
    <row r="625" spans="7:11" x14ac:dyDescent="0.25">
      <c r="G625" t="s">
        <v>221</v>
      </c>
      <c r="H625" t="s">
        <v>220</v>
      </c>
      <c r="I625">
        <v>1.85</v>
      </c>
      <c r="J625">
        <v>1.97</v>
      </c>
      <c r="K625" t="s">
        <v>8</v>
      </c>
    </row>
    <row r="626" spans="7:11" x14ac:dyDescent="0.25">
      <c r="G626" t="s">
        <v>221</v>
      </c>
      <c r="H626" t="s">
        <v>220</v>
      </c>
      <c r="I626">
        <v>1.8</v>
      </c>
      <c r="J626">
        <v>2.0499999999999998</v>
      </c>
      <c r="K626" t="s">
        <v>8</v>
      </c>
    </row>
    <row r="627" spans="7:11" x14ac:dyDescent="0.25">
      <c r="G627" t="s">
        <v>221</v>
      </c>
      <c r="H627" t="s">
        <v>220</v>
      </c>
      <c r="I627">
        <v>1.8</v>
      </c>
      <c r="J627">
        <v>2.0499999999999998</v>
      </c>
      <c r="K627" t="s">
        <v>8</v>
      </c>
    </row>
    <row r="628" spans="7:11" x14ac:dyDescent="0.25">
      <c r="G628" t="s">
        <v>221</v>
      </c>
      <c r="H628" t="s">
        <v>220</v>
      </c>
      <c r="I628">
        <v>1.8</v>
      </c>
      <c r="J628">
        <v>2.0499999999999998</v>
      </c>
      <c r="K628" t="s">
        <v>8</v>
      </c>
    </row>
    <row r="629" spans="7:11" x14ac:dyDescent="0.25">
      <c r="G629" t="s">
        <v>222</v>
      </c>
      <c r="H629" t="s">
        <v>220</v>
      </c>
      <c r="I629">
        <v>4.4000000000000004</v>
      </c>
      <c r="J629">
        <v>1.23</v>
      </c>
      <c r="K629" t="s">
        <v>8</v>
      </c>
    </row>
    <row r="630" spans="7:11" x14ac:dyDescent="0.25">
      <c r="G630" t="s">
        <v>222</v>
      </c>
      <c r="H630" t="s">
        <v>220</v>
      </c>
      <c r="I630">
        <v>4.4000000000000004</v>
      </c>
      <c r="J630">
        <v>1.22</v>
      </c>
      <c r="K630" t="s">
        <v>8</v>
      </c>
    </row>
    <row r="631" spans="7:11" x14ac:dyDescent="0.25">
      <c r="G631" t="s">
        <v>222</v>
      </c>
      <c r="H631" t="s">
        <v>220</v>
      </c>
      <c r="I631">
        <v>4.5</v>
      </c>
      <c r="J631">
        <v>1.23</v>
      </c>
      <c r="K631" t="s">
        <v>8</v>
      </c>
    </row>
    <row r="632" spans="7:11" x14ac:dyDescent="0.25">
      <c r="G632" t="s">
        <v>222</v>
      </c>
      <c r="H632" t="s">
        <v>220</v>
      </c>
      <c r="I632">
        <v>4.2</v>
      </c>
      <c r="J632">
        <v>1.24</v>
      </c>
      <c r="K632" t="s">
        <v>8</v>
      </c>
    </row>
    <row r="633" spans="7:11" x14ac:dyDescent="0.25">
      <c r="G633" t="s">
        <v>222</v>
      </c>
      <c r="H633" t="s">
        <v>220</v>
      </c>
      <c r="I633">
        <v>4.5</v>
      </c>
      <c r="J633">
        <v>1.21</v>
      </c>
      <c r="K633" t="s">
        <v>8</v>
      </c>
    </row>
    <row r="634" spans="7:11" x14ac:dyDescent="0.25">
      <c r="G634" t="s">
        <v>222</v>
      </c>
      <c r="H634" t="s">
        <v>220</v>
      </c>
      <c r="I634">
        <v>4.3499999999999996</v>
      </c>
      <c r="J634">
        <v>1.23</v>
      </c>
      <c r="K634" t="s">
        <v>8</v>
      </c>
    </row>
    <row r="635" spans="7:11" x14ac:dyDescent="0.25">
      <c r="G635" t="s">
        <v>222</v>
      </c>
      <c r="H635" t="s">
        <v>220</v>
      </c>
      <c r="I635">
        <v>4.5</v>
      </c>
      <c r="J635">
        <v>1.23</v>
      </c>
      <c r="K635" t="s">
        <v>8</v>
      </c>
    </row>
    <row r="636" spans="7:11" x14ac:dyDescent="0.25">
      <c r="G636" t="s">
        <v>222</v>
      </c>
      <c r="H636" t="s">
        <v>220</v>
      </c>
      <c r="I636">
        <v>4.2</v>
      </c>
      <c r="J636">
        <v>1.24</v>
      </c>
      <c r="K636" t="s">
        <v>8</v>
      </c>
    </row>
    <row r="637" spans="7:11" x14ac:dyDescent="0.25">
      <c r="G637" t="s">
        <v>222</v>
      </c>
      <c r="H637" t="s">
        <v>220</v>
      </c>
      <c r="I637">
        <v>4.3499999999999996</v>
      </c>
      <c r="J637">
        <v>1.23</v>
      </c>
      <c r="K637" t="s">
        <v>8</v>
      </c>
    </row>
    <row r="638" spans="7:11" x14ac:dyDescent="0.25">
      <c r="G638" t="s">
        <v>222</v>
      </c>
      <c r="H638" t="s">
        <v>220</v>
      </c>
      <c r="I638">
        <v>4.25</v>
      </c>
      <c r="J638">
        <v>1.24</v>
      </c>
      <c r="K638" t="s">
        <v>8</v>
      </c>
    </row>
    <row r="639" spans="7:11" x14ac:dyDescent="0.25">
      <c r="G639" t="s">
        <v>222</v>
      </c>
      <c r="H639" t="s">
        <v>220</v>
      </c>
      <c r="I639">
        <v>4.3499999999999996</v>
      </c>
      <c r="J639">
        <v>1.22</v>
      </c>
      <c r="K639" t="s">
        <v>8</v>
      </c>
    </row>
    <row r="640" spans="7:11" x14ac:dyDescent="0.25">
      <c r="G640" t="s">
        <v>223</v>
      </c>
      <c r="H640" t="s">
        <v>220</v>
      </c>
      <c r="I640">
        <v>2.6</v>
      </c>
      <c r="J640">
        <v>1.52</v>
      </c>
      <c r="K640" t="s">
        <v>8</v>
      </c>
    </row>
    <row r="641" spans="7:11" x14ac:dyDescent="0.25">
      <c r="G641" t="s">
        <v>223</v>
      </c>
      <c r="H641" t="s">
        <v>220</v>
      </c>
      <c r="I641">
        <v>2.7</v>
      </c>
      <c r="J641">
        <v>1.51</v>
      </c>
      <c r="K641" t="s">
        <v>8</v>
      </c>
    </row>
    <row r="642" spans="7:11" x14ac:dyDescent="0.25">
      <c r="G642" t="s">
        <v>223</v>
      </c>
      <c r="H642" t="s">
        <v>220</v>
      </c>
      <c r="I642">
        <v>2.68</v>
      </c>
      <c r="J642">
        <v>1.49</v>
      </c>
      <c r="K642" t="s">
        <v>8</v>
      </c>
    </row>
    <row r="643" spans="7:11" x14ac:dyDescent="0.25">
      <c r="G643" t="s">
        <v>223</v>
      </c>
      <c r="H643" t="s">
        <v>220</v>
      </c>
      <c r="I643">
        <v>2.7</v>
      </c>
      <c r="J643">
        <v>1.48</v>
      </c>
      <c r="K643" t="s">
        <v>8</v>
      </c>
    </row>
    <row r="644" spans="7:11" x14ac:dyDescent="0.25">
      <c r="G644" t="s">
        <v>223</v>
      </c>
      <c r="H644" t="s">
        <v>220</v>
      </c>
      <c r="I644">
        <v>2.75</v>
      </c>
      <c r="J644">
        <v>1.48</v>
      </c>
      <c r="K644" t="s">
        <v>8</v>
      </c>
    </row>
    <row r="645" spans="7:11" x14ac:dyDescent="0.25">
      <c r="G645" t="s">
        <v>223</v>
      </c>
      <c r="H645" t="s">
        <v>220</v>
      </c>
      <c r="I645">
        <v>2.7</v>
      </c>
      <c r="J645">
        <v>1.49</v>
      </c>
      <c r="K645" t="s">
        <v>8</v>
      </c>
    </row>
    <row r="646" spans="7:11" x14ac:dyDescent="0.25">
      <c r="G646" t="s">
        <v>223</v>
      </c>
      <c r="H646" t="s">
        <v>220</v>
      </c>
      <c r="I646">
        <v>2.7</v>
      </c>
      <c r="J646">
        <v>1.51</v>
      </c>
      <c r="K646" t="s">
        <v>8</v>
      </c>
    </row>
    <row r="647" spans="7:11" x14ac:dyDescent="0.25">
      <c r="G647" t="s">
        <v>223</v>
      </c>
      <c r="H647" t="s">
        <v>220</v>
      </c>
      <c r="I647">
        <v>2.7</v>
      </c>
      <c r="J647">
        <v>1.48</v>
      </c>
      <c r="K647" t="s">
        <v>8</v>
      </c>
    </row>
    <row r="648" spans="7:11" x14ac:dyDescent="0.25">
      <c r="G648" t="s">
        <v>223</v>
      </c>
      <c r="H648" t="s">
        <v>220</v>
      </c>
      <c r="I648">
        <v>2.65</v>
      </c>
      <c r="J648">
        <v>1.51</v>
      </c>
      <c r="K648" t="s">
        <v>8</v>
      </c>
    </row>
    <row r="649" spans="7:11" x14ac:dyDescent="0.25">
      <c r="G649" t="s">
        <v>223</v>
      </c>
      <c r="H649" t="s">
        <v>220</v>
      </c>
      <c r="I649">
        <v>2.6</v>
      </c>
      <c r="J649">
        <v>1.53</v>
      </c>
      <c r="K649" t="s">
        <v>8</v>
      </c>
    </row>
    <row r="650" spans="7:11" x14ac:dyDescent="0.25">
      <c r="G650" t="s">
        <v>223</v>
      </c>
      <c r="H650" t="s">
        <v>220</v>
      </c>
      <c r="I650">
        <v>2.7</v>
      </c>
      <c r="J650">
        <v>1.49</v>
      </c>
      <c r="K650" t="s">
        <v>8</v>
      </c>
    </row>
    <row r="651" spans="7:11" x14ac:dyDescent="0.25">
      <c r="G651" t="s">
        <v>224</v>
      </c>
      <c r="H651" t="s">
        <v>220</v>
      </c>
      <c r="I651">
        <v>1.02</v>
      </c>
      <c r="J651">
        <v>19</v>
      </c>
      <c r="K651" t="s">
        <v>8</v>
      </c>
    </row>
    <row r="652" spans="7:11" x14ac:dyDescent="0.25">
      <c r="G652" t="s">
        <v>224</v>
      </c>
      <c r="H652" t="s">
        <v>220</v>
      </c>
      <c r="I652">
        <v>1.01</v>
      </c>
      <c r="J652">
        <v>17</v>
      </c>
      <c r="K652" t="s">
        <v>8</v>
      </c>
    </row>
    <row r="653" spans="7:11" x14ac:dyDescent="0.25">
      <c r="G653" t="s">
        <v>224</v>
      </c>
      <c r="H653" t="s">
        <v>220</v>
      </c>
      <c r="I653">
        <v>1</v>
      </c>
      <c r="J653">
        <v>26</v>
      </c>
      <c r="K653" t="s">
        <v>8</v>
      </c>
    </row>
    <row r="654" spans="7:11" x14ac:dyDescent="0.25">
      <c r="G654" t="s">
        <v>224</v>
      </c>
      <c r="H654" t="s">
        <v>220</v>
      </c>
      <c r="I654">
        <v>1.01</v>
      </c>
      <c r="J654">
        <v>21</v>
      </c>
      <c r="K654" t="s">
        <v>8</v>
      </c>
    </row>
    <row r="655" spans="7:11" x14ac:dyDescent="0.25">
      <c r="G655" t="s">
        <v>225</v>
      </c>
      <c r="H655" t="s">
        <v>226</v>
      </c>
      <c r="I655">
        <v>3.4</v>
      </c>
      <c r="J655">
        <v>1.34</v>
      </c>
      <c r="K655" t="s">
        <v>8</v>
      </c>
    </row>
    <row r="656" spans="7:11" x14ac:dyDescent="0.25">
      <c r="G656" t="s">
        <v>225</v>
      </c>
      <c r="H656" t="s">
        <v>226</v>
      </c>
      <c r="I656">
        <v>3.4</v>
      </c>
      <c r="J656">
        <v>1.33</v>
      </c>
      <c r="K656" t="s">
        <v>8</v>
      </c>
    </row>
    <row r="657" spans="7:11" x14ac:dyDescent="0.25">
      <c r="G657" t="s">
        <v>225</v>
      </c>
      <c r="H657" t="s">
        <v>226</v>
      </c>
      <c r="I657">
        <v>3.45</v>
      </c>
      <c r="J657">
        <v>1.34</v>
      </c>
      <c r="K657" t="s">
        <v>8</v>
      </c>
    </row>
    <row r="658" spans="7:11" x14ac:dyDescent="0.25">
      <c r="G658" t="s">
        <v>225</v>
      </c>
      <c r="H658" t="s">
        <v>226</v>
      </c>
      <c r="I658">
        <v>3.6</v>
      </c>
      <c r="J658">
        <v>1.3</v>
      </c>
      <c r="K658" t="s">
        <v>8</v>
      </c>
    </row>
    <row r="659" spans="7:11" x14ac:dyDescent="0.25">
      <c r="G659" t="s">
        <v>225</v>
      </c>
      <c r="H659" t="s">
        <v>226</v>
      </c>
      <c r="I659">
        <v>3.6</v>
      </c>
      <c r="J659">
        <v>1.31</v>
      </c>
      <c r="K659" t="s">
        <v>8</v>
      </c>
    </row>
    <row r="660" spans="7:11" x14ac:dyDescent="0.25">
      <c r="G660" t="s">
        <v>225</v>
      </c>
      <c r="H660" t="s">
        <v>226</v>
      </c>
      <c r="I660">
        <v>3.5</v>
      </c>
      <c r="J660">
        <v>1.31</v>
      </c>
      <c r="K660" t="s">
        <v>8</v>
      </c>
    </row>
    <row r="661" spans="7:11" x14ac:dyDescent="0.25">
      <c r="G661" t="s">
        <v>225</v>
      </c>
      <c r="H661" t="s">
        <v>226</v>
      </c>
      <c r="I661">
        <v>3.45</v>
      </c>
      <c r="J661">
        <v>1.34</v>
      </c>
      <c r="K661" t="s">
        <v>8</v>
      </c>
    </row>
    <row r="662" spans="7:11" x14ac:dyDescent="0.25">
      <c r="G662" t="s">
        <v>225</v>
      </c>
      <c r="H662" t="s">
        <v>226</v>
      </c>
      <c r="I662">
        <v>3.6</v>
      </c>
      <c r="J662">
        <v>1.3</v>
      </c>
      <c r="K662" t="s">
        <v>8</v>
      </c>
    </row>
    <row r="663" spans="7:11" x14ac:dyDescent="0.25">
      <c r="G663" t="s">
        <v>225</v>
      </c>
      <c r="H663" t="s">
        <v>226</v>
      </c>
      <c r="I663">
        <v>3.4</v>
      </c>
      <c r="J663">
        <v>1.34</v>
      </c>
      <c r="K663" t="s">
        <v>8</v>
      </c>
    </row>
    <row r="664" spans="7:11" x14ac:dyDescent="0.25">
      <c r="G664" t="s">
        <v>225</v>
      </c>
      <c r="H664" t="s">
        <v>226</v>
      </c>
      <c r="I664">
        <v>3.5</v>
      </c>
      <c r="J664">
        <v>1.32</v>
      </c>
      <c r="K664" t="s">
        <v>8</v>
      </c>
    </row>
    <row r="665" spans="7:11" x14ac:dyDescent="0.25">
      <c r="G665" t="s">
        <v>225</v>
      </c>
      <c r="H665" t="s">
        <v>226</v>
      </c>
      <c r="I665">
        <v>3.5</v>
      </c>
      <c r="J665">
        <v>1.32</v>
      </c>
      <c r="K665" t="s">
        <v>8</v>
      </c>
    </row>
    <row r="666" spans="7:11" x14ac:dyDescent="0.25">
      <c r="G666" t="s">
        <v>227</v>
      </c>
      <c r="H666" t="s">
        <v>226</v>
      </c>
      <c r="I666">
        <v>1.41</v>
      </c>
      <c r="J666">
        <v>3</v>
      </c>
      <c r="K666" t="s">
        <v>8</v>
      </c>
    </row>
    <row r="667" spans="7:11" x14ac:dyDescent="0.25">
      <c r="G667" t="s">
        <v>227</v>
      </c>
      <c r="H667" t="s">
        <v>226</v>
      </c>
      <c r="I667">
        <v>1.41</v>
      </c>
      <c r="J667">
        <v>3.05</v>
      </c>
      <c r="K667" t="s">
        <v>8</v>
      </c>
    </row>
    <row r="668" spans="7:11" x14ac:dyDescent="0.25">
      <c r="G668" t="s">
        <v>227</v>
      </c>
      <c r="H668" t="s">
        <v>226</v>
      </c>
      <c r="I668">
        <v>1.4</v>
      </c>
      <c r="J668">
        <v>3</v>
      </c>
      <c r="K668" t="s">
        <v>8</v>
      </c>
    </row>
    <row r="669" spans="7:11" x14ac:dyDescent="0.25">
      <c r="G669" t="s">
        <v>227</v>
      </c>
      <c r="H669" t="s">
        <v>226</v>
      </c>
      <c r="I669">
        <v>1.42</v>
      </c>
      <c r="J669">
        <v>3</v>
      </c>
      <c r="K669" t="s">
        <v>8</v>
      </c>
    </row>
    <row r="670" spans="7:11" x14ac:dyDescent="0.25">
      <c r="G670" t="s">
        <v>227</v>
      </c>
      <c r="H670" t="s">
        <v>226</v>
      </c>
      <c r="I670">
        <v>1.42</v>
      </c>
      <c r="J670">
        <v>2.95</v>
      </c>
      <c r="K670" t="s">
        <v>8</v>
      </c>
    </row>
    <row r="671" spans="7:11" x14ac:dyDescent="0.25">
      <c r="G671" t="s">
        <v>227</v>
      </c>
      <c r="H671" t="s">
        <v>226</v>
      </c>
      <c r="I671">
        <v>1.4</v>
      </c>
      <c r="J671">
        <v>3.05</v>
      </c>
      <c r="K671" t="s">
        <v>8</v>
      </c>
    </row>
    <row r="672" spans="7:11" x14ac:dyDescent="0.25">
      <c r="G672" t="s">
        <v>227</v>
      </c>
      <c r="H672" t="s">
        <v>226</v>
      </c>
      <c r="I672">
        <v>1.41</v>
      </c>
      <c r="J672">
        <v>3.05</v>
      </c>
      <c r="K672" t="s">
        <v>8</v>
      </c>
    </row>
    <row r="673" spans="7:11" x14ac:dyDescent="0.25">
      <c r="G673" t="s">
        <v>227</v>
      </c>
      <c r="H673" t="s">
        <v>226</v>
      </c>
      <c r="I673">
        <v>1.4</v>
      </c>
      <c r="J673">
        <v>3</v>
      </c>
      <c r="K673" t="s">
        <v>8</v>
      </c>
    </row>
    <row r="674" spans="7:11" x14ac:dyDescent="0.25">
      <c r="G674" t="s">
        <v>227</v>
      </c>
      <c r="H674" t="s">
        <v>226</v>
      </c>
      <c r="I674">
        <v>1.41</v>
      </c>
      <c r="J674">
        <v>3.03</v>
      </c>
      <c r="K674" t="s">
        <v>8</v>
      </c>
    </row>
    <row r="675" spans="7:11" x14ac:dyDescent="0.25">
      <c r="G675" t="s">
        <v>227</v>
      </c>
      <c r="H675" t="s">
        <v>226</v>
      </c>
      <c r="I675">
        <v>1.4</v>
      </c>
      <c r="J675">
        <v>3</v>
      </c>
      <c r="K675" t="s">
        <v>8</v>
      </c>
    </row>
    <row r="676" spans="7:11" x14ac:dyDescent="0.25">
      <c r="G676" t="s">
        <v>227</v>
      </c>
      <c r="H676" t="s">
        <v>226</v>
      </c>
      <c r="I676">
        <v>1.39</v>
      </c>
      <c r="J676">
        <v>3.05</v>
      </c>
      <c r="K676" t="s">
        <v>8</v>
      </c>
    </row>
    <row r="677" spans="7:11" x14ac:dyDescent="0.25">
      <c r="G677" t="s">
        <v>228</v>
      </c>
      <c r="H677" t="s">
        <v>226</v>
      </c>
      <c r="I677">
        <v>23</v>
      </c>
      <c r="J677">
        <v>1.01</v>
      </c>
      <c r="K677" t="s">
        <v>8</v>
      </c>
    </row>
    <row r="678" spans="7:11" x14ac:dyDescent="0.25">
      <c r="G678" t="s">
        <v>228</v>
      </c>
      <c r="H678" t="s">
        <v>226</v>
      </c>
      <c r="I678">
        <v>25</v>
      </c>
      <c r="J678">
        <v>1</v>
      </c>
      <c r="K678" t="s">
        <v>8</v>
      </c>
    </row>
    <row r="679" spans="7:11" x14ac:dyDescent="0.25">
      <c r="G679" t="s">
        <v>228</v>
      </c>
      <c r="H679" t="s">
        <v>226</v>
      </c>
      <c r="I679">
        <v>26</v>
      </c>
      <c r="J679">
        <v>1</v>
      </c>
      <c r="K679" t="s">
        <v>8</v>
      </c>
    </row>
    <row r="680" spans="7:11" x14ac:dyDescent="0.25">
      <c r="G680" t="s">
        <v>228</v>
      </c>
      <c r="H680" t="s">
        <v>226</v>
      </c>
      <c r="I680">
        <v>21</v>
      </c>
      <c r="J680">
        <v>1.01</v>
      </c>
      <c r="K680" t="s">
        <v>8</v>
      </c>
    </row>
    <row r="681" spans="7:11" x14ac:dyDescent="0.25">
      <c r="G681" t="s">
        <v>229</v>
      </c>
      <c r="H681" t="s">
        <v>230</v>
      </c>
      <c r="I681">
        <v>5.7</v>
      </c>
      <c r="J681">
        <v>1.1499999999999999</v>
      </c>
      <c r="K681" t="s">
        <v>8</v>
      </c>
    </row>
    <row r="682" spans="7:11" x14ac:dyDescent="0.25">
      <c r="G682" t="s">
        <v>229</v>
      </c>
      <c r="H682" t="s">
        <v>230</v>
      </c>
      <c r="I682">
        <v>5.65</v>
      </c>
      <c r="J682">
        <v>1.17</v>
      </c>
      <c r="K682" t="s">
        <v>8</v>
      </c>
    </row>
    <row r="683" spans="7:11" x14ac:dyDescent="0.25">
      <c r="G683" t="s">
        <v>229</v>
      </c>
      <c r="H683" t="s">
        <v>230</v>
      </c>
      <c r="I683">
        <v>5.75</v>
      </c>
      <c r="J683">
        <v>1.1399999999999999</v>
      </c>
      <c r="K683" t="s">
        <v>8</v>
      </c>
    </row>
    <row r="684" spans="7:11" x14ac:dyDescent="0.25">
      <c r="G684" t="s">
        <v>229</v>
      </c>
      <c r="H684" t="s">
        <v>230</v>
      </c>
      <c r="I684">
        <v>5.6</v>
      </c>
      <c r="J684">
        <v>1.1499999999999999</v>
      </c>
      <c r="K684" t="s">
        <v>8</v>
      </c>
    </row>
    <row r="685" spans="7:11" x14ac:dyDescent="0.25">
      <c r="G685" t="s">
        <v>229</v>
      </c>
      <c r="H685" t="s">
        <v>230</v>
      </c>
      <c r="I685">
        <v>5.6</v>
      </c>
      <c r="J685">
        <v>1.1499999999999999</v>
      </c>
      <c r="K685" t="s">
        <v>8</v>
      </c>
    </row>
    <row r="686" spans="7:11" x14ac:dyDescent="0.25">
      <c r="G686" t="s">
        <v>229</v>
      </c>
      <c r="H686" t="s">
        <v>230</v>
      </c>
      <c r="I686">
        <v>5.8</v>
      </c>
      <c r="J686">
        <v>1.1399999999999999</v>
      </c>
      <c r="K686" t="s">
        <v>8</v>
      </c>
    </row>
    <row r="687" spans="7:11" x14ac:dyDescent="0.25">
      <c r="G687" t="s">
        <v>229</v>
      </c>
      <c r="H687" t="s">
        <v>230</v>
      </c>
      <c r="I687">
        <v>5.65</v>
      </c>
      <c r="J687">
        <v>1.1599999999999999</v>
      </c>
      <c r="K687" t="s">
        <v>8</v>
      </c>
    </row>
    <row r="688" spans="7:11" x14ac:dyDescent="0.25">
      <c r="G688" t="s">
        <v>229</v>
      </c>
      <c r="H688" t="s">
        <v>230</v>
      </c>
      <c r="I688">
        <v>5.75</v>
      </c>
      <c r="J688">
        <v>1.1399999999999999</v>
      </c>
      <c r="K688" t="s">
        <v>8</v>
      </c>
    </row>
    <row r="689" spans="7:11" x14ac:dyDescent="0.25">
      <c r="G689" t="s">
        <v>229</v>
      </c>
      <c r="H689" t="s">
        <v>230</v>
      </c>
      <c r="I689">
        <v>5.55</v>
      </c>
      <c r="J689">
        <v>1.17</v>
      </c>
      <c r="K689" t="s">
        <v>8</v>
      </c>
    </row>
    <row r="690" spans="7:11" x14ac:dyDescent="0.25">
      <c r="G690" t="s">
        <v>229</v>
      </c>
      <c r="H690" t="s">
        <v>230</v>
      </c>
      <c r="I690">
        <v>5.5</v>
      </c>
      <c r="J690">
        <v>1.1499999999999999</v>
      </c>
      <c r="K690" t="s">
        <v>8</v>
      </c>
    </row>
    <row r="691" spans="7:11" x14ac:dyDescent="0.25">
      <c r="G691" t="s">
        <v>229</v>
      </c>
      <c r="H691" t="s">
        <v>230</v>
      </c>
      <c r="I691">
        <v>5.55</v>
      </c>
      <c r="J691">
        <v>1.1499999999999999</v>
      </c>
      <c r="K691" t="s">
        <v>8</v>
      </c>
    </row>
    <row r="692" spans="7:11" x14ac:dyDescent="0.25">
      <c r="G692" t="s">
        <v>231</v>
      </c>
      <c r="H692" t="s">
        <v>230</v>
      </c>
      <c r="I692">
        <v>1.05</v>
      </c>
      <c r="J692">
        <v>12</v>
      </c>
      <c r="K692" t="s">
        <v>8</v>
      </c>
    </row>
    <row r="693" spans="7:11" x14ac:dyDescent="0.25">
      <c r="G693" t="s">
        <v>231</v>
      </c>
      <c r="H693" t="s">
        <v>230</v>
      </c>
      <c r="I693">
        <v>1.03</v>
      </c>
      <c r="J693">
        <v>12.5</v>
      </c>
      <c r="K693" t="s">
        <v>8</v>
      </c>
    </row>
    <row r="694" spans="7:11" x14ac:dyDescent="0.25">
      <c r="G694" t="s">
        <v>231</v>
      </c>
      <c r="H694" t="s">
        <v>230</v>
      </c>
      <c r="I694">
        <v>1.04</v>
      </c>
      <c r="J694">
        <v>11</v>
      </c>
      <c r="K694" t="s">
        <v>8</v>
      </c>
    </row>
    <row r="695" spans="7:11" x14ac:dyDescent="0.25">
      <c r="G695" t="s">
        <v>231</v>
      </c>
      <c r="H695" t="s">
        <v>230</v>
      </c>
      <c r="I695">
        <v>1.04</v>
      </c>
      <c r="J695">
        <v>12.5</v>
      </c>
      <c r="K695" t="s">
        <v>8</v>
      </c>
    </row>
    <row r="696" spans="7:11" x14ac:dyDescent="0.25">
      <c r="G696" t="s">
        <v>231</v>
      </c>
      <c r="H696" t="s">
        <v>230</v>
      </c>
      <c r="I696">
        <v>1.03</v>
      </c>
      <c r="J696">
        <v>13</v>
      </c>
      <c r="K696" t="s">
        <v>8</v>
      </c>
    </row>
    <row r="697" spans="7:11" x14ac:dyDescent="0.25">
      <c r="G697" t="s">
        <v>231</v>
      </c>
      <c r="H697" t="s">
        <v>230</v>
      </c>
      <c r="I697">
        <v>1.03</v>
      </c>
      <c r="J697">
        <v>12.5</v>
      </c>
      <c r="K697" t="s">
        <v>8</v>
      </c>
    </row>
    <row r="698" spans="7:11" x14ac:dyDescent="0.25">
      <c r="G698" t="s">
        <v>231</v>
      </c>
      <c r="H698" t="s">
        <v>230</v>
      </c>
      <c r="I698">
        <v>1.04</v>
      </c>
      <c r="J698">
        <v>12</v>
      </c>
      <c r="K698" t="s">
        <v>8</v>
      </c>
    </row>
    <row r="699" spans="7:11" x14ac:dyDescent="0.25">
      <c r="G699" t="s">
        <v>231</v>
      </c>
      <c r="H699" t="s">
        <v>230</v>
      </c>
      <c r="I699">
        <v>1.04</v>
      </c>
      <c r="J699">
        <v>12.25</v>
      </c>
      <c r="K699" t="s">
        <v>8</v>
      </c>
    </row>
    <row r="700" spans="7:11" x14ac:dyDescent="0.25">
      <c r="G700" t="s">
        <v>232</v>
      </c>
      <c r="H700" t="s">
        <v>233</v>
      </c>
      <c r="I700">
        <v>5.25</v>
      </c>
      <c r="J700">
        <v>1.17</v>
      </c>
      <c r="K700" t="s">
        <v>8</v>
      </c>
    </row>
    <row r="701" spans="7:11" x14ac:dyDescent="0.25">
      <c r="G701" t="s">
        <v>232</v>
      </c>
      <c r="H701" t="s">
        <v>233</v>
      </c>
      <c r="I701">
        <v>5.25</v>
      </c>
      <c r="J701">
        <v>1.17</v>
      </c>
      <c r="K701" t="s">
        <v>8</v>
      </c>
    </row>
    <row r="702" spans="7:11" x14ac:dyDescent="0.25">
      <c r="G702" t="s">
        <v>232</v>
      </c>
      <c r="H702" t="s">
        <v>233</v>
      </c>
      <c r="I702">
        <v>5.6</v>
      </c>
      <c r="J702">
        <v>1.1499999999999999</v>
      </c>
      <c r="K702" t="s">
        <v>8</v>
      </c>
    </row>
    <row r="703" spans="7:11" x14ac:dyDescent="0.25">
      <c r="G703" t="s">
        <v>234</v>
      </c>
      <c r="H703" t="s">
        <v>235</v>
      </c>
      <c r="I703">
        <v>1.1599999999999999</v>
      </c>
      <c r="J703">
        <v>4.4000000000000004</v>
      </c>
      <c r="K703" t="s">
        <v>8</v>
      </c>
    </row>
    <row r="704" spans="7:11" x14ac:dyDescent="0.25">
      <c r="G704" t="s">
        <v>234</v>
      </c>
      <c r="H704" t="s">
        <v>235</v>
      </c>
      <c r="I704">
        <v>1.1599999999999999</v>
      </c>
      <c r="J704">
        <v>4.4000000000000004</v>
      </c>
      <c r="K704" t="s">
        <v>8</v>
      </c>
    </row>
    <row r="705" spans="7:11" x14ac:dyDescent="0.25">
      <c r="G705" t="s">
        <v>234</v>
      </c>
      <c r="H705" t="s">
        <v>235</v>
      </c>
      <c r="I705">
        <v>1.19</v>
      </c>
      <c r="J705">
        <v>4.9000000000000004</v>
      </c>
      <c r="K705" t="s">
        <v>8</v>
      </c>
    </row>
    <row r="706" spans="7:11" x14ac:dyDescent="0.25">
      <c r="G706" t="s">
        <v>40</v>
      </c>
      <c r="H706" t="s">
        <v>41</v>
      </c>
      <c r="I706">
        <v>1.43</v>
      </c>
      <c r="J706">
        <v>2.85</v>
      </c>
      <c r="K706" t="s">
        <v>8</v>
      </c>
    </row>
    <row r="707" spans="7:11" x14ac:dyDescent="0.25">
      <c r="G707" t="s">
        <v>40</v>
      </c>
      <c r="H707" t="s">
        <v>41</v>
      </c>
      <c r="I707">
        <v>1.47</v>
      </c>
      <c r="J707">
        <v>2.76</v>
      </c>
      <c r="K707" t="s">
        <v>8</v>
      </c>
    </row>
    <row r="708" spans="7:11" x14ac:dyDescent="0.25">
      <c r="G708" t="s">
        <v>40</v>
      </c>
      <c r="H708" t="s">
        <v>41</v>
      </c>
      <c r="I708">
        <v>1.43</v>
      </c>
      <c r="J708">
        <v>2.85</v>
      </c>
      <c r="K708" t="s">
        <v>8</v>
      </c>
    </row>
    <row r="709" spans="7:11" x14ac:dyDescent="0.25">
      <c r="G709" t="s">
        <v>40</v>
      </c>
      <c r="H709" t="s">
        <v>41</v>
      </c>
      <c r="I709">
        <v>1.43</v>
      </c>
      <c r="J709">
        <v>2.92</v>
      </c>
      <c r="K709" t="s">
        <v>8</v>
      </c>
    </row>
    <row r="710" spans="7:11" x14ac:dyDescent="0.25">
      <c r="G710" t="s">
        <v>236</v>
      </c>
      <c r="H710" t="s">
        <v>41</v>
      </c>
      <c r="I710">
        <v>1.28</v>
      </c>
      <c r="J710">
        <v>3.75</v>
      </c>
      <c r="K710" t="s">
        <v>8</v>
      </c>
    </row>
    <row r="711" spans="7:11" x14ac:dyDescent="0.25">
      <c r="G711" t="s">
        <v>236</v>
      </c>
      <c r="H711" t="s">
        <v>41</v>
      </c>
      <c r="I711">
        <v>1.28</v>
      </c>
      <c r="J711">
        <v>3.75</v>
      </c>
      <c r="K711" t="s">
        <v>8</v>
      </c>
    </row>
    <row r="712" spans="7:11" x14ac:dyDescent="0.25">
      <c r="G712" t="s">
        <v>236</v>
      </c>
      <c r="H712" t="s">
        <v>41</v>
      </c>
      <c r="I712">
        <v>1.26</v>
      </c>
      <c r="J712">
        <v>4</v>
      </c>
      <c r="K712" t="s">
        <v>8</v>
      </c>
    </row>
    <row r="713" spans="7:11" x14ac:dyDescent="0.25">
      <c r="G713" t="s">
        <v>237</v>
      </c>
      <c r="H713" t="s">
        <v>238</v>
      </c>
      <c r="I713">
        <v>2.5</v>
      </c>
      <c r="J713">
        <v>1.54</v>
      </c>
      <c r="K713" t="s">
        <v>8</v>
      </c>
    </row>
    <row r="714" spans="7:11" x14ac:dyDescent="0.25">
      <c r="G714" t="s">
        <v>237</v>
      </c>
      <c r="H714" t="s">
        <v>238</v>
      </c>
      <c r="I714">
        <v>2.5</v>
      </c>
      <c r="J714">
        <v>1.54</v>
      </c>
      <c r="K714" t="s">
        <v>8</v>
      </c>
    </row>
    <row r="715" spans="7:11" x14ac:dyDescent="0.25">
      <c r="G715" t="s">
        <v>237</v>
      </c>
      <c r="H715" t="s">
        <v>238</v>
      </c>
      <c r="I715">
        <v>2.62</v>
      </c>
      <c r="J715">
        <v>1.51</v>
      </c>
      <c r="K715" t="s">
        <v>8</v>
      </c>
    </row>
    <row r="716" spans="7:11" x14ac:dyDescent="0.25">
      <c r="G716" t="s">
        <v>239</v>
      </c>
      <c r="H716" t="s">
        <v>238</v>
      </c>
      <c r="I716">
        <v>2.08</v>
      </c>
      <c r="J716">
        <v>1.77</v>
      </c>
      <c r="K716" t="s">
        <v>8</v>
      </c>
    </row>
    <row r="717" spans="7:11" x14ac:dyDescent="0.25">
      <c r="G717" t="s">
        <v>239</v>
      </c>
      <c r="H717" t="s">
        <v>238</v>
      </c>
      <c r="I717">
        <v>2.08</v>
      </c>
      <c r="J717">
        <v>1.77</v>
      </c>
      <c r="K717" t="s">
        <v>8</v>
      </c>
    </row>
    <row r="718" spans="7:11" x14ac:dyDescent="0.25">
      <c r="G718" t="s">
        <v>239</v>
      </c>
      <c r="H718" t="s">
        <v>238</v>
      </c>
      <c r="I718">
        <v>2.12</v>
      </c>
      <c r="J718">
        <v>1.75</v>
      </c>
      <c r="K718" t="s">
        <v>8</v>
      </c>
    </row>
    <row r="719" spans="7:11" x14ac:dyDescent="0.25">
      <c r="G719" t="s">
        <v>240</v>
      </c>
      <c r="H719" t="s">
        <v>238</v>
      </c>
      <c r="I719">
        <v>2.14</v>
      </c>
      <c r="J719">
        <v>1.73</v>
      </c>
      <c r="K719" t="s">
        <v>8</v>
      </c>
    </row>
    <row r="720" spans="7:11" x14ac:dyDescent="0.25">
      <c r="G720" t="s">
        <v>240</v>
      </c>
      <c r="H720" t="s">
        <v>238</v>
      </c>
      <c r="I720">
        <v>2.14</v>
      </c>
      <c r="J720">
        <v>1.73</v>
      </c>
      <c r="K720" t="s">
        <v>8</v>
      </c>
    </row>
    <row r="721" spans="7:11" x14ac:dyDescent="0.25">
      <c r="G721" t="s">
        <v>240</v>
      </c>
      <c r="H721" t="s">
        <v>238</v>
      </c>
      <c r="I721">
        <v>2.08</v>
      </c>
      <c r="J721">
        <v>1.77</v>
      </c>
      <c r="K721" t="s">
        <v>8</v>
      </c>
    </row>
    <row r="722" spans="7:11" x14ac:dyDescent="0.25">
      <c r="G722" t="s">
        <v>241</v>
      </c>
      <c r="H722" t="s">
        <v>238</v>
      </c>
      <c r="I722">
        <v>3.65</v>
      </c>
      <c r="J722">
        <v>1.29</v>
      </c>
      <c r="K722" t="s">
        <v>8</v>
      </c>
    </row>
    <row r="723" spans="7:11" x14ac:dyDescent="0.25">
      <c r="G723" t="s">
        <v>241</v>
      </c>
      <c r="H723" t="s">
        <v>238</v>
      </c>
      <c r="I723">
        <v>3.65</v>
      </c>
      <c r="J723">
        <v>1.29</v>
      </c>
      <c r="K723" t="s">
        <v>8</v>
      </c>
    </row>
    <row r="724" spans="7:11" x14ac:dyDescent="0.25">
      <c r="G724" t="s">
        <v>241</v>
      </c>
      <c r="H724" t="s">
        <v>238</v>
      </c>
      <c r="I724">
        <v>3.85</v>
      </c>
      <c r="J724">
        <v>1.27</v>
      </c>
      <c r="K724" t="s">
        <v>8</v>
      </c>
    </row>
    <row r="725" spans="7:11" x14ac:dyDescent="0.25">
      <c r="G725" t="s">
        <v>242</v>
      </c>
      <c r="H725" t="s">
        <v>243</v>
      </c>
      <c r="I725">
        <v>1.22</v>
      </c>
      <c r="J725">
        <v>4.4000000000000004</v>
      </c>
      <c r="K725" t="s">
        <v>8</v>
      </c>
    </row>
    <row r="726" spans="7:11" x14ac:dyDescent="0.25">
      <c r="G726" t="s">
        <v>242</v>
      </c>
      <c r="H726" t="s">
        <v>243</v>
      </c>
      <c r="I726">
        <v>1.21</v>
      </c>
      <c r="J726">
        <v>4.5999999999999996</v>
      </c>
      <c r="K726" t="s">
        <v>8</v>
      </c>
    </row>
    <row r="727" spans="7:11" x14ac:dyDescent="0.25">
      <c r="G727" t="s">
        <v>242</v>
      </c>
      <c r="H727" t="s">
        <v>243</v>
      </c>
      <c r="I727">
        <v>1.22</v>
      </c>
      <c r="J727">
        <v>4.4000000000000004</v>
      </c>
      <c r="K727" t="s">
        <v>8</v>
      </c>
    </row>
    <row r="728" spans="7:11" x14ac:dyDescent="0.25">
      <c r="G728" t="s">
        <v>242</v>
      </c>
      <c r="H728" t="s">
        <v>243</v>
      </c>
      <c r="I728">
        <v>1.22</v>
      </c>
      <c r="J728">
        <v>4.4000000000000004</v>
      </c>
      <c r="K728" t="s">
        <v>8</v>
      </c>
    </row>
    <row r="729" spans="7:11" x14ac:dyDescent="0.25">
      <c r="G729" t="s">
        <v>244</v>
      </c>
      <c r="H729" t="s">
        <v>245</v>
      </c>
      <c r="I729">
        <v>1.1499999999999999</v>
      </c>
      <c r="J729">
        <v>5.5</v>
      </c>
      <c r="K729" t="s">
        <v>8</v>
      </c>
    </row>
    <row r="730" spans="7:11" x14ac:dyDescent="0.25">
      <c r="G730" t="s">
        <v>244</v>
      </c>
      <c r="H730" t="s">
        <v>245</v>
      </c>
      <c r="I730">
        <v>1.1499999999999999</v>
      </c>
      <c r="J730">
        <v>5.5</v>
      </c>
      <c r="K730" t="s">
        <v>8</v>
      </c>
    </row>
    <row r="731" spans="7:11" x14ac:dyDescent="0.25">
      <c r="G731" t="s">
        <v>244</v>
      </c>
      <c r="H731" t="s">
        <v>245</v>
      </c>
      <c r="I731">
        <v>1.1399999999999999</v>
      </c>
      <c r="J731">
        <v>5.8</v>
      </c>
      <c r="K731" t="s">
        <v>8</v>
      </c>
    </row>
    <row r="732" spans="7:11" x14ac:dyDescent="0.25">
      <c r="G732" t="s">
        <v>246</v>
      </c>
      <c r="H732" t="s">
        <v>247</v>
      </c>
      <c r="I732">
        <v>4.3499999999999996</v>
      </c>
      <c r="J732">
        <v>1.22</v>
      </c>
      <c r="K732" t="s">
        <v>8</v>
      </c>
    </row>
    <row r="733" spans="7:11" x14ac:dyDescent="0.25">
      <c r="G733" t="s">
        <v>246</v>
      </c>
      <c r="H733" t="s">
        <v>247</v>
      </c>
      <c r="I733">
        <v>4.3499999999999996</v>
      </c>
      <c r="J733">
        <v>1.22</v>
      </c>
      <c r="K733" t="s">
        <v>8</v>
      </c>
    </row>
    <row r="734" spans="7:11" x14ac:dyDescent="0.25">
      <c r="G734" t="s">
        <v>246</v>
      </c>
      <c r="H734" t="s">
        <v>247</v>
      </c>
      <c r="I734">
        <v>4.4000000000000004</v>
      </c>
      <c r="J734">
        <v>1.22</v>
      </c>
      <c r="K734" t="s">
        <v>8</v>
      </c>
    </row>
    <row r="735" spans="7:11" x14ac:dyDescent="0.25">
      <c r="G735" t="s">
        <v>248</v>
      </c>
      <c r="H735" t="s">
        <v>249</v>
      </c>
      <c r="I735">
        <v>1.36</v>
      </c>
      <c r="J735">
        <v>3.15</v>
      </c>
      <c r="K735" t="s">
        <v>8</v>
      </c>
    </row>
    <row r="736" spans="7:11" x14ac:dyDescent="0.25">
      <c r="G736" t="s">
        <v>248</v>
      </c>
      <c r="H736" t="s">
        <v>249</v>
      </c>
      <c r="I736">
        <v>1.36</v>
      </c>
      <c r="J736">
        <v>3.15</v>
      </c>
      <c r="K736" t="s">
        <v>8</v>
      </c>
    </row>
    <row r="737" spans="7:11" x14ac:dyDescent="0.25">
      <c r="G737" t="s">
        <v>248</v>
      </c>
      <c r="H737" t="s">
        <v>249</v>
      </c>
      <c r="I737">
        <v>1.34</v>
      </c>
      <c r="J737">
        <v>3.35</v>
      </c>
      <c r="K737" t="s">
        <v>8</v>
      </c>
    </row>
    <row r="738" spans="7:11" x14ac:dyDescent="0.25">
      <c r="G738" t="s">
        <v>250</v>
      </c>
      <c r="H738" t="s">
        <v>251</v>
      </c>
      <c r="I738">
        <v>1.17</v>
      </c>
      <c r="J738">
        <v>5.4</v>
      </c>
      <c r="K738" t="s">
        <v>8</v>
      </c>
    </row>
    <row r="739" spans="7:11" x14ac:dyDescent="0.25">
      <c r="G739" t="s">
        <v>250</v>
      </c>
      <c r="H739" t="s">
        <v>251</v>
      </c>
      <c r="I739">
        <v>1.1499999999999999</v>
      </c>
      <c r="J739">
        <v>5.7</v>
      </c>
      <c r="K739" t="s">
        <v>8</v>
      </c>
    </row>
    <row r="740" spans="7:11" x14ac:dyDescent="0.25">
      <c r="G740" t="s">
        <v>250</v>
      </c>
      <c r="H740" t="s">
        <v>251</v>
      </c>
      <c r="I740">
        <v>1.17</v>
      </c>
      <c r="J740">
        <v>5.3</v>
      </c>
      <c r="K740" t="s">
        <v>8</v>
      </c>
    </row>
    <row r="741" spans="7:11" x14ac:dyDescent="0.25">
      <c r="G741" t="s">
        <v>252</v>
      </c>
      <c r="H741" t="s">
        <v>253</v>
      </c>
      <c r="I741">
        <v>2.4500000000000002</v>
      </c>
      <c r="J741">
        <v>1.57</v>
      </c>
      <c r="K741" t="s">
        <v>8</v>
      </c>
    </row>
    <row r="742" spans="7:11" x14ac:dyDescent="0.25">
      <c r="G742" t="s">
        <v>252</v>
      </c>
      <c r="H742" t="s">
        <v>253</v>
      </c>
      <c r="I742">
        <v>2.4</v>
      </c>
      <c r="J742">
        <v>1.59</v>
      </c>
      <c r="K742" t="s">
        <v>8</v>
      </c>
    </row>
    <row r="743" spans="7:11" x14ac:dyDescent="0.25">
      <c r="G743" t="s">
        <v>252</v>
      </c>
      <c r="H743" t="s">
        <v>253</v>
      </c>
      <c r="I743">
        <v>2.4300000000000002</v>
      </c>
      <c r="J743">
        <v>1.59</v>
      </c>
      <c r="K743" t="s">
        <v>8</v>
      </c>
    </row>
    <row r="744" spans="7:11" x14ac:dyDescent="0.25">
      <c r="G744" t="s">
        <v>96</v>
      </c>
      <c r="H744" t="s">
        <v>97</v>
      </c>
      <c r="I744">
        <v>1.52</v>
      </c>
      <c r="J744">
        <v>2.62</v>
      </c>
      <c r="K744" s="1" t="s">
        <v>9</v>
      </c>
    </row>
    <row r="745" spans="7:11" x14ac:dyDescent="0.25">
      <c r="G745" t="s">
        <v>96</v>
      </c>
      <c r="H745" t="s">
        <v>97</v>
      </c>
      <c r="I745">
        <v>1.51</v>
      </c>
      <c r="J745">
        <v>2.64</v>
      </c>
      <c r="K745" s="1" t="s">
        <v>9</v>
      </c>
    </row>
    <row r="746" spans="7:11" x14ac:dyDescent="0.25">
      <c r="G746" t="s">
        <v>96</v>
      </c>
      <c r="H746" t="s">
        <v>97</v>
      </c>
      <c r="I746">
        <v>1.51</v>
      </c>
      <c r="J746">
        <v>2.65</v>
      </c>
      <c r="K746" s="1" t="s">
        <v>9</v>
      </c>
    </row>
    <row r="747" spans="7:11" x14ac:dyDescent="0.25">
      <c r="G747" t="s">
        <v>96</v>
      </c>
      <c r="H747" t="s">
        <v>97</v>
      </c>
      <c r="I747">
        <v>1.53</v>
      </c>
      <c r="J747">
        <v>2.65</v>
      </c>
      <c r="K747" s="1" t="s">
        <v>9</v>
      </c>
    </row>
    <row r="748" spans="7:11" x14ac:dyDescent="0.25">
      <c r="G748" t="s">
        <v>96</v>
      </c>
      <c r="H748" t="s">
        <v>97</v>
      </c>
      <c r="I748">
        <v>1.53</v>
      </c>
      <c r="J748">
        <v>2.65</v>
      </c>
      <c r="K748" s="1" t="s">
        <v>9</v>
      </c>
    </row>
    <row r="749" spans="7:11" x14ac:dyDescent="0.25">
      <c r="G749" t="s">
        <v>96</v>
      </c>
      <c r="H749" t="s">
        <v>97</v>
      </c>
      <c r="I749">
        <v>1.51</v>
      </c>
      <c r="J749">
        <v>2.62</v>
      </c>
      <c r="K749" s="1" t="s">
        <v>9</v>
      </c>
    </row>
    <row r="750" spans="7:11" x14ac:dyDescent="0.25">
      <c r="G750" t="s">
        <v>96</v>
      </c>
      <c r="H750" t="s">
        <v>97</v>
      </c>
      <c r="I750">
        <v>1.5</v>
      </c>
      <c r="J750">
        <v>2.7</v>
      </c>
      <c r="K750" s="1" t="s">
        <v>9</v>
      </c>
    </row>
    <row r="751" spans="7:11" x14ac:dyDescent="0.25">
      <c r="G751" t="s">
        <v>96</v>
      </c>
      <c r="H751" t="s">
        <v>97</v>
      </c>
      <c r="I751">
        <v>1.55</v>
      </c>
      <c r="J751">
        <v>2.5</v>
      </c>
      <c r="K751" s="1" t="s">
        <v>9</v>
      </c>
    </row>
    <row r="752" spans="7:11" x14ac:dyDescent="0.25">
      <c r="G752" t="s">
        <v>96</v>
      </c>
      <c r="H752" t="s">
        <v>97</v>
      </c>
      <c r="I752">
        <v>1.55</v>
      </c>
      <c r="J752">
        <v>2.5</v>
      </c>
      <c r="K752" s="1" t="s">
        <v>9</v>
      </c>
    </row>
    <row r="753" spans="7:11" x14ac:dyDescent="0.25">
      <c r="G753" t="s">
        <v>96</v>
      </c>
      <c r="H753" t="s">
        <v>97</v>
      </c>
      <c r="I753">
        <v>1.55</v>
      </c>
      <c r="J753">
        <v>2.5</v>
      </c>
      <c r="K753" s="1" t="s">
        <v>9</v>
      </c>
    </row>
    <row r="754" spans="7:11" x14ac:dyDescent="0.25">
      <c r="G754" t="s">
        <v>96</v>
      </c>
      <c r="H754" t="s">
        <v>97</v>
      </c>
      <c r="I754">
        <v>1.53</v>
      </c>
      <c r="J754">
        <v>2.6</v>
      </c>
      <c r="K754" s="1" t="s">
        <v>9</v>
      </c>
    </row>
    <row r="755" spans="7:11" x14ac:dyDescent="0.25">
      <c r="G755" t="s">
        <v>96</v>
      </c>
      <c r="H755" t="s">
        <v>97</v>
      </c>
      <c r="I755">
        <v>1.51</v>
      </c>
      <c r="J755">
        <v>2.65</v>
      </c>
      <c r="K755" s="1" t="s">
        <v>9</v>
      </c>
    </row>
    <row r="756" spans="7:11" x14ac:dyDescent="0.25">
      <c r="G756" t="s">
        <v>96</v>
      </c>
      <c r="H756" t="s">
        <v>97</v>
      </c>
      <c r="I756">
        <v>1.53</v>
      </c>
      <c r="J756">
        <v>2.5499999999999998</v>
      </c>
      <c r="K756" s="1" t="s">
        <v>9</v>
      </c>
    </row>
    <row r="757" spans="7:11" x14ac:dyDescent="0.25">
      <c r="G757" t="s">
        <v>96</v>
      </c>
      <c r="H757" t="s">
        <v>97</v>
      </c>
      <c r="I757">
        <v>1.53</v>
      </c>
      <c r="J757">
        <v>2.6</v>
      </c>
      <c r="K757" s="1" t="s">
        <v>9</v>
      </c>
    </row>
    <row r="758" spans="7:11" x14ac:dyDescent="0.25">
      <c r="G758" t="s">
        <v>98</v>
      </c>
      <c r="H758" t="s">
        <v>99</v>
      </c>
      <c r="I758">
        <v>2.38</v>
      </c>
      <c r="J758">
        <v>1.61</v>
      </c>
      <c r="K758" s="1" t="s">
        <v>9</v>
      </c>
    </row>
    <row r="759" spans="7:11" x14ac:dyDescent="0.25">
      <c r="G759" t="s">
        <v>98</v>
      </c>
      <c r="H759" t="s">
        <v>99</v>
      </c>
      <c r="I759">
        <v>2.36</v>
      </c>
      <c r="J759">
        <v>1.62</v>
      </c>
      <c r="K759" s="1" t="s">
        <v>9</v>
      </c>
    </row>
    <row r="760" spans="7:11" x14ac:dyDescent="0.25">
      <c r="G760" t="s">
        <v>98</v>
      </c>
      <c r="H760" t="s">
        <v>99</v>
      </c>
      <c r="I760">
        <v>2.48</v>
      </c>
      <c r="J760">
        <v>1.59</v>
      </c>
      <c r="K760" s="1" t="s">
        <v>9</v>
      </c>
    </row>
    <row r="761" spans="7:11" x14ac:dyDescent="0.25">
      <c r="G761" t="s">
        <v>98</v>
      </c>
      <c r="H761" t="s">
        <v>99</v>
      </c>
      <c r="I761">
        <v>2.4</v>
      </c>
      <c r="J761">
        <v>1.61</v>
      </c>
      <c r="K761" s="1" t="s">
        <v>9</v>
      </c>
    </row>
    <row r="762" spans="7:11" x14ac:dyDescent="0.25">
      <c r="G762" t="s">
        <v>98</v>
      </c>
      <c r="H762" t="s">
        <v>99</v>
      </c>
      <c r="I762">
        <v>2.5</v>
      </c>
      <c r="J762">
        <v>1.59</v>
      </c>
      <c r="K762" s="1" t="s">
        <v>9</v>
      </c>
    </row>
    <row r="763" spans="7:11" x14ac:dyDescent="0.25">
      <c r="G763" t="s">
        <v>98</v>
      </c>
      <c r="H763" t="s">
        <v>99</v>
      </c>
      <c r="I763">
        <v>2.5</v>
      </c>
      <c r="J763">
        <v>1.59</v>
      </c>
      <c r="K763" s="1" t="s">
        <v>9</v>
      </c>
    </row>
    <row r="764" spans="7:11" x14ac:dyDescent="0.25">
      <c r="G764" t="s">
        <v>98</v>
      </c>
      <c r="H764" t="s">
        <v>99</v>
      </c>
      <c r="I764">
        <v>2.4500000000000002</v>
      </c>
      <c r="J764">
        <v>1.59</v>
      </c>
      <c r="K764" s="1" t="s">
        <v>9</v>
      </c>
    </row>
    <row r="765" spans="7:11" x14ac:dyDescent="0.25">
      <c r="G765" t="s">
        <v>98</v>
      </c>
      <c r="H765" t="s">
        <v>99</v>
      </c>
      <c r="I765">
        <v>2.4</v>
      </c>
      <c r="J765">
        <v>1.57</v>
      </c>
      <c r="K765" s="1" t="s">
        <v>9</v>
      </c>
    </row>
    <row r="766" spans="7:11" x14ac:dyDescent="0.25">
      <c r="G766" t="s">
        <v>98</v>
      </c>
      <c r="H766" t="s">
        <v>99</v>
      </c>
      <c r="I766">
        <v>2.4</v>
      </c>
      <c r="J766">
        <v>1.57</v>
      </c>
      <c r="K766" s="1" t="s">
        <v>9</v>
      </c>
    </row>
    <row r="767" spans="7:11" x14ac:dyDescent="0.25">
      <c r="G767" t="s">
        <v>98</v>
      </c>
      <c r="H767" t="s">
        <v>99</v>
      </c>
      <c r="I767">
        <v>2.4</v>
      </c>
      <c r="J767">
        <v>1.57</v>
      </c>
      <c r="K767" s="1" t="s">
        <v>9</v>
      </c>
    </row>
    <row r="768" spans="7:11" x14ac:dyDescent="0.25">
      <c r="G768" t="s">
        <v>98</v>
      </c>
      <c r="H768" t="s">
        <v>99</v>
      </c>
      <c r="I768">
        <v>2.4</v>
      </c>
      <c r="J768">
        <v>1.61</v>
      </c>
      <c r="K768" s="1" t="s">
        <v>9</v>
      </c>
    </row>
    <row r="769" spans="7:11" x14ac:dyDescent="0.25">
      <c r="G769" t="s">
        <v>98</v>
      </c>
      <c r="H769" t="s">
        <v>99</v>
      </c>
      <c r="I769">
        <v>2.4</v>
      </c>
      <c r="J769">
        <v>1.59</v>
      </c>
      <c r="K769" s="1" t="s">
        <v>9</v>
      </c>
    </row>
    <row r="770" spans="7:11" x14ac:dyDescent="0.25">
      <c r="G770" t="s">
        <v>98</v>
      </c>
      <c r="H770" t="s">
        <v>99</v>
      </c>
      <c r="I770">
        <v>2.4</v>
      </c>
      <c r="J770">
        <v>1.62</v>
      </c>
      <c r="K770" s="1" t="s">
        <v>9</v>
      </c>
    </row>
    <row r="771" spans="7:11" x14ac:dyDescent="0.25">
      <c r="G771" t="s">
        <v>98</v>
      </c>
      <c r="H771" t="s">
        <v>99</v>
      </c>
      <c r="I771">
        <v>2.4</v>
      </c>
      <c r="J771">
        <v>1.61</v>
      </c>
      <c r="K771" s="1" t="s">
        <v>9</v>
      </c>
    </row>
    <row r="772" spans="7:11" x14ac:dyDescent="0.25">
      <c r="G772" t="s">
        <v>100</v>
      </c>
      <c r="H772" t="s">
        <v>99</v>
      </c>
      <c r="I772">
        <v>1.34</v>
      </c>
      <c r="J772">
        <v>3.35</v>
      </c>
      <c r="K772" s="1" t="s">
        <v>9</v>
      </c>
    </row>
    <row r="773" spans="7:11" x14ac:dyDescent="0.25">
      <c r="G773" t="s">
        <v>100</v>
      </c>
      <c r="H773" t="s">
        <v>99</v>
      </c>
      <c r="I773">
        <v>1.37</v>
      </c>
      <c r="J773">
        <v>3.2</v>
      </c>
      <c r="K773" s="1" t="s">
        <v>9</v>
      </c>
    </row>
    <row r="774" spans="7:11" x14ac:dyDescent="0.25">
      <c r="G774" t="s">
        <v>100</v>
      </c>
      <c r="H774" t="s">
        <v>99</v>
      </c>
      <c r="I774">
        <v>1.33</v>
      </c>
      <c r="J774">
        <v>3.4</v>
      </c>
      <c r="K774" s="1" t="s">
        <v>9</v>
      </c>
    </row>
    <row r="775" spans="7:11" x14ac:dyDescent="0.25">
      <c r="G775" t="s">
        <v>100</v>
      </c>
      <c r="H775" t="s">
        <v>99</v>
      </c>
      <c r="I775">
        <v>1.34</v>
      </c>
      <c r="J775">
        <v>3.4</v>
      </c>
      <c r="K775" s="1" t="s">
        <v>9</v>
      </c>
    </row>
    <row r="776" spans="7:11" x14ac:dyDescent="0.25">
      <c r="G776" t="s">
        <v>100</v>
      </c>
      <c r="H776" t="s">
        <v>99</v>
      </c>
      <c r="I776">
        <v>1.34</v>
      </c>
      <c r="J776">
        <v>3.35</v>
      </c>
      <c r="K776" s="1" t="s">
        <v>9</v>
      </c>
    </row>
    <row r="777" spans="7:11" x14ac:dyDescent="0.25">
      <c r="G777" t="s">
        <v>100</v>
      </c>
      <c r="H777" t="s">
        <v>99</v>
      </c>
      <c r="I777">
        <v>1.34</v>
      </c>
      <c r="J777">
        <v>3.45</v>
      </c>
      <c r="K777" s="1" t="s">
        <v>9</v>
      </c>
    </row>
    <row r="778" spans="7:11" x14ac:dyDescent="0.25">
      <c r="G778" t="s">
        <v>100</v>
      </c>
      <c r="H778" t="s">
        <v>99</v>
      </c>
      <c r="I778">
        <v>1.34</v>
      </c>
      <c r="J778">
        <v>3.45</v>
      </c>
      <c r="K778" s="1" t="s">
        <v>9</v>
      </c>
    </row>
    <row r="779" spans="7:11" x14ac:dyDescent="0.25">
      <c r="G779" t="s">
        <v>100</v>
      </c>
      <c r="H779" t="s">
        <v>99</v>
      </c>
      <c r="I779">
        <v>1.34</v>
      </c>
      <c r="J779">
        <v>3.3</v>
      </c>
      <c r="K779" s="1" t="s">
        <v>9</v>
      </c>
    </row>
    <row r="780" spans="7:11" x14ac:dyDescent="0.25">
      <c r="G780" t="s">
        <v>100</v>
      </c>
      <c r="H780" t="s">
        <v>99</v>
      </c>
      <c r="I780">
        <v>1.34</v>
      </c>
      <c r="J780">
        <v>3.3</v>
      </c>
      <c r="K780" s="1" t="s">
        <v>9</v>
      </c>
    </row>
    <row r="781" spans="7:11" x14ac:dyDescent="0.25">
      <c r="G781" t="s">
        <v>100</v>
      </c>
      <c r="H781" t="s">
        <v>99</v>
      </c>
      <c r="I781">
        <v>1.34</v>
      </c>
      <c r="J781">
        <v>3.3</v>
      </c>
      <c r="K781" s="1" t="s">
        <v>9</v>
      </c>
    </row>
    <row r="782" spans="7:11" x14ac:dyDescent="0.25">
      <c r="G782" t="s">
        <v>100</v>
      </c>
      <c r="H782" t="s">
        <v>99</v>
      </c>
      <c r="I782">
        <v>1.33</v>
      </c>
      <c r="J782">
        <v>3.4</v>
      </c>
      <c r="K782" s="1" t="s">
        <v>9</v>
      </c>
    </row>
    <row r="783" spans="7:11" x14ac:dyDescent="0.25">
      <c r="G783" t="s">
        <v>100</v>
      </c>
      <c r="H783" t="s">
        <v>99</v>
      </c>
      <c r="I783">
        <v>1.35</v>
      </c>
      <c r="J783">
        <v>3.35</v>
      </c>
      <c r="K783" s="1" t="s">
        <v>9</v>
      </c>
    </row>
    <row r="784" spans="7:11" x14ac:dyDescent="0.25">
      <c r="G784" t="s">
        <v>100</v>
      </c>
      <c r="H784" t="s">
        <v>99</v>
      </c>
      <c r="I784">
        <v>1.34</v>
      </c>
      <c r="J784">
        <v>3.3</v>
      </c>
      <c r="K784" s="1" t="s">
        <v>9</v>
      </c>
    </row>
    <row r="785" spans="7:11" x14ac:dyDescent="0.25">
      <c r="G785" t="s">
        <v>100</v>
      </c>
      <c r="H785" t="s">
        <v>99</v>
      </c>
      <c r="I785">
        <v>1.33</v>
      </c>
      <c r="J785">
        <v>3.4</v>
      </c>
      <c r="K785" s="1" t="s">
        <v>9</v>
      </c>
    </row>
    <row r="786" spans="7:11" x14ac:dyDescent="0.25">
      <c r="G786" t="s">
        <v>101</v>
      </c>
      <c r="H786" t="s">
        <v>99</v>
      </c>
      <c r="I786">
        <v>5.8</v>
      </c>
      <c r="J786">
        <v>1.1499999999999999</v>
      </c>
      <c r="K786" s="1" t="s">
        <v>9</v>
      </c>
    </row>
    <row r="787" spans="7:11" x14ac:dyDescent="0.25">
      <c r="G787" t="s">
        <v>101</v>
      </c>
      <c r="H787" t="s">
        <v>99</v>
      </c>
      <c r="I787">
        <v>5.7</v>
      </c>
      <c r="J787">
        <v>1.1499999999999999</v>
      </c>
      <c r="K787" s="1" t="s">
        <v>9</v>
      </c>
    </row>
    <row r="788" spans="7:11" x14ac:dyDescent="0.25">
      <c r="G788" t="s">
        <v>101</v>
      </c>
      <c r="H788" t="s">
        <v>99</v>
      </c>
      <c r="I788">
        <v>6.25</v>
      </c>
      <c r="J788">
        <v>1.1200000000000001</v>
      </c>
      <c r="K788" s="1" t="s">
        <v>9</v>
      </c>
    </row>
    <row r="789" spans="7:11" x14ac:dyDescent="0.25">
      <c r="G789" t="s">
        <v>101</v>
      </c>
      <c r="H789" t="s">
        <v>99</v>
      </c>
      <c r="I789">
        <v>6.2</v>
      </c>
      <c r="J789">
        <v>1.1299999999999999</v>
      </c>
      <c r="K789" s="1" t="s">
        <v>9</v>
      </c>
    </row>
    <row r="790" spans="7:11" x14ac:dyDescent="0.25">
      <c r="G790" t="s">
        <v>101</v>
      </c>
      <c r="H790" t="s">
        <v>99</v>
      </c>
      <c r="I790">
        <v>6.5</v>
      </c>
      <c r="J790">
        <v>1.1299999999999999</v>
      </c>
      <c r="K790" s="1" t="s">
        <v>9</v>
      </c>
    </row>
    <row r="791" spans="7:11" x14ac:dyDescent="0.25">
      <c r="G791" t="s">
        <v>101</v>
      </c>
      <c r="H791" t="s">
        <v>99</v>
      </c>
      <c r="I791">
        <v>6.5</v>
      </c>
      <c r="J791">
        <v>1.1299999999999999</v>
      </c>
      <c r="K791" s="1" t="s">
        <v>9</v>
      </c>
    </row>
    <row r="792" spans="7:11" x14ac:dyDescent="0.25">
      <c r="G792" t="s">
        <v>101</v>
      </c>
      <c r="H792" t="s">
        <v>99</v>
      </c>
      <c r="I792">
        <v>6</v>
      </c>
      <c r="J792">
        <v>1.1399999999999999</v>
      </c>
      <c r="K792" s="1" t="s">
        <v>9</v>
      </c>
    </row>
    <row r="793" spans="7:11" x14ac:dyDescent="0.25">
      <c r="G793" t="s">
        <v>101</v>
      </c>
      <c r="H793" t="s">
        <v>99</v>
      </c>
      <c r="I793">
        <v>6</v>
      </c>
      <c r="J793">
        <v>1.1399999999999999</v>
      </c>
      <c r="K793" s="1" t="s">
        <v>9</v>
      </c>
    </row>
    <row r="794" spans="7:11" x14ac:dyDescent="0.25">
      <c r="G794" t="s">
        <v>101</v>
      </c>
      <c r="H794" t="s">
        <v>99</v>
      </c>
      <c r="I794">
        <v>6</v>
      </c>
      <c r="J794">
        <v>1.1399999999999999</v>
      </c>
      <c r="K794" s="1" t="s">
        <v>9</v>
      </c>
    </row>
    <row r="795" spans="7:11" x14ac:dyDescent="0.25">
      <c r="G795" t="s">
        <v>101</v>
      </c>
      <c r="H795" t="s">
        <v>99</v>
      </c>
      <c r="I795">
        <v>6</v>
      </c>
      <c r="J795">
        <v>1.1399999999999999</v>
      </c>
      <c r="K795" s="1" t="s">
        <v>9</v>
      </c>
    </row>
    <row r="796" spans="7:11" x14ac:dyDescent="0.25">
      <c r="G796" t="s">
        <v>101</v>
      </c>
      <c r="H796" t="s">
        <v>99</v>
      </c>
      <c r="I796">
        <v>6</v>
      </c>
      <c r="J796">
        <v>1.1299999999999999</v>
      </c>
      <c r="K796" s="1" t="s">
        <v>9</v>
      </c>
    </row>
    <row r="797" spans="7:11" x14ac:dyDescent="0.25">
      <c r="G797" t="s">
        <v>101</v>
      </c>
      <c r="H797" t="s">
        <v>99</v>
      </c>
      <c r="I797">
        <v>6</v>
      </c>
      <c r="J797">
        <v>1.1299999999999999</v>
      </c>
      <c r="K797" s="1" t="s">
        <v>9</v>
      </c>
    </row>
    <row r="798" spans="7:11" x14ac:dyDescent="0.25">
      <c r="G798" t="s">
        <v>101</v>
      </c>
      <c r="H798" t="s">
        <v>99</v>
      </c>
      <c r="I798">
        <v>6</v>
      </c>
      <c r="J798">
        <v>1.1299999999999999</v>
      </c>
      <c r="K798" s="1" t="s">
        <v>9</v>
      </c>
    </row>
    <row r="799" spans="7:11" x14ac:dyDescent="0.25">
      <c r="G799" t="s">
        <v>101</v>
      </c>
      <c r="H799" t="s">
        <v>99</v>
      </c>
      <c r="I799">
        <v>6</v>
      </c>
      <c r="J799">
        <v>1.1399999999999999</v>
      </c>
      <c r="K799" s="1" t="s">
        <v>9</v>
      </c>
    </row>
    <row r="800" spans="7:11" x14ac:dyDescent="0.25">
      <c r="G800" t="s">
        <v>102</v>
      </c>
      <c r="H800" t="s">
        <v>99</v>
      </c>
      <c r="I800">
        <v>5.6</v>
      </c>
      <c r="J800">
        <v>1.1599999999999999</v>
      </c>
      <c r="K800" s="1" t="s">
        <v>9</v>
      </c>
    </row>
    <row r="801" spans="7:11" x14ac:dyDescent="0.25">
      <c r="G801" t="s">
        <v>102</v>
      </c>
      <c r="H801" t="s">
        <v>99</v>
      </c>
      <c r="I801">
        <v>4.9000000000000004</v>
      </c>
      <c r="J801">
        <v>1.19</v>
      </c>
      <c r="K801" s="1" t="s">
        <v>9</v>
      </c>
    </row>
    <row r="802" spans="7:11" x14ac:dyDescent="0.25">
      <c r="G802" t="s">
        <v>102</v>
      </c>
      <c r="H802" t="s">
        <v>99</v>
      </c>
      <c r="I802">
        <v>5.5</v>
      </c>
      <c r="J802">
        <v>1.1499999999999999</v>
      </c>
      <c r="K802" s="1" t="s">
        <v>9</v>
      </c>
    </row>
    <row r="803" spans="7:11" x14ac:dyDescent="0.25">
      <c r="G803" t="s">
        <v>102</v>
      </c>
      <c r="H803" t="s">
        <v>99</v>
      </c>
      <c r="I803">
        <v>5.5</v>
      </c>
      <c r="J803">
        <v>1.17</v>
      </c>
      <c r="K803" s="1" t="s">
        <v>9</v>
      </c>
    </row>
    <row r="804" spans="7:11" x14ac:dyDescent="0.25">
      <c r="G804" t="s">
        <v>102</v>
      </c>
      <c r="H804" t="s">
        <v>99</v>
      </c>
      <c r="I804">
        <v>5.3</v>
      </c>
      <c r="J804">
        <v>1.17</v>
      </c>
      <c r="K804" s="1" t="s">
        <v>9</v>
      </c>
    </row>
    <row r="805" spans="7:11" x14ac:dyDescent="0.25">
      <c r="G805" t="s">
        <v>102</v>
      </c>
      <c r="H805" t="s">
        <v>99</v>
      </c>
      <c r="I805">
        <v>5.6</v>
      </c>
      <c r="J805">
        <v>1.17</v>
      </c>
      <c r="K805" s="1" t="s">
        <v>9</v>
      </c>
    </row>
    <row r="806" spans="7:11" x14ac:dyDescent="0.25">
      <c r="G806" t="s">
        <v>102</v>
      </c>
      <c r="H806" t="s">
        <v>99</v>
      </c>
      <c r="I806">
        <v>5.6</v>
      </c>
      <c r="J806">
        <v>1.17</v>
      </c>
      <c r="K806" s="1" t="s">
        <v>9</v>
      </c>
    </row>
    <row r="807" spans="7:11" x14ac:dyDescent="0.25">
      <c r="G807" t="s">
        <v>102</v>
      </c>
      <c r="H807" t="s">
        <v>99</v>
      </c>
      <c r="I807">
        <v>5.0999999999999996</v>
      </c>
      <c r="J807">
        <v>1.18</v>
      </c>
      <c r="K807" s="1" t="s">
        <v>9</v>
      </c>
    </row>
    <row r="808" spans="7:11" x14ac:dyDescent="0.25">
      <c r="G808" t="s">
        <v>102</v>
      </c>
      <c r="H808" t="s">
        <v>99</v>
      </c>
      <c r="I808">
        <v>5.0999999999999996</v>
      </c>
      <c r="J808">
        <v>1.18</v>
      </c>
      <c r="K808" s="1" t="s">
        <v>9</v>
      </c>
    </row>
    <row r="809" spans="7:11" x14ac:dyDescent="0.25">
      <c r="G809" t="s">
        <v>102</v>
      </c>
      <c r="H809" t="s">
        <v>99</v>
      </c>
      <c r="I809">
        <v>5.0999999999999996</v>
      </c>
      <c r="J809">
        <v>1.18</v>
      </c>
      <c r="K809" s="1" t="s">
        <v>9</v>
      </c>
    </row>
    <row r="810" spans="7:11" x14ac:dyDescent="0.25">
      <c r="G810" t="s">
        <v>102</v>
      </c>
      <c r="H810" t="s">
        <v>99</v>
      </c>
      <c r="I810">
        <v>5.25</v>
      </c>
      <c r="J810">
        <v>1.17</v>
      </c>
      <c r="K810" s="1" t="s">
        <v>9</v>
      </c>
    </row>
    <row r="811" spans="7:11" x14ac:dyDescent="0.25">
      <c r="G811" t="s">
        <v>102</v>
      </c>
      <c r="H811" t="s">
        <v>99</v>
      </c>
      <c r="I811">
        <v>5.55</v>
      </c>
      <c r="J811">
        <v>1.17</v>
      </c>
      <c r="K811" s="1" t="s">
        <v>9</v>
      </c>
    </row>
    <row r="812" spans="7:11" x14ac:dyDescent="0.25">
      <c r="G812" t="s">
        <v>102</v>
      </c>
      <c r="H812" t="s">
        <v>99</v>
      </c>
      <c r="I812">
        <v>4.75</v>
      </c>
      <c r="J812">
        <v>1.19</v>
      </c>
      <c r="K812" s="1" t="s">
        <v>9</v>
      </c>
    </row>
    <row r="813" spans="7:11" x14ac:dyDescent="0.25">
      <c r="G813" t="s">
        <v>102</v>
      </c>
      <c r="H813" t="s">
        <v>99</v>
      </c>
      <c r="I813">
        <v>5.25</v>
      </c>
      <c r="J813">
        <v>1.17</v>
      </c>
      <c r="K813" s="1" t="s">
        <v>9</v>
      </c>
    </row>
    <row r="814" spans="7:11" x14ac:dyDescent="0.25">
      <c r="G814" t="s">
        <v>103</v>
      </c>
      <c r="H814" t="s">
        <v>99</v>
      </c>
      <c r="I814">
        <v>2.68</v>
      </c>
      <c r="J814">
        <v>1.5</v>
      </c>
      <c r="K814" s="1" t="s">
        <v>9</v>
      </c>
    </row>
    <row r="815" spans="7:11" x14ac:dyDescent="0.25">
      <c r="G815" t="s">
        <v>103</v>
      </c>
      <c r="H815" t="s">
        <v>99</v>
      </c>
      <c r="I815">
        <v>2.6</v>
      </c>
      <c r="J815">
        <v>1.52</v>
      </c>
      <c r="K815" s="1" t="s">
        <v>9</v>
      </c>
    </row>
    <row r="816" spans="7:11" x14ac:dyDescent="0.25">
      <c r="G816" t="s">
        <v>103</v>
      </c>
      <c r="H816" t="s">
        <v>99</v>
      </c>
      <c r="I816">
        <v>2.7</v>
      </c>
      <c r="J816">
        <v>1.5</v>
      </c>
      <c r="K816" s="1" t="s">
        <v>9</v>
      </c>
    </row>
    <row r="817" spans="7:11" x14ac:dyDescent="0.25">
      <c r="G817" t="s">
        <v>103</v>
      </c>
      <c r="H817" t="s">
        <v>99</v>
      </c>
      <c r="I817">
        <v>2.65</v>
      </c>
      <c r="J817">
        <v>1.51</v>
      </c>
      <c r="K817" s="1" t="s">
        <v>9</v>
      </c>
    </row>
    <row r="818" spans="7:11" x14ac:dyDescent="0.25">
      <c r="G818" t="s">
        <v>103</v>
      </c>
      <c r="H818" t="s">
        <v>99</v>
      </c>
      <c r="I818">
        <v>2.7</v>
      </c>
      <c r="J818">
        <v>1.49</v>
      </c>
      <c r="K818" s="1" t="s">
        <v>9</v>
      </c>
    </row>
    <row r="819" spans="7:11" x14ac:dyDescent="0.25">
      <c r="G819" t="s">
        <v>103</v>
      </c>
      <c r="H819" t="s">
        <v>99</v>
      </c>
      <c r="I819">
        <v>2.8</v>
      </c>
      <c r="J819">
        <v>1.48</v>
      </c>
      <c r="K819" s="1" t="s">
        <v>9</v>
      </c>
    </row>
    <row r="820" spans="7:11" x14ac:dyDescent="0.25">
      <c r="G820" t="s">
        <v>103</v>
      </c>
      <c r="H820" t="s">
        <v>99</v>
      </c>
      <c r="I820">
        <v>2.8</v>
      </c>
      <c r="J820">
        <v>1.48</v>
      </c>
      <c r="K820" s="1" t="s">
        <v>9</v>
      </c>
    </row>
    <row r="821" spans="7:11" x14ac:dyDescent="0.25">
      <c r="G821" t="s">
        <v>103</v>
      </c>
      <c r="H821" t="s">
        <v>99</v>
      </c>
      <c r="I821">
        <v>2.65</v>
      </c>
      <c r="J821">
        <v>1.49</v>
      </c>
      <c r="K821" s="1" t="s">
        <v>9</v>
      </c>
    </row>
    <row r="822" spans="7:11" x14ac:dyDescent="0.25">
      <c r="G822" t="s">
        <v>103</v>
      </c>
      <c r="H822" t="s">
        <v>99</v>
      </c>
      <c r="I822">
        <v>2.65</v>
      </c>
      <c r="J822">
        <v>1.49</v>
      </c>
      <c r="K822" s="1" t="s">
        <v>9</v>
      </c>
    </row>
    <row r="823" spans="7:11" x14ac:dyDescent="0.25">
      <c r="G823" t="s">
        <v>103</v>
      </c>
      <c r="H823" t="s">
        <v>99</v>
      </c>
      <c r="I823">
        <v>2.65</v>
      </c>
      <c r="J823">
        <v>1.49</v>
      </c>
      <c r="K823" s="1" t="s">
        <v>9</v>
      </c>
    </row>
    <row r="824" spans="7:11" x14ac:dyDescent="0.25">
      <c r="G824" t="s">
        <v>103</v>
      </c>
      <c r="H824" t="s">
        <v>99</v>
      </c>
      <c r="I824">
        <v>2.65</v>
      </c>
      <c r="J824">
        <v>1.5</v>
      </c>
      <c r="K824" s="1" t="s">
        <v>9</v>
      </c>
    </row>
    <row r="825" spans="7:11" x14ac:dyDescent="0.25">
      <c r="G825" t="s">
        <v>103</v>
      </c>
      <c r="H825" t="s">
        <v>99</v>
      </c>
      <c r="I825">
        <v>2.7</v>
      </c>
      <c r="J825">
        <v>1.5</v>
      </c>
      <c r="K825" s="1" t="s">
        <v>9</v>
      </c>
    </row>
    <row r="826" spans="7:11" x14ac:dyDescent="0.25">
      <c r="G826" t="s">
        <v>103</v>
      </c>
      <c r="H826" t="s">
        <v>99</v>
      </c>
      <c r="I826">
        <v>2.75</v>
      </c>
      <c r="J826">
        <v>1.48</v>
      </c>
      <c r="K826" s="1" t="s">
        <v>9</v>
      </c>
    </row>
    <row r="827" spans="7:11" x14ac:dyDescent="0.25">
      <c r="G827" t="s">
        <v>103</v>
      </c>
      <c r="H827" t="s">
        <v>99</v>
      </c>
      <c r="I827">
        <v>2.7</v>
      </c>
      <c r="J827">
        <v>1.48</v>
      </c>
      <c r="K827" s="1" t="s">
        <v>9</v>
      </c>
    </row>
    <row r="828" spans="7:11" x14ac:dyDescent="0.25">
      <c r="G828" t="s">
        <v>104</v>
      </c>
      <c r="H828" t="s">
        <v>99</v>
      </c>
      <c r="I828">
        <v>1.51</v>
      </c>
      <c r="J828">
        <v>2.64</v>
      </c>
      <c r="K828" s="1" t="s">
        <v>9</v>
      </c>
    </row>
    <row r="829" spans="7:11" x14ac:dyDescent="0.25">
      <c r="G829" t="s">
        <v>104</v>
      </c>
      <c r="H829" t="s">
        <v>99</v>
      </c>
      <c r="I829">
        <v>1.52</v>
      </c>
      <c r="J829">
        <v>2.6</v>
      </c>
      <c r="K829" s="1" t="s">
        <v>9</v>
      </c>
    </row>
    <row r="830" spans="7:11" x14ac:dyDescent="0.25">
      <c r="G830" t="s">
        <v>104</v>
      </c>
      <c r="H830" t="s">
        <v>99</v>
      </c>
      <c r="I830">
        <v>1.51</v>
      </c>
      <c r="J830">
        <v>2.65</v>
      </c>
      <c r="K830" s="1" t="s">
        <v>9</v>
      </c>
    </row>
    <row r="831" spans="7:11" x14ac:dyDescent="0.25">
      <c r="G831" t="s">
        <v>104</v>
      </c>
      <c r="H831" t="s">
        <v>99</v>
      </c>
      <c r="I831">
        <v>1.51</v>
      </c>
      <c r="J831">
        <v>2.65</v>
      </c>
      <c r="K831" s="1" t="s">
        <v>9</v>
      </c>
    </row>
    <row r="832" spans="7:11" x14ac:dyDescent="0.25">
      <c r="G832" t="s">
        <v>104</v>
      </c>
      <c r="H832" t="s">
        <v>99</v>
      </c>
      <c r="I832">
        <v>1.49</v>
      </c>
      <c r="J832">
        <v>2.75</v>
      </c>
      <c r="K832" s="1" t="s">
        <v>9</v>
      </c>
    </row>
    <row r="833" spans="7:11" x14ac:dyDescent="0.25">
      <c r="G833" t="s">
        <v>104</v>
      </c>
      <c r="H833" t="s">
        <v>99</v>
      </c>
      <c r="I833">
        <v>1.49</v>
      </c>
      <c r="J833">
        <v>2.75</v>
      </c>
      <c r="K833" s="1" t="s">
        <v>9</v>
      </c>
    </row>
    <row r="834" spans="7:11" x14ac:dyDescent="0.25">
      <c r="G834" t="s">
        <v>104</v>
      </c>
      <c r="H834" t="s">
        <v>99</v>
      </c>
      <c r="I834">
        <v>1.51</v>
      </c>
      <c r="J834">
        <v>2.62</v>
      </c>
      <c r="K834" s="1" t="s">
        <v>9</v>
      </c>
    </row>
    <row r="835" spans="7:11" x14ac:dyDescent="0.25">
      <c r="G835" t="s">
        <v>104</v>
      </c>
      <c r="H835" t="s">
        <v>99</v>
      </c>
      <c r="I835">
        <v>1.5</v>
      </c>
      <c r="J835">
        <v>2.63</v>
      </c>
      <c r="K835" s="1" t="s">
        <v>9</v>
      </c>
    </row>
    <row r="836" spans="7:11" x14ac:dyDescent="0.25">
      <c r="G836" t="s">
        <v>104</v>
      </c>
      <c r="H836" t="s">
        <v>99</v>
      </c>
      <c r="I836">
        <v>1.5</v>
      </c>
      <c r="J836">
        <v>2.63</v>
      </c>
      <c r="K836" s="1" t="s">
        <v>9</v>
      </c>
    </row>
    <row r="837" spans="7:11" x14ac:dyDescent="0.25">
      <c r="G837" t="s">
        <v>104</v>
      </c>
      <c r="H837" t="s">
        <v>99</v>
      </c>
      <c r="I837">
        <v>1.5</v>
      </c>
      <c r="J837">
        <v>2.63</v>
      </c>
      <c r="K837" s="1" t="s">
        <v>9</v>
      </c>
    </row>
    <row r="838" spans="7:11" x14ac:dyDescent="0.25">
      <c r="G838" t="s">
        <v>104</v>
      </c>
      <c r="H838" t="s">
        <v>99</v>
      </c>
      <c r="I838">
        <v>1.5</v>
      </c>
      <c r="J838">
        <v>2.65</v>
      </c>
      <c r="K838" s="1" t="s">
        <v>9</v>
      </c>
    </row>
    <row r="839" spans="7:11" x14ac:dyDescent="0.25">
      <c r="G839" t="s">
        <v>104</v>
      </c>
      <c r="H839" t="s">
        <v>99</v>
      </c>
      <c r="I839">
        <v>1.5</v>
      </c>
      <c r="J839">
        <v>2.7</v>
      </c>
      <c r="K839" s="1" t="s">
        <v>9</v>
      </c>
    </row>
    <row r="840" spans="7:11" x14ac:dyDescent="0.25">
      <c r="G840" t="s">
        <v>104</v>
      </c>
      <c r="H840" t="s">
        <v>99</v>
      </c>
      <c r="I840">
        <v>1.5</v>
      </c>
      <c r="J840">
        <v>2.65</v>
      </c>
      <c r="K840" s="1" t="s">
        <v>9</v>
      </c>
    </row>
    <row r="841" spans="7:11" x14ac:dyDescent="0.25">
      <c r="G841" t="s">
        <v>104</v>
      </c>
      <c r="H841" t="s">
        <v>99</v>
      </c>
      <c r="I841">
        <v>1.5</v>
      </c>
      <c r="J841">
        <v>2.65</v>
      </c>
      <c r="K841" s="1" t="s">
        <v>9</v>
      </c>
    </row>
    <row r="842" spans="7:11" x14ac:dyDescent="0.25">
      <c r="G842" t="s">
        <v>105</v>
      </c>
      <c r="H842" t="s">
        <v>99</v>
      </c>
      <c r="I842">
        <v>4.8499999999999996</v>
      </c>
      <c r="J842">
        <v>1.2</v>
      </c>
      <c r="K842" s="1" t="s">
        <v>9</v>
      </c>
    </row>
    <row r="843" spans="7:11" x14ac:dyDescent="0.25">
      <c r="G843" t="s">
        <v>105</v>
      </c>
      <c r="H843" t="s">
        <v>99</v>
      </c>
      <c r="I843">
        <v>4.4000000000000004</v>
      </c>
      <c r="J843">
        <v>1.23</v>
      </c>
      <c r="K843" s="1" t="s">
        <v>9</v>
      </c>
    </row>
    <row r="844" spans="7:11" x14ac:dyDescent="0.25">
      <c r="G844" t="s">
        <v>105</v>
      </c>
      <c r="H844" t="s">
        <v>99</v>
      </c>
      <c r="I844">
        <v>4.75</v>
      </c>
      <c r="J844">
        <v>1.2</v>
      </c>
      <c r="K844" s="1" t="s">
        <v>9</v>
      </c>
    </row>
    <row r="845" spans="7:11" x14ac:dyDescent="0.25">
      <c r="G845" t="s">
        <v>105</v>
      </c>
      <c r="H845" t="s">
        <v>99</v>
      </c>
      <c r="I845">
        <v>4.5999999999999996</v>
      </c>
      <c r="J845">
        <v>1.21</v>
      </c>
      <c r="K845" s="1" t="s">
        <v>9</v>
      </c>
    </row>
    <row r="846" spans="7:11" x14ac:dyDescent="0.25">
      <c r="G846" t="s">
        <v>105</v>
      </c>
      <c r="H846" t="s">
        <v>99</v>
      </c>
      <c r="I846">
        <v>4.5999999999999996</v>
      </c>
      <c r="J846">
        <v>1.21</v>
      </c>
      <c r="K846" s="1" t="s">
        <v>9</v>
      </c>
    </row>
    <row r="847" spans="7:11" x14ac:dyDescent="0.25">
      <c r="G847" t="s">
        <v>105</v>
      </c>
      <c r="H847" t="s">
        <v>99</v>
      </c>
      <c r="I847">
        <v>4.5999999999999996</v>
      </c>
      <c r="J847">
        <v>1.22</v>
      </c>
      <c r="K847" s="1" t="s">
        <v>9</v>
      </c>
    </row>
    <row r="848" spans="7:11" x14ac:dyDescent="0.25">
      <c r="G848" t="s">
        <v>105</v>
      </c>
      <c r="H848" t="s">
        <v>99</v>
      </c>
      <c r="I848">
        <v>4.5999999999999996</v>
      </c>
      <c r="J848">
        <v>1.22</v>
      </c>
      <c r="K848" s="1" t="s">
        <v>9</v>
      </c>
    </row>
    <row r="849" spans="7:11" x14ac:dyDescent="0.25">
      <c r="G849" t="s">
        <v>105</v>
      </c>
      <c r="H849" t="s">
        <v>99</v>
      </c>
      <c r="I849">
        <v>4.5999999999999996</v>
      </c>
      <c r="J849">
        <v>1.21</v>
      </c>
      <c r="K849" s="1" t="s">
        <v>9</v>
      </c>
    </row>
    <row r="850" spans="7:11" x14ac:dyDescent="0.25">
      <c r="G850" t="s">
        <v>105</v>
      </c>
      <c r="H850" t="s">
        <v>99</v>
      </c>
      <c r="I850">
        <v>4.5999999999999996</v>
      </c>
      <c r="J850">
        <v>1.21</v>
      </c>
      <c r="K850" s="1" t="s">
        <v>9</v>
      </c>
    </row>
    <row r="851" spans="7:11" x14ac:dyDescent="0.25">
      <c r="G851" t="s">
        <v>105</v>
      </c>
      <c r="H851" t="s">
        <v>99</v>
      </c>
      <c r="I851">
        <v>4.5999999999999996</v>
      </c>
      <c r="J851">
        <v>1.21</v>
      </c>
      <c r="K851" s="1" t="s">
        <v>9</v>
      </c>
    </row>
    <row r="852" spans="7:11" x14ac:dyDescent="0.25">
      <c r="G852" t="s">
        <v>105</v>
      </c>
      <c r="H852" t="s">
        <v>99</v>
      </c>
      <c r="I852">
        <v>4.75</v>
      </c>
      <c r="J852">
        <v>1.2</v>
      </c>
      <c r="K852" s="1" t="s">
        <v>9</v>
      </c>
    </row>
    <row r="853" spans="7:11" x14ac:dyDescent="0.25">
      <c r="G853" t="s">
        <v>105</v>
      </c>
      <c r="H853" t="s">
        <v>99</v>
      </c>
      <c r="I853">
        <v>4.45</v>
      </c>
      <c r="J853">
        <v>1.21</v>
      </c>
      <c r="K853" s="1" t="s">
        <v>9</v>
      </c>
    </row>
    <row r="854" spans="7:11" x14ac:dyDescent="0.25">
      <c r="G854" t="s">
        <v>105</v>
      </c>
      <c r="H854" t="s">
        <v>99</v>
      </c>
      <c r="I854">
        <v>4.75</v>
      </c>
      <c r="J854">
        <v>1.2</v>
      </c>
      <c r="K854" s="1" t="s">
        <v>9</v>
      </c>
    </row>
    <row r="855" spans="7:11" x14ac:dyDescent="0.25">
      <c r="G855" t="s">
        <v>105</v>
      </c>
      <c r="H855" t="s">
        <v>99</v>
      </c>
      <c r="I855">
        <v>4.75</v>
      </c>
      <c r="J855">
        <v>1.2</v>
      </c>
      <c r="K855" s="1" t="s">
        <v>9</v>
      </c>
    </row>
    <row r="856" spans="7:11" x14ac:dyDescent="0.25">
      <c r="G856" t="s">
        <v>106</v>
      </c>
      <c r="H856" t="s">
        <v>99</v>
      </c>
      <c r="I856">
        <v>4.4000000000000004</v>
      </c>
      <c r="J856">
        <v>1.23</v>
      </c>
      <c r="K856" s="1" t="s">
        <v>9</v>
      </c>
    </row>
    <row r="857" spans="7:11" x14ac:dyDescent="0.25">
      <c r="G857" t="s">
        <v>106</v>
      </c>
      <c r="H857" t="s">
        <v>99</v>
      </c>
      <c r="I857">
        <v>4.5</v>
      </c>
      <c r="J857">
        <v>1.22</v>
      </c>
      <c r="K857" s="1" t="s">
        <v>9</v>
      </c>
    </row>
    <row r="858" spans="7:11" x14ac:dyDescent="0.25">
      <c r="G858" t="s">
        <v>106</v>
      </c>
      <c r="H858" t="s">
        <v>99</v>
      </c>
      <c r="I858">
        <v>4.75</v>
      </c>
      <c r="J858">
        <v>1.2</v>
      </c>
      <c r="K858" s="1" t="s">
        <v>9</v>
      </c>
    </row>
    <row r="859" spans="7:11" x14ac:dyDescent="0.25">
      <c r="G859" t="s">
        <v>106</v>
      </c>
      <c r="H859" t="s">
        <v>99</v>
      </c>
      <c r="I859">
        <v>4.8499999999999996</v>
      </c>
      <c r="J859">
        <v>1.2</v>
      </c>
      <c r="K859" s="1" t="s">
        <v>9</v>
      </c>
    </row>
    <row r="860" spans="7:11" x14ac:dyDescent="0.25">
      <c r="G860" t="s">
        <v>106</v>
      </c>
      <c r="H860" t="s">
        <v>99</v>
      </c>
      <c r="I860">
        <v>4.5999999999999996</v>
      </c>
      <c r="J860">
        <v>1.21</v>
      </c>
      <c r="K860" s="1" t="s">
        <v>9</v>
      </c>
    </row>
    <row r="861" spans="7:11" x14ac:dyDescent="0.25">
      <c r="G861" t="s">
        <v>106</v>
      </c>
      <c r="H861" t="s">
        <v>99</v>
      </c>
      <c r="I861">
        <v>4.95</v>
      </c>
      <c r="J861">
        <v>1.2</v>
      </c>
      <c r="K861" s="1" t="s">
        <v>9</v>
      </c>
    </row>
    <row r="862" spans="7:11" x14ac:dyDescent="0.25">
      <c r="G862" t="s">
        <v>106</v>
      </c>
      <c r="H862" t="s">
        <v>99</v>
      </c>
      <c r="I862">
        <v>4.95</v>
      </c>
      <c r="J862">
        <v>1.2</v>
      </c>
      <c r="K862" s="1" t="s">
        <v>9</v>
      </c>
    </row>
    <row r="863" spans="7:11" x14ac:dyDescent="0.25">
      <c r="G863" t="s">
        <v>106</v>
      </c>
      <c r="H863" t="s">
        <v>99</v>
      </c>
      <c r="I863">
        <v>4.75</v>
      </c>
      <c r="J863">
        <v>1.2</v>
      </c>
      <c r="K863" s="1" t="s">
        <v>9</v>
      </c>
    </row>
    <row r="864" spans="7:11" x14ac:dyDescent="0.25">
      <c r="G864" t="s">
        <v>106</v>
      </c>
      <c r="H864" t="s">
        <v>99</v>
      </c>
      <c r="I864">
        <v>4.75</v>
      </c>
      <c r="J864">
        <v>1.2</v>
      </c>
      <c r="K864" s="1" t="s">
        <v>9</v>
      </c>
    </row>
    <row r="865" spans="7:11" x14ac:dyDescent="0.25">
      <c r="G865" t="s">
        <v>106</v>
      </c>
      <c r="H865" t="s">
        <v>99</v>
      </c>
      <c r="I865">
        <v>4.75</v>
      </c>
      <c r="J865">
        <v>1.2</v>
      </c>
      <c r="K865" s="1" t="s">
        <v>9</v>
      </c>
    </row>
    <row r="866" spans="7:11" x14ac:dyDescent="0.25">
      <c r="G866" t="s">
        <v>106</v>
      </c>
      <c r="H866" t="s">
        <v>99</v>
      </c>
      <c r="I866">
        <v>4.75</v>
      </c>
      <c r="J866">
        <v>1.2</v>
      </c>
      <c r="K866" s="1" t="s">
        <v>9</v>
      </c>
    </row>
    <row r="867" spans="7:11" x14ac:dyDescent="0.25">
      <c r="G867" t="s">
        <v>106</v>
      </c>
      <c r="H867" t="s">
        <v>99</v>
      </c>
      <c r="I867">
        <v>5</v>
      </c>
      <c r="J867">
        <v>1.18</v>
      </c>
      <c r="K867" s="1" t="s">
        <v>9</v>
      </c>
    </row>
    <row r="868" spans="7:11" x14ac:dyDescent="0.25">
      <c r="G868" t="s">
        <v>106</v>
      </c>
      <c r="H868" t="s">
        <v>99</v>
      </c>
      <c r="I868">
        <v>4.45</v>
      </c>
      <c r="J868">
        <v>1.21</v>
      </c>
      <c r="K868" s="1" t="s">
        <v>9</v>
      </c>
    </row>
    <row r="869" spans="7:11" x14ac:dyDescent="0.25">
      <c r="G869" t="s">
        <v>106</v>
      </c>
      <c r="H869" t="s">
        <v>99</v>
      </c>
      <c r="I869">
        <v>4.75</v>
      </c>
      <c r="J869">
        <v>1.2</v>
      </c>
      <c r="K869" s="1" t="s">
        <v>9</v>
      </c>
    </row>
    <row r="870" spans="7:11" x14ac:dyDescent="0.25">
      <c r="G870" t="s">
        <v>107</v>
      </c>
      <c r="H870" t="s">
        <v>108</v>
      </c>
      <c r="I870">
        <v>1.1499999999999999</v>
      </c>
      <c r="J870">
        <v>5.9</v>
      </c>
      <c r="K870" s="1" t="s">
        <v>9</v>
      </c>
    </row>
    <row r="871" spans="7:11" x14ac:dyDescent="0.25">
      <c r="G871" t="s">
        <v>107</v>
      </c>
      <c r="H871" t="s">
        <v>108</v>
      </c>
      <c r="I871">
        <v>1.17</v>
      </c>
      <c r="J871">
        <v>5.25</v>
      </c>
      <c r="K871" s="1" t="s">
        <v>9</v>
      </c>
    </row>
    <row r="872" spans="7:11" x14ac:dyDescent="0.25">
      <c r="G872" t="s">
        <v>107</v>
      </c>
      <c r="H872" t="s">
        <v>108</v>
      </c>
      <c r="I872">
        <v>1.1399999999999999</v>
      </c>
      <c r="J872">
        <v>5.75</v>
      </c>
      <c r="K872" s="1" t="s">
        <v>9</v>
      </c>
    </row>
    <row r="873" spans="7:11" x14ac:dyDescent="0.25">
      <c r="G873" t="s">
        <v>107</v>
      </c>
      <c r="H873" t="s">
        <v>108</v>
      </c>
      <c r="I873">
        <v>1.1499999999999999</v>
      </c>
      <c r="J873">
        <v>5.8</v>
      </c>
      <c r="K873" s="1" t="s">
        <v>9</v>
      </c>
    </row>
    <row r="874" spans="7:11" x14ac:dyDescent="0.25">
      <c r="G874" t="s">
        <v>107</v>
      </c>
      <c r="H874" t="s">
        <v>108</v>
      </c>
      <c r="I874">
        <v>1.1499999999999999</v>
      </c>
      <c r="J874">
        <v>5.6</v>
      </c>
      <c r="K874" s="1" t="s">
        <v>9</v>
      </c>
    </row>
    <row r="875" spans="7:11" x14ac:dyDescent="0.25">
      <c r="G875" t="s">
        <v>107</v>
      </c>
      <c r="H875" t="s">
        <v>108</v>
      </c>
      <c r="I875">
        <v>1.1599999999999999</v>
      </c>
      <c r="J875">
        <v>5.8</v>
      </c>
      <c r="K875" s="1" t="s">
        <v>9</v>
      </c>
    </row>
    <row r="876" spans="7:11" x14ac:dyDescent="0.25">
      <c r="G876" t="s">
        <v>107</v>
      </c>
      <c r="H876" t="s">
        <v>108</v>
      </c>
      <c r="I876">
        <v>1.1599999999999999</v>
      </c>
      <c r="J876">
        <v>5.8</v>
      </c>
      <c r="K876" s="1" t="s">
        <v>9</v>
      </c>
    </row>
    <row r="877" spans="7:11" x14ac:dyDescent="0.25">
      <c r="G877" t="s">
        <v>107</v>
      </c>
      <c r="H877" t="s">
        <v>108</v>
      </c>
      <c r="I877">
        <v>1.17</v>
      </c>
      <c r="J877">
        <v>5.25</v>
      </c>
      <c r="K877" s="1" t="s">
        <v>9</v>
      </c>
    </row>
    <row r="878" spans="7:11" x14ac:dyDescent="0.25">
      <c r="G878" t="s">
        <v>107</v>
      </c>
      <c r="H878" t="s">
        <v>108</v>
      </c>
      <c r="I878">
        <v>1.17</v>
      </c>
      <c r="J878">
        <v>5.25</v>
      </c>
      <c r="K878" s="1" t="s">
        <v>9</v>
      </c>
    </row>
    <row r="879" spans="7:11" x14ac:dyDescent="0.25">
      <c r="G879" t="s">
        <v>107</v>
      </c>
      <c r="H879" t="s">
        <v>108</v>
      </c>
      <c r="I879">
        <v>1.17</v>
      </c>
      <c r="J879">
        <v>5.25</v>
      </c>
      <c r="K879" s="1" t="s">
        <v>9</v>
      </c>
    </row>
    <row r="880" spans="7:11" x14ac:dyDescent="0.25">
      <c r="G880" t="s">
        <v>107</v>
      </c>
      <c r="H880" t="s">
        <v>108</v>
      </c>
      <c r="I880">
        <v>1.1499999999999999</v>
      </c>
      <c r="J880">
        <v>5.5</v>
      </c>
      <c r="K880" s="1" t="s">
        <v>9</v>
      </c>
    </row>
    <row r="881" spans="7:11" x14ac:dyDescent="0.25">
      <c r="G881" t="s">
        <v>107</v>
      </c>
      <c r="H881" t="s">
        <v>108</v>
      </c>
      <c r="I881">
        <v>1.17</v>
      </c>
      <c r="J881">
        <v>5.0999999999999996</v>
      </c>
      <c r="K881" s="1" t="s">
        <v>9</v>
      </c>
    </row>
    <row r="882" spans="7:11" x14ac:dyDescent="0.25">
      <c r="G882" t="s">
        <v>107</v>
      </c>
      <c r="H882" t="s">
        <v>108</v>
      </c>
      <c r="I882">
        <v>1.1599999999999999</v>
      </c>
      <c r="J882">
        <v>5.5</v>
      </c>
      <c r="K882" s="1" t="s">
        <v>9</v>
      </c>
    </row>
    <row r="883" spans="7:11" x14ac:dyDescent="0.25">
      <c r="G883" t="s">
        <v>107</v>
      </c>
      <c r="H883" t="s">
        <v>108</v>
      </c>
      <c r="I883">
        <v>1.17</v>
      </c>
      <c r="J883">
        <v>5.25</v>
      </c>
      <c r="K883" s="1" t="s">
        <v>9</v>
      </c>
    </row>
    <row r="884" spans="7:11" x14ac:dyDescent="0.25">
      <c r="G884" t="s">
        <v>109</v>
      </c>
      <c r="H884" t="s">
        <v>110</v>
      </c>
      <c r="I884">
        <v>1.3</v>
      </c>
      <c r="J884">
        <v>3.7</v>
      </c>
      <c r="K884" s="1" t="s">
        <v>9</v>
      </c>
    </row>
    <row r="885" spans="7:11" x14ac:dyDescent="0.25">
      <c r="G885" t="s">
        <v>109</v>
      </c>
      <c r="H885" t="s">
        <v>110</v>
      </c>
      <c r="I885">
        <v>1.34</v>
      </c>
      <c r="J885">
        <v>3.4</v>
      </c>
      <c r="K885" s="1" t="s">
        <v>9</v>
      </c>
    </row>
    <row r="886" spans="7:11" x14ac:dyDescent="0.25">
      <c r="G886" t="s">
        <v>109</v>
      </c>
      <c r="H886" t="s">
        <v>110</v>
      </c>
      <c r="I886">
        <v>1.32</v>
      </c>
      <c r="J886">
        <v>3.6</v>
      </c>
      <c r="K886" s="1" t="s">
        <v>9</v>
      </c>
    </row>
    <row r="887" spans="7:11" x14ac:dyDescent="0.25">
      <c r="G887" t="s">
        <v>109</v>
      </c>
      <c r="H887" t="s">
        <v>110</v>
      </c>
      <c r="I887">
        <v>1.32</v>
      </c>
      <c r="J887">
        <v>3.65</v>
      </c>
      <c r="K887" s="1" t="s">
        <v>9</v>
      </c>
    </row>
    <row r="888" spans="7:11" x14ac:dyDescent="0.25">
      <c r="G888" t="s">
        <v>109</v>
      </c>
      <c r="H888" t="s">
        <v>110</v>
      </c>
      <c r="I888">
        <v>1.32</v>
      </c>
      <c r="J888">
        <v>3.65</v>
      </c>
      <c r="K888" s="1" t="s">
        <v>9</v>
      </c>
    </row>
    <row r="889" spans="7:11" x14ac:dyDescent="0.25">
      <c r="G889" t="s">
        <v>109</v>
      </c>
      <c r="H889" t="s">
        <v>110</v>
      </c>
      <c r="I889">
        <v>1.3</v>
      </c>
      <c r="J889">
        <v>3.6</v>
      </c>
      <c r="K889" s="1" t="s">
        <v>9</v>
      </c>
    </row>
    <row r="890" spans="7:11" x14ac:dyDescent="0.25">
      <c r="G890" t="s">
        <v>109</v>
      </c>
      <c r="H890" t="s">
        <v>110</v>
      </c>
      <c r="I890">
        <v>1.3</v>
      </c>
      <c r="J890">
        <v>3.6</v>
      </c>
      <c r="K890" s="1" t="s">
        <v>9</v>
      </c>
    </row>
    <row r="891" spans="7:11" x14ac:dyDescent="0.25">
      <c r="G891" t="s">
        <v>109</v>
      </c>
      <c r="H891" t="s">
        <v>110</v>
      </c>
      <c r="I891">
        <v>1.32</v>
      </c>
      <c r="J891">
        <v>3.5</v>
      </c>
      <c r="K891" s="1" t="s">
        <v>9</v>
      </c>
    </row>
    <row r="892" spans="7:11" x14ac:dyDescent="0.25">
      <c r="G892" t="s">
        <v>109</v>
      </c>
      <c r="H892" t="s">
        <v>110</v>
      </c>
      <c r="I892">
        <v>1.32</v>
      </c>
      <c r="J892">
        <v>3.5</v>
      </c>
      <c r="K892" s="1" t="s">
        <v>9</v>
      </c>
    </row>
    <row r="893" spans="7:11" x14ac:dyDescent="0.25">
      <c r="G893" t="s">
        <v>109</v>
      </c>
      <c r="H893" t="s">
        <v>110</v>
      </c>
      <c r="I893">
        <v>1.32</v>
      </c>
      <c r="J893">
        <v>3.5</v>
      </c>
      <c r="K893" s="1" t="s">
        <v>9</v>
      </c>
    </row>
    <row r="894" spans="7:11" x14ac:dyDescent="0.25">
      <c r="G894" t="s">
        <v>109</v>
      </c>
      <c r="H894" t="s">
        <v>110</v>
      </c>
      <c r="I894">
        <v>1.3</v>
      </c>
      <c r="J894">
        <v>3.65</v>
      </c>
      <c r="K894" s="1" t="s">
        <v>9</v>
      </c>
    </row>
    <row r="895" spans="7:11" x14ac:dyDescent="0.25">
      <c r="G895" t="s">
        <v>109</v>
      </c>
      <c r="H895" t="s">
        <v>110</v>
      </c>
      <c r="I895">
        <v>1.29</v>
      </c>
      <c r="J895">
        <v>3.6</v>
      </c>
      <c r="K895" s="1" t="s">
        <v>9</v>
      </c>
    </row>
    <row r="896" spans="7:11" x14ac:dyDescent="0.25">
      <c r="G896" t="s">
        <v>109</v>
      </c>
      <c r="H896" t="s">
        <v>110</v>
      </c>
      <c r="I896">
        <v>1.33</v>
      </c>
      <c r="J896">
        <v>3.4</v>
      </c>
      <c r="K896" s="1" t="s">
        <v>9</v>
      </c>
    </row>
    <row r="897" spans="7:11" x14ac:dyDescent="0.25">
      <c r="G897" t="s">
        <v>109</v>
      </c>
      <c r="H897" t="s">
        <v>110</v>
      </c>
      <c r="I897">
        <v>1.29</v>
      </c>
      <c r="J897">
        <v>3.65</v>
      </c>
      <c r="K897" s="1" t="s">
        <v>9</v>
      </c>
    </row>
    <row r="898" spans="7:11" x14ac:dyDescent="0.25">
      <c r="G898" t="s">
        <v>111</v>
      </c>
      <c r="H898" t="s">
        <v>110</v>
      </c>
      <c r="I898">
        <v>1.98</v>
      </c>
      <c r="J898">
        <v>1.86</v>
      </c>
      <c r="K898" s="1" t="s">
        <v>9</v>
      </c>
    </row>
    <row r="899" spans="7:11" x14ac:dyDescent="0.25">
      <c r="G899" t="s">
        <v>111</v>
      </c>
      <c r="H899" t="s">
        <v>110</v>
      </c>
      <c r="I899">
        <v>1.93</v>
      </c>
      <c r="J899">
        <v>1.89</v>
      </c>
      <c r="K899" s="1" t="s">
        <v>9</v>
      </c>
    </row>
    <row r="900" spans="7:11" x14ac:dyDescent="0.25">
      <c r="G900" t="s">
        <v>111</v>
      </c>
      <c r="H900" t="s">
        <v>110</v>
      </c>
      <c r="I900">
        <v>1.95</v>
      </c>
      <c r="J900">
        <v>1.87</v>
      </c>
      <c r="K900" s="1" t="s">
        <v>9</v>
      </c>
    </row>
    <row r="901" spans="7:11" x14ac:dyDescent="0.25">
      <c r="G901" t="s">
        <v>111</v>
      </c>
      <c r="H901" t="s">
        <v>110</v>
      </c>
      <c r="I901">
        <v>1.95</v>
      </c>
      <c r="J901">
        <v>1.87</v>
      </c>
      <c r="K901" s="1" t="s">
        <v>9</v>
      </c>
    </row>
    <row r="902" spans="7:11" x14ac:dyDescent="0.25">
      <c r="G902" t="s">
        <v>111</v>
      </c>
      <c r="H902" t="s">
        <v>110</v>
      </c>
      <c r="I902">
        <v>1.94</v>
      </c>
      <c r="J902">
        <v>1.87</v>
      </c>
      <c r="K902" s="1" t="s">
        <v>9</v>
      </c>
    </row>
    <row r="903" spans="7:11" x14ac:dyDescent="0.25">
      <c r="G903" t="s">
        <v>111</v>
      </c>
      <c r="H903" t="s">
        <v>110</v>
      </c>
      <c r="I903">
        <v>1.94</v>
      </c>
      <c r="J903">
        <v>1.87</v>
      </c>
      <c r="K903" s="1" t="s">
        <v>9</v>
      </c>
    </row>
    <row r="904" spans="7:11" x14ac:dyDescent="0.25">
      <c r="G904" t="s">
        <v>111</v>
      </c>
      <c r="H904" t="s">
        <v>110</v>
      </c>
      <c r="I904">
        <v>1.94</v>
      </c>
      <c r="J904">
        <v>1.87</v>
      </c>
      <c r="K904" s="1" t="s">
        <v>9</v>
      </c>
    </row>
    <row r="905" spans="7:11" x14ac:dyDescent="0.25">
      <c r="G905" t="s">
        <v>111</v>
      </c>
      <c r="H905" t="s">
        <v>110</v>
      </c>
      <c r="I905">
        <v>2</v>
      </c>
      <c r="J905">
        <v>1.83</v>
      </c>
      <c r="K905" s="1" t="s">
        <v>9</v>
      </c>
    </row>
    <row r="906" spans="7:11" x14ac:dyDescent="0.25">
      <c r="G906" t="s">
        <v>111</v>
      </c>
      <c r="H906" t="s">
        <v>110</v>
      </c>
      <c r="I906">
        <v>1.95</v>
      </c>
      <c r="J906">
        <v>1.87</v>
      </c>
      <c r="K906" s="1" t="s">
        <v>9</v>
      </c>
    </row>
    <row r="907" spans="7:11" x14ac:dyDescent="0.25">
      <c r="G907" t="s">
        <v>111</v>
      </c>
      <c r="H907" t="s">
        <v>110</v>
      </c>
      <c r="I907">
        <v>2</v>
      </c>
      <c r="J907">
        <v>1.83</v>
      </c>
      <c r="K907" s="1" t="s">
        <v>9</v>
      </c>
    </row>
    <row r="908" spans="7:11" x14ac:dyDescent="0.25">
      <c r="G908" t="s">
        <v>111</v>
      </c>
      <c r="H908" t="s">
        <v>110</v>
      </c>
      <c r="I908">
        <v>1.87</v>
      </c>
      <c r="J908">
        <v>1.95</v>
      </c>
      <c r="K908" s="1" t="s">
        <v>9</v>
      </c>
    </row>
    <row r="909" spans="7:11" x14ac:dyDescent="0.25">
      <c r="G909" t="s">
        <v>112</v>
      </c>
      <c r="H909" t="s">
        <v>113</v>
      </c>
      <c r="I909">
        <v>1.77</v>
      </c>
      <c r="J909">
        <v>2.1</v>
      </c>
      <c r="K909" s="1" t="s">
        <v>9</v>
      </c>
    </row>
    <row r="910" spans="7:11" x14ac:dyDescent="0.25">
      <c r="G910" t="s">
        <v>112</v>
      </c>
      <c r="H910" t="s">
        <v>113</v>
      </c>
      <c r="I910">
        <v>1.77</v>
      </c>
      <c r="J910">
        <v>2.1</v>
      </c>
      <c r="K910" s="1" t="s">
        <v>9</v>
      </c>
    </row>
    <row r="911" spans="7:11" x14ac:dyDescent="0.25">
      <c r="G911" t="s">
        <v>112</v>
      </c>
      <c r="H911" t="s">
        <v>113</v>
      </c>
      <c r="I911">
        <v>1.77</v>
      </c>
      <c r="J911">
        <v>2.1</v>
      </c>
      <c r="K911" s="1" t="s">
        <v>9</v>
      </c>
    </row>
    <row r="912" spans="7:11" x14ac:dyDescent="0.25">
      <c r="G912" t="s">
        <v>112</v>
      </c>
      <c r="H912" t="s">
        <v>113</v>
      </c>
      <c r="I912">
        <v>1.77</v>
      </c>
      <c r="J912">
        <v>2.1</v>
      </c>
      <c r="K912" s="1" t="s">
        <v>9</v>
      </c>
    </row>
    <row r="913" spans="7:11" x14ac:dyDescent="0.25">
      <c r="G913" t="s">
        <v>112</v>
      </c>
      <c r="H913" t="s">
        <v>113</v>
      </c>
      <c r="I913">
        <v>1.77</v>
      </c>
      <c r="J913">
        <v>2.1</v>
      </c>
      <c r="K913" s="1" t="s">
        <v>9</v>
      </c>
    </row>
    <row r="914" spans="7:11" x14ac:dyDescent="0.25">
      <c r="G914" t="s">
        <v>112</v>
      </c>
      <c r="H914" t="s">
        <v>113</v>
      </c>
      <c r="I914">
        <v>1.77</v>
      </c>
      <c r="J914">
        <v>2.1</v>
      </c>
      <c r="K914" s="1" t="s">
        <v>9</v>
      </c>
    </row>
    <row r="915" spans="7:11" x14ac:dyDescent="0.25">
      <c r="G915" t="s">
        <v>112</v>
      </c>
      <c r="H915" t="s">
        <v>113</v>
      </c>
      <c r="I915">
        <v>1.77</v>
      </c>
      <c r="J915">
        <v>2.1</v>
      </c>
      <c r="K915" s="1" t="s">
        <v>9</v>
      </c>
    </row>
    <row r="916" spans="7:11" x14ac:dyDescent="0.25">
      <c r="G916" t="s">
        <v>112</v>
      </c>
      <c r="H916" t="s">
        <v>113</v>
      </c>
      <c r="I916">
        <v>1.73</v>
      </c>
      <c r="J916">
        <v>2.14</v>
      </c>
      <c r="K916" s="1" t="s">
        <v>9</v>
      </c>
    </row>
    <row r="917" spans="7:11" x14ac:dyDescent="0.25">
      <c r="G917" t="s">
        <v>112</v>
      </c>
      <c r="H917" t="s">
        <v>113</v>
      </c>
      <c r="I917">
        <v>1.73</v>
      </c>
      <c r="J917">
        <v>2.14</v>
      </c>
      <c r="K917" s="1" t="s">
        <v>9</v>
      </c>
    </row>
    <row r="918" spans="7:11" x14ac:dyDescent="0.25">
      <c r="G918" t="s">
        <v>112</v>
      </c>
      <c r="H918" t="s">
        <v>113</v>
      </c>
      <c r="I918">
        <v>1.73</v>
      </c>
      <c r="J918">
        <v>2.14</v>
      </c>
      <c r="K918" s="1" t="s">
        <v>9</v>
      </c>
    </row>
    <row r="919" spans="7:11" x14ac:dyDescent="0.25">
      <c r="G919" t="s">
        <v>112</v>
      </c>
      <c r="H919" t="s">
        <v>113</v>
      </c>
      <c r="I919">
        <v>1.77</v>
      </c>
      <c r="J919">
        <v>2.1</v>
      </c>
      <c r="K919" s="1" t="s">
        <v>9</v>
      </c>
    </row>
    <row r="920" spans="7:11" x14ac:dyDescent="0.25">
      <c r="G920" t="s">
        <v>112</v>
      </c>
      <c r="H920" t="s">
        <v>113</v>
      </c>
      <c r="I920">
        <v>1.77</v>
      </c>
      <c r="J920">
        <v>2.1</v>
      </c>
      <c r="K920" s="1" t="s">
        <v>9</v>
      </c>
    </row>
    <row r="921" spans="7:11" x14ac:dyDescent="0.25">
      <c r="G921" t="s">
        <v>112</v>
      </c>
      <c r="H921" t="s">
        <v>113</v>
      </c>
      <c r="I921">
        <v>1.77</v>
      </c>
      <c r="J921">
        <v>2.1</v>
      </c>
      <c r="K921" s="1" t="s">
        <v>9</v>
      </c>
    </row>
    <row r="922" spans="7:11" x14ac:dyDescent="0.25">
      <c r="G922" t="s">
        <v>112</v>
      </c>
      <c r="H922" t="s">
        <v>113</v>
      </c>
      <c r="I922">
        <v>1.74</v>
      </c>
      <c r="J922">
        <v>2.15</v>
      </c>
      <c r="K922" s="1" t="s">
        <v>9</v>
      </c>
    </row>
    <row r="923" spans="7:11" x14ac:dyDescent="0.25">
      <c r="G923" t="s">
        <v>114</v>
      </c>
      <c r="H923" t="s">
        <v>115</v>
      </c>
      <c r="I923">
        <v>1.65</v>
      </c>
      <c r="J923">
        <v>2.2999999999999998</v>
      </c>
      <c r="K923" s="1" t="s">
        <v>9</v>
      </c>
    </row>
    <row r="924" spans="7:11" x14ac:dyDescent="0.25">
      <c r="G924" t="s">
        <v>114</v>
      </c>
      <c r="H924" t="s">
        <v>115</v>
      </c>
      <c r="I924">
        <v>1.68</v>
      </c>
      <c r="J924">
        <v>2.2400000000000002</v>
      </c>
      <c r="K924" s="1" t="s">
        <v>9</v>
      </c>
    </row>
    <row r="925" spans="7:11" x14ac:dyDescent="0.25">
      <c r="G925" t="s">
        <v>114</v>
      </c>
      <c r="H925" t="s">
        <v>115</v>
      </c>
      <c r="I925">
        <v>1.67</v>
      </c>
      <c r="J925">
        <v>2.2999999999999998</v>
      </c>
      <c r="K925" s="1" t="s">
        <v>9</v>
      </c>
    </row>
    <row r="926" spans="7:11" x14ac:dyDescent="0.25">
      <c r="G926" t="s">
        <v>114</v>
      </c>
      <c r="H926" t="s">
        <v>115</v>
      </c>
      <c r="I926">
        <v>1.67</v>
      </c>
      <c r="J926">
        <v>2.2999999999999998</v>
      </c>
      <c r="K926" s="1" t="s">
        <v>9</v>
      </c>
    </row>
    <row r="927" spans="7:11" x14ac:dyDescent="0.25">
      <c r="G927" t="s">
        <v>114</v>
      </c>
      <c r="H927" t="s">
        <v>115</v>
      </c>
      <c r="I927">
        <v>1.65</v>
      </c>
      <c r="J927">
        <v>2.35</v>
      </c>
      <c r="K927" s="1" t="s">
        <v>9</v>
      </c>
    </row>
    <row r="928" spans="7:11" x14ac:dyDescent="0.25">
      <c r="G928" t="s">
        <v>114</v>
      </c>
      <c r="H928" t="s">
        <v>115</v>
      </c>
      <c r="I928">
        <v>1.64</v>
      </c>
      <c r="J928">
        <v>2.35</v>
      </c>
      <c r="K928" s="1" t="s">
        <v>9</v>
      </c>
    </row>
    <row r="929" spans="7:11" x14ac:dyDescent="0.25">
      <c r="G929" t="s">
        <v>114</v>
      </c>
      <c r="H929" t="s">
        <v>115</v>
      </c>
      <c r="I929">
        <v>1.65</v>
      </c>
      <c r="J929">
        <v>2.2999999999999998</v>
      </c>
      <c r="K929" s="1" t="s">
        <v>9</v>
      </c>
    </row>
    <row r="930" spans="7:11" x14ac:dyDescent="0.25">
      <c r="G930" t="s">
        <v>114</v>
      </c>
      <c r="H930" t="s">
        <v>115</v>
      </c>
      <c r="I930">
        <v>1.64</v>
      </c>
      <c r="J930">
        <v>2.2999999999999998</v>
      </c>
      <c r="K930" s="1" t="s">
        <v>9</v>
      </c>
    </row>
    <row r="931" spans="7:11" x14ac:dyDescent="0.25">
      <c r="G931" t="s">
        <v>114</v>
      </c>
      <c r="H931" t="s">
        <v>115</v>
      </c>
      <c r="I931">
        <v>1.64</v>
      </c>
      <c r="J931">
        <v>2.2999999999999998</v>
      </c>
      <c r="K931" s="1" t="s">
        <v>9</v>
      </c>
    </row>
    <row r="932" spans="7:11" x14ac:dyDescent="0.25">
      <c r="G932" t="s">
        <v>114</v>
      </c>
      <c r="H932" t="s">
        <v>115</v>
      </c>
      <c r="I932">
        <v>1.64</v>
      </c>
      <c r="J932">
        <v>2.2999999999999998</v>
      </c>
      <c r="K932" s="1" t="s">
        <v>9</v>
      </c>
    </row>
    <row r="933" spans="7:11" x14ac:dyDescent="0.25">
      <c r="G933" t="s">
        <v>114</v>
      </c>
      <c r="H933" t="s">
        <v>115</v>
      </c>
      <c r="I933">
        <v>1.67</v>
      </c>
      <c r="J933">
        <v>2.2999999999999998</v>
      </c>
      <c r="K933" s="1" t="s">
        <v>9</v>
      </c>
    </row>
    <row r="934" spans="7:11" x14ac:dyDescent="0.25">
      <c r="G934" t="s">
        <v>114</v>
      </c>
      <c r="H934" t="s">
        <v>115</v>
      </c>
      <c r="I934">
        <v>1.67</v>
      </c>
      <c r="J934">
        <v>2.25</v>
      </c>
      <c r="K934" s="1" t="s">
        <v>9</v>
      </c>
    </row>
    <row r="935" spans="7:11" x14ac:dyDescent="0.25">
      <c r="G935" t="s">
        <v>114</v>
      </c>
      <c r="H935" t="s">
        <v>115</v>
      </c>
      <c r="I935">
        <v>1.62</v>
      </c>
      <c r="J935">
        <v>2.2999999999999998</v>
      </c>
      <c r="K935" s="1" t="s">
        <v>9</v>
      </c>
    </row>
    <row r="936" spans="7:11" x14ac:dyDescent="0.25">
      <c r="G936" t="s">
        <v>114</v>
      </c>
      <c r="H936" t="s">
        <v>115</v>
      </c>
      <c r="I936">
        <v>1.67</v>
      </c>
      <c r="J936">
        <v>2.2999999999999998</v>
      </c>
      <c r="K936" s="1" t="s">
        <v>9</v>
      </c>
    </row>
    <row r="937" spans="7:11" x14ac:dyDescent="0.25">
      <c r="G937" t="s">
        <v>254</v>
      </c>
      <c r="H937" t="s">
        <v>255</v>
      </c>
      <c r="I937">
        <v>1.83</v>
      </c>
      <c r="J937">
        <v>1.91</v>
      </c>
      <c r="K937" t="s">
        <v>10</v>
      </c>
    </row>
    <row r="938" spans="7:11" x14ac:dyDescent="0.25">
      <c r="G938" t="s">
        <v>254</v>
      </c>
      <c r="H938" t="s">
        <v>255</v>
      </c>
      <c r="I938">
        <v>1.85</v>
      </c>
      <c r="J938">
        <v>1.88</v>
      </c>
      <c r="K938" t="s">
        <v>10</v>
      </c>
    </row>
    <row r="939" spans="7:11" x14ac:dyDescent="0.25">
      <c r="G939" t="s">
        <v>254</v>
      </c>
      <c r="H939" t="s">
        <v>255</v>
      </c>
      <c r="I939">
        <v>1.87</v>
      </c>
      <c r="J939">
        <v>1.87</v>
      </c>
      <c r="K939" t="s">
        <v>10</v>
      </c>
    </row>
    <row r="940" spans="7:11" x14ac:dyDescent="0.25">
      <c r="G940" t="s">
        <v>254</v>
      </c>
      <c r="H940" t="s">
        <v>255</v>
      </c>
      <c r="I940">
        <v>1.91</v>
      </c>
      <c r="J940">
        <v>1.91</v>
      </c>
      <c r="K940" t="s">
        <v>10</v>
      </c>
    </row>
    <row r="941" spans="7:11" x14ac:dyDescent="0.25">
      <c r="G941" t="s">
        <v>256</v>
      </c>
      <c r="H941" t="s">
        <v>255</v>
      </c>
      <c r="I941">
        <v>1.17</v>
      </c>
      <c r="J941">
        <v>4.5999999999999996</v>
      </c>
      <c r="K941" t="s">
        <v>10</v>
      </c>
    </row>
    <row r="942" spans="7:11" x14ac:dyDescent="0.25">
      <c r="G942" t="s">
        <v>256</v>
      </c>
      <c r="H942" t="s">
        <v>255</v>
      </c>
      <c r="I942">
        <v>1.2</v>
      </c>
      <c r="J942">
        <v>4.5999999999999996</v>
      </c>
      <c r="K942" t="s">
        <v>10</v>
      </c>
    </row>
    <row r="943" spans="7:11" x14ac:dyDescent="0.25">
      <c r="G943" t="s">
        <v>257</v>
      </c>
      <c r="H943" t="s">
        <v>255</v>
      </c>
      <c r="I943">
        <v>2.25</v>
      </c>
      <c r="J943">
        <v>1.65</v>
      </c>
      <c r="K943" t="s">
        <v>10</v>
      </c>
    </row>
    <row r="944" spans="7:11" x14ac:dyDescent="0.25">
      <c r="G944" t="s">
        <v>257</v>
      </c>
      <c r="H944" t="s">
        <v>255</v>
      </c>
      <c r="I944">
        <v>2.38</v>
      </c>
      <c r="J944">
        <v>1.59</v>
      </c>
      <c r="K944" t="s">
        <v>10</v>
      </c>
    </row>
    <row r="945" spans="7:11" x14ac:dyDescent="0.25">
      <c r="G945" t="s">
        <v>257</v>
      </c>
      <c r="H945" t="s">
        <v>255</v>
      </c>
      <c r="I945">
        <v>2.2999999999999998</v>
      </c>
      <c r="J945">
        <v>1.59</v>
      </c>
      <c r="K945" t="s">
        <v>10</v>
      </c>
    </row>
    <row r="946" spans="7:11" x14ac:dyDescent="0.25">
      <c r="G946" t="s">
        <v>257</v>
      </c>
      <c r="H946" t="s">
        <v>255</v>
      </c>
      <c r="I946">
        <v>2.2999999999999998</v>
      </c>
      <c r="J946">
        <v>1.62</v>
      </c>
      <c r="K946" t="s">
        <v>10</v>
      </c>
    </row>
    <row r="947" spans="7:11" x14ac:dyDescent="0.25">
      <c r="G947" t="s">
        <v>258</v>
      </c>
      <c r="H947" t="s">
        <v>255</v>
      </c>
      <c r="I947">
        <v>1.67</v>
      </c>
      <c r="J947">
        <v>2.2400000000000002</v>
      </c>
      <c r="K947" t="s">
        <v>10</v>
      </c>
    </row>
    <row r="948" spans="7:11" x14ac:dyDescent="0.25">
      <c r="G948" t="s">
        <v>258</v>
      </c>
      <c r="H948" t="s">
        <v>255</v>
      </c>
      <c r="I948">
        <v>1.77</v>
      </c>
      <c r="J948">
        <v>2</v>
      </c>
      <c r="K948" t="s">
        <v>10</v>
      </c>
    </row>
    <row r="949" spans="7:11" x14ac:dyDescent="0.25">
      <c r="G949" t="s">
        <v>259</v>
      </c>
      <c r="H949" t="s">
        <v>255</v>
      </c>
      <c r="I949">
        <v>2</v>
      </c>
      <c r="J949">
        <v>1.83</v>
      </c>
      <c r="K949" t="s">
        <v>10</v>
      </c>
    </row>
    <row r="950" spans="7:11" x14ac:dyDescent="0.25">
      <c r="G950" t="s">
        <v>259</v>
      </c>
      <c r="H950" t="s">
        <v>255</v>
      </c>
      <c r="I950">
        <v>2</v>
      </c>
      <c r="J950">
        <v>1.82</v>
      </c>
      <c r="K950" t="s">
        <v>10</v>
      </c>
    </row>
    <row r="951" spans="7:11" x14ac:dyDescent="0.25">
      <c r="G951" t="s">
        <v>259</v>
      </c>
      <c r="H951" t="s">
        <v>255</v>
      </c>
      <c r="I951">
        <v>2.0499999999999998</v>
      </c>
      <c r="J951">
        <v>1.74</v>
      </c>
      <c r="K951" t="s">
        <v>10</v>
      </c>
    </row>
    <row r="952" spans="7:11" x14ac:dyDescent="0.25">
      <c r="G952" t="s">
        <v>259</v>
      </c>
      <c r="H952" t="s">
        <v>255</v>
      </c>
      <c r="I952">
        <v>1.97</v>
      </c>
      <c r="J952">
        <v>1.79</v>
      </c>
      <c r="K952" t="s">
        <v>10</v>
      </c>
    </row>
    <row r="953" spans="7:11" x14ac:dyDescent="0.25">
      <c r="G953" t="s">
        <v>260</v>
      </c>
      <c r="H953" t="s">
        <v>255</v>
      </c>
      <c r="I953">
        <v>3.4</v>
      </c>
      <c r="J953">
        <v>1.33</v>
      </c>
      <c r="K953" t="s">
        <v>10</v>
      </c>
    </row>
    <row r="954" spans="7:11" x14ac:dyDescent="0.25">
      <c r="G954" t="s">
        <v>260</v>
      </c>
      <c r="H954" t="s">
        <v>255</v>
      </c>
      <c r="I954">
        <v>3.7</v>
      </c>
      <c r="J954">
        <v>1.27</v>
      </c>
      <c r="K954" t="s">
        <v>10</v>
      </c>
    </row>
    <row r="955" spans="7:11" x14ac:dyDescent="0.25">
      <c r="G955" t="s">
        <v>260</v>
      </c>
      <c r="H955" t="s">
        <v>255</v>
      </c>
      <c r="I955">
        <v>3.55</v>
      </c>
      <c r="J955">
        <v>1.28</v>
      </c>
      <c r="K955" t="s">
        <v>10</v>
      </c>
    </row>
    <row r="956" spans="7:11" x14ac:dyDescent="0.25">
      <c r="G956" t="s">
        <v>260</v>
      </c>
      <c r="H956" t="s">
        <v>255</v>
      </c>
      <c r="I956">
        <v>3.95</v>
      </c>
      <c r="J956">
        <v>1.27</v>
      </c>
      <c r="K956" t="s">
        <v>10</v>
      </c>
    </row>
    <row r="957" spans="7:11" x14ac:dyDescent="0.25">
      <c r="G957" t="s">
        <v>261</v>
      </c>
      <c r="H957" t="s">
        <v>255</v>
      </c>
      <c r="I957">
        <v>1.1000000000000001</v>
      </c>
      <c r="J957">
        <v>6.75</v>
      </c>
      <c r="K957" t="s">
        <v>10</v>
      </c>
    </row>
    <row r="958" spans="7:11" x14ac:dyDescent="0.25">
      <c r="G958" t="s">
        <v>261</v>
      </c>
      <c r="H958" t="s">
        <v>255</v>
      </c>
      <c r="I958">
        <v>1.1000000000000001</v>
      </c>
      <c r="J958">
        <v>8</v>
      </c>
      <c r="K958" t="s">
        <v>10</v>
      </c>
    </row>
    <row r="959" spans="7:11" x14ac:dyDescent="0.25">
      <c r="G959" t="s">
        <v>261</v>
      </c>
      <c r="H959" t="s">
        <v>255</v>
      </c>
      <c r="I959">
        <v>1.1100000000000001</v>
      </c>
      <c r="J959">
        <v>6.75</v>
      </c>
      <c r="K959" t="s">
        <v>10</v>
      </c>
    </row>
    <row r="960" spans="7:11" x14ac:dyDescent="0.25">
      <c r="G960" t="s">
        <v>261</v>
      </c>
      <c r="H960" t="s">
        <v>255</v>
      </c>
      <c r="I960">
        <v>1.08</v>
      </c>
      <c r="J960">
        <v>7.6</v>
      </c>
      <c r="K960" t="s">
        <v>10</v>
      </c>
    </row>
    <row r="961" spans="7:11" x14ac:dyDescent="0.25">
      <c r="G961" t="s">
        <v>262</v>
      </c>
      <c r="H961" t="s">
        <v>255</v>
      </c>
      <c r="I961">
        <v>1.45</v>
      </c>
      <c r="J961">
        <v>2.65</v>
      </c>
      <c r="K961" t="s">
        <v>10</v>
      </c>
    </row>
    <row r="962" spans="7:11" x14ac:dyDescent="0.25">
      <c r="G962" t="s">
        <v>262</v>
      </c>
      <c r="H962" t="s">
        <v>255</v>
      </c>
      <c r="I962">
        <v>1.44</v>
      </c>
      <c r="J962">
        <v>2.85</v>
      </c>
      <c r="K962" t="s">
        <v>10</v>
      </c>
    </row>
    <row r="963" spans="7:11" x14ac:dyDescent="0.25">
      <c r="G963" t="s">
        <v>262</v>
      </c>
      <c r="H963" t="s">
        <v>255</v>
      </c>
      <c r="I963">
        <v>1.54</v>
      </c>
      <c r="J963">
        <v>2.5</v>
      </c>
      <c r="K963" t="s">
        <v>10</v>
      </c>
    </row>
    <row r="964" spans="7:11" x14ac:dyDescent="0.25">
      <c r="G964" t="s">
        <v>262</v>
      </c>
      <c r="H964" t="s">
        <v>255</v>
      </c>
      <c r="I964">
        <v>1.44</v>
      </c>
      <c r="J964">
        <v>2.8</v>
      </c>
      <c r="K964" t="s">
        <v>10</v>
      </c>
    </row>
    <row r="965" spans="7:11" x14ac:dyDescent="0.25">
      <c r="G965" t="s">
        <v>263</v>
      </c>
      <c r="H965" t="s">
        <v>255</v>
      </c>
      <c r="I965">
        <v>1.59</v>
      </c>
      <c r="J965">
        <v>2.4</v>
      </c>
      <c r="K965" t="s">
        <v>10</v>
      </c>
    </row>
    <row r="966" spans="7:11" x14ac:dyDescent="0.25">
      <c r="G966" t="s">
        <v>263</v>
      </c>
      <c r="H966" t="s">
        <v>255</v>
      </c>
      <c r="I966">
        <v>1.61</v>
      </c>
      <c r="J966">
        <v>2.35</v>
      </c>
      <c r="K966" t="s">
        <v>10</v>
      </c>
    </row>
    <row r="967" spans="7:11" x14ac:dyDescent="0.25">
      <c r="G967" t="s">
        <v>263</v>
      </c>
      <c r="H967" t="s">
        <v>255</v>
      </c>
      <c r="I967">
        <v>1.56</v>
      </c>
      <c r="J967">
        <v>2.46</v>
      </c>
      <c r="K967" t="s">
        <v>10</v>
      </c>
    </row>
    <row r="968" spans="7:11" x14ac:dyDescent="0.25">
      <c r="G968" t="s">
        <v>264</v>
      </c>
      <c r="H968" t="s">
        <v>265</v>
      </c>
      <c r="I968">
        <v>1.34</v>
      </c>
      <c r="J968">
        <v>3.3</v>
      </c>
      <c r="K968" t="s">
        <v>10</v>
      </c>
    </row>
    <row r="969" spans="7:11" x14ac:dyDescent="0.25">
      <c r="G969" t="s">
        <v>264</v>
      </c>
      <c r="H969" t="s">
        <v>265</v>
      </c>
      <c r="I969">
        <v>1.36</v>
      </c>
      <c r="J969">
        <v>3</v>
      </c>
      <c r="K969" t="s">
        <v>10</v>
      </c>
    </row>
    <row r="970" spans="7:11" x14ac:dyDescent="0.25">
      <c r="G970" t="s">
        <v>264</v>
      </c>
      <c r="H970" t="s">
        <v>265</v>
      </c>
      <c r="I970">
        <v>1.36</v>
      </c>
      <c r="J970">
        <v>3.2</v>
      </c>
      <c r="K970" t="s">
        <v>10</v>
      </c>
    </row>
    <row r="971" spans="7:11" x14ac:dyDescent="0.25">
      <c r="G971" t="s">
        <v>264</v>
      </c>
      <c r="H971" t="s">
        <v>265</v>
      </c>
      <c r="I971">
        <v>1.35</v>
      </c>
      <c r="J971">
        <v>3.1</v>
      </c>
      <c r="K971" t="s">
        <v>10</v>
      </c>
    </row>
    <row r="972" spans="7:11" x14ac:dyDescent="0.25">
      <c r="G972" t="s">
        <v>264</v>
      </c>
      <c r="H972" t="s">
        <v>265</v>
      </c>
      <c r="I972">
        <v>1.36</v>
      </c>
      <c r="J972">
        <v>3.2</v>
      </c>
      <c r="K972" t="s">
        <v>10</v>
      </c>
    </row>
    <row r="973" spans="7:11" x14ac:dyDescent="0.25">
      <c r="G973" t="s">
        <v>266</v>
      </c>
      <c r="H973" t="s">
        <v>161</v>
      </c>
      <c r="I973">
        <v>4.0999999999999996</v>
      </c>
      <c r="J973">
        <v>1.23</v>
      </c>
      <c r="K973" t="s">
        <v>10</v>
      </c>
    </row>
    <row r="974" spans="7:11" x14ac:dyDescent="0.25">
      <c r="G974" t="s">
        <v>266</v>
      </c>
      <c r="H974" t="s">
        <v>161</v>
      </c>
      <c r="I974">
        <v>4</v>
      </c>
      <c r="J974">
        <v>1.25</v>
      </c>
      <c r="K974" t="s">
        <v>10</v>
      </c>
    </row>
    <row r="975" spans="7:11" x14ac:dyDescent="0.25">
      <c r="G975" t="s">
        <v>267</v>
      </c>
      <c r="H975" t="s">
        <v>161</v>
      </c>
      <c r="I975">
        <v>1.31</v>
      </c>
      <c r="J975">
        <v>3.45</v>
      </c>
      <c r="K975" t="s">
        <v>10</v>
      </c>
    </row>
    <row r="976" spans="7:11" x14ac:dyDescent="0.25">
      <c r="G976" t="s">
        <v>267</v>
      </c>
      <c r="H976" t="s">
        <v>161</v>
      </c>
      <c r="I976">
        <v>1.33</v>
      </c>
      <c r="J976">
        <v>3.25</v>
      </c>
      <c r="K976" t="s">
        <v>10</v>
      </c>
    </row>
    <row r="977" spans="7:11" x14ac:dyDescent="0.25">
      <c r="G977" t="s">
        <v>267</v>
      </c>
      <c r="H977" t="s">
        <v>161</v>
      </c>
      <c r="I977">
        <v>1.33</v>
      </c>
      <c r="J977">
        <v>3.4</v>
      </c>
      <c r="K977" t="s">
        <v>10</v>
      </c>
    </row>
    <row r="978" spans="7:11" x14ac:dyDescent="0.25">
      <c r="G978" t="s">
        <v>267</v>
      </c>
      <c r="H978" t="s">
        <v>161</v>
      </c>
      <c r="I978">
        <v>1.31</v>
      </c>
      <c r="J978">
        <v>3.5</v>
      </c>
      <c r="K978" t="s">
        <v>10</v>
      </c>
    </row>
    <row r="979" spans="7:11" x14ac:dyDescent="0.25">
      <c r="G979" t="s">
        <v>268</v>
      </c>
      <c r="H979" t="s">
        <v>161</v>
      </c>
      <c r="I979">
        <v>1.2</v>
      </c>
      <c r="J979">
        <v>4.5999999999999996</v>
      </c>
      <c r="K979" t="s">
        <v>10</v>
      </c>
    </row>
    <row r="980" spans="7:11" x14ac:dyDescent="0.25">
      <c r="G980" t="s">
        <v>268</v>
      </c>
      <c r="H980" t="s">
        <v>161</v>
      </c>
      <c r="I980">
        <v>1.17</v>
      </c>
      <c r="J980">
        <v>4.75</v>
      </c>
      <c r="K980" t="s">
        <v>10</v>
      </c>
    </row>
    <row r="981" spans="7:11" x14ac:dyDescent="0.25">
      <c r="G981" t="s">
        <v>268</v>
      </c>
      <c r="H981" t="s">
        <v>161</v>
      </c>
      <c r="I981">
        <v>1.17</v>
      </c>
      <c r="J981">
        <v>5.25</v>
      </c>
      <c r="K981" t="s">
        <v>10</v>
      </c>
    </row>
    <row r="982" spans="7:11" x14ac:dyDescent="0.25">
      <c r="G982" t="s">
        <v>84</v>
      </c>
      <c r="H982" t="s">
        <v>85</v>
      </c>
      <c r="I982">
        <v>1.78</v>
      </c>
      <c r="J982">
        <v>2.08</v>
      </c>
      <c r="K982" t="s">
        <v>10</v>
      </c>
    </row>
    <row r="983" spans="7:11" x14ac:dyDescent="0.25">
      <c r="G983" t="s">
        <v>84</v>
      </c>
      <c r="H983" t="s">
        <v>85</v>
      </c>
      <c r="I983">
        <v>1.75</v>
      </c>
      <c r="J983">
        <v>2.13</v>
      </c>
      <c r="K983" t="s">
        <v>10</v>
      </c>
    </row>
    <row r="984" spans="7:11" x14ac:dyDescent="0.25">
      <c r="G984" t="s">
        <v>84</v>
      </c>
      <c r="H984" t="s">
        <v>85</v>
      </c>
      <c r="I984">
        <v>1.78</v>
      </c>
      <c r="J984">
        <v>2.08</v>
      </c>
      <c r="K984" t="s">
        <v>10</v>
      </c>
    </row>
    <row r="985" spans="7:11" x14ac:dyDescent="0.25">
      <c r="G985" t="s">
        <v>84</v>
      </c>
      <c r="H985" t="s">
        <v>85</v>
      </c>
      <c r="I985">
        <v>1.74</v>
      </c>
      <c r="J985">
        <v>2.14</v>
      </c>
      <c r="K985" t="s">
        <v>10</v>
      </c>
    </row>
    <row r="986" spans="7:11" x14ac:dyDescent="0.25">
      <c r="G986" t="s">
        <v>84</v>
      </c>
      <c r="H986" t="s">
        <v>85</v>
      </c>
      <c r="I986">
        <v>1.74</v>
      </c>
      <c r="J986">
        <v>2.0499999999999998</v>
      </c>
      <c r="K986" t="s">
        <v>10</v>
      </c>
    </row>
    <row r="987" spans="7:11" x14ac:dyDescent="0.25">
      <c r="G987" t="s">
        <v>84</v>
      </c>
      <c r="H987" t="s">
        <v>85</v>
      </c>
      <c r="I987">
        <v>1.68</v>
      </c>
      <c r="J987">
        <v>2.14</v>
      </c>
      <c r="K987" t="s">
        <v>10</v>
      </c>
    </row>
    <row r="988" spans="7:11" x14ac:dyDescent="0.25">
      <c r="G988" t="s">
        <v>84</v>
      </c>
      <c r="H988" t="s">
        <v>85</v>
      </c>
      <c r="I988">
        <v>1.77</v>
      </c>
      <c r="J988">
        <v>2.0499999999999998</v>
      </c>
      <c r="K988" t="s">
        <v>10</v>
      </c>
    </row>
    <row r="989" spans="7:11" x14ac:dyDescent="0.25">
      <c r="G989" t="s">
        <v>84</v>
      </c>
      <c r="H989" t="s">
        <v>85</v>
      </c>
      <c r="I989">
        <v>1.77</v>
      </c>
      <c r="J989">
        <v>2.0499999999999998</v>
      </c>
      <c r="K989" t="s">
        <v>10</v>
      </c>
    </row>
    <row r="990" spans="7:11" x14ac:dyDescent="0.25">
      <c r="G990" t="s">
        <v>84</v>
      </c>
      <c r="H990" t="s">
        <v>85</v>
      </c>
      <c r="I990">
        <v>1.74</v>
      </c>
      <c r="J990">
        <v>2.15</v>
      </c>
      <c r="K990" t="s">
        <v>10</v>
      </c>
    </row>
    <row r="991" spans="7:11" x14ac:dyDescent="0.25">
      <c r="G991" t="s">
        <v>84</v>
      </c>
      <c r="H991" t="s">
        <v>85</v>
      </c>
      <c r="I991">
        <v>1.77</v>
      </c>
      <c r="J991">
        <v>2.1</v>
      </c>
      <c r="K991" t="s">
        <v>10</v>
      </c>
    </row>
    <row r="992" spans="7:11" x14ac:dyDescent="0.25">
      <c r="G992" t="s">
        <v>84</v>
      </c>
      <c r="H992" t="s">
        <v>85</v>
      </c>
      <c r="I992">
        <v>1.74</v>
      </c>
      <c r="J992">
        <v>2.1</v>
      </c>
      <c r="K992" t="s">
        <v>10</v>
      </c>
    </row>
    <row r="993" spans="7:11" x14ac:dyDescent="0.25">
      <c r="G993" t="s">
        <v>86</v>
      </c>
      <c r="H993" t="s">
        <v>85</v>
      </c>
      <c r="I993">
        <v>2.16</v>
      </c>
      <c r="J993">
        <v>1.74</v>
      </c>
      <c r="K993" t="s">
        <v>10</v>
      </c>
    </row>
    <row r="994" spans="7:11" x14ac:dyDescent="0.25">
      <c r="G994" t="s">
        <v>86</v>
      </c>
      <c r="H994" t="s">
        <v>85</v>
      </c>
      <c r="I994">
        <v>2.2000000000000002</v>
      </c>
      <c r="J994">
        <v>1.69</v>
      </c>
      <c r="K994" t="s">
        <v>10</v>
      </c>
    </row>
    <row r="995" spans="7:11" x14ac:dyDescent="0.25">
      <c r="G995" t="s">
        <v>86</v>
      </c>
      <c r="H995" t="s">
        <v>85</v>
      </c>
      <c r="I995">
        <v>2.16</v>
      </c>
      <c r="J995">
        <v>1.74</v>
      </c>
      <c r="K995" t="s">
        <v>10</v>
      </c>
    </row>
    <row r="996" spans="7:11" x14ac:dyDescent="0.25">
      <c r="G996" t="s">
        <v>86</v>
      </c>
      <c r="H996" t="s">
        <v>85</v>
      </c>
      <c r="I996">
        <v>2.14</v>
      </c>
      <c r="J996">
        <v>1.74</v>
      </c>
      <c r="K996" t="s">
        <v>10</v>
      </c>
    </row>
    <row r="997" spans="7:11" x14ac:dyDescent="0.25">
      <c r="G997" t="s">
        <v>86</v>
      </c>
      <c r="H997" t="s">
        <v>85</v>
      </c>
      <c r="I997">
        <v>2.0499999999999998</v>
      </c>
      <c r="J997">
        <v>1.74</v>
      </c>
      <c r="K997" t="s">
        <v>10</v>
      </c>
    </row>
    <row r="998" spans="7:11" x14ac:dyDescent="0.25">
      <c r="G998" t="s">
        <v>86</v>
      </c>
      <c r="H998" t="s">
        <v>85</v>
      </c>
      <c r="I998">
        <v>2.06</v>
      </c>
      <c r="J998">
        <v>1.74</v>
      </c>
      <c r="K998" t="s">
        <v>10</v>
      </c>
    </row>
    <row r="999" spans="7:11" x14ac:dyDescent="0.25">
      <c r="G999" t="s">
        <v>86</v>
      </c>
      <c r="H999" t="s">
        <v>85</v>
      </c>
      <c r="I999">
        <v>2.17</v>
      </c>
      <c r="J999">
        <v>1.68</v>
      </c>
      <c r="K999" t="s">
        <v>10</v>
      </c>
    </row>
    <row r="1000" spans="7:11" x14ac:dyDescent="0.25">
      <c r="G1000" t="s">
        <v>86</v>
      </c>
      <c r="H1000" t="s">
        <v>85</v>
      </c>
      <c r="I1000">
        <v>2.17</v>
      </c>
      <c r="J1000">
        <v>1.68</v>
      </c>
      <c r="K1000" t="s">
        <v>10</v>
      </c>
    </row>
    <row r="1001" spans="7:11" x14ac:dyDescent="0.25">
      <c r="G1001" t="s">
        <v>86</v>
      </c>
      <c r="H1001" t="s">
        <v>85</v>
      </c>
      <c r="I1001">
        <v>2.15</v>
      </c>
      <c r="J1001">
        <v>1.74</v>
      </c>
      <c r="K1001" t="s">
        <v>10</v>
      </c>
    </row>
    <row r="1002" spans="7:11" x14ac:dyDescent="0.25">
      <c r="G1002" t="s">
        <v>86</v>
      </c>
      <c r="H1002" t="s">
        <v>85</v>
      </c>
      <c r="I1002">
        <v>2.1</v>
      </c>
      <c r="J1002">
        <v>1.77</v>
      </c>
      <c r="K1002" t="s">
        <v>10</v>
      </c>
    </row>
    <row r="1003" spans="7:11" x14ac:dyDescent="0.25">
      <c r="G1003" t="s">
        <v>86</v>
      </c>
      <c r="H1003" t="s">
        <v>85</v>
      </c>
      <c r="I1003">
        <v>2.15</v>
      </c>
      <c r="J1003">
        <v>1.71</v>
      </c>
      <c r="K1003" t="s">
        <v>10</v>
      </c>
    </row>
    <row r="1004" spans="7:11" x14ac:dyDescent="0.25">
      <c r="G1004" t="s">
        <v>87</v>
      </c>
      <c r="H1004" t="s">
        <v>85</v>
      </c>
      <c r="I1004">
        <v>4.95</v>
      </c>
      <c r="J1004">
        <v>1.2</v>
      </c>
      <c r="K1004" t="s">
        <v>10</v>
      </c>
    </row>
    <row r="1005" spans="7:11" x14ac:dyDescent="0.25">
      <c r="G1005" t="s">
        <v>87</v>
      </c>
      <c r="H1005" t="s">
        <v>85</v>
      </c>
      <c r="I1005">
        <v>4.95</v>
      </c>
      <c r="J1005">
        <v>1.2</v>
      </c>
      <c r="K1005" t="s">
        <v>10</v>
      </c>
    </row>
    <row r="1006" spans="7:11" x14ac:dyDescent="0.25">
      <c r="G1006" t="s">
        <v>87</v>
      </c>
      <c r="H1006" t="s">
        <v>85</v>
      </c>
      <c r="I1006">
        <v>4.5999999999999996</v>
      </c>
      <c r="J1006">
        <v>1.21</v>
      </c>
      <c r="K1006" t="s">
        <v>10</v>
      </c>
    </row>
    <row r="1007" spans="7:11" x14ac:dyDescent="0.25">
      <c r="G1007" t="s">
        <v>87</v>
      </c>
      <c r="H1007" t="s">
        <v>85</v>
      </c>
      <c r="I1007">
        <v>4.55</v>
      </c>
      <c r="J1007">
        <v>1.2</v>
      </c>
      <c r="K1007" t="s">
        <v>10</v>
      </c>
    </row>
    <row r="1008" spans="7:11" x14ac:dyDescent="0.25">
      <c r="G1008" t="s">
        <v>87</v>
      </c>
      <c r="H1008" t="s">
        <v>85</v>
      </c>
      <c r="I1008">
        <v>4.0999999999999996</v>
      </c>
      <c r="J1008">
        <v>1.23</v>
      </c>
      <c r="K1008" t="s">
        <v>10</v>
      </c>
    </row>
    <row r="1009" spans="7:11" x14ac:dyDescent="0.25">
      <c r="G1009" t="s">
        <v>87</v>
      </c>
      <c r="H1009" t="s">
        <v>85</v>
      </c>
      <c r="I1009">
        <v>4.0999999999999996</v>
      </c>
      <c r="J1009">
        <v>1.24</v>
      </c>
      <c r="K1009" t="s">
        <v>10</v>
      </c>
    </row>
    <row r="1010" spans="7:11" x14ac:dyDescent="0.25">
      <c r="G1010" t="s">
        <v>87</v>
      </c>
      <c r="H1010" t="s">
        <v>85</v>
      </c>
      <c r="I1010">
        <v>4.0999999999999996</v>
      </c>
      <c r="J1010">
        <v>1.24</v>
      </c>
      <c r="K1010" t="s">
        <v>10</v>
      </c>
    </row>
    <row r="1011" spans="7:11" x14ac:dyDescent="0.25">
      <c r="G1011" t="s">
        <v>87</v>
      </c>
      <c r="H1011" t="s">
        <v>85</v>
      </c>
      <c r="I1011">
        <v>4.8</v>
      </c>
      <c r="J1011">
        <v>1.2</v>
      </c>
      <c r="K1011" t="s">
        <v>10</v>
      </c>
    </row>
    <row r="1012" spans="7:11" x14ac:dyDescent="0.25">
      <c r="G1012" t="s">
        <v>87</v>
      </c>
      <c r="H1012" t="s">
        <v>85</v>
      </c>
      <c r="I1012">
        <v>4.75</v>
      </c>
      <c r="J1012">
        <v>1.2</v>
      </c>
      <c r="K1012" t="s">
        <v>10</v>
      </c>
    </row>
    <row r="1013" spans="7:11" x14ac:dyDescent="0.25">
      <c r="G1013" t="s">
        <v>87</v>
      </c>
      <c r="H1013" t="s">
        <v>85</v>
      </c>
      <c r="I1013">
        <v>4.4000000000000004</v>
      </c>
      <c r="J1013">
        <v>1.22</v>
      </c>
      <c r="K1013" t="s">
        <v>10</v>
      </c>
    </row>
    <row r="1014" spans="7:11" x14ac:dyDescent="0.25">
      <c r="G1014" t="s">
        <v>87</v>
      </c>
      <c r="H1014" t="s">
        <v>85</v>
      </c>
      <c r="I1014">
        <v>4.6500000000000004</v>
      </c>
      <c r="J1014">
        <v>1.22</v>
      </c>
      <c r="K1014" t="s">
        <v>10</v>
      </c>
    </row>
    <row r="1015" spans="7:11" x14ac:dyDescent="0.25">
      <c r="G1015" t="s">
        <v>88</v>
      </c>
      <c r="H1015" t="s">
        <v>85</v>
      </c>
      <c r="I1015">
        <v>2.1</v>
      </c>
      <c r="J1015">
        <v>1.77</v>
      </c>
      <c r="K1015" t="s">
        <v>10</v>
      </c>
    </row>
    <row r="1016" spans="7:11" x14ac:dyDescent="0.25">
      <c r="G1016" t="s">
        <v>88</v>
      </c>
      <c r="H1016" t="s">
        <v>85</v>
      </c>
      <c r="I1016">
        <v>2.1</v>
      </c>
      <c r="J1016">
        <v>1.77</v>
      </c>
      <c r="K1016" t="s">
        <v>10</v>
      </c>
    </row>
    <row r="1017" spans="7:11" x14ac:dyDescent="0.25">
      <c r="G1017" t="s">
        <v>88</v>
      </c>
      <c r="H1017" t="s">
        <v>85</v>
      </c>
      <c r="I1017">
        <v>2.1</v>
      </c>
      <c r="J1017">
        <v>1.77</v>
      </c>
      <c r="K1017" t="s">
        <v>10</v>
      </c>
    </row>
    <row r="1018" spans="7:11" x14ac:dyDescent="0.25">
      <c r="G1018" t="s">
        <v>88</v>
      </c>
      <c r="H1018" t="s">
        <v>85</v>
      </c>
      <c r="I1018">
        <v>2.1</v>
      </c>
      <c r="J1018">
        <v>1.77</v>
      </c>
      <c r="K1018" t="s">
        <v>10</v>
      </c>
    </row>
    <row r="1019" spans="7:11" x14ac:dyDescent="0.25">
      <c r="G1019" t="s">
        <v>88</v>
      </c>
      <c r="H1019" t="s">
        <v>85</v>
      </c>
      <c r="I1019">
        <v>2</v>
      </c>
      <c r="J1019">
        <v>1.77</v>
      </c>
      <c r="K1019" t="s">
        <v>10</v>
      </c>
    </row>
    <row r="1020" spans="7:11" x14ac:dyDescent="0.25">
      <c r="G1020" t="s">
        <v>88</v>
      </c>
      <c r="H1020" t="s">
        <v>85</v>
      </c>
      <c r="I1020">
        <v>2.08</v>
      </c>
      <c r="J1020">
        <v>1.72</v>
      </c>
      <c r="K1020" t="s">
        <v>10</v>
      </c>
    </row>
    <row r="1021" spans="7:11" x14ac:dyDescent="0.25">
      <c r="G1021" t="s">
        <v>88</v>
      </c>
      <c r="H1021" t="s">
        <v>85</v>
      </c>
      <c r="I1021">
        <v>2.06</v>
      </c>
      <c r="J1021">
        <v>1.77</v>
      </c>
      <c r="K1021" t="s">
        <v>10</v>
      </c>
    </row>
    <row r="1022" spans="7:11" x14ac:dyDescent="0.25">
      <c r="G1022" t="s">
        <v>88</v>
      </c>
      <c r="H1022" t="s">
        <v>85</v>
      </c>
      <c r="I1022">
        <v>2.06</v>
      </c>
      <c r="J1022">
        <v>1.77</v>
      </c>
      <c r="K1022" t="s">
        <v>10</v>
      </c>
    </row>
    <row r="1023" spans="7:11" x14ac:dyDescent="0.25">
      <c r="G1023" t="s">
        <v>88</v>
      </c>
      <c r="H1023" t="s">
        <v>85</v>
      </c>
      <c r="I1023">
        <v>2.1</v>
      </c>
      <c r="J1023">
        <v>1.77</v>
      </c>
      <c r="K1023" t="s">
        <v>10</v>
      </c>
    </row>
    <row r="1024" spans="7:11" x14ac:dyDescent="0.25">
      <c r="G1024" t="s">
        <v>88</v>
      </c>
      <c r="H1024" t="s">
        <v>85</v>
      </c>
      <c r="I1024">
        <v>2.1</v>
      </c>
      <c r="J1024">
        <v>1.77</v>
      </c>
      <c r="K1024" t="s">
        <v>10</v>
      </c>
    </row>
    <row r="1025" spans="7:11" x14ac:dyDescent="0.25">
      <c r="G1025" t="s">
        <v>88</v>
      </c>
      <c r="H1025" t="s">
        <v>85</v>
      </c>
      <c r="I1025">
        <v>2.1</v>
      </c>
      <c r="J1025">
        <v>1.74</v>
      </c>
      <c r="K1025" t="s">
        <v>10</v>
      </c>
    </row>
    <row r="1026" spans="7:11" x14ac:dyDescent="0.25">
      <c r="G1026" t="s">
        <v>89</v>
      </c>
      <c r="H1026" t="s">
        <v>85</v>
      </c>
      <c r="I1026">
        <v>1.54</v>
      </c>
      <c r="J1026">
        <v>2.6</v>
      </c>
      <c r="K1026" t="s">
        <v>10</v>
      </c>
    </row>
    <row r="1027" spans="7:11" x14ac:dyDescent="0.25">
      <c r="G1027" t="s">
        <v>89</v>
      </c>
      <c r="H1027" t="s">
        <v>85</v>
      </c>
      <c r="I1027">
        <v>1.5</v>
      </c>
      <c r="J1027">
        <v>2.65</v>
      </c>
      <c r="K1027" t="s">
        <v>10</v>
      </c>
    </row>
    <row r="1028" spans="7:11" x14ac:dyDescent="0.25">
      <c r="G1028" t="s">
        <v>89</v>
      </c>
      <c r="H1028" t="s">
        <v>85</v>
      </c>
      <c r="I1028">
        <v>1.54</v>
      </c>
      <c r="J1028">
        <v>2.6</v>
      </c>
      <c r="K1028" t="s">
        <v>10</v>
      </c>
    </row>
    <row r="1029" spans="7:11" x14ac:dyDescent="0.25">
      <c r="G1029" t="s">
        <v>89</v>
      </c>
      <c r="H1029" t="s">
        <v>85</v>
      </c>
      <c r="I1029">
        <v>1.51</v>
      </c>
      <c r="J1029">
        <v>2.64</v>
      </c>
      <c r="K1029" t="s">
        <v>10</v>
      </c>
    </row>
    <row r="1030" spans="7:11" x14ac:dyDescent="0.25">
      <c r="G1030" t="s">
        <v>89</v>
      </c>
      <c r="H1030" t="s">
        <v>85</v>
      </c>
      <c r="I1030">
        <v>1.51</v>
      </c>
      <c r="J1030">
        <v>2.68</v>
      </c>
      <c r="K1030" t="s">
        <v>10</v>
      </c>
    </row>
    <row r="1031" spans="7:11" x14ac:dyDescent="0.25">
      <c r="G1031" t="s">
        <v>89</v>
      </c>
      <c r="H1031" t="s">
        <v>85</v>
      </c>
      <c r="I1031">
        <v>1.51</v>
      </c>
      <c r="J1031">
        <v>2.52</v>
      </c>
      <c r="K1031" t="s">
        <v>10</v>
      </c>
    </row>
    <row r="1032" spans="7:11" x14ac:dyDescent="0.25">
      <c r="G1032" t="s">
        <v>89</v>
      </c>
      <c r="H1032" t="s">
        <v>85</v>
      </c>
      <c r="I1032">
        <v>1.53</v>
      </c>
      <c r="J1032">
        <v>2.5</v>
      </c>
      <c r="K1032" t="s">
        <v>10</v>
      </c>
    </row>
    <row r="1033" spans="7:11" x14ac:dyDescent="0.25">
      <c r="G1033" t="s">
        <v>89</v>
      </c>
      <c r="H1033" t="s">
        <v>85</v>
      </c>
      <c r="I1033">
        <v>1.53</v>
      </c>
      <c r="J1033">
        <v>2.5</v>
      </c>
      <c r="K1033" t="s">
        <v>10</v>
      </c>
    </row>
    <row r="1034" spans="7:11" x14ac:dyDescent="0.25">
      <c r="G1034" t="s">
        <v>89</v>
      </c>
      <c r="H1034" t="s">
        <v>85</v>
      </c>
      <c r="I1034">
        <v>1.53</v>
      </c>
      <c r="J1034">
        <v>2.6</v>
      </c>
      <c r="K1034" t="s">
        <v>10</v>
      </c>
    </row>
    <row r="1035" spans="7:11" x14ac:dyDescent="0.25">
      <c r="G1035" t="s">
        <v>89</v>
      </c>
      <c r="H1035" t="s">
        <v>85</v>
      </c>
      <c r="I1035">
        <v>1.56</v>
      </c>
      <c r="J1035">
        <v>2.5</v>
      </c>
      <c r="K1035" t="s">
        <v>10</v>
      </c>
    </row>
    <row r="1036" spans="7:11" x14ac:dyDescent="0.25">
      <c r="G1036" t="s">
        <v>89</v>
      </c>
      <c r="H1036" t="s">
        <v>85</v>
      </c>
      <c r="I1036">
        <v>1.53</v>
      </c>
      <c r="J1036">
        <v>2.5499999999999998</v>
      </c>
      <c r="K1036" t="s">
        <v>10</v>
      </c>
    </row>
    <row r="1037" spans="7:11" x14ac:dyDescent="0.25">
      <c r="G1037" t="s">
        <v>90</v>
      </c>
      <c r="H1037" t="s">
        <v>85</v>
      </c>
      <c r="I1037">
        <v>2.5099999999999998</v>
      </c>
      <c r="J1037">
        <v>1.57</v>
      </c>
      <c r="K1037" t="s">
        <v>10</v>
      </c>
    </row>
    <row r="1038" spans="7:11" x14ac:dyDescent="0.25">
      <c r="G1038" t="s">
        <v>90</v>
      </c>
      <c r="H1038" t="s">
        <v>85</v>
      </c>
      <c r="I1038">
        <v>2.6</v>
      </c>
      <c r="J1038">
        <v>1.52</v>
      </c>
      <c r="K1038" t="s">
        <v>10</v>
      </c>
    </row>
    <row r="1039" spans="7:11" x14ac:dyDescent="0.25">
      <c r="G1039" t="s">
        <v>90</v>
      </c>
      <c r="H1039" t="s">
        <v>85</v>
      </c>
      <c r="I1039">
        <v>2.5099999999999998</v>
      </c>
      <c r="J1039">
        <v>1.57</v>
      </c>
      <c r="K1039" t="s">
        <v>10</v>
      </c>
    </row>
    <row r="1040" spans="7:11" x14ac:dyDescent="0.25">
      <c r="G1040" t="s">
        <v>90</v>
      </c>
      <c r="H1040" t="s">
        <v>85</v>
      </c>
      <c r="I1040">
        <v>2.54</v>
      </c>
      <c r="J1040">
        <v>1.54</v>
      </c>
      <c r="K1040" t="s">
        <v>10</v>
      </c>
    </row>
    <row r="1041" spans="7:11" x14ac:dyDescent="0.25">
      <c r="G1041" t="s">
        <v>90</v>
      </c>
      <c r="H1041" t="s">
        <v>85</v>
      </c>
      <c r="I1041">
        <v>2.46</v>
      </c>
      <c r="J1041">
        <v>1.57</v>
      </c>
      <c r="K1041" t="s">
        <v>10</v>
      </c>
    </row>
    <row r="1042" spans="7:11" x14ac:dyDescent="0.25">
      <c r="G1042" t="s">
        <v>90</v>
      </c>
      <c r="H1042" t="s">
        <v>85</v>
      </c>
      <c r="I1042">
        <v>2.64</v>
      </c>
      <c r="J1042">
        <v>1.47</v>
      </c>
      <c r="K1042" t="s">
        <v>10</v>
      </c>
    </row>
    <row r="1043" spans="7:11" x14ac:dyDescent="0.25">
      <c r="G1043" t="s">
        <v>90</v>
      </c>
      <c r="H1043" t="s">
        <v>85</v>
      </c>
      <c r="I1043">
        <v>2.65</v>
      </c>
      <c r="J1043">
        <v>1.48</v>
      </c>
      <c r="K1043" t="s">
        <v>10</v>
      </c>
    </row>
    <row r="1044" spans="7:11" x14ac:dyDescent="0.25">
      <c r="G1044" t="s">
        <v>90</v>
      </c>
      <c r="H1044" t="s">
        <v>85</v>
      </c>
      <c r="I1044">
        <v>2.65</v>
      </c>
      <c r="J1044">
        <v>1.48</v>
      </c>
      <c r="K1044" t="s">
        <v>10</v>
      </c>
    </row>
    <row r="1045" spans="7:11" x14ac:dyDescent="0.25">
      <c r="G1045" t="s">
        <v>90</v>
      </c>
      <c r="H1045" t="s">
        <v>85</v>
      </c>
      <c r="I1045">
        <v>2.6</v>
      </c>
      <c r="J1045">
        <v>1.53</v>
      </c>
      <c r="K1045" t="s">
        <v>10</v>
      </c>
    </row>
    <row r="1046" spans="7:11" x14ac:dyDescent="0.25">
      <c r="G1046" t="s">
        <v>90</v>
      </c>
      <c r="H1046" t="s">
        <v>85</v>
      </c>
      <c r="I1046">
        <v>2.6</v>
      </c>
      <c r="J1046">
        <v>1.53</v>
      </c>
      <c r="K1046" t="s">
        <v>10</v>
      </c>
    </row>
    <row r="1047" spans="7:11" x14ac:dyDescent="0.25">
      <c r="G1047" t="s">
        <v>90</v>
      </c>
      <c r="H1047" t="s">
        <v>85</v>
      </c>
      <c r="I1047">
        <v>2.6</v>
      </c>
      <c r="J1047">
        <v>1.53</v>
      </c>
      <c r="K1047" t="s">
        <v>10</v>
      </c>
    </row>
    <row r="1048" spans="7:11" x14ac:dyDescent="0.25">
      <c r="G1048" t="s">
        <v>91</v>
      </c>
      <c r="H1048" t="s">
        <v>85</v>
      </c>
      <c r="I1048">
        <v>3.7</v>
      </c>
      <c r="J1048">
        <v>1.3</v>
      </c>
      <c r="K1048" t="s">
        <v>10</v>
      </c>
    </row>
    <row r="1049" spans="7:11" x14ac:dyDescent="0.25">
      <c r="G1049" t="s">
        <v>91</v>
      </c>
      <c r="H1049" t="s">
        <v>85</v>
      </c>
      <c r="I1049">
        <v>3.7</v>
      </c>
      <c r="J1049">
        <v>1.3</v>
      </c>
      <c r="K1049" t="s">
        <v>10</v>
      </c>
    </row>
    <row r="1050" spans="7:11" x14ac:dyDescent="0.25">
      <c r="G1050" t="s">
        <v>91</v>
      </c>
      <c r="H1050" t="s">
        <v>85</v>
      </c>
      <c r="I1050">
        <v>3.85</v>
      </c>
      <c r="J1050">
        <v>1.28</v>
      </c>
      <c r="K1050" t="s">
        <v>10</v>
      </c>
    </row>
    <row r="1051" spans="7:11" x14ac:dyDescent="0.25">
      <c r="G1051" t="s">
        <v>91</v>
      </c>
      <c r="H1051" t="s">
        <v>85</v>
      </c>
      <c r="I1051">
        <v>3.75</v>
      </c>
      <c r="J1051">
        <v>1.29</v>
      </c>
      <c r="K1051" t="s">
        <v>10</v>
      </c>
    </row>
    <row r="1052" spans="7:11" x14ac:dyDescent="0.25">
      <c r="G1052" t="s">
        <v>91</v>
      </c>
      <c r="H1052" t="s">
        <v>85</v>
      </c>
      <c r="I1052">
        <v>3.5</v>
      </c>
      <c r="J1052">
        <v>1.29</v>
      </c>
      <c r="K1052" t="s">
        <v>10</v>
      </c>
    </row>
    <row r="1053" spans="7:11" x14ac:dyDescent="0.25">
      <c r="G1053" t="s">
        <v>91</v>
      </c>
      <c r="H1053" t="s">
        <v>85</v>
      </c>
      <c r="I1053">
        <v>3.65</v>
      </c>
      <c r="J1053">
        <v>1.27</v>
      </c>
      <c r="K1053" t="s">
        <v>10</v>
      </c>
    </row>
    <row r="1054" spans="7:11" x14ac:dyDescent="0.25">
      <c r="G1054" t="s">
        <v>91</v>
      </c>
      <c r="H1054" t="s">
        <v>85</v>
      </c>
      <c r="I1054">
        <v>3.7</v>
      </c>
      <c r="J1054">
        <v>1.28</v>
      </c>
      <c r="K1054" t="s">
        <v>10</v>
      </c>
    </row>
    <row r="1055" spans="7:11" x14ac:dyDescent="0.25">
      <c r="G1055" t="s">
        <v>91</v>
      </c>
      <c r="H1055" t="s">
        <v>85</v>
      </c>
      <c r="I1055">
        <v>3.7</v>
      </c>
      <c r="J1055">
        <v>1.28</v>
      </c>
      <c r="K1055" t="s">
        <v>10</v>
      </c>
    </row>
    <row r="1056" spans="7:11" x14ac:dyDescent="0.25">
      <c r="G1056" t="s">
        <v>91</v>
      </c>
      <c r="H1056" t="s">
        <v>85</v>
      </c>
      <c r="I1056">
        <v>3.7</v>
      </c>
      <c r="J1056">
        <v>1.29</v>
      </c>
      <c r="K1056" t="s">
        <v>10</v>
      </c>
    </row>
    <row r="1057" spans="7:11" x14ac:dyDescent="0.25">
      <c r="G1057" t="s">
        <v>91</v>
      </c>
      <c r="H1057" t="s">
        <v>85</v>
      </c>
      <c r="I1057">
        <v>3.6</v>
      </c>
      <c r="J1057">
        <v>1.3</v>
      </c>
      <c r="K1057" t="s">
        <v>10</v>
      </c>
    </row>
    <row r="1058" spans="7:11" x14ac:dyDescent="0.25">
      <c r="G1058" t="s">
        <v>91</v>
      </c>
      <c r="H1058" t="s">
        <v>85</v>
      </c>
      <c r="I1058">
        <v>3.6</v>
      </c>
      <c r="J1058">
        <v>1.29</v>
      </c>
      <c r="K1058" t="s">
        <v>10</v>
      </c>
    </row>
    <row r="1059" spans="7:11" x14ac:dyDescent="0.25">
      <c r="G1059" t="s">
        <v>42</v>
      </c>
      <c r="H1059" t="s">
        <v>36</v>
      </c>
      <c r="I1059">
        <v>1.43</v>
      </c>
      <c r="J1059">
        <v>3</v>
      </c>
      <c r="K1059" t="s">
        <v>10</v>
      </c>
    </row>
    <row r="1060" spans="7:11" x14ac:dyDescent="0.25">
      <c r="G1060" t="s">
        <v>42</v>
      </c>
      <c r="H1060" t="s">
        <v>36</v>
      </c>
      <c r="I1060">
        <v>1.4</v>
      </c>
      <c r="J1060">
        <v>3</v>
      </c>
      <c r="K1060" t="s">
        <v>10</v>
      </c>
    </row>
    <row r="1061" spans="7:11" x14ac:dyDescent="0.25">
      <c r="G1061" t="s">
        <v>42</v>
      </c>
      <c r="H1061" t="s">
        <v>36</v>
      </c>
      <c r="I1061">
        <v>1.43</v>
      </c>
      <c r="J1061">
        <v>3</v>
      </c>
      <c r="K1061" t="s">
        <v>10</v>
      </c>
    </row>
    <row r="1062" spans="7:11" x14ac:dyDescent="0.25">
      <c r="G1062" t="s">
        <v>42</v>
      </c>
      <c r="H1062" t="s">
        <v>36</v>
      </c>
      <c r="I1062">
        <v>1.4</v>
      </c>
      <c r="J1062">
        <v>3.05</v>
      </c>
      <c r="K1062" t="s">
        <v>10</v>
      </c>
    </row>
    <row r="1063" spans="7:11" x14ac:dyDescent="0.25">
      <c r="G1063" t="s">
        <v>42</v>
      </c>
      <c r="H1063" t="s">
        <v>36</v>
      </c>
      <c r="I1063">
        <v>1.43</v>
      </c>
      <c r="J1063">
        <v>2.95</v>
      </c>
      <c r="K1063" t="s">
        <v>10</v>
      </c>
    </row>
    <row r="1064" spans="7:11" x14ac:dyDescent="0.25">
      <c r="G1064" t="s">
        <v>42</v>
      </c>
      <c r="H1064" t="s">
        <v>36</v>
      </c>
      <c r="I1064">
        <v>1.43</v>
      </c>
      <c r="J1064">
        <v>2.95</v>
      </c>
      <c r="K1064" t="s">
        <v>10</v>
      </c>
    </row>
    <row r="1065" spans="7:11" x14ac:dyDescent="0.25">
      <c r="G1065" t="s">
        <v>42</v>
      </c>
      <c r="H1065" t="s">
        <v>36</v>
      </c>
      <c r="I1065">
        <v>1.38</v>
      </c>
      <c r="J1065">
        <v>3</v>
      </c>
      <c r="K1065" t="s">
        <v>10</v>
      </c>
    </row>
    <row r="1066" spans="7:11" x14ac:dyDescent="0.25">
      <c r="G1066" t="s">
        <v>42</v>
      </c>
      <c r="H1066" t="s">
        <v>36</v>
      </c>
      <c r="I1066">
        <v>1.42</v>
      </c>
      <c r="J1066">
        <v>2.88</v>
      </c>
      <c r="K1066" t="s">
        <v>10</v>
      </c>
    </row>
    <row r="1067" spans="7:11" x14ac:dyDescent="0.25">
      <c r="G1067" t="s">
        <v>42</v>
      </c>
      <c r="H1067" t="s">
        <v>36</v>
      </c>
      <c r="I1067">
        <v>1.42</v>
      </c>
      <c r="J1067">
        <v>2.88</v>
      </c>
      <c r="K1067" t="s">
        <v>10</v>
      </c>
    </row>
    <row r="1068" spans="7:11" x14ac:dyDescent="0.25">
      <c r="G1068" t="s">
        <v>42</v>
      </c>
      <c r="H1068" t="s">
        <v>36</v>
      </c>
      <c r="I1068">
        <v>1.4</v>
      </c>
      <c r="J1068">
        <v>3</v>
      </c>
      <c r="K1068" t="s">
        <v>10</v>
      </c>
    </row>
    <row r="1069" spans="7:11" x14ac:dyDescent="0.25">
      <c r="G1069" t="s">
        <v>42</v>
      </c>
      <c r="H1069" t="s">
        <v>36</v>
      </c>
      <c r="I1069">
        <v>1.36</v>
      </c>
      <c r="J1069">
        <v>3.1</v>
      </c>
      <c r="K1069" t="s">
        <v>10</v>
      </c>
    </row>
    <row r="1070" spans="7:11" x14ac:dyDescent="0.25">
      <c r="G1070" t="s">
        <v>43</v>
      </c>
      <c r="H1070" t="s">
        <v>36</v>
      </c>
      <c r="I1070">
        <v>3</v>
      </c>
      <c r="J1070">
        <v>1.43</v>
      </c>
      <c r="K1070" t="s">
        <v>10</v>
      </c>
    </row>
    <row r="1071" spans="7:11" x14ac:dyDescent="0.25">
      <c r="G1071" t="s">
        <v>43</v>
      </c>
      <c r="H1071" t="s">
        <v>36</v>
      </c>
      <c r="I1071">
        <v>2.95</v>
      </c>
      <c r="J1071">
        <v>1.42</v>
      </c>
      <c r="K1071" t="s">
        <v>10</v>
      </c>
    </row>
    <row r="1072" spans="7:11" x14ac:dyDescent="0.25">
      <c r="G1072" t="s">
        <v>43</v>
      </c>
      <c r="H1072" t="s">
        <v>36</v>
      </c>
      <c r="I1072">
        <v>3</v>
      </c>
      <c r="J1072">
        <v>1.43</v>
      </c>
      <c r="K1072" t="s">
        <v>10</v>
      </c>
    </row>
    <row r="1073" spans="7:11" x14ac:dyDescent="0.25">
      <c r="G1073" t="s">
        <v>43</v>
      </c>
      <c r="H1073" t="s">
        <v>36</v>
      </c>
      <c r="I1073">
        <v>2.95</v>
      </c>
      <c r="J1073">
        <v>1.43</v>
      </c>
      <c r="K1073" t="s">
        <v>10</v>
      </c>
    </row>
    <row r="1074" spans="7:11" x14ac:dyDescent="0.25">
      <c r="G1074" t="s">
        <v>43</v>
      </c>
      <c r="H1074" t="s">
        <v>36</v>
      </c>
      <c r="I1074">
        <v>2.86</v>
      </c>
      <c r="J1074">
        <v>1.41</v>
      </c>
      <c r="K1074" t="s">
        <v>10</v>
      </c>
    </row>
    <row r="1075" spans="7:11" x14ac:dyDescent="0.25">
      <c r="G1075" t="s">
        <v>43</v>
      </c>
      <c r="H1075" t="s">
        <v>36</v>
      </c>
      <c r="I1075">
        <v>2.85</v>
      </c>
      <c r="J1075">
        <v>1.44</v>
      </c>
      <c r="K1075" t="s">
        <v>10</v>
      </c>
    </row>
    <row r="1076" spans="7:11" x14ac:dyDescent="0.25">
      <c r="G1076" t="s">
        <v>92</v>
      </c>
      <c r="H1076" t="s">
        <v>93</v>
      </c>
      <c r="I1076">
        <v>6.25</v>
      </c>
      <c r="J1076">
        <v>1.1200000000000001</v>
      </c>
      <c r="K1076" t="s">
        <v>10</v>
      </c>
    </row>
    <row r="1077" spans="7:11" x14ac:dyDescent="0.25">
      <c r="G1077" t="s">
        <v>92</v>
      </c>
      <c r="H1077" t="s">
        <v>93</v>
      </c>
      <c r="I1077">
        <v>6.75</v>
      </c>
      <c r="J1077">
        <v>1.1200000000000001</v>
      </c>
      <c r="K1077" t="s">
        <v>10</v>
      </c>
    </row>
    <row r="1078" spans="7:11" x14ac:dyDescent="0.25">
      <c r="G1078" t="s">
        <v>92</v>
      </c>
      <c r="H1078" t="s">
        <v>93</v>
      </c>
      <c r="I1078">
        <v>6.5</v>
      </c>
      <c r="J1078">
        <v>1.1200000000000001</v>
      </c>
      <c r="K1078" t="s">
        <v>10</v>
      </c>
    </row>
    <row r="1079" spans="7:11" x14ac:dyDescent="0.25">
      <c r="G1079" t="s">
        <v>92</v>
      </c>
      <c r="H1079" t="s">
        <v>93</v>
      </c>
      <c r="I1079">
        <v>5.3</v>
      </c>
      <c r="J1079">
        <v>1.1499999999999999</v>
      </c>
      <c r="K1079" t="s">
        <v>10</v>
      </c>
    </row>
    <row r="1080" spans="7:11" x14ac:dyDescent="0.25">
      <c r="G1080" t="s">
        <v>92</v>
      </c>
      <c r="H1080" t="s">
        <v>93</v>
      </c>
      <c r="I1080">
        <v>7</v>
      </c>
      <c r="J1080">
        <v>1.1100000000000001</v>
      </c>
      <c r="K1080" t="s">
        <v>10</v>
      </c>
    </row>
    <row r="1081" spans="7:11" x14ac:dyDescent="0.25">
      <c r="G1081" t="s">
        <v>92</v>
      </c>
      <c r="H1081" t="s">
        <v>93</v>
      </c>
      <c r="I1081">
        <v>7</v>
      </c>
      <c r="J1081">
        <v>1.1100000000000001</v>
      </c>
      <c r="K1081" t="s">
        <v>10</v>
      </c>
    </row>
    <row r="1082" spans="7:11" x14ac:dyDescent="0.25">
      <c r="G1082" t="s">
        <v>92</v>
      </c>
      <c r="H1082" t="s">
        <v>93</v>
      </c>
      <c r="I1082">
        <v>6.5</v>
      </c>
      <c r="J1082">
        <v>1.1200000000000001</v>
      </c>
      <c r="K1082" t="s">
        <v>10</v>
      </c>
    </row>
    <row r="1083" spans="7:11" x14ac:dyDescent="0.25">
      <c r="G1083" t="s">
        <v>92</v>
      </c>
      <c r="H1083" t="s">
        <v>93</v>
      </c>
      <c r="I1083">
        <v>6</v>
      </c>
      <c r="J1083">
        <v>1.1399999999999999</v>
      </c>
      <c r="K1083" t="s">
        <v>10</v>
      </c>
    </row>
    <row r="1084" spans="7:11" x14ac:dyDescent="0.25">
      <c r="G1084" t="s">
        <v>92</v>
      </c>
      <c r="H1084" t="s">
        <v>93</v>
      </c>
      <c r="I1084">
        <v>6</v>
      </c>
      <c r="J1084">
        <v>1.1399999999999999</v>
      </c>
      <c r="K1084" t="s">
        <v>10</v>
      </c>
    </row>
    <row r="1085" spans="7:11" x14ac:dyDescent="0.25">
      <c r="G1085" t="s">
        <v>92</v>
      </c>
      <c r="H1085" t="s">
        <v>93</v>
      </c>
      <c r="I1085">
        <v>6.25</v>
      </c>
      <c r="J1085">
        <v>1.1200000000000001</v>
      </c>
      <c r="K1085" t="s">
        <v>10</v>
      </c>
    </row>
    <row r="1086" spans="7:11" x14ac:dyDescent="0.25">
      <c r="G1086" t="s">
        <v>92</v>
      </c>
      <c r="H1086" t="s">
        <v>93</v>
      </c>
      <c r="I1086">
        <v>6.5</v>
      </c>
      <c r="J1086">
        <v>1.1200000000000001</v>
      </c>
      <c r="K1086" t="s">
        <v>10</v>
      </c>
    </row>
    <row r="1087" spans="7:11" x14ac:dyDescent="0.25">
      <c r="G1087" t="s">
        <v>37</v>
      </c>
      <c r="H1087" t="s">
        <v>269</v>
      </c>
      <c r="I1087">
        <v>1.49</v>
      </c>
      <c r="J1087">
        <v>2.75</v>
      </c>
      <c r="K1087" t="s">
        <v>10</v>
      </c>
    </row>
    <row r="1088" spans="7:11" x14ac:dyDescent="0.25">
      <c r="G1088" t="s">
        <v>37</v>
      </c>
      <c r="H1088" t="s">
        <v>269</v>
      </c>
      <c r="I1088">
        <v>1.49</v>
      </c>
      <c r="J1088">
        <v>2.75</v>
      </c>
      <c r="K1088" t="s">
        <v>10</v>
      </c>
    </row>
    <row r="1089" spans="7:11" x14ac:dyDescent="0.25">
      <c r="G1089" t="s">
        <v>37</v>
      </c>
      <c r="H1089" t="s">
        <v>269</v>
      </c>
      <c r="I1089">
        <v>1.46</v>
      </c>
      <c r="J1089">
        <v>2.8</v>
      </c>
      <c r="K1089" t="s">
        <v>10</v>
      </c>
    </row>
    <row r="1090" spans="7:11" x14ac:dyDescent="0.25">
      <c r="G1090" t="s">
        <v>37</v>
      </c>
      <c r="H1090" t="s">
        <v>269</v>
      </c>
      <c r="I1090">
        <v>1.45</v>
      </c>
      <c r="J1090">
        <v>2.8</v>
      </c>
      <c r="K1090" t="s">
        <v>10</v>
      </c>
    </row>
    <row r="1091" spans="7:11" x14ac:dyDescent="0.25">
      <c r="G1091" t="s">
        <v>37</v>
      </c>
      <c r="H1091" t="s">
        <v>269</v>
      </c>
      <c r="I1091">
        <v>1.45</v>
      </c>
      <c r="J1091">
        <v>2.8</v>
      </c>
      <c r="K1091" t="s">
        <v>10</v>
      </c>
    </row>
    <row r="1092" spans="7:11" x14ac:dyDescent="0.25">
      <c r="G1092" t="s">
        <v>37</v>
      </c>
      <c r="H1092" t="s">
        <v>269</v>
      </c>
      <c r="I1092">
        <v>1.45</v>
      </c>
      <c r="J1092">
        <v>2.8</v>
      </c>
      <c r="K1092" t="s">
        <v>10</v>
      </c>
    </row>
    <row r="1093" spans="7:11" x14ac:dyDescent="0.25">
      <c r="G1093" t="s">
        <v>37</v>
      </c>
      <c r="H1093" t="s">
        <v>269</v>
      </c>
      <c r="I1093">
        <v>1.43</v>
      </c>
      <c r="J1093">
        <v>2.8</v>
      </c>
      <c r="K1093" t="s">
        <v>10</v>
      </c>
    </row>
    <row r="1094" spans="7:11" x14ac:dyDescent="0.25">
      <c r="G1094" t="s">
        <v>37</v>
      </c>
      <c r="H1094" t="s">
        <v>269</v>
      </c>
      <c r="I1094">
        <v>1.43</v>
      </c>
      <c r="J1094">
        <v>2.8</v>
      </c>
      <c r="K1094" t="s">
        <v>10</v>
      </c>
    </row>
    <row r="1095" spans="7:11" x14ac:dyDescent="0.25">
      <c r="G1095" t="s">
        <v>37</v>
      </c>
      <c r="H1095" t="s">
        <v>269</v>
      </c>
      <c r="I1095">
        <v>1.43</v>
      </c>
      <c r="J1095">
        <v>2.8</v>
      </c>
      <c r="K1095" t="s">
        <v>10</v>
      </c>
    </row>
    <row r="1096" spans="7:11" x14ac:dyDescent="0.25">
      <c r="G1096" t="s">
        <v>37</v>
      </c>
      <c r="H1096" t="s">
        <v>269</v>
      </c>
      <c r="I1096">
        <v>1.45</v>
      </c>
      <c r="J1096">
        <v>2.8</v>
      </c>
      <c r="K1096" t="s">
        <v>10</v>
      </c>
    </row>
    <row r="1097" spans="7:11" x14ac:dyDescent="0.25">
      <c r="G1097" t="s">
        <v>37</v>
      </c>
      <c r="H1097" t="s">
        <v>269</v>
      </c>
      <c r="I1097">
        <v>1.44</v>
      </c>
      <c r="J1097">
        <v>2.85</v>
      </c>
      <c r="K1097" t="s">
        <v>10</v>
      </c>
    </row>
    <row r="1098" spans="7:11" x14ac:dyDescent="0.25">
      <c r="G1098" t="s">
        <v>35</v>
      </c>
      <c r="H1098" t="s">
        <v>270</v>
      </c>
      <c r="I1098">
        <v>3.5</v>
      </c>
      <c r="J1098">
        <v>1.33</v>
      </c>
      <c r="K1098" t="s">
        <v>10</v>
      </c>
    </row>
    <row r="1099" spans="7:11" x14ac:dyDescent="0.25">
      <c r="G1099" t="s">
        <v>35</v>
      </c>
      <c r="H1099" t="s">
        <v>270</v>
      </c>
      <c r="I1099">
        <v>3.5</v>
      </c>
      <c r="J1099">
        <v>1.33</v>
      </c>
      <c r="K1099" t="s">
        <v>10</v>
      </c>
    </row>
    <row r="1100" spans="7:11" x14ac:dyDescent="0.25">
      <c r="G1100" t="s">
        <v>35</v>
      </c>
      <c r="H1100" t="s">
        <v>270</v>
      </c>
      <c r="I1100">
        <v>3.3</v>
      </c>
      <c r="J1100">
        <v>1.35</v>
      </c>
      <c r="K1100" t="s">
        <v>10</v>
      </c>
    </row>
    <row r="1101" spans="7:11" x14ac:dyDescent="0.25">
      <c r="G1101" t="s">
        <v>35</v>
      </c>
      <c r="H1101" t="s">
        <v>270</v>
      </c>
      <c r="I1101">
        <v>3.25</v>
      </c>
      <c r="J1101">
        <v>1.35</v>
      </c>
      <c r="K1101" t="s">
        <v>10</v>
      </c>
    </row>
    <row r="1102" spans="7:11" x14ac:dyDescent="0.25">
      <c r="G1102" t="s">
        <v>35</v>
      </c>
      <c r="H1102" t="s">
        <v>270</v>
      </c>
      <c r="I1102">
        <v>3.3</v>
      </c>
      <c r="J1102">
        <v>1.36</v>
      </c>
      <c r="K1102" t="s">
        <v>10</v>
      </c>
    </row>
    <row r="1103" spans="7:11" x14ac:dyDescent="0.25">
      <c r="G1103" t="s">
        <v>35</v>
      </c>
      <c r="H1103" t="s">
        <v>270</v>
      </c>
      <c r="I1103">
        <v>3.3</v>
      </c>
      <c r="J1103">
        <v>1.34</v>
      </c>
      <c r="K1103" t="s">
        <v>10</v>
      </c>
    </row>
    <row r="1104" spans="7:11" x14ac:dyDescent="0.25">
      <c r="G1104" t="s">
        <v>35</v>
      </c>
      <c r="H1104" t="s">
        <v>270</v>
      </c>
      <c r="I1104">
        <v>3.2</v>
      </c>
      <c r="J1104">
        <v>1.34</v>
      </c>
      <c r="K1104" t="s">
        <v>10</v>
      </c>
    </row>
    <row r="1105" spans="7:11" x14ac:dyDescent="0.25">
      <c r="G1105" t="s">
        <v>35</v>
      </c>
      <c r="H1105" t="s">
        <v>270</v>
      </c>
      <c r="I1105">
        <v>3.1</v>
      </c>
      <c r="J1105">
        <v>1.36</v>
      </c>
      <c r="K1105" t="s">
        <v>10</v>
      </c>
    </row>
    <row r="1106" spans="7:11" x14ac:dyDescent="0.25">
      <c r="G1106" t="s">
        <v>35</v>
      </c>
      <c r="H1106" t="s">
        <v>270</v>
      </c>
      <c r="I1106">
        <v>3.1</v>
      </c>
      <c r="J1106">
        <v>1.36</v>
      </c>
      <c r="K1106" t="s">
        <v>10</v>
      </c>
    </row>
    <row r="1107" spans="7:11" x14ac:dyDescent="0.25">
      <c r="G1107" t="s">
        <v>35</v>
      </c>
      <c r="H1107" t="s">
        <v>270</v>
      </c>
      <c r="I1107">
        <v>3.25</v>
      </c>
      <c r="J1107">
        <v>1.36</v>
      </c>
      <c r="K1107" t="s">
        <v>10</v>
      </c>
    </row>
    <row r="1108" spans="7:11" x14ac:dyDescent="0.25">
      <c r="G1108" t="s">
        <v>35</v>
      </c>
      <c r="H1108" t="s">
        <v>270</v>
      </c>
      <c r="I1108">
        <v>3.25</v>
      </c>
      <c r="J1108">
        <v>1.36</v>
      </c>
      <c r="K1108" t="s">
        <v>10</v>
      </c>
    </row>
    <row r="1109" spans="7:11" x14ac:dyDescent="0.25">
      <c r="G1109" t="s">
        <v>38</v>
      </c>
      <c r="H1109" t="s">
        <v>271</v>
      </c>
      <c r="I1109">
        <v>1.22</v>
      </c>
      <c r="J1109">
        <v>4.5</v>
      </c>
      <c r="K1109" t="s">
        <v>10</v>
      </c>
    </row>
    <row r="1110" spans="7:11" x14ac:dyDescent="0.25">
      <c r="G1110" t="s">
        <v>38</v>
      </c>
      <c r="H1110" t="s">
        <v>271</v>
      </c>
      <c r="I1110">
        <v>1.22</v>
      </c>
      <c r="J1110">
        <v>4.5</v>
      </c>
      <c r="K1110" t="s">
        <v>10</v>
      </c>
    </row>
    <row r="1111" spans="7:11" x14ac:dyDescent="0.25">
      <c r="G1111" t="s">
        <v>38</v>
      </c>
      <c r="H1111" t="s">
        <v>271</v>
      </c>
      <c r="I1111">
        <v>1.24</v>
      </c>
      <c r="J1111">
        <v>4.3</v>
      </c>
      <c r="K1111" t="s">
        <v>10</v>
      </c>
    </row>
    <row r="1112" spans="7:11" x14ac:dyDescent="0.25">
      <c r="G1112" t="s">
        <v>38</v>
      </c>
      <c r="H1112" t="s">
        <v>271</v>
      </c>
      <c r="I1112">
        <v>1.24</v>
      </c>
      <c r="J1112">
        <v>4.3</v>
      </c>
      <c r="K1112" t="s">
        <v>10</v>
      </c>
    </row>
    <row r="1113" spans="7:11" x14ac:dyDescent="0.25">
      <c r="G1113" t="s">
        <v>38</v>
      </c>
      <c r="H1113" t="s">
        <v>271</v>
      </c>
      <c r="I1113">
        <v>1.22</v>
      </c>
      <c r="J1113">
        <v>4.5</v>
      </c>
      <c r="K1113" t="s">
        <v>10</v>
      </c>
    </row>
    <row r="1114" spans="7:11" x14ac:dyDescent="0.25">
      <c r="G1114" t="s">
        <v>38</v>
      </c>
      <c r="H1114" t="s">
        <v>271</v>
      </c>
      <c r="I1114">
        <v>1.21</v>
      </c>
      <c r="J1114">
        <v>4.5</v>
      </c>
      <c r="K1114" t="s">
        <v>10</v>
      </c>
    </row>
    <row r="1115" spans="7:11" x14ac:dyDescent="0.25">
      <c r="G1115" t="s">
        <v>38</v>
      </c>
      <c r="H1115" t="s">
        <v>271</v>
      </c>
      <c r="I1115">
        <v>1.21</v>
      </c>
      <c r="J1115">
        <v>4.5</v>
      </c>
      <c r="K1115" t="s">
        <v>10</v>
      </c>
    </row>
    <row r="1116" spans="7:11" x14ac:dyDescent="0.25">
      <c r="G1116" t="s">
        <v>38</v>
      </c>
      <c r="H1116" t="s">
        <v>271</v>
      </c>
      <c r="I1116">
        <v>1.22</v>
      </c>
      <c r="J1116">
        <v>4.25</v>
      </c>
      <c r="K1116" t="s">
        <v>10</v>
      </c>
    </row>
    <row r="1117" spans="7:11" x14ac:dyDescent="0.25">
      <c r="G1117" t="s">
        <v>38</v>
      </c>
      <c r="H1117" t="s">
        <v>271</v>
      </c>
      <c r="I1117">
        <v>1.25</v>
      </c>
      <c r="J1117">
        <v>3.85</v>
      </c>
      <c r="K1117" t="s">
        <v>10</v>
      </c>
    </row>
    <row r="1118" spans="7:11" x14ac:dyDescent="0.25">
      <c r="G1118" t="s">
        <v>38</v>
      </c>
      <c r="H1118" t="s">
        <v>271</v>
      </c>
      <c r="I1118">
        <v>1.24</v>
      </c>
      <c r="J1118">
        <v>4.2</v>
      </c>
      <c r="K1118" t="s">
        <v>10</v>
      </c>
    </row>
    <row r="1265" spans="11:11" x14ac:dyDescent="0.25">
      <c r="K1265" s="1"/>
    </row>
    <row r="1266" spans="11:11" x14ac:dyDescent="0.25">
      <c r="K1266" s="1"/>
    </row>
    <row r="1267" spans="11:11" x14ac:dyDescent="0.25">
      <c r="K1267" s="1"/>
    </row>
    <row r="1268" spans="11:11" x14ac:dyDescent="0.25">
      <c r="K1268" s="1"/>
    </row>
    <row r="1269" spans="11:11" x14ac:dyDescent="0.25">
      <c r="K1269" s="1"/>
    </row>
    <row r="1270" spans="11:11" x14ac:dyDescent="0.25">
      <c r="K1270" s="1"/>
    </row>
    <row r="1271" spans="11:11" x14ac:dyDescent="0.25">
      <c r="K1271" s="1"/>
    </row>
    <row r="1272" spans="11:11" x14ac:dyDescent="0.25">
      <c r="K1272" s="1"/>
    </row>
    <row r="1273" spans="11:11" x14ac:dyDescent="0.25">
      <c r="K1273" s="1"/>
    </row>
    <row r="1274" spans="11:11" x14ac:dyDescent="0.25">
      <c r="K1274" s="1"/>
    </row>
    <row r="1275" spans="11:11" x14ac:dyDescent="0.25">
      <c r="K1275" s="1"/>
    </row>
    <row r="1276" spans="11:11" x14ac:dyDescent="0.25">
      <c r="K1276" s="1"/>
    </row>
    <row r="1277" spans="11:11" x14ac:dyDescent="0.25">
      <c r="K1277" s="1"/>
    </row>
    <row r="1278" spans="11:11" x14ac:dyDescent="0.25">
      <c r="K1278" s="1"/>
    </row>
    <row r="1279" spans="11:11" x14ac:dyDescent="0.25">
      <c r="K1279" s="1"/>
    </row>
    <row r="1280" spans="11:11" x14ac:dyDescent="0.25">
      <c r="K1280" s="1"/>
    </row>
    <row r="1281" spans="11:11" x14ac:dyDescent="0.25">
      <c r="K1281" s="1"/>
    </row>
    <row r="1282" spans="11:11" x14ac:dyDescent="0.25">
      <c r="K1282" s="1"/>
    </row>
    <row r="1283" spans="11:11" x14ac:dyDescent="0.25">
      <c r="K1283" s="1"/>
    </row>
    <row r="1284" spans="11:11" x14ac:dyDescent="0.25">
      <c r="K1284" s="1"/>
    </row>
    <row r="1285" spans="11:11" x14ac:dyDescent="0.25">
      <c r="K1285" s="1"/>
    </row>
    <row r="1286" spans="11:11" x14ac:dyDescent="0.25">
      <c r="K1286" s="1"/>
    </row>
    <row r="1287" spans="11:11" x14ac:dyDescent="0.25">
      <c r="K1287" s="1"/>
    </row>
    <row r="1288" spans="11:11" x14ac:dyDescent="0.25">
      <c r="K1288" s="1"/>
    </row>
    <row r="1289" spans="11:11" x14ac:dyDescent="0.25">
      <c r="K1289" s="1"/>
    </row>
    <row r="1290" spans="11:11" x14ac:dyDescent="0.25">
      <c r="K1290" s="1"/>
    </row>
    <row r="1291" spans="11:11" x14ac:dyDescent="0.25">
      <c r="K1291" s="1"/>
    </row>
    <row r="1292" spans="11:11" x14ac:dyDescent="0.25">
      <c r="K1292" s="1"/>
    </row>
    <row r="1293" spans="11:11" x14ac:dyDescent="0.25">
      <c r="K1293" s="1"/>
    </row>
    <row r="1294" spans="11:11" x14ac:dyDescent="0.25">
      <c r="K1294" s="1"/>
    </row>
    <row r="1295" spans="11:11" x14ac:dyDescent="0.25">
      <c r="K1295" s="1"/>
    </row>
    <row r="1296" spans="11:11" x14ac:dyDescent="0.25">
      <c r="K1296" s="1"/>
    </row>
    <row r="1297" spans="11:11" x14ac:dyDescent="0.25">
      <c r="K1297" s="1"/>
    </row>
    <row r="1298" spans="11:11" x14ac:dyDescent="0.25">
      <c r="K1298" s="1"/>
    </row>
    <row r="1299" spans="11:11" x14ac:dyDescent="0.25">
      <c r="K1299" s="1"/>
    </row>
    <row r="1300" spans="11:11" x14ac:dyDescent="0.25">
      <c r="K1300" s="1"/>
    </row>
    <row r="1301" spans="11:11" x14ac:dyDescent="0.25">
      <c r="K1301" s="1"/>
    </row>
    <row r="1302" spans="11:11" x14ac:dyDescent="0.25">
      <c r="K1302" s="1"/>
    </row>
    <row r="1303" spans="11:11" x14ac:dyDescent="0.25">
      <c r="K1303" s="1"/>
    </row>
    <row r="1304" spans="11:11" x14ac:dyDescent="0.25">
      <c r="K1304" s="1"/>
    </row>
    <row r="1305" spans="11:11" x14ac:dyDescent="0.25">
      <c r="K1305" s="1"/>
    </row>
    <row r="1306" spans="11:11" x14ac:dyDescent="0.25">
      <c r="K1306" s="1"/>
    </row>
    <row r="1307" spans="11:11" x14ac:dyDescent="0.25">
      <c r="K1307" s="1"/>
    </row>
    <row r="1308" spans="11:11" x14ac:dyDescent="0.25">
      <c r="K1308" s="1"/>
    </row>
    <row r="1309" spans="11:11" x14ac:dyDescent="0.25">
      <c r="K1309" s="1"/>
    </row>
    <row r="1310" spans="11:11" x14ac:dyDescent="0.25">
      <c r="K1310" s="1"/>
    </row>
    <row r="1311" spans="11:11" x14ac:dyDescent="0.25">
      <c r="K1311" s="1"/>
    </row>
    <row r="1312" spans="11:11" x14ac:dyDescent="0.25">
      <c r="K1312" s="1"/>
    </row>
    <row r="1313" spans="11:11" x14ac:dyDescent="0.25">
      <c r="K1313" s="1"/>
    </row>
    <row r="1314" spans="11:11" x14ac:dyDescent="0.25">
      <c r="K1314" s="1"/>
    </row>
    <row r="1315" spans="11:11" x14ac:dyDescent="0.25">
      <c r="K1315" s="1"/>
    </row>
    <row r="1316" spans="11:11" x14ac:dyDescent="0.25">
      <c r="K1316" s="1"/>
    </row>
    <row r="1317" spans="11:11" x14ac:dyDescent="0.25">
      <c r="K1317" s="1"/>
    </row>
    <row r="1318" spans="11:11" x14ac:dyDescent="0.25">
      <c r="K1318" s="1"/>
    </row>
    <row r="1319" spans="11:11" x14ac:dyDescent="0.25">
      <c r="K1319" s="1"/>
    </row>
    <row r="1320" spans="11:11" x14ac:dyDescent="0.25">
      <c r="K1320" s="1"/>
    </row>
    <row r="1321" spans="11:11" x14ac:dyDescent="0.25">
      <c r="K1321" s="1"/>
    </row>
    <row r="1322" spans="11:11" x14ac:dyDescent="0.25">
      <c r="K1322" s="1"/>
    </row>
    <row r="1323" spans="11:11" x14ac:dyDescent="0.25">
      <c r="K1323" s="1"/>
    </row>
    <row r="1324" spans="11:11" x14ac:dyDescent="0.25">
      <c r="K1324" s="1"/>
    </row>
    <row r="1325" spans="11:11" x14ac:dyDescent="0.25">
      <c r="K1325" s="1"/>
    </row>
    <row r="1326" spans="11:11" x14ac:dyDescent="0.25">
      <c r="K1326" s="1"/>
    </row>
    <row r="1327" spans="11:11" x14ac:dyDescent="0.25">
      <c r="K1327" s="1"/>
    </row>
    <row r="1328" spans="11:11" x14ac:dyDescent="0.25">
      <c r="K1328" s="1"/>
    </row>
    <row r="1329" spans="11:11" x14ac:dyDescent="0.25">
      <c r="K1329" s="1"/>
    </row>
    <row r="1330" spans="11:11" x14ac:dyDescent="0.25">
      <c r="K1330" s="1"/>
    </row>
    <row r="1331" spans="11:11" x14ac:dyDescent="0.25">
      <c r="K1331" s="1"/>
    </row>
    <row r="1332" spans="11:11" x14ac:dyDescent="0.25">
      <c r="K1332" s="1"/>
    </row>
    <row r="1333" spans="11:11" x14ac:dyDescent="0.25">
      <c r="K1333" s="1"/>
    </row>
    <row r="1334" spans="11:11" x14ac:dyDescent="0.25">
      <c r="K1334" s="1"/>
    </row>
    <row r="1335" spans="11:11" x14ac:dyDescent="0.25">
      <c r="K1335" s="1"/>
    </row>
    <row r="1336" spans="11:11" x14ac:dyDescent="0.25">
      <c r="K133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G89"/>
  <sheetViews>
    <sheetView topLeftCell="A21" zoomScale="75" zoomScaleNormal="75" workbookViewId="0">
      <pane ySplit="4275" topLeftCell="A75"/>
      <selection activeCell="F3" sqref="F3:H34"/>
      <selection pane="bottomLeft" activeCell="F38" sqref="F38"/>
    </sheetView>
  </sheetViews>
  <sheetFormatPr defaultRowHeight="15" x14ac:dyDescent="0.25"/>
  <cols>
    <col min="4" max="4" width="43.5703125" customWidth="1"/>
    <col min="6" max="6" width="31" customWidth="1"/>
    <col min="7" max="7" width="15.7109375" customWidth="1"/>
    <col min="8" max="8" width="16.42578125" customWidth="1"/>
    <col min="9" max="10" width="23.7109375" style="16" customWidth="1"/>
    <col min="11" max="11" width="18.5703125" bestFit="1" customWidth="1"/>
    <col min="13" max="13" width="16.5703125" customWidth="1"/>
    <col min="20" max="20" width="22.85546875" bestFit="1" customWidth="1"/>
  </cols>
  <sheetData>
    <row r="2" spans="2:33" x14ac:dyDescent="0.25">
      <c r="D2" s="35" t="s">
        <v>11</v>
      </c>
      <c r="E2" s="35" t="s">
        <v>12</v>
      </c>
      <c r="F2" s="35" t="s">
        <v>13</v>
      </c>
      <c r="G2" s="35" t="s">
        <v>14</v>
      </c>
      <c r="H2" s="35" t="s">
        <v>29</v>
      </c>
      <c r="I2" s="35" t="s">
        <v>30</v>
      </c>
      <c r="J2"/>
    </row>
    <row r="3" spans="2:33" x14ac:dyDescent="0.25">
      <c r="C3">
        <v>1</v>
      </c>
      <c r="D3" s="36" t="s">
        <v>35</v>
      </c>
      <c r="E3" s="36" t="s">
        <v>10</v>
      </c>
      <c r="F3" s="36" t="s">
        <v>278</v>
      </c>
      <c r="G3" s="37">
        <v>1700352899</v>
      </c>
      <c r="H3" s="37">
        <v>218</v>
      </c>
      <c r="I3" s="38">
        <v>1.3490909090909089</v>
      </c>
      <c r="J3"/>
      <c r="K3" s="11">
        <f t="shared" ref="K3:K34" si="0">G3/86400+25569-6/24</f>
        <v>45248.760405092587</v>
      </c>
    </row>
    <row r="4" spans="2:33" x14ac:dyDescent="0.25">
      <c r="C4">
        <v>1</v>
      </c>
      <c r="D4" s="36" t="s">
        <v>38</v>
      </c>
      <c r="E4" s="36" t="s">
        <v>10</v>
      </c>
      <c r="F4" s="36" t="s">
        <v>281</v>
      </c>
      <c r="G4" s="37">
        <v>1700354700</v>
      </c>
      <c r="H4" s="37">
        <v>292</v>
      </c>
      <c r="I4" s="38">
        <v>1.2269999999999999</v>
      </c>
      <c r="J4"/>
      <c r="K4" s="11">
        <f t="shared" si="0"/>
        <v>45248.78125</v>
      </c>
      <c r="Y4" s="13"/>
      <c r="Z4" s="13"/>
      <c r="AG4" s="13"/>
    </row>
    <row r="5" spans="2:33" x14ac:dyDescent="0.25">
      <c r="B5" s="1"/>
      <c r="C5">
        <v>1</v>
      </c>
      <c r="D5" s="36" t="s">
        <v>194</v>
      </c>
      <c r="E5" s="36" t="s">
        <v>8</v>
      </c>
      <c r="F5" s="36" t="s">
        <v>369</v>
      </c>
      <c r="G5" s="37">
        <v>1700337600</v>
      </c>
      <c r="H5" s="37">
        <v>229</v>
      </c>
      <c r="I5" s="38">
        <v>1.3316666666666668</v>
      </c>
      <c r="J5"/>
      <c r="K5" s="11">
        <f t="shared" si="0"/>
        <v>45248.583333333328</v>
      </c>
      <c r="Y5" s="13"/>
      <c r="Z5" s="13"/>
      <c r="AG5" s="13"/>
    </row>
    <row r="6" spans="2:33" x14ac:dyDescent="0.25">
      <c r="B6" s="1"/>
      <c r="C6" s="12">
        <v>1</v>
      </c>
      <c r="D6" s="36" t="s">
        <v>190</v>
      </c>
      <c r="E6" s="36" t="s">
        <v>8</v>
      </c>
      <c r="F6" s="36" t="s">
        <v>368</v>
      </c>
      <c r="G6" s="37">
        <v>1700337600</v>
      </c>
      <c r="H6" s="37">
        <v>124</v>
      </c>
      <c r="I6" s="38">
        <v>1.5508333333333333</v>
      </c>
      <c r="J6"/>
      <c r="K6" s="11">
        <f t="shared" si="0"/>
        <v>45248.583333333328</v>
      </c>
      <c r="Y6" s="13"/>
      <c r="Z6" s="13"/>
      <c r="AG6" s="13"/>
    </row>
    <row r="7" spans="2:33" x14ac:dyDescent="0.25">
      <c r="B7" s="1"/>
      <c r="C7" s="12">
        <v>1</v>
      </c>
      <c r="D7" s="36" t="s">
        <v>39</v>
      </c>
      <c r="E7" s="36" t="s">
        <v>8</v>
      </c>
      <c r="F7" s="36" t="s">
        <v>283</v>
      </c>
      <c r="G7" s="37">
        <v>1700339399</v>
      </c>
      <c r="H7" s="37">
        <v>280</v>
      </c>
      <c r="I7" s="38">
        <v>1.2466666666666668</v>
      </c>
      <c r="J7"/>
      <c r="K7" s="11">
        <f t="shared" si="0"/>
        <v>45248.604155092587</v>
      </c>
      <c r="Y7" s="13"/>
      <c r="Z7" s="13"/>
      <c r="AG7" s="13"/>
    </row>
    <row r="8" spans="2:33" x14ac:dyDescent="0.25">
      <c r="B8" s="1"/>
      <c r="C8" s="12">
        <v>1</v>
      </c>
      <c r="D8" s="36" t="s">
        <v>203</v>
      </c>
      <c r="E8" s="36" t="s">
        <v>8</v>
      </c>
      <c r="F8" s="36" t="s">
        <v>375</v>
      </c>
      <c r="G8" s="37">
        <v>1700339399</v>
      </c>
      <c r="H8" s="37">
        <v>321</v>
      </c>
      <c r="I8" s="38">
        <v>1.1849999999999998</v>
      </c>
      <c r="J8"/>
      <c r="K8" s="11">
        <f t="shared" si="0"/>
        <v>45248.604155092587</v>
      </c>
      <c r="Y8" s="13"/>
      <c r="Z8" s="13"/>
      <c r="AG8" s="13"/>
    </row>
    <row r="9" spans="2:33" x14ac:dyDescent="0.25">
      <c r="B9" s="1"/>
      <c r="C9" s="12">
        <v>1</v>
      </c>
      <c r="D9" s="36" t="s">
        <v>306</v>
      </c>
      <c r="E9" s="36" t="s">
        <v>8</v>
      </c>
      <c r="F9" s="36" t="s">
        <v>377</v>
      </c>
      <c r="G9" s="37">
        <v>1700339399</v>
      </c>
      <c r="H9" s="37">
        <v>67</v>
      </c>
      <c r="I9" s="38">
        <v>1.6991666666666669</v>
      </c>
      <c r="J9"/>
      <c r="K9" s="11">
        <f t="shared" si="0"/>
        <v>45248.604155092587</v>
      </c>
      <c r="Y9" s="13"/>
      <c r="Z9" s="13"/>
      <c r="AG9" s="13"/>
    </row>
    <row r="10" spans="2:33" x14ac:dyDescent="0.25">
      <c r="B10" s="1"/>
      <c r="C10" s="12">
        <v>1</v>
      </c>
      <c r="D10" s="36" t="s">
        <v>199</v>
      </c>
      <c r="E10" s="36" t="s">
        <v>8</v>
      </c>
      <c r="F10" s="36" t="s">
        <v>376</v>
      </c>
      <c r="G10" s="37">
        <v>1700339399</v>
      </c>
      <c r="H10" s="37">
        <v>99</v>
      </c>
      <c r="I10" s="38">
        <v>1.6141666666666667</v>
      </c>
      <c r="J10"/>
      <c r="K10" s="11">
        <f t="shared" si="0"/>
        <v>45248.604155092587</v>
      </c>
      <c r="Y10" s="13"/>
      <c r="Z10" s="13"/>
      <c r="AG10" s="13"/>
    </row>
    <row r="11" spans="2:33" x14ac:dyDescent="0.25">
      <c r="B11" s="1"/>
      <c r="C11" s="12">
        <v>1</v>
      </c>
      <c r="D11" s="36" t="s">
        <v>329</v>
      </c>
      <c r="E11" s="36" t="s">
        <v>8</v>
      </c>
      <c r="F11" s="36" t="s">
        <v>371</v>
      </c>
      <c r="G11" s="37">
        <v>1700339399</v>
      </c>
      <c r="H11" s="37">
        <v>200</v>
      </c>
      <c r="I11" s="38">
        <v>1.3833333333333335</v>
      </c>
      <c r="J11"/>
      <c r="K11" s="11">
        <f t="shared" si="0"/>
        <v>45248.604155092587</v>
      </c>
      <c r="Y11" s="13"/>
      <c r="Z11" s="13"/>
      <c r="AG11" s="13"/>
    </row>
    <row r="12" spans="2:33" x14ac:dyDescent="0.25">
      <c r="B12" s="1"/>
      <c r="C12" s="12">
        <v>1</v>
      </c>
      <c r="D12" s="36" t="s">
        <v>197</v>
      </c>
      <c r="E12" s="36" t="s">
        <v>8</v>
      </c>
      <c r="F12" s="36" t="s">
        <v>374</v>
      </c>
      <c r="G12" s="37">
        <v>1700339399</v>
      </c>
      <c r="H12" s="37">
        <v>95</v>
      </c>
      <c r="I12" s="38">
        <v>1.625</v>
      </c>
      <c r="J12"/>
      <c r="K12" s="11">
        <f t="shared" si="0"/>
        <v>45248.604155092587</v>
      </c>
      <c r="Y12" s="13"/>
      <c r="Z12" s="13"/>
      <c r="AG12" s="13"/>
    </row>
    <row r="13" spans="2:33" ht="30" x14ac:dyDescent="0.25">
      <c r="B13" s="1"/>
      <c r="C13" s="12">
        <v>1</v>
      </c>
      <c r="D13" s="36" t="s">
        <v>307</v>
      </c>
      <c r="E13" s="36" t="s">
        <v>8</v>
      </c>
      <c r="F13" s="36" t="s">
        <v>373</v>
      </c>
      <c r="G13" s="37">
        <v>1700339399</v>
      </c>
      <c r="H13" s="37">
        <v>308</v>
      </c>
      <c r="I13" s="38">
        <v>1.2050000000000001</v>
      </c>
      <c r="J13"/>
      <c r="K13" s="11">
        <f t="shared" si="0"/>
        <v>45248.604155092587</v>
      </c>
      <c r="Y13" s="13"/>
      <c r="Z13" s="13"/>
      <c r="AG13" s="13"/>
    </row>
    <row r="14" spans="2:33" x14ac:dyDescent="0.25">
      <c r="B14" s="1"/>
      <c r="C14" s="12">
        <v>1</v>
      </c>
      <c r="D14" s="36" t="s">
        <v>198</v>
      </c>
      <c r="E14" s="36" t="s">
        <v>8</v>
      </c>
      <c r="F14" s="36" t="s">
        <v>372</v>
      </c>
      <c r="G14" s="37">
        <v>1700339399</v>
      </c>
      <c r="H14" s="37">
        <v>196</v>
      </c>
      <c r="I14" s="38">
        <v>1.3916666666666668</v>
      </c>
      <c r="J14"/>
      <c r="K14" s="11">
        <f t="shared" si="0"/>
        <v>45248.604155092587</v>
      </c>
      <c r="Y14" s="13"/>
      <c r="Z14" s="13"/>
      <c r="AG14" s="13"/>
    </row>
    <row r="15" spans="2:33" ht="30" x14ac:dyDescent="0.25">
      <c r="B15" s="1"/>
      <c r="C15" s="12">
        <v>1</v>
      </c>
      <c r="D15" s="36" t="s">
        <v>311</v>
      </c>
      <c r="E15" s="36" t="s">
        <v>8</v>
      </c>
      <c r="F15" s="36" t="s">
        <v>378</v>
      </c>
      <c r="G15" s="37">
        <v>1700341200</v>
      </c>
      <c r="H15" s="37">
        <v>212</v>
      </c>
      <c r="I15" s="38">
        <v>1.3625</v>
      </c>
      <c r="J15"/>
      <c r="K15" s="11">
        <f t="shared" si="0"/>
        <v>45248.625</v>
      </c>
      <c r="Y15" s="13"/>
      <c r="Z15" s="13"/>
      <c r="AG15" s="13"/>
    </row>
    <row r="16" spans="2:33" x14ac:dyDescent="0.25">
      <c r="B16" s="1"/>
      <c r="C16" s="12">
        <v>1</v>
      </c>
      <c r="D16" s="36" t="s">
        <v>331</v>
      </c>
      <c r="E16" s="36" t="s">
        <v>8</v>
      </c>
      <c r="F16" s="36" t="s">
        <v>379</v>
      </c>
      <c r="G16" s="37">
        <v>1700344799</v>
      </c>
      <c r="H16" s="37">
        <v>76</v>
      </c>
      <c r="I16" s="38">
        <v>1.6775000000000002</v>
      </c>
      <c r="J16"/>
      <c r="K16" s="11">
        <f t="shared" si="0"/>
        <v>45248.666655092587</v>
      </c>
      <c r="Y16" s="13"/>
      <c r="Z16" s="13"/>
      <c r="AG16" s="13"/>
    </row>
    <row r="17" spans="2:33" ht="30" x14ac:dyDescent="0.25">
      <c r="B17" s="1"/>
      <c r="C17" s="12">
        <v>1</v>
      </c>
      <c r="D17" s="36" t="s">
        <v>325</v>
      </c>
      <c r="E17" s="36" t="s">
        <v>8</v>
      </c>
      <c r="F17" s="36" t="s">
        <v>380</v>
      </c>
      <c r="G17" s="37">
        <v>1700344799</v>
      </c>
      <c r="H17" s="37">
        <v>280</v>
      </c>
      <c r="I17" s="38">
        <v>1.2458333333333333</v>
      </c>
      <c r="J17"/>
      <c r="K17" s="11">
        <f t="shared" si="0"/>
        <v>45248.666655092587</v>
      </c>
      <c r="Y17" s="13"/>
      <c r="Z17" s="13"/>
      <c r="AG17" s="13"/>
    </row>
    <row r="18" spans="2:33" ht="30" x14ac:dyDescent="0.25">
      <c r="B18" s="1"/>
      <c r="C18" s="12">
        <v>1</v>
      </c>
      <c r="D18" s="36" t="s">
        <v>213</v>
      </c>
      <c r="E18" s="36" t="s">
        <v>8</v>
      </c>
      <c r="F18" s="36" t="s">
        <v>381</v>
      </c>
      <c r="G18" s="37">
        <v>1700348400</v>
      </c>
      <c r="H18" s="37">
        <v>187</v>
      </c>
      <c r="I18" s="38">
        <v>1.4118181818181816</v>
      </c>
      <c r="J18"/>
      <c r="K18" s="11">
        <f t="shared" si="0"/>
        <v>45248.708333333328</v>
      </c>
      <c r="Y18" s="13"/>
      <c r="Z18" s="13"/>
      <c r="AG18" s="13"/>
    </row>
    <row r="19" spans="2:33" x14ac:dyDescent="0.25">
      <c r="B19" s="1"/>
      <c r="C19" s="12">
        <v>1</v>
      </c>
      <c r="D19" s="36" t="s">
        <v>215</v>
      </c>
      <c r="E19" s="36" t="s">
        <v>8</v>
      </c>
      <c r="F19" s="36" t="s">
        <v>382</v>
      </c>
      <c r="G19" s="37">
        <v>1700350199</v>
      </c>
      <c r="H19" s="37">
        <v>199</v>
      </c>
      <c r="I19" s="38">
        <v>1.3863636363636365</v>
      </c>
      <c r="J19"/>
      <c r="K19" s="11">
        <f t="shared" si="0"/>
        <v>45248.729155092587</v>
      </c>
      <c r="Y19" s="13"/>
      <c r="Z19" s="13"/>
      <c r="AG19" s="13"/>
    </row>
    <row r="20" spans="2:33" x14ac:dyDescent="0.25">
      <c r="B20" s="1"/>
      <c r="C20" s="12">
        <v>1</v>
      </c>
      <c r="D20" s="36" t="s">
        <v>312</v>
      </c>
      <c r="E20" s="36" t="s">
        <v>8</v>
      </c>
      <c r="F20" s="36" t="s">
        <v>383</v>
      </c>
      <c r="G20" s="37">
        <v>1700352000</v>
      </c>
      <c r="H20" s="37">
        <v>99</v>
      </c>
      <c r="I20" s="38">
        <v>1.6145454545454547</v>
      </c>
      <c r="J20"/>
      <c r="K20" s="11">
        <f t="shared" si="0"/>
        <v>45248.75</v>
      </c>
      <c r="Y20" s="13"/>
      <c r="Z20" s="13"/>
      <c r="AG20" s="13"/>
    </row>
    <row r="21" spans="2:33" ht="30" x14ac:dyDescent="0.25">
      <c r="B21" s="1"/>
      <c r="C21" s="12">
        <v>1</v>
      </c>
      <c r="D21" s="36" t="s">
        <v>313</v>
      </c>
      <c r="E21" s="36" t="s">
        <v>8</v>
      </c>
      <c r="F21" s="36" t="s">
        <v>387</v>
      </c>
      <c r="G21" s="37">
        <v>1700353800</v>
      </c>
      <c r="H21" s="37">
        <v>50</v>
      </c>
      <c r="I21" s="38">
        <v>1.749090909090909</v>
      </c>
      <c r="J21"/>
      <c r="K21" s="11">
        <f t="shared" si="0"/>
        <v>45248.770833333328</v>
      </c>
      <c r="Y21" s="13"/>
      <c r="Z21" s="13"/>
      <c r="AG21" s="13"/>
    </row>
    <row r="22" spans="2:33" x14ac:dyDescent="0.25">
      <c r="B22" s="1"/>
      <c r="C22" s="12">
        <v>1</v>
      </c>
      <c r="D22" s="36" t="s">
        <v>223</v>
      </c>
      <c r="E22" s="36" t="s">
        <v>8</v>
      </c>
      <c r="F22" s="36" t="s">
        <v>385</v>
      </c>
      <c r="G22" s="37">
        <v>1700353800</v>
      </c>
      <c r="H22" s="37">
        <v>146</v>
      </c>
      <c r="I22" s="38">
        <v>1.499090909090909</v>
      </c>
      <c r="J22"/>
      <c r="K22" s="11">
        <f t="shared" si="0"/>
        <v>45248.770833333328</v>
      </c>
      <c r="Y22" s="13"/>
      <c r="Z22" s="13"/>
      <c r="AG22" s="13"/>
    </row>
    <row r="23" spans="2:33" ht="30" x14ac:dyDescent="0.25">
      <c r="B23" s="1"/>
      <c r="C23" s="12">
        <v>1</v>
      </c>
      <c r="D23" s="36" t="s">
        <v>326</v>
      </c>
      <c r="E23" s="36" t="s">
        <v>8</v>
      </c>
      <c r="F23" s="36" t="s">
        <v>386</v>
      </c>
      <c r="G23" s="37">
        <v>1700353800</v>
      </c>
      <c r="H23" s="37">
        <v>30</v>
      </c>
      <c r="I23" s="38">
        <v>1.810909090909091</v>
      </c>
      <c r="J23"/>
      <c r="K23" s="11">
        <f t="shared" si="0"/>
        <v>45248.770833333328</v>
      </c>
      <c r="Y23" s="13"/>
      <c r="Z23" s="13"/>
      <c r="AG23" s="13"/>
    </row>
    <row r="24" spans="2:33" x14ac:dyDescent="0.25">
      <c r="B24" s="1"/>
      <c r="C24">
        <v>1</v>
      </c>
      <c r="D24" s="36" t="s">
        <v>105</v>
      </c>
      <c r="E24" s="36" t="s">
        <v>9</v>
      </c>
      <c r="F24" s="36" t="s">
        <v>284</v>
      </c>
      <c r="G24" s="37">
        <v>1700416860</v>
      </c>
      <c r="H24" s="37">
        <v>305</v>
      </c>
      <c r="I24" s="38">
        <v>1.2092857142857143</v>
      </c>
      <c r="J24"/>
      <c r="K24" s="11">
        <f t="shared" si="0"/>
        <v>45249.500694444447</v>
      </c>
      <c r="Y24" s="13"/>
      <c r="Z24" s="13"/>
      <c r="AG24" s="13"/>
    </row>
    <row r="25" spans="2:33" x14ac:dyDescent="0.25">
      <c r="B25" s="1"/>
      <c r="C25">
        <v>1</v>
      </c>
      <c r="D25" s="36" t="s">
        <v>100</v>
      </c>
      <c r="E25" s="36" t="s">
        <v>9</v>
      </c>
      <c r="F25" s="36" t="s">
        <v>288</v>
      </c>
      <c r="G25" s="37">
        <v>1700416860</v>
      </c>
      <c r="H25" s="37">
        <v>223</v>
      </c>
      <c r="I25" s="38">
        <v>1.340714285714286</v>
      </c>
      <c r="J25"/>
      <c r="K25" s="11">
        <f t="shared" si="0"/>
        <v>45249.500694444447</v>
      </c>
      <c r="Y25" s="13"/>
      <c r="Z25" s="13"/>
      <c r="AG25" s="13"/>
    </row>
    <row r="26" spans="2:33" x14ac:dyDescent="0.25">
      <c r="B26" s="1"/>
      <c r="C26">
        <v>1</v>
      </c>
      <c r="D26" s="36" t="s">
        <v>98</v>
      </c>
      <c r="E26" s="36" t="s">
        <v>9</v>
      </c>
      <c r="F26" s="36" t="s">
        <v>286</v>
      </c>
      <c r="G26" s="37">
        <v>1700416860</v>
      </c>
      <c r="H26" s="37">
        <v>106</v>
      </c>
      <c r="I26" s="38">
        <v>1.5957142857142859</v>
      </c>
      <c r="J26"/>
      <c r="K26" s="11">
        <f t="shared" si="0"/>
        <v>45249.500694444447</v>
      </c>
      <c r="Y26" s="13"/>
      <c r="Z26" s="13"/>
      <c r="AG26" s="13"/>
    </row>
    <row r="27" spans="2:33" x14ac:dyDescent="0.25">
      <c r="B27" s="1"/>
      <c r="C27">
        <v>1</v>
      </c>
      <c r="D27" s="36" t="s">
        <v>102</v>
      </c>
      <c r="E27" s="36" t="s">
        <v>9</v>
      </c>
      <c r="F27" s="36" t="s">
        <v>290</v>
      </c>
      <c r="G27" s="37">
        <v>1700416860</v>
      </c>
      <c r="H27" s="37">
        <v>331</v>
      </c>
      <c r="I27" s="38">
        <v>1.1728571428571428</v>
      </c>
      <c r="J27"/>
      <c r="K27" s="11">
        <f t="shared" si="0"/>
        <v>45249.500694444447</v>
      </c>
      <c r="Y27" s="13"/>
      <c r="Z27" s="13"/>
      <c r="AG27" s="13"/>
    </row>
    <row r="28" spans="2:33" x14ac:dyDescent="0.25">
      <c r="B28" s="1"/>
      <c r="C28">
        <v>1</v>
      </c>
      <c r="D28" s="36" t="s">
        <v>104</v>
      </c>
      <c r="E28" s="36" t="s">
        <v>9</v>
      </c>
      <c r="F28" s="36" t="s">
        <v>289</v>
      </c>
      <c r="G28" s="37">
        <v>1700416860</v>
      </c>
      <c r="H28" s="37">
        <v>144</v>
      </c>
      <c r="I28" s="38">
        <v>1.5028571428571429</v>
      </c>
      <c r="J28"/>
      <c r="K28" s="11">
        <f t="shared" si="0"/>
        <v>45249.500694444447</v>
      </c>
      <c r="Y28" s="13"/>
      <c r="Z28" s="13"/>
      <c r="AG28" s="13"/>
    </row>
    <row r="29" spans="2:33" x14ac:dyDescent="0.25">
      <c r="B29" s="1"/>
      <c r="C29">
        <v>1</v>
      </c>
      <c r="D29" s="36" t="s">
        <v>106</v>
      </c>
      <c r="E29" s="36" t="s">
        <v>9</v>
      </c>
      <c r="F29" s="36" t="s">
        <v>287</v>
      </c>
      <c r="G29" s="37">
        <v>1700416860</v>
      </c>
      <c r="H29" s="37">
        <v>309</v>
      </c>
      <c r="I29" s="38">
        <v>1.2035714285714285</v>
      </c>
      <c r="J29"/>
      <c r="K29" s="11">
        <f t="shared" si="0"/>
        <v>45249.500694444447</v>
      </c>
      <c r="Y29" s="13"/>
      <c r="Z29" s="13"/>
      <c r="AG29" s="13"/>
    </row>
    <row r="30" spans="2:33" x14ac:dyDescent="0.25">
      <c r="B30" s="1"/>
      <c r="C30">
        <v>1</v>
      </c>
      <c r="D30" s="36" t="s">
        <v>103</v>
      </c>
      <c r="E30" s="36" t="s">
        <v>9</v>
      </c>
      <c r="F30" s="36" t="s">
        <v>285</v>
      </c>
      <c r="G30" s="37">
        <v>1700416860</v>
      </c>
      <c r="H30" s="37">
        <v>148</v>
      </c>
      <c r="I30" s="38">
        <v>1.4935714285714288</v>
      </c>
      <c r="J30"/>
      <c r="K30" s="11">
        <f t="shared" si="0"/>
        <v>45249.500694444447</v>
      </c>
      <c r="Y30" s="13"/>
      <c r="Z30" s="13"/>
      <c r="AG30" s="13"/>
    </row>
    <row r="31" spans="2:33" x14ac:dyDescent="0.25">
      <c r="B31" s="1"/>
      <c r="C31">
        <v>1</v>
      </c>
      <c r="D31" s="36" t="s">
        <v>111</v>
      </c>
      <c r="E31" s="36" t="s">
        <v>9</v>
      </c>
      <c r="F31" s="36" t="s">
        <v>291</v>
      </c>
      <c r="G31" s="37">
        <v>1700429160</v>
      </c>
      <c r="H31" s="37">
        <v>10</v>
      </c>
      <c r="I31" s="38">
        <v>1.8709090909090911</v>
      </c>
      <c r="J31"/>
      <c r="K31" s="11">
        <f t="shared" si="0"/>
        <v>45249.643055555556</v>
      </c>
      <c r="Y31" s="13"/>
      <c r="Z31" s="13"/>
      <c r="AG31" s="13"/>
    </row>
    <row r="32" spans="2:33" x14ac:dyDescent="0.25">
      <c r="B32" s="1"/>
      <c r="C32">
        <v>1</v>
      </c>
      <c r="D32" s="36" t="s">
        <v>109</v>
      </c>
      <c r="E32" s="36" t="s">
        <v>9</v>
      </c>
      <c r="F32" s="36" t="s">
        <v>292</v>
      </c>
      <c r="G32" s="37">
        <v>1700429160</v>
      </c>
      <c r="H32" s="37">
        <v>241</v>
      </c>
      <c r="I32" s="38">
        <v>1.3121428571428575</v>
      </c>
      <c r="J32"/>
      <c r="K32" s="11">
        <f t="shared" si="0"/>
        <v>45249.643055555556</v>
      </c>
      <c r="Y32" s="13"/>
      <c r="Z32" s="13"/>
      <c r="AG32" s="13"/>
    </row>
    <row r="33" spans="2:33" x14ac:dyDescent="0.25">
      <c r="B33" s="1"/>
      <c r="C33">
        <v>1</v>
      </c>
      <c r="D33" s="36" t="s">
        <v>112</v>
      </c>
      <c r="E33" s="36" t="s">
        <v>9</v>
      </c>
      <c r="F33" s="36" t="s">
        <v>293</v>
      </c>
      <c r="G33" s="37">
        <v>1700443260</v>
      </c>
      <c r="H33" s="37">
        <v>47</v>
      </c>
      <c r="I33" s="38">
        <v>1.7592857142857139</v>
      </c>
      <c r="J33"/>
      <c r="K33" s="11">
        <f t="shared" si="0"/>
        <v>45249.806250000001</v>
      </c>
      <c r="Y33" s="13"/>
      <c r="Z33" s="13"/>
      <c r="AG33" s="13"/>
    </row>
    <row r="34" spans="2:33" x14ac:dyDescent="0.25">
      <c r="B34" s="1"/>
      <c r="C34">
        <v>1</v>
      </c>
      <c r="D34" s="36" t="s">
        <v>114</v>
      </c>
      <c r="E34" s="36" t="s">
        <v>9</v>
      </c>
      <c r="F34" s="36" t="s">
        <v>294</v>
      </c>
      <c r="G34" s="37">
        <v>1700529359</v>
      </c>
      <c r="H34" s="37">
        <v>84</v>
      </c>
      <c r="I34" s="38">
        <v>1.6542857142857146</v>
      </c>
      <c r="J34"/>
      <c r="K34" s="11">
        <f t="shared" si="0"/>
        <v>45250.802766203706</v>
      </c>
      <c r="Y34" s="13"/>
      <c r="Z34" s="13"/>
      <c r="AG34" s="13"/>
    </row>
    <row r="35" spans="2:33" x14ac:dyDescent="0.25">
      <c r="B35" s="1"/>
      <c r="D35" s="36" t="s">
        <v>257</v>
      </c>
      <c r="E35" s="36" t="s">
        <v>10</v>
      </c>
      <c r="F35" s="36" t="s">
        <v>339</v>
      </c>
      <c r="G35" s="37">
        <v>1700258399</v>
      </c>
      <c r="H35" s="37">
        <v>93</v>
      </c>
      <c r="I35" s="38">
        <v>1.6125</v>
      </c>
      <c r="J35"/>
      <c r="K35" s="11">
        <f t="shared" ref="K35:K66" si="1">G35/86400+25569-6/24</f>
        <v>45247.666655092587</v>
      </c>
      <c r="Y35" s="13"/>
      <c r="Z35" s="13"/>
      <c r="AG35" s="13"/>
    </row>
    <row r="36" spans="2:33" x14ac:dyDescent="0.25">
      <c r="B36" s="1"/>
      <c r="D36" s="36" t="s">
        <v>259</v>
      </c>
      <c r="E36" s="36" t="s">
        <v>10</v>
      </c>
      <c r="F36" s="36" t="s">
        <v>338</v>
      </c>
      <c r="G36" s="37">
        <v>1700258399</v>
      </c>
      <c r="H36" s="37">
        <v>29</v>
      </c>
      <c r="I36" s="38">
        <v>1.7950000000000002</v>
      </c>
      <c r="J36"/>
      <c r="K36" s="11">
        <f t="shared" si="1"/>
        <v>45247.666655092587</v>
      </c>
    </row>
    <row r="37" spans="2:33" x14ac:dyDescent="0.25">
      <c r="D37" s="36" t="s">
        <v>260</v>
      </c>
      <c r="E37" s="36" t="s">
        <v>10</v>
      </c>
      <c r="F37" s="36" t="s">
        <v>337</v>
      </c>
      <c r="G37" s="37">
        <v>1700258399</v>
      </c>
      <c r="H37" s="37">
        <v>251</v>
      </c>
      <c r="I37" s="38">
        <v>1.2875000000000001</v>
      </c>
      <c r="J37"/>
      <c r="K37" s="11">
        <f t="shared" si="1"/>
        <v>45247.666655092587</v>
      </c>
      <c r="Y37" s="13"/>
      <c r="Z37" s="13"/>
    </row>
    <row r="38" spans="2:33" x14ac:dyDescent="0.25">
      <c r="D38" s="36" t="s">
        <v>258</v>
      </c>
      <c r="E38" s="36" t="s">
        <v>10</v>
      </c>
      <c r="F38" s="36" t="s">
        <v>340</v>
      </c>
      <c r="G38" s="37">
        <v>1700258399</v>
      </c>
      <c r="H38" s="37">
        <v>54</v>
      </c>
      <c r="I38" s="38">
        <v>1.72</v>
      </c>
      <c r="J38"/>
      <c r="K38" s="11">
        <f t="shared" si="1"/>
        <v>45247.666655092587</v>
      </c>
    </row>
    <row r="39" spans="2:33" x14ac:dyDescent="0.25">
      <c r="D39" s="36" t="s">
        <v>263</v>
      </c>
      <c r="E39" s="36" t="s">
        <v>10</v>
      </c>
      <c r="F39" s="36" t="s">
        <v>335</v>
      </c>
      <c r="G39" s="37">
        <v>1700258399</v>
      </c>
      <c r="H39" s="37">
        <v>107</v>
      </c>
      <c r="I39" s="38">
        <v>1.5866666666666667</v>
      </c>
      <c r="J39"/>
      <c r="K39" s="11">
        <f t="shared" si="1"/>
        <v>45247.666655092587</v>
      </c>
    </row>
    <row r="40" spans="2:33" x14ac:dyDescent="0.25">
      <c r="D40" s="36" t="s">
        <v>254</v>
      </c>
      <c r="E40" s="36" t="s">
        <v>10</v>
      </c>
      <c r="F40" s="36" t="s">
        <v>342</v>
      </c>
      <c r="G40" s="37">
        <v>1700258399</v>
      </c>
      <c r="H40" s="37">
        <v>3</v>
      </c>
      <c r="I40" s="38">
        <v>1.8650000000000002</v>
      </c>
      <c r="J40"/>
      <c r="K40" s="11">
        <f t="shared" si="1"/>
        <v>45247.666655092587</v>
      </c>
    </row>
    <row r="41" spans="2:33" x14ac:dyDescent="0.25">
      <c r="D41" s="36" t="s">
        <v>262</v>
      </c>
      <c r="E41" s="36" t="s">
        <v>10</v>
      </c>
      <c r="F41" s="36" t="s">
        <v>336</v>
      </c>
      <c r="G41" s="37">
        <v>1700258399</v>
      </c>
      <c r="H41" s="37">
        <v>155</v>
      </c>
      <c r="I41" s="38">
        <v>1.4674999999999998</v>
      </c>
      <c r="J41"/>
      <c r="K41" s="11">
        <f t="shared" si="1"/>
        <v>45247.666655092587</v>
      </c>
    </row>
    <row r="42" spans="2:33" x14ac:dyDescent="0.25">
      <c r="D42" s="36" t="s">
        <v>256</v>
      </c>
      <c r="E42" s="36" t="s">
        <v>10</v>
      </c>
      <c r="F42" s="36" t="s">
        <v>341</v>
      </c>
      <c r="G42" s="37">
        <v>1700258399</v>
      </c>
      <c r="H42" s="37">
        <v>313</v>
      </c>
      <c r="I42" s="38">
        <v>1.1850000000000001</v>
      </c>
      <c r="J42"/>
      <c r="K42" s="11">
        <f t="shared" si="1"/>
        <v>45247.666655092587</v>
      </c>
    </row>
    <row r="43" spans="2:33" x14ac:dyDescent="0.25">
      <c r="D43" s="36" t="s">
        <v>264</v>
      </c>
      <c r="E43" s="36" t="s">
        <v>10</v>
      </c>
      <c r="F43" s="36" t="s">
        <v>343</v>
      </c>
      <c r="G43" s="37">
        <v>1700260200</v>
      </c>
      <c r="H43" s="37">
        <v>211</v>
      </c>
      <c r="I43" s="38">
        <v>1.3540000000000001</v>
      </c>
      <c r="J43"/>
      <c r="K43" s="11">
        <f t="shared" si="1"/>
        <v>45247.6875</v>
      </c>
    </row>
    <row r="44" spans="2:33" x14ac:dyDescent="0.25">
      <c r="D44" s="36" t="s">
        <v>268</v>
      </c>
      <c r="E44" s="36" t="s">
        <v>10</v>
      </c>
      <c r="F44" s="36" t="s">
        <v>344</v>
      </c>
      <c r="G44" s="37">
        <v>1700272800</v>
      </c>
      <c r="H44" s="37">
        <v>320</v>
      </c>
      <c r="I44" s="38">
        <v>1.18</v>
      </c>
      <c r="J44"/>
      <c r="K44" s="11">
        <f t="shared" si="1"/>
        <v>45247.833333333328</v>
      </c>
    </row>
    <row r="45" spans="2:33" x14ac:dyDescent="0.25">
      <c r="D45" s="36" t="s">
        <v>266</v>
      </c>
      <c r="E45" s="36" t="s">
        <v>10</v>
      </c>
      <c r="F45" s="36" t="s">
        <v>345</v>
      </c>
      <c r="G45" s="37">
        <v>1700272800</v>
      </c>
      <c r="H45" s="37">
        <v>279</v>
      </c>
      <c r="I45" s="38">
        <v>1.24</v>
      </c>
      <c r="J45"/>
      <c r="K45" s="11">
        <f t="shared" si="1"/>
        <v>45247.833333333328</v>
      </c>
    </row>
    <row r="46" spans="2:33" x14ac:dyDescent="0.25">
      <c r="D46" s="36" t="s">
        <v>267</v>
      </c>
      <c r="E46" s="36" t="s">
        <v>10</v>
      </c>
      <c r="F46" s="36" t="s">
        <v>346</v>
      </c>
      <c r="G46" s="37">
        <v>1700272800</v>
      </c>
      <c r="H46" s="37">
        <v>231</v>
      </c>
      <c r="I46" s="38">
        <v>1.32</v>
      </c>
      <c r="J46"/>
      <c r="K46" s="11">
        <f t="shared" si="1"/>
        <v>45247.833333333328</v>
      </c>
    </row>
    <row r="47" spans="2:33" x14ac:dyDescent="0.25">
      <c r="D47" s="36" t="s">
        <v>89</v>
      </c>
      <c r="E47" s="36" t="s">
        <v>10</v>
      </c>
      <c r="F47" s="36" t="s">
        <v>273</v>
      </c>
      <c r="G47" s="37">
        <v>1700334599</v>
      </c>
      <c r="H47" s="37">
        <v>133</v>
      </c>
      <c r="I47" s="38">
        <v>1.5263636363636364</v>
      </c>
      <c r="J47"/>
      <c r="K47" s="11">
        <f t="shared" si="1"/>
        <v>45248.54859953704</v>
      </c>
    </row>
    <row r="48" spans="2:33" x14ac:dyDescent="0.25">
      <c r="D48" s="36" t="s">
        <v>84</v>
      </c>
      <c r="E48" s="36" t="s">
        <v>10</v>
      </c>
      <c r="F48" s="36" t="s">
        <v>277</v>
      </c>
      <c r="G48" s="37">
        <v>1700334599</v>
      </c>
      <c r="H48" s="37">
        <v>47</v>
      </c>
      <c r="I48" s="38">
        <v>1.7509090909090907</v>
      </c>
      <c r="J48"/>
      <c r="K48" s="11">
        <f t="shared" si="1"/>
        <v>45248.54859953704</v>
      </c>
    </row>
    <row r="49" spans="4:11" x14ac:dyDescent="0.25">
      <c r="D49" s="36" t="s">
        <v>90</v>
      </c>
      <c r="E49" s="36" t="s">
        <v>10</v>
      </c>
      <c r="F49" s="36" t="s">
        <v>275</v>
      </c>
      <c r="G49" s="37">
        <v>1700334599</v>
      </c>
      <c r="H49" s="37">
        <v>133</v>
      </c>
      <c r="I49" s="38">
        <v>1.5263636363636364</v>
      </c>
      <c r="J49"/>
      <c r="K49" s="11">
        <f t="shared" si="1"/>
        <v>45248.54859953704</v>
      </c>
    </row>
    <row r="50" spans="4:11" x14ac:dyDescent="0.25">
      <c r="D50" s="36" t="s">
        <v>86</v>
      </c>
      <c r="E50" s="36" t="s">
        <v>10</v>
      </c>
      <c r="F50" s="36" t="s">
        <v>347</v>
      </c>
      <c r="G50" s="37">
        <v>1700334599</v>
      </c>
      <c r="H50" s="37">
        <v>55</v>
      </c>
      <c r="I50" s="38">
        <v>1.7245454545454548</v>
      </c>
      <c r="J50"/>
      <c r="K50" s="11">
        <f t="shared" si="1"/>
        <v>45248.54859953704</v>
      </c>
    </row>
    <row r="51" spans="4:11" x14ac:dyDescent="0.25">
      <c r="D51" s="36" t="s">
        <v>87</v>
      </c>
      <c r="E51" s="36" t="s">
        <v>10</v>
      </c>
      <c r="F51" s="36" t="s">
        <v>274</v>
      </c>
      <c r="G51" s="37">
        <v>1700334599</v>
      </c>
      <c r="H51" s="37">
        <v>301</v>
      </c>
      <c r="I51" s="38">
        <v>1.2145454545454546</v>
      </c>
      <c r="J51"/>
      <c r="K51" s="11">
        <f t="shared" si="1"/>
        <v>45248.54859953704</v>
      </c>
    </row>
    <row r="52" spans="4:11" x14ac:dyDescent="0.25">
      <c r="D52" s="36" t="s">
        <v>91</v>
      </c>
      <c r="E52" s="36" t="s">
        <v>10</v>
      </c>
      <c r="F52" s="36" t="s">
        <v>272</v>
      </c>
      <c r="G52" s="37">
        <v>1700334599</v>
      </c>
      <c r="H52" s="37">
        <v>252</v>
      </c>
      <c r="I52" s="38">
        <v>1.2881818181818181</v>
      </c>
      <c r="J52"/>
      <c r="K52" s="11">
        <f t="shared" si="1"/>
        <v>45248.54859953704</v>
      </c>
    </row>
    <row r="53" spans="4:11" x14ac:dyDescent="0.25">
      <c r="D53" s="36" t="s">
        <v>88</v>
      </c>
      <c r="E53" s="36" t="s">
        <v>10</v>
      </c>
      <c r="F53" s="36" t="s">
        <v>276</v>
      </c>
      <c r="G53" s="37">
        <v>1700334599</v>
      </c>
      <c r="H53" s="37">
        <v>43</v>
      </c>
      <c r="I53" s="38">
        <v>1.7627272727272725</v>
      </c>
      <c r="J53"/>
      <c r="K53" s="11">
        <f t="shared" si="1"/>
        <v>45248.54859953704</v>
      </c>
    </row>
    <row r="54" spans="4:11" x14ac:dyDescent="0.25">
      <c r="D54" s="36" t="s">
        <v>42</v>
      </c>
      <c r="E54" s="36" t="s">
        <v>10</v>
      </c>
      <c r="F54" s="36" t="s">
        <v>279</v>
      </c>
      <c r="G54" s="37">
        <v>1700345700</v>
      </c>
      <c r="H54" s="37">
        <v>187</v>
      </c>
      <c r="I54" s="38">
        <v>1.4090909090909089</v>
      </c>
      <c r="J54"/>
      <c r="K54" s="11">
        <f t="shared" si="1"/>
        <v>45248.677083333328</v>
      </c>
    </row>
    <row r="55" spans="4:11" x14ac:dyDescent="0.25">
      <c r="D55" s="36" t="s">
        <v>43</v>
      </c>
      <c r="E55" s="36" t="s">
        <v>10</v>
      </c>
      <c r="F55" s="36" t="s">
        <v>280</v>
      </c>
      <c r="G55" s="37">
        <v>1700345700</v>
      </c>
      <c r="H55" s="37">
        <v>180</v>
      </c>
      <c r="I55" s="38">
        <v>1.4266666666666665</v>
      </c>
      <c r="J55"/>
      <c r="K55" s="11">
        <f t="shared" si="1"/>
        <v>45248.677083333328</v>
      </c>
    </row>
    <row r="56" spans="4:11" x14ac:dyDescent="0.25">
      <c r="D56" s="36" t="s">
        <v>37</v>
      </c>
      <c r="E56" s="36" t="s">
        <v>10</v>
      </c>
      <c r="F56" s="36" t="s">
        <v>282</v>
      </c>
      <c r="G56" s="37">
        <v>1700351100</v>
      </c>
      <c r="H56" s="37">
        <v>165</v>
      </c>
      <c r="I56" s="38">
        <v>1.4518181818181815</v>
      </c>
      <c r="J56"/>
      <c r="K56" s="11">
        <f t="shared" si="1"/>
        <v>45248.739583333328</v>
      </c>
    </row>
    <row r="57" spans="4:11" ht="30" x14ac:dyDescent="0.25">
      <c r="D57" s="36" t="s">
        <v>296</v>
      </c>
      <c r="E57" s="36" t="s">
        <v>8</v>
      </c>
      <c r="F57" s="36" t="s">
        <v>348</v>
      </c>
      <c r="G57" s="37">
        <v>1700278200</v>
      </c>
      <c r="H57" s="37">
        <v>139</v>
      </c>
      <c r="I57" s="38">
        <v>1.5149999999999999</v>
      </c>
      <c r="J57"/>
      <c r="K57" s="11">
        <f t="shared" si="1"/>
        <v>45247.895833333328</v>
      </c>
    </row>
    <row r="58" spans="4:11" x14ac:dyDescent="0.25">
      <c r="D58" s="36" t="s">
        <v>164</v>
      </c>
      <c r="E58" s="36" t="s">
        <v>8</v>
      </c>
      <c r="F58" s="36" t="s">
        <v>355</v>
      </c>
      <c r="G58" s="37">
        <v>1700326800</v>
      </c>
      <c r="H58" s="37">
        <v>12</v>
      </c>
      <c r="I58" s="38">
        <v>1.8649999999999995</v>
      </c>
      <c r="J58"/>
      <c r="K58" s="11">
        <f t="shared" si="1"/>
        <v>45248.458333333328</v>
      </c>
    </row>
    <row r="59" spans="4:11" ht="30" x14ac:dyDescent="0.25">
      <c r="D59" s="36" t="s">
        <v>171</v>
      </c>
      <c r="E59" s="36" t="s">
        <v>8</v>
      </c>
      <c r="F59" s="36" t="s">
        <v>349</v>
      </c>
      <c r="G59" s="37">
        <v>1700326800</v>
      </c>
      <c r="H59" s="37">
        <v>130</v>
      </c>
      <c r="I59" s="38">
        <v>1.5366666666666668</v>
      </c>
      <c r="J59"/>
      <c r="K59" s="11">
        <f t="shared" si="1"/>
        <v>45248.458333333328</v>
      </c>
    </row>
    <row r="60" spans="4:11" x14ac:dyDescent="0.25">
      <c r="D60" s="36" t="s">
        <v>169</v>
      </c>
      <c r="E60" s="36" t="s">
        <v>8</v>
      </c>
      <c r="F60" s="36" t="s">
        <v>356</v>
      </c>
      <c r="G60" s="37">
        <v>1700326800</v>
      </c>
      <c r="H60" s="37">
        <v>69</v>
      </c>
      <c r="I60" s="38">
        <v>1.6975</v>
      </c>
      <c r="J60"/>
      <c r="K60" s="11">
        <f t="shared" si="1"/>
        <v>45248.458333333328</v>
      </c>
    </row>
    <row r="61" spans="4:11" x14ac:dyDescent="0.25">
      <c r="D61" s="36" t="s">
        <v>173</v>
      </c>
      <c r="E61" s="36" t="s">
        <v>8</v>
      </c>
      <c r="F61" s="36" t="s">
        <v>351</v>
      </c>
      <c r="G61" s="37">
        <v>1700326800</v>
      </c>
      <c r="H61" s="37">
        <v>63</v>
      </c>
      <c r="I61" s="38">
        <v>1.7108333333333334</v>
      </c>
      <c r="J61"/>
      <c r="K61" s="11">
        <f t="shared" si="1"/>
        <v>45248.458333333328</v>
      </c>
    </row>
    <row r="62" spans="4:11" x14ac:dyDescent="0.25">
      <c r="D62" s="36" t="s">
        <v>167</v>
      </c>
      <c r="E62" s="36" t="s">
        <v>8</v>
      </c>
      <c r="F62" s="36" t="s">
        <v>353</v>
      </c>
      <c r="G62" s="37">
        <v>1700326800</v>
      </c>
      <c r="H62" s="37">
        <v>242</v>
      </c>
      <c r="I62" s="38">
        <v>1.3083333333333336</v>
      </c>
      <c r="J62"/>
      <c r="K62" s="11">
        <f t="shared" si="1"/>
        <v>45248.458333333328</v>
      </c>
    </row>
    <row r="63" spans="4:11" x14ac:dyDescent="0.25">
      <c r="D63" s="36" t="s">
        <v>172</v>
      </c>
      <c r="E63" s="36" t="s">
        <v>8</v>
      </c>
      <c r="F63" s="36" t="s">
        <v>350</v>
      </c>
      <c r="G63" s="37">
        <v>1700326800</v>
      </c>
      <c r="H63" s="37">
        <v>259</v>
      </c>
      <c r="I63" s="38">
        <v>1.2799999999999998</v>
      </c>
      <c r="J63"/>
      <c r="K63" s="11">
        <f t="shared" si="1"/>
        <v>45248.458333333328</v>
      </c>
    </row>
    <row r="64" spans="4:11" x14ac:dyDescent="0.25">
      <c r="D64" s="36" t="s">
        <v>297</v>
      </c>
      <c r="E64" s="36" t="s">
        <v>8</v>
      </c>
      <c r="F64" s="36" t="s">
        <v>354</v>
      </c>
      <c r="G64" s="37">
        <v>1700326800</v>
      </c>
      <c r="H64" s="37">
        <v>135</v>
      </c>
      <c r="I64" s="38">
        <v>1.5258333333333332</v>
      </c>
      <c r="J64"/>
      <c r="K64" s="11">
        <f t="shared" si="1"/>
        <v>45248.458333333328</v>
      </c>
    </row>
    <row r="65" spans="4:11" ht="30" x14ac:dyDescent="0.25">
      <c r="D65" s="36" t="s">
        <v>298</v>
      </c>
      <c r="E65" s="36" t="s">
        <v>8</v>
      </c>
      <c r="F65" s="36" t="s">
        <v>352</v>
      </c>
      <c r="G65" s="37">
        <v>1700326800</v>
      </c>
      <c r="H65" s="37">
        <v>326</v>
      </c>
      <c r="I65" s="38">
        <v>1.1783333333333332</v>
      </c>
      <c r="J65"/>
      <c r="K65" s="11">
        <f t="shared" si="1"/>
        <v>45248.458333333328</v>
      </c>
    </row>
    <row r="66" spans="4:11" x14ac:dyDescent="0.25">
      <c r="D66" s="36" t="s">
        <v>300</v>
      </c>
      <c r="E66" s="36" t="s">
        <v>8</v>
      </c>
      <c r="F66" s="36" t="s">
        <v>357</v>
      </c>
      <c r="G66" s="37">
        <v>1700330400</v>
      </c>
      <c r="H66" s="37">
        <v>232</v>
      </c>
      <c r="I66" s="38">
        <v>1.3263636363636364</v>
      </c>
      <c r="J66"/>
      <c r="K66" s="11">
        <f t="shared" si="1"/>
        <v>45248.5</v>
      </c>
    </row>
    <row r="67" spans="4:11" x14ac:dyDescent="0.25">
      <c r="D67" s="36" t="s">
        <v>302</v>
      </c>
      <c r="E67" s="36" t="s">
        <v>8</v>
      </c>
      <c r="F67" s="36" t="s">
        <v>361</v>
      </c>
      <c r="G67" s="37">
        <v>1700333999</v>
      </c>
      <c r="H67" s="37">
        <v>311</v>
      </c>
      <c r="I67" s="38">
        <v>1.200833333333333</v>
      </c>
      <c r="J67"/>
      <c r="K67" s="11">
        <f t="shared" ref="K67:K80" si="2">G67/86400+25569-6/24</f>
        <v>45248.541655092587</v>
      </c>
    </row>
    <row r="68" spans="4:11" x14ac:dyDescent="0.25">
      <c r="D68" s="36" t="s">
        <v>183</v>
      </c>
      <c r="E68" s="36" t="s">
        <v>8</v>
      </c>
      <c r="F68" s="36" t="s">
        <v>360</v>
      </c>
      <c r="G68" s="37">
        <v>1700333999</v>
      </c>
      <c r="H68" s="37">
        <v>64</v>
      </c>
      <c r="I68" s="38">
        <v>1.7083333333333333</v>
      </c>
      <c r="J68"/>
      <c r="K68" s="11">
        <f t="shared" si="2"/>
        <v>45248.541655092587</v>
      </c>
    </row>
    <row r="69" spans="4:11" x14ac:dyDescent="0.25">
      <c r="D69" s="36" t="s">
        <v>184</v>
      </c>
      <c r="E69" s="36" t="s">
        <v>8</v>
      </c>
      <c r="F69" s="36" t="s">
        <v>359</v>
      </c>
      <c r="G69" s="37">
        <v>1700333999</v>
      </c>
      <c r="H69" s="37">
        <v>232</v>
      </c>
      <c r="I69" s="38">
        <v>1.3266666666666669</v>
      </c>
      <c r="J69"/>
      <c r="K69" s="11">
        <f t="shared" si="2"/>
        <v>45248.541655092587</v>
      </c>
    </row>
    <row r="70" spans="4:11" x14ac:dyDescent="0.25">
      <c r="D70" s="36" t="s">
        <v>186</v>
      </c>
      <c r="E70" s="36" t="s">
        <v>8</v>
      </c>
      <c r="F70" s="36" t="s">
        <v>363</v>
      </c>
      <c r="G70" s="37">
        <v>1700333999</v>
      </c>
      <c r="H70" s="37">
        <v>333</v>
      </c>
      <c r="I70" s="38">
        <v>1.1683333333333332</v>
      </c>
      <c r="J70"/>
      <c r="K70" s="11">
        <f t="shared" si="2"/>
        <v>45248.541655092587</v>
      </c>
    </row>
    <row r="71" spans="4:11" ht="30" x14ac:dyDescent="0.25">
      <c r="D71" s="36" t="s">
        <v>303</v>
      </c>
      <c r="E71" s="36" t="s">
        <v>8</v>
      </c>
      <c r="F71" s="36" t="s">
        <v>358</v>
      </c>
      <c r="G71" s="37">
        <v>1700333999</v>
      </c>
      <c r="H71" s="37">
        <v>244</v>
      </c>
      <c r="I71" s="38">
        <v>1.3049999999999999</v>
      </c>
      <c r="J71"/>
      <c r="K71" s="11">
        <f t="shared" si="2"/>
        <v>45248.541655092587</v>
      </c>
    </row>
    <row r="72" spans="4:11" ht="30" x14ac:dyDescent="0.25">
      <c r="D72" s="36" t="s">
        <v>301</v>
      </c>
      <c r="E72" s="36" t="s">
        <v>8</v>
      </c>
      <c r="F72" s="36" t="s">
        <v>362</v>
      </c>
      <c r="G72" s="37">
        <v>1700333999</v>
      </c>
      <c r="H72" s="37">
        <v>252</v>
      </c>
      <c r="I72" s="38">
        <v>1.2925</v>
      </c>
      <c r="J72"/>
      <c r="K72" s="11">
        <f t="shared" si="2"/>
        <v>45248.541655092587</v>
      </c>
    </row>
    <row r="73" spans="4:11" ht="30" x14ac:dyDescent="0.25">
      <c r="D73" s="36" t="s">
        <v>334</v>
      </c>
      <c r="E73" s="36" t="s">
        <v>8</v>
      </c>
      <c r="F73" s="36" t="s">
        <v>364</v>
      </c>
      <c r="G73" s="37">
        <v>1700335800</v>
      </c>
      <c r="H73" s="37">
        <v>196</v>
      </c>
      <c r="I73" s="38">
        <v>1.3925000000000001</v>
      </c>
      <c r="J73"/>
      <c r="K73" s="11">
        <f t="shared" si="2"/>
        <v>45248.5625</v>
      </c>
    </row>
    <row r="74" spans="4:11" x14ac:dyDescent="0.25">
      <c r="D74" s="36" t="s">
        <v>187</v>
      </c>
      <c r="E74" s="36" t="s">
        <v>8</v>
      </c>
      <c r="F74" s="36" t="s">
        <v>365</v>
      </c>
      <c r="G74" s="37">
        <v>1700335800</v>
      </c>
      <c r="H74" s="37">
        <v>2</v>
      </c>
      <c r="I74" s="38">
        <v>1.9033333333333333</v>
      </c>
      <c r="J74"/>
      <c r="K74" s="11">
        <f t="shared" si="2"/>
        <v>45248.5625</v>
      </c>
    </row>
    <row r="75" spans="4:11" ht="30" x14ac:dyDescent="0.25">
      <c r="D75" s="36" t="s">
        <v>328</v>
      </c>
      <c r="E75" s="36" t="s">
        <v>8</v>
      </c>
      <c r="F75" s="36" t="s">
        <v>370</v>
      </c>
      <c r="G75" s="37">
        <v>1700337600</v>
      </c>
      <c r="H75" s="37">
        <v>53</v>
      </c>
      <c r="I75" s="38">
        <v>1.7391666666666665</v>
      </c>
      <c r="J75"/>
      <c r="K75" s="11">
        <f t="shared" si="2"/>
        <v>45248.583333333328</v>
      </c>
    </row>
    <row r="76" spans="4:11" x14ac:dyDescent="0.25">
      <c r="D76" s="36" t="s">
        <v>305</v>
      </c>
      <c r="E76" s="36" t="s">
        <v>8</v>
      </c>
      <c r="F76" s="36" t="s">
        <v>366</v>
      </c>
      <c r="G76" s="37">
        <v>1700337600</v>
      </c>
      <c r="H76" s="37">
        <v>301</v>
      </c>
      <c r="I76" s="38">
        <v>1.2150000000000003</v>
      </c>
      <c r="J76"/>
      <c r="K76" s="11">
        <f t="shared" si="2"/>
        <v>45248.583333333328</v>
      </c>
    </row>
    <row r="77" spans="4:11" ht="30" x14ac:dyDescent="0.25">
      <c r="D77" s="36" t="s">
        <v>304</v>
      </c>
      <c r="E77" s="36" t="s">
        <v>8</v>
      </c>
      <c r="F77" s="36" t="s">
        <v>367</v>
      </c>
      <c r="G77" s="37">
        <v>1700337600</v>
      </c>
      <c r="H77" s="37">
        <v>117</v>
      </c>
      <c r="I77" s="38">
        <v>1.5674999999999999</v>
      </c>
      <c r="J77"/>
      <c r="K77" s="11">
        <f t="shared" si="2"/>
        <v>45248.583333333328</v>
      </c>
    </row>
    <row r="78" spans="4:11" x14ac:dyDescent="0.25">
      <c r="D78" s="36" t="s">
        <v>222</v>
      </c>
      <c r="E78" s="36" t="s">
        <v>8</v>
      </c>
      <c r="F78" s="36" t="s">
        <v>384</v>
      </c>
      <c r="G78" s="37">
        <v>1700353800</v>
      </c>
      <c r="H78" s="37">
        <v>292</v>
      </c>
      <c r="I78" s="38">
        <v>1.2290909090909092</v>
      </c>
      <c r="J78"/>
      <c r="K78" s="11">
        <f t="shared" si="2"/>
        <v>45248.770833333328</v>
      </c>
    </row>
    <row r="79" spans="4:11" x14ac:dyDescent="0.25">
      <c r="D79" s="36" t="s">
        <v>314</v>
      </c>
      <c r="E79" s="36" t="s">
        <v>8</v>
      </c>
      <c r="F79" s="36" t="s">
        <v>389</v>
      </c>
      <c r="G79" s="37">
        <v>1700355599</v>
      </c>
      <c r="H79" s="37">
        <v>234</v>
      </c>
      <c r="I79" s="38">
        <v>1.3227272727272728</v>
      </c>
      <c r="J79"/>
      <c r="K79" s="11">
        <f t="shared" si="2"/>
        <v>45248.791655092587</v>
      </c>
    </row>
    <row r="80" spans="4:11" x14ac:dyDescent="0.25">
      <c r="D80" s="36" t="s">
        <v>227</v>
      </c>
      <c r="E80" s="36" t="s">
        <v>8</v>
      </c>
      <c r="F80" s="36" t="s">
        <v>388</v>
      </c>
      <c r="G80" s="37">
        <v>1700355599</v>
      </c>
      <c r="H80" s="37">
        <v>189</v>
      </c>
      <c r="I80" s="38">
        <v>1.4063636363636365</v>
      </c>
      <c r="J80"/>
      <c r="K80" s="11">
        <f t="shared" si="2"/>
        <v>45248.791655092587</v>
      </c>
    </row>
    <row r="81" spans="3:9" x14ac:dyDescent="0.25">
      <c r="I81"/>
    </row>
    <row r="82" spans="3:9" x14ac:dyDescent="0.25">
      <c r="C82">
        <f>SUM(C8:C80)</f>
        <v>27</v>
      </c>
      <c r="I82"/>
    </row>
    <row r="83" spans="3:9" x14ac:dyDescent="0.25">
      <c r="I83"/>
    </row>
    <row r="84" spans="3:9" x14ac:dyDescent="0.25">
      <c r="I84"/>
    </row>
    <row r="85" spans="3:9" x14ac:dyDescent="0.25">
      <c r="I85"/>
    </row>
    <row r="86" spans="3:9" x14ac:dyDescent="0.25">
      <c r="I86"/>
    </row>
    <row r="87" spans="3:9" x14ac:dyDescent="0.25">
      <c r="I87"/>
    </row>
    <row r="88" spans="3:9" x14ac:dyDescent="0.25">
      <c r="C88" s="12"/>
    </row>
    <row r="89" spans="3:9" x14ac:dyDescent="0.25">
      <c r="C89" s="12">
        <f>SUM(C6:C87)</f>
        <v>56</v>
      </c>
    </row>
  </sheetData>
  <sortState xmlns:xlrd2="http://schemas.microsoft.com/office/spreadsheetml/2017/richdata2" ref="D3:I34">
    <sortCondition ref="E3:E34"/>
    <sortCondition ref="G3:G3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368"/>
  <sheetViews>
    <sheetView zoomScaleNormal="100" workbookViewId="0">
      <pane ySplit="5400" topLeftCell="A1112"/>
      <selection activeCell="B5" sqref="B5"/>
      <selection pane="bottomLeft" activeCell="B1113" sqref="B1113"/>
    </sheetView>
  </sheetViews>
  <sheetFormatPr defaultRowHeight="15" x14ac:dyDescent="0.25"/>
  <cols>
    <col min="2" max="2" width="53.140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11</v>
      </c>
      <c r="C2" s="1" t="s">
        <v>117</v>
      </c>
      <c r="D2" s="3" t="s">
        <v>17</v>
      </c>
      <c r="E2" s="3" t="s">
        <v>16</v>
      </c>
      <c r="F2" s="1" t="s">
        <v>12</v>
      </c>
    </row>
    <row r="3" spans="2:10" x14ac:dyDescent="0.25">
      <c r="B3" t="s">
        <v>400</v>
      </c>
      <c r="C3" t="s">
        <v>152</v>
      </c>
      <c r="D3">
        <v>3.79</v>
      </c>
      <c r="E3">
        <v>1.19</v>
      </c>
      <c r="F3" t="s">
        <v>8</v>
      </c>
      <c r="G3" s="2"/>
      <c r="H3" s="2"/>
      <c r="I3" t="s">
        <v>120</v>
      </c>
      <c r="J3" t="s">
        <v>27</v>
      </c>
    </row>
    <row r="4" spans="2:10" x14ac:dyDescent="0.25">
      <c r="B4" t="s">
        <v>151</v>
      </c>
      <c r="C4" t="s">
        <v>152</v>
      </c>
      <c r="D4">
        <v>4.2300000000000004</v>
      </c>
      <c r="E4">
        <v>1.31</v>
      </c>
      <c r="F4" t="s">
        <v>8</v>
      </c>
      <c r="G4" s="2"/>
      <c r="H4" s="2"/>
      <c r="I4" t="s">
        <v>121</v>
      </c>
      <c r="J4" t="s">
        <v>26</v>
      </c>
    </row>
    <row r="5" spans="2:10" x14ac:dyDescent="0.25">
      <c r="B5" t="s">
        <v>151</v>
      </c>
      <c r="C5" t="s">
        <v>152</v>
      </c>
      <c r="D5">
        <v>4.1399999999999997</v>
      </c>
      <c r="E5">
        <v>1.29</v>
      </c>
      <c r="F5" t="s">
        <v>8</v>
      </c>
      <c r="G5" s="2"/>
      <c r="H5" s="2"/>
      <c r="I5" t="s">
        <v>122</v>
      </c>
      <c r="J5" t="s">
        <v>25</v>
      </c>
    </row>
    <row r="6" spans="2:10" x14ac:dyDescent="0.25">
      <c r="B6" t="s">
        <v>151</v>
      </c>
      <c r="C6" t="s">
        <v>152</v>
      </c>
      <c r="D6">
        <v>4.1199999999999992</v>
      </c>
      <c r="E6">
        <v>1.26</v>
      </c>
      <c r="F6" t="s">
        <v>8</v>
      </c>
      <c r="G6" s="2"/>
      <c r="H6" s="2"/>
      <c r="I6" t="s">
        <v>24</v>
      </c>
      <c r="J6" t="s">
        <v>24</v>
      </c>
    </row>
    <row r="7" spans="2:10" x14ac:dyDescent="0.25">
      <c r="B7" t="s">
        <v>151</v>
      </c>
      <c r="C7" t="s">
        <v>152</v>
      </c>
      <c r="D7">
        <v>4.03</v>
      </c>
      <c r="E7">
        <v>1.1499999999999999</v>
      </c>
      <c r="F7" t="s">
        <v>8</v>
      </c>
      <c r="G7" s="2"/>
      <c r="H7" s="2"/>
      <c r="I7" t="s">
        <v>23</v>
      </c>
      <c r="J7" t="s">
        <v>23</v>
      </c>
    </row>
    <row r="8" spans="2:10" x14ac:dyDescent="0.25">
      <c r="B8" t="s">
        <v>151</v>
      </c>
      <c r="C8" t="s">
        <v>152</v>
      </c>
      <c r="D8">
        <v>3.77</v>
      </c>
      <c r="E8">
        <v>1.33</v>
      </c>
      <c r="F8" t="s">
        <v>8</v>
      </c>
      <c r="G8" s="2"/>
      <c r="H8" s="2"/>
      <c r="I8" t="s">
        <v>22</v>
      </c>
      <c r="J8" t="s">
        <v>22</v>
      </c>
    </row>
    <row r="9" spans="2:10" x14ac:dyDescent="0.25">
      <c r="B9" t="s">
        <v>151</v>
      </c>
      <c r="C9" t="s">
        <v>152</v>
      </c>
      <c r="D9">
        <v>4.04</v>
      </c>
      <c r="E9">
        <v>1.2</v>
      </c>
      <c r="F9" t="s">
        <v>8</v>
      </c>
      <c r="G9" s="2"/>
      <c r="H9" s="2"/>
      <c r="I9" t="s">
        <v>21</v>
      </c>
      <c r="J9" t="s">
        <v>21</v>
      </c>
    </row>
    <row r="10" spans="2:10" x14ac:dyDescent="0.25">
      <c r="B10" t="s">
        <v>151</v>
      </c>
      <c r="C10" t="s">
        <v>152</v>
      </c>
      <c r="D10">
        <v>4.04</v>
      </c>
      <c r="E10">
        <v>1.1499999999999999</v>
      </c>
      <c r="F10" t="s">
        <v>8</v>
      </c>
      <c r="G10" s="2"/>
      <c r="H10" s="2"/>
      <c r="I10" t="s">
        <v>123</v>
      </c>
      <c r="J10" t="s">
        <v>20</v>
      </c>
    </row>
    <row r="11" spans="2:10" x14ac:dyDescent="0.25">
      <c r="B11" t="s">
        <v>151</v>
      </c>
      <c r="C11" t="s">
        <v>152</v>
      </c>
      <c r="D11">
        <v>3.9299999999999997</v>
      </c>
      <c r="E11">
        <v>1.24</v>
      </c>
      <c r="F11" t="s">
        <v>8</v>
      </c>
      <c r="G11" s="2"/>
      <c r="H11" s="2"/>
      <c r="I11" t="s">
        <v>124</v>
      </c>
      <c r="J11" t="s">
        <v>28</v>
      </c>
    </row>
    <row r="12" spans="2:10" x14ac:dyDescent="0.25">
      <c r="B12" t="s">
        <v>151</v>
      </c>
      <c r="C12" t="s">
        <v>152</v>
      </c>
      <c r="D12">
        <v>4.08</v>
      </c>
      <c r="E12">
        <v>1.34</v>
      </c>
      <c r="F12" t="s">
        <v>8</v>
      </c>
      <c r="G12" s="2"/>
      <c r="H12" s="2"/>
      <c r="I12" t="s">
        <v>125</v>
      </c>
      <c r="J12" t="s">
        <v>19</v>
      </c>
    </row>
    <row r="13" spans="2:10" x14ac:dyDescent="0.25">
      <c r="B13" t="s">
        <v>151</v>
      </c>
      <c r="C13" t="s">
        <v>152</v>
      </c>
      <c r="D13">
        <v>3.75</v>
      </c>
      <c r="E13">
        <v>1.33</v>
      </c>
      <c r="F13" t="s">
        <v>8</v>
      </c>
      <c r="G13" s="2"/>
      <c r="H13" s="2"/>
      <c r="I13" t="s">
        <v>34</v>
      </c>
      <c r="J13" t="s">
        <v>34</v>
      </c>
    </row>
    <row r="14" spans="2:10" x14ac:dyDescent="0.25">
      <c r="B14" t="s">
        <v>151</v>
      </c>
      <c r="C14" t="s">
        <v>152</v>
      </c>
      <c r="D14">
        <v>3.9899999999999998</v>
      </c>
      <c r="E14">
        <v>1.23</v>
      </c>
      <c r="F14" t="s">
        <v>8</v>
      </c>
      <c r="G14" s="2"/>
      <c r="H14" s="2"/>
      <c r="I14" t="s">
        <v>94</v>
      </c>
      <c r="J14" t="s">
        <v>94</v>
      </c>
    </row>
    <row r="15" spans="2:10" x14ac:dyDescent="0.25">
      <c r="B15" t="s">
        <v>153</v>
      </c>
      <c r="C15" t="s">
        <v>152</v>
      </c>
      <c r="D15">
        <v>2.31</v>
      </c>
      <c r="E15">
        <v>1.6600000000000001</v>
      </c>
      <c r="F15" t="s">
        <v>8</v>
      </c>
      <c r="G15" s="2"/>
      <c r="H15" s="2"/>
      <c r="I15" t="s">
        <v>95</v>
      </c>
      <c r="J15" t="s">
        <v>95</v>
      </c>
    </row>
    <row r="16" spans="2:10" x14ac:dyDescent="0.25">
      <c r="B16" t="s">
        <v>153</v>
      </c>
      <c r="C16" t="s">
        <v>152</v>
      </c>
      <c r="D16">
        <v>2.42</v>
      </c>
      <c r="E16">
        <v>1.54</v>
      </c>
      <c r="F16" t="s">
        <v>8</v>
      </c>
      <c r="G16" s="2"/>
      <c r="H16" s="2"/>
    </row>
    <row r="17" spans="2:8" x14ac:dyDescent="0.25">
      <c r="B17" t="s">
        <v>153</v>
      </c>
      <c r="C17" t="s">
        <v>152</v>
      </c>
      <c r="D17">
        <v>2.3800000000000003</v>
      </c>
      <c r="E17">
        <v>1.62</v>
      </c>
      <c r="F17" t="s">
        <v>8</v>
      </c>
      <c r="G17" s="2"/>
      <c r="H17" s="2"/>
    </row>
    <row r="18" spans="2:8" x14ac:dyDescent="0.25">
      <c r="B18" t="s">
        <v>153</v>
      </c>
      <c r="C18" t="s">
        <v>152</v>
      </c>
      <c r="D18">
        <v>2.44</v>
      </c>
      <c r="E18">
        <v>1.6900000000000002</v>
      </c>
      <c r="F18" t="s">
        <v>8</v>
      </c>
      <c r="G18" s="2"/>
      <c r="H18" s="2"/>
    </row>
    <row r="19" spans="2:8" x14ac:dyDescent="0.25">
      <c r="B19" t="s">
        <v>153</v>
      </c>
      <c r="C19" t="s">
        <v>152</v>
      </c>
      <c r="D19">
        <v>2.4</v>
      </c>
      <c r="E19">
        <v>1.55</v>
      </c>
      <c r="F19" t="s">
        <v>8</v>
      </c>
      <c r="G19" s="2"/>
      <c r="H19" s="2"/>
    </row>
    <row r="20" spans="2:8" x14ac:dyDescent="0.25">
      <c r="B20" t="s">
        <v>153</v>
      </c>
      <c r="C20" t="s">
        <v>152</v>
      </c>
      <c r="D20">
        <v>2.48</v>
      </c>
      <c r="E20">
        <v>1.51</v>
      </c>
      <c r="F20" t="s">
        <v>8</v>
      </c>
      <c r="G20" s="2"/>
      <c r="H20" s="2"/>
    </row>
    <row r="21" spans="2:8" x14ac:dyDescent="0.25">
      <c r="B21" t="s">
        <v>153</v>
      </c>
      <c r="C21" t="s">
        <v>152</v>
      </c>
      <c r="D21">
        <v>2.4200000000000004</v>
      </c>
      <c r="E21">
        <v>1.6500000000000001</v>
      </c>
      <c r="F21" t="s">
        <v>8</v>
      </c>
      <c r="G21" s="2"/>
      <c r="H21" s="2"/>
    </row>
    <row r="22" spans="2:8" x14ac:dyDescent="0.25">
      <c r="B22" t="s">
        <v>153</v>
      </c>
      <c r="C22" t="s">
        <v>152</v>
      </c>
      <c r="D22">
        <v>2.3199999999999998</v>
      </c>
      <c r="E22">
        <v>1.6700000000000002</v>
      </c>
      <c r="F22" t="s">
        <v>8</v>
      </c>
      <c r="G22" s="2"/>
      <c r="H22" s="2"/>
    </row>
    <row r="23" spans="2:8" x14ac:dyDescent="0.25">
      <c r="B23" t="s">
        <v>153</v>
      </c>
      <c r="C23" t="s">
        <v>152</v>
      </c>
      <c r="D23">
        <v>2.39</v>
      </c>
      <c r="E23">
        <v>1.6900000000000002</v>
      </c>
      <c r="F23" t="s">
        <v>8</v>
      </c>
      <c r="G23" s="2"/>
      <c r="H23" s="2"/>
    </row>
    <row r="24" spans="2:8" x14ac:dyDescent="0.25">
      <c r="B24" t="s">
        <v>153</v>
      </c>
      <c r="C24" t="s">
        <v>152</v>
      </c>
      <c r="D24">
        <v>2.39</v>
      </c>
      <c r="E24">
        <v>1.7000000000000002</v>
      </c>
      <c r="F24" t="s">
        <v>8</v>
      </c>
      <c r="G24" s="2"/>
      <c r="H24" s="2"/>
    </row>
    <row r="25" spans="2:8" x14ac:dyDescent="0.25">
      <c r="B25" t="s">
        <v>153</v>
      </c>
      <c r="C25" t="s">
        <v>152</v>
      </c>
      <c r="D25">
        <v>2.4300000000000002</v>
      </c>
      <c r="E25">
        <v>1.6</v>
      </c>
      <c r="F25" t="s">
        <v>8</v>
      </c>
      <c r="G25" s="2"/>
      <c r="H25" s="2"/>
    </row>
    <row r="26" spans="2:8" x14ac:dyDescent="0.25">
      <c r="B26" t="s">
        <v>153</v>
      </c>
      <c r="C26" t="s">
        <v>152</v>
      </c>
      <c r="D26">
        <v>2.4700000000000002</v>
      </c>
      <c r="E26">
        <v>1.6300000000000001</v>
      </c>
      <c r="F26" t="s">
        <v>8</v>
      </c>
      <c r="G26" s="2"/>
      <c r="H26" s="2"/>
    </row>
    <row r="27" spans="2:8" x14ac:dyDescent="0.25">
      <c r="B27" t="s">
        <v>154</v>
      </c>
      <c r="C27" t="s">
        <v>152</v>
      </c>
      <c r="D27">
        <v>1.53</v>
      </c>
      <c r="E27">
        <v>2.65</v>
      </c>
      <c r="F27" t="s">
        <v>8</v>
      </c>
      <c r="G27" s="2"/>
      <c r="H27" s="2"/>
    </row>
    <row r="28" spans="2:8" x14ac:dyDescent="0.25">
      <c r="B28" t="s">
        <v>154</v>
      </c>
      <c r="C28" t="s">
        <v>152</v>
      </c>
      <c r="D28">
        <v>1.4</v>
      </c>
      <c r="E28">
        <v>2.64</v>
      </c>
      <c r="F28" t="s">
        <v>8</v>
      </c>
      <c r="G28" s="2"/>
      <c r="H28" s="2"/>
    </row>
    <row r="29" spans="2:8" x14ac:dyDescent="0.25">
      <c r="B29" t="s">
        <v>154</v>
      </c>
      <c r="C29" t="s">
        <v>152</v>
      </c>
      <c r="D29">
        <v>1.48</v>
      </c>
      <c r="E29">
        <v>2.69</v>
      </c>
      <c r="F29" t="s">
        <v>8</v>
      </c>
      <c r="G29" s="2"/>
      <c r="H29" s="2"/>
    </row>
    <row r="30" spans="2:8" x14ac:dyDescent="0.25">
      <c r="B30" t="s">
        <v>154</v>
      </c>
      <c r="C30" t="s">
        <v>152</v>
      </c>
      <c r="D30">
        <v>1.55</v>
      </c>
      <c r="E30">
        <v>2.72</v>
      </c>
      <c r="F30" t="s">
        <v>8</v>
      </c>
      <c r="G30" s="2"/>
      <c r="H30" s="2"/>
    </row>
    <row r="31" spans="2:8" x14ac:dyDescent="0.25">
      <c r="B31" t="s">
        <v>154</v>
      </c>
      <c r="C31" t="s">
        <v>152</v>
      </c>
      <c r="D31">
        <v>1.42</v>
      </c>
      <c r="E31">
        <v>2.71</v>
      </c>
      <c r="F31" t="s">
        <v>8</v>
      </c>
      <c r="G31" s="2"/>
      <c r="H31" s="2"/>
    </row>
    <row r="32" spans="2:8" x14ac:dyDescent="0.25">
      <c r="B32" t="s">
        <v>154</v>
      </c>
      <c r="C32" t="s">
        <v>152</v>
      </c>
      <c r="D32">
        <v>1.47</v>
      </c>
      <c r="E32">
        <v>2.5700000000000003</v>
      </c>
      <c r="F32" t="s">
        <v>8</v>
      </c>
      <c r="G32" s="2"/>
      <c r="H32" s="2"/>
    </row>
    <row r="33" spans="2:8" x14ac:dyDescent="0.25">
      <c r="B33" t="s">
        <v>154</v>
      </c>
      <c r="C33" t="s">
        <v>152</v>
      </c>
      <c r="D33">
        <v>1.6</v>
      </c>
      <c r="E33">
        <v>2.61</v>
      </c>
      <c r="F33" t="s">
        <v>8</v>
      </c>
      <c r="G33" s="2"/>
      <c r="H33" s="2"/>
    </row>
    <row r="34" spans="2:8" x14ac:dyDescent="0.25">
      <c r="B34" t="s">
        <v>154</v>
      </c>
      <c r="C34" t="s">
        <v>152</v>
      </c>
      <c r="D34">
        <v>1.56</v>
      </c>
      <c r="E34">
        <v>2.74</v>
      </c>
      <c r="F34" t="s">
        <v>8</v>
      </c>
      <c r="G34" s="2"/>
      <c r="H34" s="2"/>
    </row>
    <row r="35" spans="2:8" x14ac:dyDescent="0.25">
      <c r="B35" t="s">
        <v>154</v>
      </c>
      <c r="C35" t="s">
        <v>152</v>
      </c>
      <c r="D35">
        <v>1.51</v>
      </c>
      <c r="E35">
        <v>2.62</v>
      </c>
      <c r="F35" t="s">
        <v>8</v>
      </c>
      <c r="G35" s="2"/>
      <c r="H35" s="2"/>
    </row>
    <row r="36" spans="2:8" x14ac:dyDescent="0.25">
      <c r="B36" t="s">
        <v>154</v>
      </c>
      <c r="C36" t="s">
        <v>152</v>
      </c>
      <c r="D36">
        <v>1.51</v>
      </c>
      <c r="E36">
        <v>2.67</v>
      </c>
      <c r="F36" t="s">
        <v>8</v>
      </c>
      <c r="G36" s="2"/>
      <c r="H36" s="2"/>
    </row>
    <row r="37" spans="2:8" x14ac:dyDescent="0.25">
      <c r="B37" t="s">
        <v>154</v>
      </c>
      <c r="C37" t="s">
        <v>152</v>
      </c>
      <c r="D37">
        <v>1.47</v>
      </c>
      <c r="E37">
        <v>2.64</v>
      </c>
      <c r="F37" t="s">
        <v>8</v>
      </c>
      <c r="G37" s="2"/>
      <c r="H37" s="2"/>
    </row>
    <row r="38" spans="2:8" x14ac:dyDescent="0.25">
      <c r="B38" t="s">
        <v>154</v>
      </c>
      <c r="C38" t="s">
        <v>152</v>
      </c>
      <c r="D38">
        <v>1.57</v>
      </c>
      <c r="E38">
        <v>2.58</v>
      </c>
      <c r="F38" t="s">
        <v>8</v>
      </c>
      <c r="G38" s="2"/>
      <c r="H38" s="2"/>
    </row>
    <row r="39" spans="2:8" x14ac:dyDescent="0.25">
      <c r="B39" t="s">
        <v>155</v>
      </c>
      <c r="C39" t="s">
        <v>156</v>
      </c>
      <c r="D39">
        <v>4.1199999999999992</v>
      </c>
      <c r="E39">
        <v>1.23</v>
      </c>
      <c r="F39" t="s">
        <v>8</v>
      </c>
      <c r="G39" s="2"/>
      <c r="H39" s="2"/>
    </row>
    <row r="40" spans="2:8" x14ac:dyDescent="0.25">
      <c r="B40" t="s">
        <v>155</v>
      </c>
      <c r="C40" t="s">
        <v>156</v>
      </c>
      <c r="D40">
        <v>4.34</v>
      </c>
      <c r="E40">
        <v>1.23</v>
      </c>
      <c r="F40" t="s">
        <v>8</v>
      </c>
      <c r="G40" s="2"/>
      <c r="H40" s="2"/>
    </row>
    <row r="41" spans="2:8" x14ac:dyDescent="0.25">
      <c r="B41" t="s">
        <v>155</v>
      </c>
      <c r="C41" t="s">
        <v>156</v>
      </c>
      <c r="D41">
        <v>4.2299999999999995</v>
      </c>
      <c r="E41">
        <v>1.25</v>
      </c>
      <c r="F41" t="s">
        <v>8</v>
      </c>
      <c r="G41" s="2"/>
      <c r="H41" s="2"/>
    </row>
    <row r="42" spans="2:8" x14ac:dyDescent="0.25">
      <c r="B42" t="s">
        <v>155</v>
      </c>
      <c r="C42" t="s">
        <v>156</v>
      </c>
      <c r="D42">
        <v>4.1900000000000004</v>
      </c>
      <c r="E42">
        <v>1.27</v>
      </c>
      <c r="F42" t="s">
        <v>8</v>
      </c>
      <c r="G42" s="2"/>
      <c r="H42" s="2"/>
    </row>
    <row r="43" spans="2:8" x14ac:dyDescent="0.25">
      <c r="B43" t="s">
        <v>155</v>
      </c>
      <c r="C43" t="s">
        <v>156</v>
      </c>
      <c r="D43">
        <v>4.3600000000000003</v>
      </c>
      <c r="E43">
        <v>1.21</v>
      </c>
      <c r="F43" t="s">
        <v>8</v>
      </c>
      <c r="G43" s="2"/>
      <c r="H43" s="2"/>
    </row>
    <row r="44" spans="2:8" x14ac:dyDescent="0.25">
      <c r="B44" t="s">
        <v>155</v>
      </c>
      <c r="C44" t="s">
        <v>156</v>
      </c>
      <c r="D44">
        <v>4.4700000000000006</v>
      </c>
      <c r="E44">
        <v>1.1399999999999999</v>
      </c>
      <c r="F44" t="s">
        <v>8</v>
      </c>
      <c r="G44" s="2"/>
      <c r="H44" s="2"/>
    </row>
    <row r="45" spans="2:8" x14ac:dyDescent="0.25">
      <c r="B45" t="s">
        <v>155</v>
      </c>
      <c r="C45" t="s">
        <v>156</v>
      </c>
      <c r="D45">
        <v>4.3099999999999996</v>
      </c>
      <c r="E45">
        <v>1.33</v>
      </c>
      <c r="F45" t="s">
        <v>8</v>
      </c>
      <c r="G45" s="2"/>
      <c r="H45" s="2"/>
    </row>
    <row r="46" spans="2:8" x14ac:dyDescent="0.25">
      <c r="B46" t="s">
        <v>155</v>
      </c>
      <c r="C46" t="s">
        <v>156</v>
      </c>
      <c r="D46">
        <v>4.4400000000000004</v>
      </c>
      <c r="E46">
        <v>1.1599999999999999</v>
      </c>
      <c r="F46" t="s">
        <v>8</v>
      </c>
      <c r="G46" s="2"/>
      <c r="H46" s="2"/>
    </row>
    <row r="47" spans="2:8" x14ac:dyDescent="0.25">
      <c r="B47" t="s">
        <v>155</v>
      </c>
      <c r="C47" t="s">
        <v>156</v>
      </c>
      <c r="D47">
        <v>4.3099999999999996</v>
      </c>
      <c r="E47">
        <v>1.32</v>
      </c>
      <c r="F47" t="s">
        <v>8</v>
      </c>
      <c r="G47" s="2"/>
      <c r="H47" s="2"/>
    </row>
    <row r="48" spans="2:8" x14ac:dyDescent="0.25">
      <c r="B48" t="s">
        <v>155</v>
      </c>
      <c r="C48" t="s">
        <v>156</v>
      </c>
      <c r="D48">
        <v>4.4800000000000004</v>
      </c>
      <c r="E48">
        <v>1.1499999999999999</v>
      </c>
      <c r="F48" t="s">
        <v>8</v>
      </c>
      <c r="G48" s="2"/>
      <c r="H48" s="2"/>
    </row>
    <row r="49" spans="2:8" x14ac:dyDescent="0.25">
      <c r="B49" t="s">
        <v>155</v>
      </c>
      <c r="C49" t="s">
        <v>156</v>
      </c>
      <c r="D49">
        <v>4.28</v>
      </c>
      <c r="E49">
        <v>1.31</v>
      </c>
      <c r="F49" t="s">
        <v>8</v>
      </c>
      <c r="G49" s="2"/>
      <c r="H49" s="2"/>
    </row>
    <row r="50" spans="2:8" x14ac:dyDescent="0.25">
      <c r="B50" t="s">
        <v>155</v>
      </c>
      <c r="C50" t="s">
        <v>156</v>
      </c>
      <c r="D50">
        <v>4.38</v>
      </c>
      <c r="E50">
        <v>1.29</v>
      </c>
      <c r="F50" t="s">
        <v>8</v>
      </c>
      <c r="G50" s="2"/>
      <c r="H50" s="2"/>
    </row>
    <row r="51" spans="2:8" x14ac:dyDescent="0.25">
      <c r="B51" t="s">
        <v>157</v>
      </c>
      <c r="C51" t="s">
        <v>156</v>
      </c>
      <c r="D51">
        <v>3.42</v>
      </c>
      <c r="E51">
        <v>1.32</v>
      </c>
      <c r="F51" t="s">
        <v>8</v>
      </c>
      <c r="G51" s="2"/>
      <c r="H51" s="2"/>
    </row>
    <row r="52" spans="2:8" x14ac:dyDescent="0.25">
      <c r="B52" t="s">
        <v>157</v>
      </c>
      <c r="C52" t="s">
        <v>156</v>
      </c>
      <c r="D52">
        <v>3.58</v>
      </c>
      <c r="E52">
        <v>1.32</v>
      </c>
      <c r="F52" t="s">
        <v>8</v>
      </c>
      <c r="G52" s="2"/>
      <c r="H52" s="2"/>
    </row>
    <row r="53" spans="2:8" x14ac:dyDescent="0.25">
      <c r="B53" t="s">
        <v>157</v>
      </c>
      <c r="C53" t="s">
        <v>156</v>
      </c>
      <c r="D53">
        <v>3.66</v>
      </c>
      <c r="E53">
        <v>1.33</v>
      </c>
      <c r="F53" t="s">
        <v>8</v>
      </c>
      <c r="G53" s="2"/>
      <c r="H53" s="2"/>
    </row>
    <row r="54" spans="2:8" x14ac:dyDescent="0.25">
      <c r="B54" t="s">
        <v>157</v>
      </c>
      <c r="C54" t="s">
        <v>156</v>
      </c>
      <c r="D54">
        <v>3.7199999999999998</v>
      </c>
      <c r="E54">
        <v>1.19</v>
      </c>
      <c r="F54" t="s">
        <v>8</v>
      </c>
      <c r="G54" s="2"/>
      <c r="H54" s="2"/>
    </row>
    <row r="55" spans="2:8" x14ac:dyDescent="0.25">
      <c r="B55" t="s">
        <v>157</v>
      </c>
      <c r="C55" t="s">
        <v>156</v>
      </c>
      <c r="D55">
        <v>3.79</v>
      </c>
      <c r="E55">
        <v>1.3</v>
      </c>
      <c r="F55" t="s">
        <v>8</v>
      </c>
      <c r="G55" s="2"/>
      <c r="H55" s="2"/>
    </row>
    <row r="56" spans="2:8" x14ac:dyDescent="0.25">
      <c r="B56" t="s">
        <v>157</v>
      </c>
      <c r="C56" t="s">
        <v>156</v>
      </c>
      <c r="D56">
        <v>3.61</v>
      </c>
      <c r="E56">
        <v>1.32</v>
      </c>
      <c r="F56" t="s">
        <v>8</v>
      </c>
      <c r="G56" s="2"/>
      <c r="H56" s="2"/>
    </row>
    <row r="57" spans="2:8" x14ac:dyDescent="0.25">
      <c r="B57" t="s">
        <v>157</v>
      </c>
      <c r="C57" t="s">
        <v>156</v>
      </c>
      <c r="D57">
        <v>3.66</v>
      </c>
      <c r="E57">
        <v>1.33</v>
      </c>
      <c r="F57" t="s">
        <v>8</v>
      </c>
      <c r="G57" s="2"/>
      <c r="H57" s="2"/>
    </row>
    <row r="58" spans="2:8" x14ac:dyDescent="0.25">
      <c r="B58" t="s">
        <v>157</v>
      </c>
      <c r="C58" t="s">
        <v>156</v>
      </c>
      <c r="D58">
        <v>3.84</v>
      </c>
      <c r="E58">
        <v>1.34</v>
      </c>
      <c r="F58" t="s">
        <v>8</v>
      </c>
      <c r="G58" s="2"/>
      <c r="H58" s="2"/>
    </row>
    <row r="59" spans="2:8" x14ac:dyDescent="0.25">
      <c r="B59" t="s">
        <v>157</v>
      </c>
      <c r="C59" t="s">
        <v>156</v>
      </c>
      <c r="D59">
        <v>3.6799999999999997</v>
      </c>
      <c r="E59">
        <v>1.3800000000000001</v>
      </c>
      <c r="F59" t="s">
        <v>8</v>
      </c>
      <c r="G59" s="2"/>
      <c r="H59" s="2"/>
    </row>
    <row r="60" spans="2:8" x14ac:dyDescent="0.25">
      <c r="B60" t="s">
        <v>157</v>
      </c>
      <c r="C60" t="s">
        <v>156</v>
      </c>
      <c r="D60">
        <v>3.73</v>
      </c>
      <c r="E60">
        <v>1.22</v>
      </c>
      <c r="F60" t="s">
        <v>8</v>
      </c>
      <c r="G60" s="2"/>
      <c r="H60" s="2"/>
    </row>
    <row r="61" spans="2:8" x14ac:dyDescent="0.25">
      <c r="B61" t="s">
        <v>157</v>
      </c>
      <c r="C61" t="s">
        <v>156</v>
      </c>
      <c r="D61">
        <v>3.54</v>
      </c>
      <c r="E61">
        <v>1.34</v>
      </c>
      <c r="F61" t="s">
        <v>8</v>
      </c>
      <c r="G61" s="2"/>
      <c r="H61" s="2"/>
    </row>
    <row r="62" spans="2:8" x14ac:dyDescent="0.25">
      <c r="B62" t="s">
        <v>157</v>
      </c>
      <c r="C62" t="s">
        <v>156</v>
      </c>
      <c r="D62">
        <v>3.46</v>
      </c>
      <c r="E62">
        <v>1.33</v>
      </c>
      <c r="F62" t="s">
        <v>8</v>
      </c>
      <c r="G62" s="2"/>
      <c r="H62" s="2"/>
    </row>
    <row r="63" spans="2:8" x14ac:dyDescent="0.25">
      <c r="B63" t="s">
        <v>158</v>
      </c>
      <c r="C63" t="s">
        <v>159</v>
      </c>
      <c r="D63">
        <v>2.4499999999999997</v>
      </c>
      <c r="E63">
        <v>1.56</v>
      </c>
      <c r="F63" t="s">
        <v>8</v>
      </c>
      <c r="G63" s="2"/>
      <c r="H63" s="2"/>
    </row>
    <row r="64" spans="2:8" x14ac:dyDescent="0.25">
      <c r="B64" t="s">
        <v>158</v>
      </c>
      <c r="C64" t="s">
        <v>159</v>
      </c>
      <c r="D64">
        <v>2.25</v>
      </c>
      <c r="E64">
        <v>1.5499999999999998</v>
      </c>
      <c r="F64" t="s">
        <v>8</v>
      </c>
      <c r="G64" s="2"/>
      <c r="H64" s="2"/>
    </row>
    <row r="65" spans="2:8" x14ac:dyDescent="0.25">
      <c r="B65" t="s">
        <v>158</v>
      </c>
      <c r="C65" t="s">
        <v>159</v>
      </c>
      <c r="D65">
        <v>2.2199999999999998</v>
      </c>
      <c r="E65">
        <v>1.76</v>
      </c>
      <c r="F65" t="s">
        <v>8</v>
      </c>
      <c r="G65" s="2"/>
      <c r="H65" s="2"/>
    </row>
    <row r="66" spans="2:8" x14ac:dyDescent="0.25">
      <c r="B66" t="s">
        <v>158</v>
      </c>
      <c r="C66" t="s">
        <v>159</v>
      </c>
      <c r="D66">
        <v>2.06</v>
      </c>
      <c r="E66">
        <v>1.7</v>
      </c>
      <c r="F66" t="s">
        <v>8</v>
      </c>
      <c r="G66" s="2"/>
      <c r="H66" s="2"/>
    </row>
    <row r="67" spans="2:8" x14ac:dyDescent="0.25">
      <c r="B67" t="s">
        <v>158</v>
      </c>
      <c r="C67" t="s">
        <v>159</v>
      </c>
      <c r="D67">
        <v>2.2599999999999998</v>
      </c>
      <c r="E67">
        <v>1.66</v>
      </c>
      <c r="F67" t="s">
        <v>8</v>
      </c>
      <c r="G67" s="2"/>
      <c r="H67" s="2"/>
    </row>
    <row r="68" spans="2:8" x14ac:dyDescent="0.25">
      <c r="B68" t="s">
        <v>158</v>
      </c>
      <c r="C68" t="s">
        <v>159</v>
      </c>
      <c r="D68">
        <v>2.1999999999999997</v>
      </c>
      <c r="E68">
        <v>1.66</v>
      </c>
      <c r="F68" t="s">
        <v>8</v>
      </c>
      <c r="G68" s="2"/>
      <c r="H68" s="2"/>
    </row>
    <row r="69" spans="2:8" x14ac:dyDescent="0.25">
      <c r="B69" t="s">
        <v>158</v>
      </c>
      <c r="C69" t="s">
        <v>159</v>
      </c>
      <c r="D69">
        <v>2.1999999999999997</v>
      </c>
      <c r="E69">
        <v>1.5999999999999999</v>
      </c>
      <c r="F69" t="s">
        <v>8</v>
      </c>
      <c r="G69" s="2"/>
      <c r="H69" s="2"/>
    </row>
    <row r="70" spans="2:8" x14ac:dyDescent="0.25">
      <c r="B70" t="s">
        <v>158</v>
      </c>
      <c r="C70" t="s">
        <v>159</v>
      </c>
      <c r="D70">
        <v>2.06</v>
      </c>
      <c r="E70">
        <v>1.66</v>
      </c>
      <c r="F70" t="s">
        <v>8</v>
      </c>
      <c r="G70" s="2"/>
      <c r="H70" s="2"/>
    </row>
    <row r="71" spans="2:8" x14ac:dyDescent="0.25">
      <c r="B71" t="s">
        <v>158</v>
      </c>
      <c r="C71" t="s">
        <v>159</v>
      </c>
      <c r="D71">
        <v>2.38</v>
      </c>
      <c r="E71">
        <v>1.75</v>
      </c>
      <c r="F71" t="s">
        <v>8</v>
      </c>
      <c r="G71" s="2"/>
      <c r="H71" s="2"/>
    </row>
    <row r="72" spans="2:8" x14ac:dyDescent="0.25">
      <c r="B72" t="s">
        <v>158</v>
      </c>
      <c r="C72" t="s">
        <v>159</v>
      </c>
      <c r="D72">
        <v>2.17</v>
      </c>
      <c r="E72">
        <v>1.72</v>
      </c>
      <c r="F72" t="s">
        <v>8</v>
      </c>
      <c r="G72" s="2"/>
      <c r="H72" s="2"/>
    </row>
    <row r="73" spans="2:8" x14ac:dyDescent="0.25">
      <c r="B73" t="s">
        <v>158</v>
      </c>
      <c r="C73" t="s">
        <v>159</v>
      </c>
      <c r="D73">
        <v>2.41</v>
      </c>
      <c r="E73">
        <v>1.67</v>
      </c>
      <c r="F73" t="s">
        <v>8</v>
      </c>
      <c r="G73" s="2"/>
      <c r="H73" s="2"/>
    </row>
    <row r="74" spans="2:8" x14ac:dyDescent="0.25">
      <c r="B74" t="s">
        <v>158</v>
      </c>
      <c r="C74" t="s">
        <v>159</v>
      </c>
      <c r="D74">
        <v>2.3899999999999997</v>
      </c>
      <c r="E74">
        <v>1.67</v>
      </c>
      <c r="F74" t="s">
        <v>8</v>
      </c>
      <c r="G74" s="2"/>
      <c r="H74" s="2"/>
    </row>
    <row r="75" spans="2:8" x14ac:dyDescent="0.25">
      <c r="B75" t="s">
        <v>324</v>
      </c>
      <c r="C75" t="s">
        <v>161</v>
      </c>
      <c r="D75">
        <v>6.94</v>
      </c>
      <c r="E75">
        <v>1.1600000000000001</v>
      </c>
      <c r="F75" t="s">
        <v>8</v>
      </c>
      <c r="G75" s="2"/>
      <c r="H75" s="2"/>
    </row>
    <row r="76" spans="2:8" x14ac:dyDescent="0.25">
      <c r="B76" t="s">
        <v>324</v>
      </c>
      <c r="C76" t="s">
        <v>161</v>
      </c>
      <c r="D76">
        <v>6.78</v>
      </c>
      <c r="E76">
        <v>1.1100000000000001</v>
      </c>
      <c r="F76" t="s">
        <v>8</v>
      </c>
      <c r="G76" s="2"/>
      <c r="H76" s="2"/>
    </row>
    <row r="77" spans="2:8" x14ac:dyDescent="0.25">
      <c r="B77" t="s">
        <v>324</v>
      </c>
      <c r="C77" t="s">
        <v>161</v>
      </c>
      <c r="D77">
        <v>6.46</v>
      </c>
      <c r="E77">
        <v>1.1099999999999999</v>
      </c>
      <c r="F77" t="s">
        <v>8</v>
      </c>
      <c r="G77" s="2"/>
      <c r="H77" s="2"/>
    </row>
    <row r="78" spans="2:8" x14ac:dyDescent="0.25">
      <c r="B78" t="s">
        <v>324</v>
      </c>
      <c r="C78" t="s">
        <v>161</v>
      </c>
      <c r="D78">
        <v>6.26</v>
      </c>
      <c r="E78">
        <v>1.1300000000000001</v>
      </c>
      <c r="F78" t="s">
        <v>8</v>
      </c>
      <c r="G78" s="2"/>
      <c r="H78" s="2"/>
    </row>
    <row r="79" spans="2:8" x14ac:dyDescent="0.25">
      <c r="B79" t="s">
        <v>324</v>
      </c>
      <c r="C79" t="s">
        <v>161</v>
      </c>
      <c r="D79">
        <v>6.21</v>
      </c>
      <c r="E79">
        <v>1.02</v>
      </c>
      <c r="F79" t="s">
        <v>8</v>
      </c>
      <c r="G79" s="2"/>
      <c r="H79" s="2"/>
    </row>
    <row r="80" spans="2:8" x14ac:dyDescent="0.25">
      <c r="B80" t="s">
        <v>324</v>
      </c>
      <c r="C80" t="s">
        <v>161</v>
      </c>
      <c r="D80">
        <v>6.55</v>
      </c>
      <c r="E80">
        <v>1.2000000000000002</v>
      </c>
      <c r="F80" t="s">
        <v>8</v>
      </c>
      <c r="G80" s="2"/>
      <c r="H80" s="2"/>
    </row>
    <row r="81" spans="2:8" x14ac:dyDescent="0.25">
      <c r="B81" t="s">
        <v>324</v>
      </c>
      <c r="C81" t="s">
        <v>161</v>
      </c>
      <c r="D81">
        <v>6.54</v>
      </c>
      <c r="E81">
        <v>1.1399999999999999</v>
      </c>
      <c r="F81" t="s">
        <v>8</v>
      </c>
      <c r="G81" s="2"/>
      <c r="H81" s="2"/>
    </row>
    <row r="82" spans="2:8" x14ac:dyDescent="0.25">
      <c r="B82" t="s">
        <v>324</v>
      </c>
      <c r="C82" t="s">
        <v>161</v>
      </c>
      <c r="D82">
        <v>6.32</v>
      </c>
      <c r="E82">
        <v>1.07</v>
      </c>
      <c r="F82" t="s">
        <v>8</v>
      </c>
      <c r="G82" s="2"/>
      <c r="H82" s="2"/>
    </row>
    <row r="83" spans="2:8" x14ac:dyDescent="0.25">
      <c r="B83" t="s">
        <v>324</v>
      </c>
      <c r="C83" t="s">
        <v>161</v>
      </c>
      <c r="D83">
        <v>6.29</v>
      </c>
      <c r="E83">
        <v>1.1199999999999999</v>
      </c>
      <c r="F83" t="s">
        <v>8</v>
      </c>
      <c r="G83" s="2"/>
      <c r="H83" s="2"/>
    </row>
    <row r="84" spans="2:8" x14ac:dyDescent="0.25">
      <c r="B84" t="s">
        <v>324</v>
      </c>
      <c r="C84" t="s">
        <v>161</v>
      </c>
      <c r="D84">
        <v>6.56</v>
      </c>
      <c r="E84">
        <v>1.1300000000000001</v>
      </c>
      <c r="F84" t="s">
        <v>8</v>
      </c>
      <c r="G84" s="2"/>
      <c r="H84" s="2"/>
    </row>
    <row r="85" spans="2:8" x14ac:dyDescent="0.25">
      <c r="B85" t="s">
        <v>324</v>
      </c>
      <c r="C85" t="s">
        <v>161</v>
      </c>
      <c r="D85">
        <v>6.4</v>
      </c>
      <c r="E85">
        <v>1.1000000000000001</v>
      </c>
      <c r="F85" t="s">
        <v>8</v>
      </c>
      <c r="G85" s="2"/>
      <c r="H85" s="2"/>
    </row>
    <row r="86" spans="2:8" x14ac:dyDescent="0.25">
      <c r="B86" t="s">
        <v>324</v>
      </c>
      <c r="C86" t="s">
        <v>161</v>
      </c>
      <c r="D86">
        <v>6.28</v>
      </c>
      <c r="E86">
        <v>1.1700000000000002</v>
      </c>
      <c r="F86" t="s">
        <v>8</v>
      </c>
      <c r="G86" s="2"/>
      <c r="H86" s="2"/>
    </row>
    <row r="87" spans="2:8" x14ac:dyDescent="0.25">
      <c r="B87" t="s">
        <v>296</v>
      </c>
      <c r="C87" t="s">
        <v>163</v>
      </c>
      <c r="D87">
        <v>2.6</v>
      </c>
      <c r="E87">
        <v>1.54</v>
      </c>
      <c r="F87" t="s">
        <v>8</v>
      </c>
      <c r="G87" s="2"/>
      <c r="H87" s="2"/>
    </row>
    <row r="88" spans="2:8" x14ac:dyDescent="0.25">
      <c r="B88" t="s">
        <v>296</v>
      </c>
      <c r="C88" t="s">
        <v>163</v>
      </c>
      <c r="D88">
        <v>2.67</v>
      </c>
      <c r="E88">
        <v>1.59</v>
      </c>
      <c r="F88" t="s">
        <v>8</v>
      </c>
      <c r="G88" s="2"/>
      <c r="H88" s="2"/>
    </row>
    <row r="89" spans="2:8" x14ac:dyDescent="0.25">
      <c r="B89" t="s">
        <v>296</v>
      </c>
      <c r="C89" t="s">
        <v>163</v>
      </c>
      <c r="D89">
        <v>2.5499999999999998</v>
      </c>
      <c r="E89">
        <v>1.58</v>
      </c>
      <c r="F89" t="s">
        <v>8</v>
      </c>
      <c r="G89" s="2"/>
      <c r="H89" s="2"/>
    </row>
    <row r="90" spans="2:8" x14ac:dyDescent="0.25">
      <c r="B90" t="s">
        <v>296</v>
      </c>
      <c r="C90" t="s">
        <v>163</v>
      </c>
      <c r="D90">
        <v>2.65</v>
      </c>
      <c r="E90">
        <v>1.43</v>
      </c>
      <c r="F90" t="s">
        <v>8</v>
      </c>
      <c r="G90" s="2"/>
      <c r="H90" s="2"/>
    </row>
    <row r="91" spans="2:8" x14ac:dyDescent="0.25">
      <c r="B91" t="s">
        <v>296</v>
      </c>
      <c r="C91" t="s">
        <v>163</v>
      </c>
      <c r="D91">
        <v>2.7199999999999998</v>
      </c>
      <c r="E91">
        <v>1.55</v>
      </c>
      <c r="F91" t="s">
        <v>8</v>
      </c>
      <c r="G91" s="2"/>
      <c r="H91" s="2"/>
    </row>
    <row r="92" spans="2:8" x14ac:dyDescent="0.25">
      <c r="B92" t="s">
        <v>296</v>
      </c>
      <c r="C92" t="s">
        <v>163</v>
      </c>
      <c r="D92">
        <v>2.6100000000000003</v>
      </c>
      <c r="E92">
        <v>1.5</v>
      </c>
      <c r="F92" t="s">
        <v>8</v>
      </c>
      <c r="G92" s="2"/>
      <c r="H92" s="2"/>
    </row>
    <row r="93" spans="2:8" x14ac:dyDescent="0.25">
      <c r="B93" t="s">
        <v>296</v>
      </c>
      <c r="C93" t="s">
        <v>163</v>
      </c>
      <c r="D93">
        <v>2.7399999999999998</v>
      </c>
      <c r="E93">
        <v>1.53</v>
      </c>
      <c r="F93" t="s">
        <v>8</v>
      </c>
      <c r="G93" s="2"/>
      <c r="H93" s="2"/>
    </row>
    <row r="94" spans="2:8" x14ac:dyDescent="0.25">
      <c r="B94" t="s">
        <v>296</v>
      </c>
      <c r="C94" t="s">
        <v>163</v>
      </c>
      <c r="D94">
        <v>2.52</v>
      </c>
      <c r="E94">
        <v>1.54</v>
      </c>
      <c r="F94" t="s">
        <v>8</v>
      </c>
      <c r="G94" s="2"/>
      <c r="H94" s="2"/>
    </row>
    <row r="95" spans="2:8" x14ac:dyDescent="0.25">
      <c r="B95" t="s">
        <v>296</v>
      </c>
      <c r="C95" t="s">
        <v>163</v>
      </c>
      <c r="D95">
        <v>2.62</v>
      </c>
      <c r="E95">
        <v>1.58</v>
      </c>
      <c r="F95" t="s">
        <v>8</v>
      </c>
      <c r="G95" s="2"/>
      <c r="H95" s="2"/>
    </row>
    <row r="96" spans="2:8" x14ac:dyDescent="0.25">
      <c r="B96" t="s">
        <v>296</v>
      </c>
      <c r="C96" t="s">
        <v>163</v>
      </c>
      <c r="D96">
        <v>2.54</v>
      </c>
      <c r="E96">
        <v>1.45</v>
      </c>
      <c r="F96" t="s">
        <v>8</v>
      </c>
      <c r="G96" s="2"/>
      <c r="H96" s="2"/>
    </row>
    <row r="97" spans="2:8" x14ac:dyDescent="0.25">
      <c r="B97" t="s">
        <v>296</v>
      </c>
      <c r="C97" t="s">
        <v>163</v>
      </c>
      <c r="D97">
        <v>2.71</v>
      </c>
      <c r="E97">
        <v>1.45</v>
      </c>
      <c r="F97" t="s">
        <v>8</v>
      </c>
      <c r="G97" s="2"/>
      <c r="H97" s="2"/>
    </row>
    <row r="98" spans="2:8" x14ac:dyDescent="0.25">
      <c r="B98" t="s">
        <v>296</v>
      </c>
      <c r="C98" t="s">
        <v>163</v>
      </c>
      <c r="D98">
        <v>2.6999999999999997</v>
      </c>
      <c r="E98">
        <v>1.44</v>
      </c>
      <c r="F98" t="s">
        <v>8</v>
      </c>
      <c r="G98" s="2"/>
      <c r="H98" s="2"/>
    </row>
    <row r="99" spans="2:8" x14ac:dyDescent="0.25">
      <c r="B99" t="s">
        <v>164</v>
      </c>
      <c r="C99" t="s">
        <v>165</v>
      </c>
      <c r="D99">
        <v>1.8</v>
      </c>
      <c r="E99">
        <v>1.99</v>
      </c>
      <c r="F99" t="s">
        <v>8</v>
      </c>
      <c r="G99" s="2"/>
      <c r="H99" s="2"/>
    </row>
    <row r="100" spans="2:8" x14ac:dyDescent="0.25">
      <c r="B100" t="s">
        <v>164</v>
      </c>
      <c r="C100" t="s">
        <v>165</v>
      </c>
      <c r="D100">
        <v>1.95</v>
      </c>
      <c r="E100">
        <v>1.8099999999999998</v>
      </c>
      <c r="F100" t="s">
        <v>8</v>
      </c>
      <c r="G100" s="2"/>
      <c r="H100" s="2"/>
    </row>
    <row r="101" spans="2:8" x14ac:dyDescent="0.25">
      <c r="B101" t="s">
        <v>164</v>
      </c>
      <c r="C101" t="s">
        <v>165</v>
      </c>
      <c r="D101">
        <v>1.87</v>
      </c>
      <c r="E101">
        <v>1.95</v>
      </c>
      <c r="F101" t="s">
        <v>8</v>
      </c>
      <c r="G101" s="2"/>
      <c r="H101" s="2"/>
    </row>
    <row r="102" spans="2:8" x14ac:dyDescent="0.25">
      <c r="B102" t="s">
        <v>164</v>
      </c>
      <c r="C102" t="s">
        <v>165</v>
      </c>
      <c r="D102">
        <v>1.96</v>
      </c>
      <c r="E102">
        <v>1.8699999999999999</v>
      </c>
      <c r="F102" t="s">
        <v>8</v>
      </c>
      <c r="G102" s="2"/>
      <c r="H102" s="2"/>
    </row>
    <row r="103" spans="2:8" x14ac:dyDescent="0.25">
      <c r="B103" t="s">
        <v>164</v>
      </c>
      <c r="C103" t="s">
        <v>165</v>
      </c>
      <c r="D103">
        <v>1.94</v>
      </c>
      <c r="E103">
        <v>1.8699999999999999</v>
      </c>
      <c r="F103" t="s">
        <v>8</v>
      </c>
      <c r="G103" s="2"/>
      <c r="H103" s="2"/>
    </row>
    <row r="104" spans="2:8" x14ac:dyDescent="0.25">
      <c r="B104" t="s">
        <v>164</v>
      </c>
      <c r="C104" t="s">
        <v>165</v>
      </c>
      <c r="D104">
        <v>1.78</v>
      </c>
      <c r="E104">
        <v>2.0099999999999998</v>
      </c>
      <c r="F104" t="s">
        <v>8</v>
      </c>
      <c r="G104" s="2"/>
      <c r="H104" s="2"/>
    </row>
    <row r="105" spans="2:8" x14ac:dyDescent="0.25">
      <c r="B105" t="s">
        <v>164</v>
      </c>
      <c r="C105" t="s">
        <v>165</v>
      </c>
      <c r="D105">
        <v>1.84</v>
      </c>
      <c r="E105">
        <v>1.98</v>
      </c>
      <c r="F105" t="s">
        <v>8</v>
      </c>
      <c r="G105" s="2"/>
      <c r="H105" s="2"/>
    </row>
    <row r="106" spans="2:8" x14ac:dyDescent="0.25">
      <c r="B106" t="s">
        <v>164</v>
      </c>
      <c r="C106" t="s">
        <v>165</v>
      </c>
      <c r="D106">
        <v>1.92</v>
      </c>
      <c r="E106">
        <v>1.97</v>
      </c>
      <c r="F106" t="s">
        <v>8</v>
      </c>
      <c r="G106" s="2"/>
      <c r="H106" s="2"/>
    </row>
    <row r="107" spans="2:8" x14ac:dyDescent="0.25">
      <c r="B107" t="s">
        <v>164</v>
      </c>
      <c r="C107" t="s">
        <v>165</v>
      </c>
      <c r="D107">
        <v>1.9500000000000002</v>
      </c>
      <c r="E107">
        <v>1.8699999999999999</v>
      </c>
      <c r="F107" t="s">
        <v>8</v>
      </c>
      <c r="G107" s="2"/>
      <c r="H107" s="2"/>
    </row>
    <row r="108" spans="2:8" x14ac:dyDescent="0.25">
      <c r="B108" t="s">
        <v>164</v>
      </c>
      <c r="C108" t="s">
        <v>165</v>
      </c>
      <c r="D108">
        <v>1.73</v>
      </c>
      <c r="E108">
        <v>1.91</v>
      </c>
      <c r="F108" t="s">
        <v>8</v>
      </c>
      <c r="G108" s="2"/>
      <c r="H108" s="2"/>
    </row>
    <row r="109" spans="2:8" x14ac:dyDescent="0.25">
      <c r="B109" t="s">
        <v>164</v>
      </c>
      <c r="C109" t="s">
        <v>165</v>
      </c>
      <c r="D109">
        <v>1.84</v>
      </c>
      <c r="E109">
        <v>2.06</v>
      </c>
      <c r="F109" t="s">
        <v>8</v>
      </c>
      <c r="G109" s="2"/>
      <c r="H109" s="2"/>
    </row>
    <row r="110" spans="2:8" x14ac:dyDescent="0.25">
      <c r="B110" t="s">
        <v>164</v>
      </c>
      <c r="C110" t="s">
        <v>165</v>
      </c>
      <c r="D110">
        <v>1.84</v>
      </c>
      <c r="E110">
        <v>1.93</v>
      </c>
      <c r="F110" t="s">
        <v>8</v>
      </c>
      <c r="G110" s="2"/>
      <c r="H110" s="2"/>
    </row>
    <row r="111" spans="2:8" x14ac:dyDescent="0.25">
      <c r="B111" t="s">
        <v>166</v>
      </c>
      <c r="C111" t="s">
        <v>165</v>
      </c>
      <c r="D111">
        <v>7.54</v>
      </c>
      <c r="E111">
        <v>1.01</v>
      </c>
      <c r="F111" t="s">
        <v>8</v>
      </c>
      <c r="G111" s="2"/>
      <c r="H111" s="2"/>
    </row>
    <row r="112" spans="2:8" x14ac:dyDescent="0.25">
      <c r="B112" t="s">
        <v>166</v>
      </c>
      <c r="C112" t="s">
        <v>165</v>
      </c>
      <c r="D112">
        <v>8.5399999999999991</v>
      </c>
      <c r="E112">
        <v>1.1600000000000001</v>
      </c>
      <c r="F112" t="s">
        <v>8</v>
      </c>
      <c r="G112" s="2"/>
      <c r="H112" s="2"/>
    </row>
    <row r="113" spans="2:8" x14ac:dyDescent="0.25">
      <c r="B113" t="s">
        <v>166</v>
      </c>
      <c r="C113" t="s">
        <v>165</v>
      </c>
      <c r="D113">
        <v>8.0399999999999991</v>
      </c>
      <c r="E113">
        <v>1.1100000000000001</v>
      </c>
      <c r="F113" t="s">
        <v>8</v>
      </c>
      <c r="G113" s="2"/>
      <c r="H113" s="2"/>
    </row>
    <row r="114" spans="2:8" x14ac:dyDescent="0.25">
      <c r="B114" t="s">
        <v>166</v>
      </c>
      <c r="C114" t="s">
        <v>165</v>
      </c>
      <c r="D114">
        <v>8.5399999999999991</v>
      </c>
      <c r="E114">
        <v>0.98000000000000009</v>
      </c>
      <c r="F114" t="s">
        <v>8</v>
      </c>
      <c r="G114" s="2"/>
      <c r="H114" s="2"/>
    </row>
    <row r="115" spans="2:8" x14ac:dyDescent="0.25">
      <c r="B115" t="s">
        <v>166</v>
      </c>
      <c r="C115" t="s">
        <v>165</v>
      </c>
      <c r="D115">
        <v>8.25</v>
      </c>
      <c r="E115">
        <v>1.1100000000000001</v>
      </c>
      <c r="F115" t="s">
        <v>8</v>
      </c>
      <c r="G115" s="2"/>
      <c r="H115" s="2"/>
    </row>
    <row r="116" spans="2:8" x14ac:dyDescent="0.25">
      <c r="B116" t="s">
        <v>166</v>
      </c>
      <c r="C116" t="s">
        <v>165</v>
      </c>
      <c r="D116">
        <v>7.93</v>
      </c>
      <c r="E116">
        <v>1.03</v>
      </c>
      <c r="F116" t="s">
        <v>8</v>
      </c>
      <c r="G116" s="2"/>
      <c r="H116" s="2"/>
    </row>
    <row r="117" spans="2:8" x14ac:dyDescent="0.25">
      <c r="B117" t="s">
        <v>166</v>
      </c>
      <c r="C117" t="s">
        <v>165</v>
      </c>
      <c r="D117">
        <v>8.09</v>
      </c>
      <c r="E117">
        <v>1.03</v>
      </c>
      <c r="F117" t="s">
        <v>8</v>
      </c>
      <c r="G117" s="2"/>
      <c r="H117" s="2"/>
    </row>
    <row r="118" spans="2:8" x14ac:dyDescent="0.25">
      <c r="B118" t="s">
        <v>166</v>
      </c>
      <c r="C118" t="s">
        <v>165</v>
      </c>
      <c r="D118">
        <v>8.5500000000000007</v>
      </c>
      <c r="E118">
        <v>1.1500000000000001</v>
      </c>
      <c r="F118" t="s">
        <v>8</v>
      </c>
      <c r="G118" s="2"/>
      <c r="H118" s="2"/>
    </row>
    <row r="119" spans="2:8" x14ac:dyDescent="0.25">
      <c r="B119" t="s">
        <v>166</v>
      </c>
      <c r="C119" t="s">
        <v>165</v>
      </c>
      <c r="D119">
        <v>8.92</v>
      </c>
      <c r="E119">
        <v>1.1600000000000001</v>
      </c>
      <c r="F119" t="s">
        <v>8</v>
      </c>
      <c r="G119" s="2"/>
      <c r="H119" s="2"/>
    </row>
    <row r="120" spans="2:8" x14ac:dyDescent="0.25">
      <c r="B120" t="s">
        <v>166</v>
      </c>
      <c r="C120" t="s">
        <v>165</v>
      </c>
      <c r="D120">
        <v>8.99</v>
      </c>
      <c r="E120">
        <v>0.98000000000000009</v>
      </c>
      <c r="F120" t="s">
        <v>8</v>
      </c>
      <c r="G120" s="2"/>
      <c r="H120" s="2"/>
    </row>
    <row r="121" spans="2:8" x14ac:dyDescent="0.25">
      <c r="B121" t="s">
        <v>166</v>
      </c>
      <c r="C121" t="s">
        <v>165</v>
      </c>
      <c r="D121">
        <v>8.5299999999999994</v>
      </c>
      <c r="E121">
        <v>1.04</v>
      </c>
      <c r="F121" t="s">
        <v>8</v>
      </c>
      <c r="G121" s="2"/>
      <c r="H121" s="2"/>
    </row>
    <row r="122" spans="2:8" x14ac:dyDescent="0.25">
      <c r="B122" t="s">
        <v>166</v>
      </c>
      <c r="C122" t="s">
        <v>165</v>
      </c>
      <c r="D122">
        <v>8.5500000000000007</v>
      </c>
      <c r="E122">
        <v>1.02</v>
      </c>
      <c r="F122" t="s">
        <v>8</v>
      </c>
      <c r="G122" s="2"/>
      <c r="H122" s="2"/>
    </row>
    <row r="123" spans="2:8" x14ac:dyDescent="0.25">
      <c r="B123" t="s">
        <v>167</v>
      </c>
      <c r="C123" t="s">
        <v>165</v>
      </c>
      <c r="D123">
        <v>3.78</v>
      </c>
      <c r="E123">
        <v>1.36</v>
      </c>
      <c r="F123" t="s">
        <v>8</v>
      </c>
      <c r="G123" s="2"/>
      <c r="H123" s="2"/>
    </row>
    <row r="124" spans="2:8" x14ac:dyDescent="0.25">
      <c r="B124" t="s">
        <v>167</v>
      </c>
      <c r="C124" t="s">
        <v>165</v>
      </c>
      <c r="D124">
        <v>3.63</v>
      </c>
      <c r="E124">
        <v>1.37</v>
      </c>
      <c r="F124" t="s">
        <v>8</v>
      </c>
      <c r="G124" s="2"/>
      <c r="H124" s="2"/>
    </row>
    <row r="125" spans="2:8" x14ac:dyDescent="0.25">
      <c r="B125" t="s">
        <v>167</v>
      </c>
      <c r="C125" t="s">
        <v>165</v>
      </c>
      <c r="D125">
        <v>3.7800000000000002</v>
      </c>
      <c r="E125">
        <v>1.33</v>
      </c>
      <c r="F125" t="s">
        <v>8</v>
      </c>
      <c r="G125" s="2"/>
      <c r="H125" s="2"/>
    </row>
    <row r="126" spans="2:8" x14ac:dyDescent="0.25">
      <c r="B126" t="s">
        <v>167</v>
      </c>
      <c r="C126" t="s">
        <v>165</v>
      </c>
      <c r="D126">
        <v>3.36</v>
      </c>
      <c r="E126">
        <v>1.32</v>
      </c>
      <c r="F126" t="s">
        <v>8</v>
      </c>
      <c r="G126" s="2"/>
      <c r="H126" s="2"/>
    </row>
    <row r="127" spans="2:8" x14ac:dyDescent="0.25">
      <c r="B127" t="s">
        <v>167</v>
      </c>
      <c r="C127" t="s">
        <v>165</v>
      </c>
      <c r="D127">
        <v>3.75</v>
      </c>
      <c r="E127">
        <v>1.25</v>
      </c>
      <c r="F127" t="s">
        <v>8</v>
      </c>
      <c r="G127" s="2"/>
      <c r="H127" s="2"/>
    </row>
    <row r="128" spans="2:8" x14ac:dyDescent="0.25">
      <c r="B128" t="s">
        <v>167</v>
      </c>
      <c r="C128" t="s">
        <v>165</v>
      </c>
      <c r="D128">
        <v>3.5100000000000002</v>
      </c>
      <c r="E128">
        <v>1.3800000000000001</v>
      </c>
      <c r="F128" t="s">
        <v>8</v>
      </c>
      <c r="G128" s="2"/>
      <c r="H128" s="2"/>
    </row>
    <row r="129" spans="2:8" x14ac:dyDescent="0.25">
      <c r="B129" t="s">
        <v>167</v>
      </c>
      <c r="C129" t="s">
        <v>165</v>
      </c>
      <c r="D129">
        <v>3.64</v>
      </c>
      <c r="E129">
        <v>1.36</v>
      </c>
      <c r="F129" t="s">
        <v>8</v>
      </c>
      <c r="G129" s="2"/>
      <c r="H129" s="2"/>
    </row>
    <row r="130" spans="2:8" x14ac:dyDescent="0.25">
      <c r="B130" t="s">
        <v>167</v>
      </c>
      <c r="C130" t="s">
        <v>165</v>
      </c>
      <c r="D130">
        <v>3.3699999999999997</v>
      </c>
      <c r="E130">
        <v>1.27</v>
      </c>
      <c r="F130" t="s">
        <v>8</v>
      </c>
      <c r="G130" s="2"/>
      <c r="H130" s="2"/>
    </row>
    <row r="131" spans="2:8" x14ac:dyDescent="0.25">
      <c r="B131" t="s">
        <v>167</v>
      </c>
      <c r="C131" t="s">
        <v>165</v>
      </c>
      <c r="D131">
        <v>3.61</v>
      </c>
      <c r="E131">
        <v>1.22</v>
      </c>
      <c r="F131" t="s">
        <v>8</v>
      </c>
      <c r="G131" s="2"/>
      <c r="H131" s="2"/>
    </row>
    <row r="132" spans="2:8" x14ac:dyDescent="0.25">
      <c r="B132" t="s">
        <v>167</v>
      </c>
      <c r="C132" t="s">
        <v>165</v>
      </c>
      <c r="D132">
        <v>3.46</v>
      </c>
      <c r="E132">
        <v>1.31</v>
      </c>
      <c r="F132" t="s">
        <v>8</v>
      </c>
      <c r="G132" s="2"/>
      <c r="H132" s="2"/>
    </row>
    <row r="133" spans="2:8" x14ac:dyDescent="0.25">
      <c r="B133" t="s">
        <v>167</v>
      </c>
      <c r="C133" t="s">
        <v>165</v>
      </c>
      <c r="D133">
        <v>3.5</v>
      </c>
      <c r="E133">
        <v>1.22</v>
      </c>
      <c r="F133" t="s">
        <v>8</v>
      </c>
      <c r="G133" s="2"/>
      <c r="H133" s="2"/>
    </row>
    <row r="134" spans="2:8" x14ac:dyDescent="0.25">
      <c r="B134" t="s">
        <v>167</v>
      </c>
      <c r="C134" t="s">
        <v>165</v>
      </c>
      <c r="D134">
        <v>3.6599999999999997</v>
      </c>
      <c r="E134">
        <v>1.19</v>
      </c>
      <c r="F134" t="s">
        <v>8</v>
      </c>
      <c r="G134" s="2"/>
      <c r="H134" s="2"/>
    </row>
    <row r="135" spans="2:8" x14ac:dyDescent="0.25">
      <c r="B135" t="s">
        <v>297</v>
      </c>
      <c r="C135" t="s">
        <v>165</v>
      </c>
      <c r="D135">
        <v>1.56</v>
      </c>
      <c r="E135">
        <v>2.54</v>
      </c>
      <c r="F135" t="s">
        <v>8</v>
      </c>
      <c r="G135" s="2"/>
      <c r="H135" s="2"/>
    </row>
    <row r="136" spans="2:8" x14ac:dyDescent="0.25">
      <c r="B136" t="s">
        <v>297</v>
      </c>
      <c r="C136" t="s">
        <v>165</v>
      </c>
      <c r="D136">
        <v>1.49</v>
      </c>
      <c r="E136">
        <v>2.5100000000000002</v>
      </c>
      <c r="F136" t="s">
        <v>8</v>
      </c>
      <c r="G136" s="2"/>
      <c r="H136" s="2"/>
    </row>
    <row r="137" spans="2:8" x14ac:dyDescent="0.25">
      <c r="B137" t="s">
        <v>297</v>
      </c>
      <c r="C137" t="s">
        <v>165</v>
      </c>
      <c r="D137">
        <v>1.49</v>
      </c>
      <c r="E137">
        <v>2.5300000000000002</v>
      </c>
      <c r="F137" t="s">
        <v>8</v>
      </c>
      <c r="G137" s="2"/>
      <c r="H137" s="2"/>
    </row>
    <row r="138" spans="2:8" x14ac:dyDescent="0.25">
      <c r="B138" t="s">
        <v>297</v>
      </c>
      <c r="C138" t="s">
        <v>165</v>
      </c>
      <c r="D138">
        <v>1.45</v>
      </c>
      <c r="E138">
        <v>2.54</v>
      </c>
      <c r="F138" t="s">
        <v>8</v>
      </c>
      <c r="G138" s="2"/>
      <c r="H138" s="2"/>
    </row>
    <row r="139" spans="2:8" x14ac:dyDescent="0.25">
      <c r="B139" t="s">
        <v>297</v>
      </c>
      <c r="C139" t="s">
        <v>165</v>
      </c>
      <c r="D139">
        <v>1.52</v>
      </c>
      <c r="E139">
        <v>2.71</v>
      </c>
      <c r="F139" t="s">
        <v>8</v>
      </c>
      <c r="G139" s="2"/>
      <c r="H139" s="2"/>
    </row>
    <row r="140" spans="2:8" x14ac:dyDescent="0.25">
      <c r="B140" t="s">
        <v>297</v>
      </c>
      <c r="C140" t="s">
        <v>165</v>
      </c>
      <c r="D140">
        <v>1.53</v>
      </c>
      <c r="E140">
        <v>2.59</v>
      </c>
      <c r="F140" t="s">
        <v>8</v>
      </c>
      <c r="G140" s="2"/>
      <c r="H140" s="2"/>
    </row>
    <row r="141" spans="2:8" x14ac:dyDescent="0.25">
      <c r="B141" t="s">
        <v>297</v>
      </c>
      <c r="C141" t="s">
        <v>165</v>
      </c>
      <c r="D141">
        <v>1.53</v>
      </c>
      <c r="E141">
        <v>2.5</v>
      </c>
      <c r="F141" t="s">
        <v>8</v>
      </c>
      <c r="G141" s="2"/>
      <c r="H141" s="2"/>
    </row>
    <row r="142" spans="2:8" x14ac:dyDescent="0.25">
      <c r="B142" t="s">
        <v>297</v>
      </c>
      <c r="C142" t="s">
        <v>165</v>
      </c>
      <c r="D142">
        <v>1.51</v>
      </c>
      <c r="E142">
        <v>2.63</v>
      </c>
      <c r="F142" t="s">
        <v>8</v>
      </c>
      <c r="G142" s="2"/>
      <c r="H142" s="2"/>
    </row>
    <row r="143" spans="2:8" x14ac:dyDescent="0.25">
      <c r="B143" t="s">
        <v>297</v>
      </c>
      <c r="C143" t="s">
        <v>165</v>
      </c>
      <c r="D143">
        <v>1.47</v>
      </c>
      <c r="E143">
        <v>2.5499999999999998</v>
      </c>
      <c r="F143" t="s">
        <v>8</v>
      </c>
      <c r="G143" s="2"/>
      <c r="H143" s="2"/>
    </row>
    <row r="144" spans="2:8" x14ac:dyDescent="0.25">
      <c r="B144" t="s">
        <v>297</v>
      </c>
      <c r="C144" t="s">
        <v>165</v>
      </c>
      <c r="D144">
        <v>1.43</v>
      </c>
      <c r="E144">
        <v>2.61</v>
      </c>
      <c r="F144" t="s">
        <v>8</v>
      </c>
      <c r="G144" s="2"/>
      <c r="H144" s="2"/>
    </row>
    <row r="145" spans="2:8" x14ac:dyDescent="0.25">
      <c r="B145" t="s">
        <v>297</v>
      </c>
      <c r="C145" t="s">
        <v>165</v>
      </c>
      <c r="D145">
        <v>1.5</v>
      </c>
      <c r="E145">
        <v>2.65</v>
      </c>
      <c r="F145" t="s">
        <v>8</v>
      </c>
      <c r="G145" s="2"/>
      <c r="H145" s="2"/>
    </row>
    <row r="146" spans="2:8" x14ac:dyDescent="0.25">
      <c r="B146" t="s">
        <v>297</v>
      </c>
      <c r="C146" t="s">
        <v>165</v>
      </c>
      <c r="D146">
        <v>1.44</v>
      </c>
      <c r="E146">
        <v>2.64</v>
      </c>
      <c r="F146" t="s">
        <v>8</v>
      </c>
      <c r="G146" s="2"/>
      <c r="H146" s="2"/>
    </row>
    <row r="147" spans="2:8" x14ac:dyDescent="0.25">
      <c r="B147" t="s">
        <v>169</v>
      </c>
      <c r="C147" t="s">
        <v>165</v>
      </c>
      <c r="D147">
        <v>2.2799999999999998</v>
      </c>
      <c r="E147">
        <v>1.63</v>
      </c>
      <c r="F147" t="s">
        <v>8</v>
      </c>
      <c r="G147" s="2"/>
      <c r="H147" s="2"/>
    </row>
    <row r="148" spans="2:8" x14ac:dyDescent="0.25">
      <c r="B148" t="s">
        <v>169</v>
      </c>
      <c r="C148" t="s">
        <v>165</v>
      </c>
      <c r="D148">
        <v>2.23</v>
      </c>
      <c r="E148">
        <v>1.65</v>
      </c>
      <c r="F148" t="s">
        <v>8</v>
      </c>
      <c r="G148" s="2"/>
      <c r="H148" s="2"/>
    </row>
    <row r="149" spans="2:8" x14ac:dyDescent="0.25">
      <c r="B149" t="s">
        <v>169</v>
      </c>
      <c r="C149" t="s">
        <v>165</v>
      </c>
      <c r="D149">
        <v>2.3699999999999997</v>
      </c>
      <c r="E149">
        <v>1.75</v>
      </c>
      <c r="F149" t="s">
        <v>8</v>
      </c>
      <c r="G149" s="2"/>
      <c r="H149" s="2"/>
    </row>
    <row r="150" spans="2:8" x14ac:dyDescent="0.25">
      <c r="B150" t="s">
        <v>169</v>
      </c>
      <c r="C150" t="s">
        <v>165</v>
      </c>
      <c r="D150">
        <v>2.12</v>
      </c>
      <c r="E150">
        <v>1.69</v>
      </c>
      <c r="F150" t="s">
        <v>8</v>
      </c>
      <c r="G150" s="2"/>
      <c r="H150" s="2"/>
    </row>
    <row r="151" spans="2:8" x14ac:dyDescent="0.25">
      <c r="B151" t="s">
        <v>169</v>
      </c>
      <c r="C151" t="s">
        <v>165</v>
      </c>
      <c r="D151">
        <v>2.15</v>
      </c>
      <c r="E151">
        <v>1.81</v>
      </c>
      <c r="F151" t="s">
        <v>8</v>
      </c>
      <c r="G151" s="2"/>
      <c r="H151" s="2"/>
    </row>
    <row r="152" spans="2:8" x14ac:dyDescent="0.25">
      <c r="B152" t="s">
        <v>169</v>
      </c>
      <c r="C152" t="s">
        <v>165</v>
      </c>
      <c r="D152">
        <v>2.2399999999999998</v>
      </c>
      <c r="E152">
        <v>1.66</v>
      </c>
      <c r="F152" t="s">
        <v>8</v>
      </c>
      <c r="G152" s="2"/>
      <c r="H152" s="2"/>
    </row>
    <row r="153" spans="2:8" x14ac:dyDescent="0.25">
      <c r="B153" t="s">
        <v>169</v>
      </c>
      <c r="C153" t="s">
        <v>165</v>
      </c>
      <c r="D153">
        <v>2.3899999999999997</v>
      </c>
      <c r="E153">
        <v>1.64</v>
      </c>
      <c r="F153" t="s">
        <v>8</v>
      </c>
      <c r="G153" s="2"/>
      <c r="H153" s="2"/>
    </row>
    <row r="154" spans="2:8" x14ac:dyDescent="0.25">
      <c r="B154" t="s">
        <v>169</v>
      </c>
      <c r="C154" t="s">
        <v>165</v>
      </c>
      <c r="D154">
        <v>2.12</v>
      </c>
      <c r="E154">
        <v>1.84</v>
      </c>
      <c r="F154" t="s">
        <v>8</v>
      </c>
      <c r="G154" s="2"/>
      <c r="H154" s="2"/>
    </row>
    <row r="155" spans="2:8" x14ac:dyDescent="0.25">
      <c r="B155" t="s">
        <v>169</v>
      </c>
      <c r="C155" t="s">
        <v>165</v>
      </c>
      <c r="D155">
        <v>2.2999999999999998</v>
      </c>
      <c r="E155">
        <v>1.71</v>
      </c>
      <c r="F155" t="s">
        <v>8</v>
      </c>
      <c r="G155" s="2"/>
      <c r="H155" s="2"/>
    </row>
    <row r="156" spans="2:8" x14ac:dyDescent="0.25">
      <c r="B156" t="s">
        <v>169</v>
      </c>
      <c r="C156" t="s">
        <v>165</v>
      </c>
      <c r="D156">
        <v>2.2999999999999998</v>
      </c>
      <c r="E156">
        <v>1.5999999999999999</v>
      </c>
      <c r="F156" t="s">
        <v>8</v>
      </c>
      <c r="G156" s="2"/>
      <c r="H156" s="2"/>
    </row>
    <row r="157" spans="2:8" x14ac:dyDescent="0.25">
      <c r="B157" t="s">
        <v>169</v>
      </c>
      <c r="C157" t="s">
        <v>165</v>
      </c>
      <c r="D157">
        <v>2.2199999999999998</v>
      </c>
      <c r="E157">
        <v>1.74</v>
      </c>
      <c r="F157" t="s">
        <v>8</v>
      </c>
      <c r="G157" s="2"/>
      <c r="H157" s="2"/>
    </row>
    <row r="158" spans="2:8" x14ac:dyDescent="0.25">
      <c r="B158" t="s">
        <v>169</v>
      </c>
      <c r="C158" t="s">
        <v>165</v>
      </c>
      <c r="D158">
        <v>2.23</v>
      </c>
      <c r="E158">
        <v>1.5999999999999999</v>
      </c>
      <c r="F158" t="s">
        <v>8</v>
      </c>
      <c r="G158" s="2"/>
      <c r="H158" s="2"/>
    </row>
    <row r="159" spans="2:8" x14ac:dyDescent="0.25">
      <c r="B159" t="s">
        <v>170</v>
      </c>
      <c r="C159" t="s">
        <v>165</v>
      </c>
      <c r="D159">
        <v>13</v>
      </c>
      <c r="E159">
        <v>0.96000000000000008</v>
      </c>
      <c r="F159" t="s">
        <v>8</v>
      </c>
      <c r="G159" s="2"/>
      <c r="H159" s="2"/>
    </row>
    <row r="160" spans="2:8" x14ac:dyDescent="0.25">
      <c r="B160" t="s">
        <v>170</v>
      </c>
      <c r="C160" t="s">
        <v>165</v>
      </c>
      <c r="D160">
        <v>12.58</v>
      </c>
      <c r="E160">
        <v>1</v>
      </c>
      <c r="F160" t="s">
        <v>8</v>
      </c>
      <c r="G160" s="2"/>
      <c r="H160" s="2"/>
    </row>
    <row r="161" spans="2:8" x14ac:dyDescent="0.25">
      <c r="B161" t="s">
        <v>170</v>
      </c>
      <c r="C161" t="s">
        <v>165</v>
      </c>
      <c r="D161">
        <v>11.92</v>
      </c>
      <c r="E161">
        <v>1.03</v>
      </c>
      <c r="F161" t="s">
        <v>8</v>
      </c>
      <c r="G161" s="2"/>
      <c r="H161" s="2"/>
    </row>
    <row r="162" spans="2:8" x14ac:dyDescent="0.25">
      <c r="B162" t="s">
        <v>170</v>
      </c>
      <c r="C162" t="s">
        <v>165</v>
      </c>
      <c r="D162">
        <v>11.95</v>
      </c>
      <c r="E162">
        <v>0.99</v>
      </c>
      <c r="F162" t="s">
        <v>8</v>
      </c>
      <c r="G162" s="2"/>
      <c r="H162" s="2"/>
    </row>
    <row r="163" spans="2:8" x14ac:dyDescent="0.25">
      <c r="B163" t="s">
        <v>170</v>
      </c>
      <c r="C163" t="s">
        <v>165</v>
      </c>
      <c r="D163">
        <v>14.4</v>
      </c>
      <c r="E163">
        <v>1.05</v>
      </c>
      <c r="F163" t="s">
        <v>8</v>
      </c>
      <c r="G163" s="2"/>
      <c r="H163" s="2"/>
    </row>
    <row r="164" spans="2:8" x14ac:dyDescent="0.25">
      <c r="B164" t="s">
        <v>170</v>
      </c>
      <c r="C164" t="s">
        <v>165</v>
      </c>
      <c r="D164">
        <v>12.05</v>
      </c>
      <c r="E164">
        <v>0.99</v>
      </c>
      <c r="F164" t="s">
        <v>8</v>
      </c>
      <c r="G164" s="2"/>
      <c r="H164" s="2"/>
    </row>
    <row r="165" spans="2:8" x14ac:dyDescent="0.25">
      <c r="B165" t="s">
        <v>170</v>
      </c>
      <c r="C165" t="s">
        <v>165</v>
      </c>
      <c r="D165">
        <v>13.08</v>
      </c>
      <c r="E165">
        <v>0.96</v>
      </c>
      <c r="F165" t="s">
        <v>8</v>
      </c>
      <c r="G165" s="2"/>
      <c r="H165" s="2"/>
    </row>
    <row r="166" spans="2:8" x14ac:dyDescent="0.25">
      <c r="B166" t="s">
        <v>170</v>
      </c>
      <c r="C166" t="s">
        <v>165</v>
      </c>
      <c r="D166">
        <v>14.97</v>
      </c>
      <c r="E166">
        <v>1.06</v>
      </c>
      <c r="F166" t="s">
        <v>8</v>
      </c>
      <c r="G166" s="2"/>
      <c r="H166" s="2"/>
    </row>
    <row r="167" spans="2:8" x14ac:dyDescent="0.25">
      <c r="B167" t="s">
        <v>171</v>
      </c>
      <c r="C167" t="s">
        <v>165</v>
      </c>
      <c r="D167">
        <v>2.5499999999999998</v>
      </c>
      <c r="E167">
        <v>1.62</v>
      </c>
      <c r="F167" t="s">
        <v>8</v>
      </c>
      <c r="G167" s="2"/>
      <c r="H167" s="2"/>
    </row>
    <row r="168" spans="2:8" x14ac:dyDescent="0.25">
      <c r="B168" t="s">
        <v>171</v>
      </c>
      <c r="C168" t="s">
        <v>165</v>
      </c>
      <c r="D168">
        <v>2.46</v>
      </c>
      <c r="E168">
        <v>1.48</v>
      </c>
      <c r="F168" t="s">
        <v>8</v>
      </c>
      <c r="G168" s="2"/>
      <c r="H168" s="2"/>
    </row>
    <row r="169" spans="2:8" x14ac:dyDescent="0.25">
      <c r="B169" t="s">
        <v>171</v>
      </c>
      <c r="C169" t="s">
        <v>165</v>
      </c>
      <c r="D169">
        <v>2.65</v>
      </c>
      <c r="E169">
        <v>1.6500000000000001</v>
      </c>
      <c r="F169" t="s">
        <v>8</v>
      </c>
      <c r="G169" s="2"/>
      <c r="H169" s="2"/>
    </row>
    <row r="170" spans="2:8" x14ac:dyDescent="0.25">
      <c r="B170" t="s">
        <v>171</v>
      </c>
      <c r="C170" t="s">
        <v>165</v>
      </c>
      <c r="D170">
        <v>2.63</v>
      </c>
      <c r="E170">
        <v>1.54</v>
      </c>
      <c r="F170" t="s">
        <v>8</v>
      </c>
      <c r="G170" s="2"/>
      <c r="H170" s="2"/>
    </row>
    <row r="171" spans="2:8" x14ac:dyDescent="0.25">
      <c r="B171" t="s">
        <v>171</v>
      </c>
      <c r="C171" t="s">
        <v>165</v>
      </c>
      <c r="D171">
        <v>2.46</v>
      </c>
      <c r="E171">
        <v>1.46</v>
      </c>
      <c r="F171" t="s">
        <v>8</v>
      </c>
      <c r="G171" s="2"/>
      <c r="H171" s="2"/>
    </row>
    <row r="172" spans="2:8" x14ac:dyDescent="0.25">
      <c r="B172" t="s">
        <v>171</v>
      </c>
      <c r="C172" t="s">
        <v>165</v>
      </c>
      <c r="D172">
        <v>2.5300000000000002</v>
      </c>
      <c r="E172">
        <v>1.56</v>
      </c>
      <c r="F172" t="s">
        <v>8</v>
      </c>
      <c r="G172" s="2"/>
      <c r="H172" s="2"/>
    </row>
    <row r="173" spans="2:8" x14ac:dyDescent="0.25">
      <c r="B173" t="s">
        <v>171</v>
      </c>
      <c r="C173" t="s">
        <v>165</v>
      </c>
      <c r="D173">
        <v>2.62</v>
      </c>
      <c r="E173">
        <v>1.6</v>
      </c>
      <c r="F173" t="s">
        <v>8</v>
      </c>
      <c r="G173" s="2"/>
      <c r="H173" s="2"/>
    </row>
    <row r="174" spans="2:8" x14ac:dyDescent="0.25">
      <c r="B174" t="s">
        <v>171</v>
      </c>
      <c r="C174" t="s">
        <v>165</v>
      </c>
      <c r="D174">
        <v>2.5900000000000003</v>
      </c>
      <c r="E174">
        <v>1.54</v>
      </c>
      <c r="F174" t="s">
        <v>8</v>
      </c>
      <c r="G174" s="2"/>
      <c r="H174" s="2"/>
    </row>
    <row r="175" spans="2:8" x14ac:dyDescent="0.25">
      <c r="B175" t="s">
        <v>171</v>
      </c>
      <c r="C175" t="s">
        <v>165</v>
      </c>
      <c r="D175">
        <v>2.57</v>
      </c>
      <c r="E175">
        <v>1.52</v>
      </c>
      <c r="F175" t="s">
        <v>8</v>
      </c>
      <c r="G175" s="2"/>
      <c r="H175" s="2"/>
    </row>
    <row r="176" spans="2:8" x14ac:dyDescent="0.25">
      <c r="B176" t="s">
        <v>171</v>
      </c>
      <c r="C176" t="s">
        <v>165</v>
      </c>
      <c r="D176">
        <v>2.4500000000000002</v>
      </c>
      <c r="E176">
        <v>1.49</v>
      </c>
      <c r="F176" t="s">
        <v>8</v>
      </c>
      <c r="G176" s="2"/>
      <c r="H176" s="2"/>
    </row>
    <row r="177" spans="2:8" x14ac:dyDescent="0.25">
      <c r="B177" t="s">
        <v>171</v>
      </c>
      <c r="C177" t="s">
        <v>165</v>
      </c>
      <c r="D177">
        <v>2.66</v>
      </c>
      <c r="E177">
        <v>1.6</v>
      </c>
      <c r="F177" t="s">
        <v>8</v>
      </c>
      <c r="G177" s="2"/>
      <c r="H177" s="2"/>
    </row>
    <row r="178" spans="2:8" x14ac:dyDescent="0.25">
      <c r="B178" t="s">
        <v>171</v>
      </c>
      <c r="C178" t="s">
        <v>165</v>
      </c>
      <c r="D178">
        <v>2.5100000000000002</v>
      </c>
      <c r="E178">
        <v>1.47</v>
      </c>
      <c r="F178" t="s">
        <v>8</v>
      </c>
      <c r="G178" s="2"/>
      <c r="H178" s="2"/>
    </row>
    <row r="179" spans="2:8" x14ac:dyDescent="0.25">
      <c r="B179" t="s">
        <v>172</v>
      </c>
      <c r="C179" t="s">
        <v>165</v>
      </c>
      <c r="D179">
        <v>3.99</v>
      </c>
      <c r="E179">
        <v>1.34</v>
      </c>
      <c r="F179" t="s">
        <v>8</v>
      </c>
      <c r="G179" s="2"/>
      <c r="H179" s="2"/>
    </row>
    <row r="180" spans="2:8" x14ac:dyDescent="0.25">
      <c r="B180" t="s">
        <v>172</v>
      </c>
      <c r="C180" t="s">
        <v>165</v>
      </c>
      <c r="D180">
        <v>3.89</v>
      </c>
      <c r="E180">
        <v>1.3</v>
      </c>
      <c r="F180" t="s">
        <v>8</v>
      </c>
      <c r="G180" s="2"/>
      <c r="H180" s="2"/>
    </row>
    <row r="181" spans="2:8" x14ac:dyDescent="0.25">
      <c r="B181" t="s">
        <v>172</v>
      </c>
      <c r="C181" t="s">
        <v>165</v>
      </c>
      <c r="D181">
        <v>3.8899999999999997</v>
      </c>
      <c r="E181">
        <v>1.3800000000000001</v>
      </c>
      <c r="F181" t="s">
        <v>8</v>
      </c>
      <c r="G181" s="2"/>
      <c r="H181" s="2"/>
    </row>
    <row r="182" spans="2:8" x14ac:dyDescent="0.25">
      <c r="B182" t="s">
        <v>172</v>
      </c>
      <c r="C182" t="s">
        <v>165</v>
      </c>
      <c r="D182">
        <v>3.84</v>
      </c>
      <c r="E182">
        <v>1.27</v>
      </c>
      <c r="F182" t="s">
        <v>8</v>
      </c>
      <c r="G182" s="2"/>
      <c r="H182" s="2"/>
    </row>
    <row r="183" spans="2:8" x14ac:dyDescent="0.25">
      <c r="B183" t="s">
        <v>172</v>
      </c>
      <c r="C183" t="s">
        <v>165</v>
      </c>
      <c r="D183">
        <v>3.73</v>
      </c>
      <c r="E183">
        <v>1.29</v>
      </c>
      <c r="F183" t="s">
        <v>8</v>
      </c>
      <c r="G183" s="2"/>
      <c r="H183" s="2"/>
    </row>
    <row r="184" spans="2:8" x14ac:dyDescent="0.25">
      <c r="B184" t="s">
        <v>172</v>
      </c>
      <c r="C184" t="s">
        <v>165</v>
      </c>
      <c r="D184">
        <v>3.8000000000000003</v>
      </c>
      <c r="E184">
        <v>1.28</v>
      </c>
      <c r="F184" t="s">
        <v>8</v>
      </c>
      <c r="G184" s="2"/>
      <c r="H184" s="2"/>
    </row>
    <row r="185" spans="2:8" x14ac:dyDescent="0.25">
      <c r="B185" t="s">
        <v>172</v>
      </c>
      <c r="C185" t="s">
        <v>165</v>
      </c>
      <c r="D185">
        <v>3.8899999999999997</v>
      </c>
      <c r="E185">
        <v>1.35</v>
      </c>
      <c r="F185" t="s">
        <v>8</v>
      </c>
      <c r="G185" s="2"/>
      <c r="H185" s="2"/>
    </row>
    <row r="186" spans="2:8" x14ac:dyDescent="0.25">
      <c r="B186" t="s">
        <v>172</v>
      </c>
      <c r="C186" t="s">
        <v>165</v>
      </c>
      <c r="D186">
        <v>3.75</v>
      </c>
      <c r="E186">
        <v>1.28</v>
      </c>
      <c r="F186" t="s">
        <v>8</v>
      </c>
      <c r="G186" s="2"/>
      <c r="H186" s="2"/>
    </row>
    <row r="187" spans="2:8" x14ac:dyDescent="0.25">
      <c r="B187" t="s">
        <v>172</v>
      </c>
      <c r="C187" t="s">
        <v>165</v>
      </c>
      <c r="D187">
        <v>3.78</v>
      </c>
      <c r="E187">
        <v>1.32</v>
      </c>
      <c r="F187" t="s">
        <v>8</v>
      </c>
      <c r="G187" s="2"/>
      <c r="H187" s="2"/>
    </row>
    <row r="188" spans="2:8" x14ac:dyDescent="0.25">
      <c r="B188" t="s">
        <v>172</v>
      </c>
      <c r="C188" t="s">
        <v>165</v>
      </c>
      <c r="D188">
        <v>3.9299999999999997</v>
      </c>
      <c r="E188">
        <v>1.19</v>
      </c>
      <c r="F188" t="s">
        <v>8</v>
      </c>
      <c r="G188" s="2"/>
      <c r="H188" s="2"/>
    </row>
    <row r="189" spans="2:8" x14ac:dyDescent="0.25">
      <c r="B189" t="s">
        <v>172</v>
      </c>
      <c r="C189" t="s">
        <v>165</v>
      </c>
      <c r="D189">
        <v>3.66</v>
      </c>
      <c r="E189">
        <v>1.36</v>
      </c>
      <c r="F189" t="s">
        <v>8</v>
      </c>
      <c r="G189" s="2"/>
      <c r="H189" s="2"/>
    </row>
    <row r="190" spans="2:8" x14ac:dyDescent="0.25">
      <c r="B190" t="s">
        <v>172</v>
      </c>
      <c r="C190" t="s">
        <v>165</v>
      </c>
      <c r="D190">
        <v>3.8099999999999996</v>
      </c>
      <c r="E190">
        <v>1.21</v>
      </c>
      <c r="F190" t="s">
        <v>8</v>
      </c>
      <c r="G190" s="2"/>
      <c r="H190" s="2"/>
    </row>
    <row r="191" spans="2:8" x14ac:dyDescent="0.25">
      <c r="B191" t="s">
        <v>173</v>
      </c>
      <c r="C191" t="s">
        <v>165</v>
      </c>
      <c r="D191">
        <v>2.14</v>
      </c>
      <c r="E191">
        <v>1.78</v>
      </c>
      <c r="F191" t="s">
        <v>8</v>
      </c>
      <c r="G191" s="2"/>
      <c r="H191" s="2"/>
    </row>
    <row r="192" spans="2:8" x14ac:dyDescent="0.25">
      <c r="B192" t="s">
        <v>173</v>
      </c>
      <c r="C192" t="s">
        <v>165</v>
      </c>
      <c r="D192">
        <v>2.17</v>
      </c>
      <c r="E192">
        <v>1.64</v>
      </c>
      <c r="F192" t="s">
        <v>8</v>
      </c>
      <c r="G192" s="2"/>
      <c r="H192" s="2"/>
    </row>
    <row r="193" spans="2:8" x14ac:dyDescent="0.25">
      <c r="B193" t="s">
        <v>173</v>
      </c>
      <c r="C193" t="s">
        <v>165</v>
      </c>
      <c r="D193">
        <v>2.2600000000000002</v>
      </c>
      <c r="E193">
        <v>1.69</v>
      </c>
      <c r="F193" t="s">
        <v>8</v>
      </c>
      <c r="G193" s="2"/>
      <c r="H193" s="2"/>
    </row>
    <row r="194" spans="2:8" x14ac:dyDescent="0.25">
      <c r="B194" t="s">
        <v>173</v>
      </c>
      <c r="C194" t="s">
        <v>165</v>
      </c>
      <c r="D194">
        <v>2.31</v>
      </c>
      <c r="E194">
        <v>1.5899999999999999</v>
      </c>
      <c r="F194" t="s">
        <v>8</v>
      </c>
      <c r="G194" s="2"/>
      <c r="H194" s="2"/>
    </row>
    <row r="195" spans="2:8" x14ac:dyDescent="0.25">
      <c r="B195" t="s">
        <v>173</v>
      </c>
      <c r="C195" t="s">
        <v>165</v>
      </c>
      <c r="D195">
        <v>2.14</v>
      </c>
      <c r="E195">
        <v>1.78</v>
      </c>
      <c r="F195" t="s">
        <v>8</v>
      </c>
      <c r="G195" s="2"/>
      <c r="H195" s="2"/>
    </row>
    <row r="196" spans="2:8" x14ac:dyDescent="0.25">
      <c r="B196" t="s">
        <v>173</v>
      </c>
      <c r="C196" t="s">
        <v>165</v>
      </c>
      <c r="D196">
        <v>2.1500000000000004</v>
      </c>
      <c r="E196">
        <v>1.76</v>
      </c>
      <c r="F196" t="s">
        <v>8</v>
      </c>
      <c r="G196" s="2"/>
      <c r="H196" s="2"/>
    </row>
    <row r="197" spans="2:8" x14ac:dyDescent="0.25">
      <c r="B197" t="s">
        <v>173</v>
      </c>
      <c r="C197" t="s">
        <v>165</v>
      </c>
      <c r="D197">
        <v>2.3000000000000003</v>
      </c>
      <c r="E197">
        <v>1.66</v>
      </c>
      <c r="F197" t="s">
        <v>8</v>
      </c>
      <c r="G197" s="2"/>
      <c r="H197" s="2"/>
    </row>
    <row r="198" spans="2:8" x14ac:dyDescent="0.25">
      <c r="B198" t="s">
        <v>173</v>
      </c>
      <c r="C198" t="s">
        <v>165</v>
      </c>
      <c r="D198">
        <v>2.02</v>
      </c>
      <c r="E198">
        <v>1.72</v>
      </c>
      <c r="F198" t="s">
        <v>8</v>
      </c>
      <c r="G198" s="2"/>
      <c r="H198" s="2"/>
    </row>
    <row r="199" spans="2:8" x14ac:dyDescent="0.25">
      <c r="B199" t="s">
        <v>173</v>
      </c>
      <c r="C199" t="s">
        <v>165</v>
      </c>
      <c r="D199">
        <v>2.23</v>
      </c>
      <c r="E199">
        <v>1.69</v>
      </c>
      <c r="F199" t="s">
        <v>8</v>
      </c>
      <c r="G199" s="2"/>
      <c r="H199" s="2"/>
    </row>
    <row r="200" spans="2:8" x14ac:dyDescent="0.25">
      <c r="B200" t="s">
        <v>173</v>
      </c>
      <c r="C200" t="s">
        <v>165</v>
      </c>
      <c r="D200">
        <v>2.11</v>
      </c>
      <c r="E200">
        <v>1.69</v>
      </c>
      <c r="F200" t="s">
        <v>8</v>
      </c>
      <c r="G200" s="2"/>
      <c r="H200" s="2"/>
    </row>
    <row r="201" spans="2:8" x14ac:dyDescent="0.25">
      <c r="B201" t="s">
        <v>173</v>
      </c>
      <c r="C201" t="s">
        <v>165</v>
      </c>
      <c r="D201">
        <v>2.27</v>
      </c>
      <c r="E201">
        <v>1.64</v>
      </c>
      <c r="F201" t="s">
        <v>8</v>
      </c>
      <c r="G201" s="2"/>
      <c r="H201" s="2"/>
    </row>
    <row r="202" spans="2:8" x14ac:dyDescent="0.25">
      <c r="B202" t="s">
        <v>173</v>
      </c>
      <c r="C202" t="s">
        <v>165</v>
      </c>
      <c r="D202">
        <v>2.2200000000000002</v>
      </c>
      <c r="E202">
        <v>1.6199999999999999</v>
      </c>
      <c r="F202" t="s">
        <v>8</v>
      </c>
      <c r="G202" s="2"/>
      <c r="H202" s="2"/>
    </row>
    <row r="203" spans="2:8" x14ac:dyDescent="0.25">
      <c r="B203" t="s">
        <v>295</v>
      </c>
      <c r="C203" t="s">
        <v>165</v>
      </c>
      <c r="D203">
        <v>1</v>
      </c>
      <c r="E203">
        <v>41</v>
      </c>
      <c r="F203" t="s">
        <v>8</v>
      </c>
      <c r="G203" s="2"/>
      <c r="H203" s="2"/>
    </row>
    <row r="204" spans="2:8" x14ac:dyDescent="0.25">
      <c r="B204" t="s">
        <v>298</v>
      </c>
      <c r="C204" t="s">
        <v>165</v>
      </c>
      <c r="D204">
        <v>1.0999999999999999</v>
      </c>
      <c r="E204">
        <v>5.18</v>
      </c>
      <c r="F204" t="s">
        <v>8</v>
      </c>
      <c r="G204" s="2"/>
      <c r="H204" s="2"/>
    </row>
    <row r="205" spans="2:8" x14ac:dyDescent="0.25">
      <c r="B205" t="s">
        <v>298</v>
      </c>
      <c r="C205" t="s">
        <v>165</v>
      </c>
      <c r="D205">
        <v>1.0999999999999999</v>
      </c>
      <c r="E205">
        <v>5.39</v>
      </c>
      <c r="F205" t="s">
        <v>8</v>
      </c>
      <c r="G205" s="2"/>
      <c r="H205" s="2"/>
    </row>
    <row r="206" spans="2:8" x14ac:dyDescent="0.25">
      <c r="B206" t="s">
        <v>298</v>
      </c>
      <c r="C206" t="s">
        <v>165</v>
      </c>
      <c r="D206">
        <v>1.1099999999999999</v>
      </c>
      <c r="E206">
        <v>5.04</v>
      </c>
      <c r="F206" t="s">
        <v>8</v>
      </c>
      <c r="G206" s="2"/>
      <c r="H206" s="2"/>
    </row>
    <row r="207" spans="2:8" x14ac:dyDescent="0.25">
      <c r="B207" t="s">
        <v>298</v>
      </c>
      <c r="C207" t="s">
        <v>165</v>
      </c>
      <c r="D207">
        <v>1.19</v>
      </c>
      <c r="E207">
        <v>5.16</v>
      </c>
      <c r="F207" t="s">
        <v>8</v>
      </c>
      <c r="G207" s="2"/>
      <c r="H207" s="2"/>
    </row>
    <row r="208" spans="2:8" x14ac:dyDescent="0.25">
      <c r="B208" t="s">
        <v>298</v>
      </c>
      <c r="C208" t="s">
        <v>165</v>
      </c>
      <c r="D208">
        <v>1.17</v>
      </c>
      <c r="E208">
        <v>5.05</v>
      </c>
      <c r="F208" t="s">
        <v>8</v>
      </c>
      <c r="G208" s="2"/>
      <c r="H208" s="2"/>
    </row>
    <row r="209" spans="2:8" x14ac:dyDescent="0.25">
      <c r="B209" t="s">
        <v>298</v>
      </c>
      <c r="C209" t="s">
        <v>165</v>
      </c>
      <c r="D209">
        <v>1.1099999999999999</v>
      </c>
      <c r="E209">
        <v>5.2</v>
      </c>
      <c r="F209" t="s">
        <v>8</v>
      </c>
      <c r="G209" s="2"/>
      <c r="H209" s="2"/>
    </row>
    <row r="210" spans="2:8" x14ac:dyDescent="0.25">
      <c r="B210" t="s">
        <v>298</v>
      </c>
      <c r="C210" t="s">
        <v>165</v>
      </c>
      <c r="D210">
        <v>1.1599999999999999</v>
      </c>
      <c r="E210">
        <v>4.9400000000000004</v>
      </c>
      <c r="F210" t="s">
        <v>8</v>
      </c>
      <c r="G210" s="2"/>
      <c r="H210" s="2"/>
    </row>
    <row r="211" spans="2:8" x14ac:dyDescent="0.25">
      <c r="B211" t="s">
        <v>298</v>
      </c>
      <c r="C211" t="s">
        <v>165</v>
      </c>
      <c r="D211">
        <v>1.22</v>
      </c>
      <c r="E211">
        <v>5.2</v>
      </c>
      <c r="F211" t="s">
        <v>8</v>
      </c>
      <c r="G211" s="2"/>
      <c r="H211" s="2"/>
    </row>
    <row r="212" spans="2:8" x14ac:dyDescent="0.25">
      <c r="B212" t="s">
        <v>298</v>
      </c>
      <c r="C212" t="s">
        <v>165</v>
      </c>
      <c r="D212">
        <v>1.19</v>
      </c>
      <c r="E212">
        <v>5.2</v>
      </c>
      <c r="F212" t="s">
        <v>8</v>
      </c>
      <c r="G212" s="2"/>
      <c r="H212" s="2"/>
    </row>
    <row r="213" spans="2:8" x14ac:dyDescent="0.25">
      <c r="B213" t="s">
        <v>298</v>
      </c>
      <c r="C213" t="s">
        <v>165</v>
      </c>
      <c r="D213">
        <v>1.23</v>
      </c>
      <c r="E213">
        <v>5.33</v>
      </c>
      <c r="F213" t="s">
        <v>8</v>
      </c>
      <c r="G213" s="2"/>
      <c r="H213" s="2"/>
    </row>
    <row r="214" spans="2:8" x14ac:dyDescent="0.25">
      <c r="B214" t="s">
        <v>298</v>
      </c>
      <c r="C214" t="s">
        <v>165</v>
      </c>
      <c r="D214">
        <v>1.1099999999999999</v>
      </c>
      <c r="E214">
        <v>5</v>
      </c>
      <c r="F214" t="s">
        <v>8</v>
      </c>
      <c r="G214" s="2"/>
      <c r="H214" s="2"/>
    </row>
    <row r="215" spans="2:8" x14ac:dyDescent="0.25">
      <c r="B215" t="s">
        <v>298</v>
      </c>
      <c r="C215" t="s">
        <v>165</v>
      </c>
      <c r="D215">
        <v>1.25</v>
      </c>
      <c r="E215">
        <v>5.04</v>
      </c>
      <c r="F215" t="s">
        <v>8</v>
      </c>
      <c r="G215" s="2"/>
      <c r="H215" s="2"/>
    </row>
    <row r="216" spans="2:8" x14ac:dyDescent="0.25">
      <c r="B216" t="s">
        <v>299</v>
      </c>
      <c r="C216" t="s">
        <v>165</v>
      </c>
      <c r="D216">
        <v>1.02</v>
      </c>
      <c r="E216">
        <v>9.33</v>
      </c>
      <c r="F216" t="s">
        <v>8</v>
      </c>
      <c r="G216" s="2"/>
      <c r="H216" s="2"/>
    </row>
    <row r="217" spans="2:8" x14ac:dyDescent="0.25">
      <c r="B217" t="s">
        <v>299</v>
      </c>
      <c r="C217" t="s">
        <v>165</v>
      </c>
      <c r="D217">
        <v>1.1100000000000001</v>
      </c>
      <c r="E217">
        <v>10.47</v>
      </c>
      <c r="F217" t="s">
        <v>8</v>
      </c>
      <c r="G217" s="2"/>
      <c r="H217" s="2"/>
    </row>
    <row r="218" spans="2:8" x14ac:dyDescent="0.25">
      <c r="B218" t="s">
        <v>299</v>
      </c>
      <c r="C218" t="s">
        <v>165</v>
      </c>
      <c r="D218">
        <v>0.98000000000000009</v>
      </c>
      <c r="E218">
        <v>7.95</v>
      </c>
      <c r="F218" t="s">
        <v>8</v>
      </c>
      <c r="G218" s="2"/>
      <c r="H218" s="2"/>
    </row>
    <row r="219" spans="2:8" x14ac:dyDescent="0.25">
      <c r="B219" t="s">
        <v>299</v>
      </c>
      <c r="C219" t="s">
        <v>165</v>
      </c>
      <c r="D219">
        <v>0.98000000000000009</v>
      </c>
      <c r="E219">
        <v>9.08</v>
      </c>
      <c r="F219" t="s">
        <v>8</v>
      </c>
      <c r="G219" s="2"/>
      <c r="H219" s="2"/>
    </row>
    <row r="220" spans="2:8" x14ac:dyDescent="0.25">
      <c r="B220" t="s">
        <v>299</v>
      </c>
      <c r="C220" t="s">
        <v>165</v>
      </c>
      <c r="D220">
        <v>1.1400000000000001</v>
      </c>
      <c r="E220">
        <v>8.9</v>
      </c>
      <c r="F220" t="s">
        <v>8</v>
      </c>
      <c r="G220" s="2"/>
      <c r="H220" s="2"/>
    </row>
    <row r="221" spans="2:8" x14ac:dyDescent="0.25">
      <c r="B221" t="s">
        <v>299</v>
      </c>
      <c r="C221" t="s">
        <v>165</v>
      </c>
      <c r="D221">
        <v>1.03</v>
      </c>
      <c r="E221">
        <v>9.3000000000000007</v>
      </c>
      <c r="F221" t="s">
        <v>8</v>
      </c>
      <c r="G221" s="2"/>
      <c r="H221" s="2"/>
    </row>
    <row r="222" spans="2:8" x14ac:dyDescent="0.25">
      <c r="B222" t="s">
        <v>299</v>
      </c>
      <c r="C222" t="s">
        <v>165</v>
      </c>
      <c r="D222">
        <v>1.1100000000000001</v>
      </c>
      <c r="E222">
        <v>10.52</v>
      </c>
      <c r="F222" t="s">
        <v>8</v>
      </c>
      <c r="G222" s="2"/>
      <c r="H222" s="2"/>
    </row>
    <row r="223" spans="2:8" x14ac:dyDescent="0.25">
      <c r="B223" t="s">
        <v>299</v>
      </c>
      <c r="C223" t="s">
        <v>165</v>
      </c>
      <c r="D223">
        <v>1.1200000000000001</v>
      </c>
      <c r="E223">
        <v>9.2199999999999989</v>
      </c>
      <c r="F223" t="s">
        <v>8</v>
      </c>
      <c r="G223" s="2"/>
      <c r="H223" s="2"/>
    </row>
    <row r="224" spans="2:8" x14ac:dyDescent="0.25">
      <c r="B224" t="s">
        <v>299</v>
      </c>
      <c r="C224" t="s">
        <v>165</v>
      </c>
      <c r="D224">
        <v>1.1600000000000001</v>
      </c>
      <c r="E224">
        <v>9.02</v>
      </c>
      <c r="F224" t="s">
        <v>8</v>
      </c>
      <c r="G224" s="2"/>
      <c r="H224" s="2"/>
    </row>
    <row r="225" spans="2:8" x14ac:dyDescent="0.25">
      <c r="B225" t="s">
        <v>299</v>
      </c>
      <c r="C225" t="s">
        <v>165</v>
      </c>
      <c r="D225">
        <v>1.02</v>
      </c>
      <c r="E225">
        <v>9.4700000000000006</v>
      </c>
      <c r="F225" t="s">
        <v>8</v>
      </c>
      <c r="G225" s="2"/>
      <c r="H225" s="2"/>
    </row>
    <row r="226" spans="2:8" x14ac:dyDescent="0.25">
      <c r="B226" t="s">
        <v>299</v>
      </c>
      <c r="C226" t="s">
        <v>165</v>
      </c>
      <c r="D226">
        <v>0.99</v>
      </c>
      <c r="E226">
        <v>9.52</v>
      </c>
      <c r="F226" t="s">
        <v>8</v>
      </c>
      <c r="G226" s="2"/>
      <c r="H226" s="2"/>
    </row>
    <row r="227" spans="2:8" x14ac:dyDescent="0.25">
      <c r="B227" t="s">
        <v>300</v>
      </c>
      <c r="C227" t="s">
        <v>178</v>
      </c>
      <c r="D227">
        <v>3.75</v>
      </c>
      <c r="E227">
        <v>1.32</v>
      </c>
      <c r="F227" t="s">
        <v>8</v>
      </c>
      <c r="G227" s="2"/>
      <c r="H227" s="2"/>
    </row>
    <row r="228" spans="2:8" x14ac:dyDescent="0.25">
      <c r="B228" t="s">
        <v>300</v>
      </c>
      <c r="C228" t="s">
        <v>178</v>
      </c>
      <c r="D228">
        <v>3.67</v>
      </c>
      <c r="E228">
        <v>1.29</v>
      </c>
      <c r="F228" t="s">
        <v>8</v>
      </c>
      <c r="G228" s="2"/>
      <c r="H228" s="2"/>
    </row>
    <row r="229" spans="2:8" x14ac:dyDescent="0.25">
      <c r="B229" t="s">
        <v>300</v>
      </c>
      <c r="C229" t="s">
        <v>178</v>
      </c>
      <c r="D229">
        <v>3.25</v>
      </c>
      <c r="E229">
        <v>1.33</v>
      </c>
      <c r="F229" t="s">
        <v>8</v>
      </c>
      <c r="G229" s="2"/>
      <c r="H229" s="2"/>
    </row>
    <row r="230" spans="2:8" x14ac:dyDescent="0.25">
      <c r="B230" t="s">
        <v>300</v>
      </c>
      <c r="C230" t="s">
        <v>178</v>
      </c>
      <c r="D230">
        <v>3.47</v>
      </c>
      <c r="E230">
        <v>1.4200000000000002</v>
      </c>
      <c r="F230" t="s">
        <v>8</v>
      </c>
      <c r="G230" s="2"/>
      <c r="H230" s="2"/>
    </row>
    <row r="231" spans="2:8" x14ac:dyDescent="0.25">
      <c r="B231" t="s">
        <v>300</v>
      </c>
      <c r="C231" t="s">
        <v>178</v>
      </c>
      <c r="D231">
        <v>3.48</v>
      </c>
      <c r="E231">
        <v>1.3</v>
      </c>
      <c r="F231" t="s">
        <v>8</v>
      </c>
      <c r="G231" s="2"/>
      <c r="H231" s="2"/>
    </row>
    <row r="232" spans="2:8" x14ac:dyDescent="0.25">
      <c r="B232" t="s">
        <v>300</v>
      </c>
      <c r="C232" t="s">
        <v>178</v>
      </c>
      <c r="D232">
        <v>3.37</v>
      </c>
      <c r="E232">
        <v>1.24</v>
      </c>
      <c r="F232" t="s">
        <v>8</v>
      </c>
      <c r="G232" s="2"/>
      <c r="H232" s="2"/>
    </row>
    <row r="233" spans="2:8" x14ac:dyDescent="0.25">
      <c r="B233" t="s">
        <v>300</v>
      </c>
      <c r="C233" t="s">
        <v>178</v>
      </c>
      <c r="D233">
        <v>3.39</v>
      </c>
      <c r="E233">
        <v>1.27</v>
      </c>
      <c r="F233" t="s">
        <v>8</v>
      </c>
      <c r="G233" s="2"/>
      <c r="H233" s="2"/>
    </row>
    <row r="234" spans="2:8" x14ac:dyDescent="0.25">
      <c r="B234" t="s">
        <v>300</v>
      </c>
      <c r="C234" t="s">
        <v>178</v>
      </c>
      <c r="D234">
        <v>3.5</v>
      </c>
      <c r="E234">
        <v>1.36</v>
      </c>
      <c r="F234" t="s">
        <v>8</v>
      </c>
      <c r="G234" s="2"/>
      <c r="H234" s="2"/>
    </row>
    <row r="235" spans="2:8" x14ac:dyDescent="0.25">
      <c r="B235" t="s">
        <v>300</v>
      </c>
      <c r="C235" t="s">
        <v>178</v>
      </c>
      <c r="D235">
        <v>3.38</v>
      </c>
      <c r="E235">
        <v>1.29</v>
      </c>
      <c r="F235" t="s">
        <v>8</v>
      </c>
      <c r="G235" s="2"/>
      <c r="H235" s="2"/>
    </row>
    <row r="236" spans="2:8" x14ac:dyDescent="0.25">
      <c r="B236" t="s">
        <v>300</v>
      </c>
      <c r="C236" t="s">
        <v>178</v>
      </c>
      <c r="D236">
        <v>3.55</v>
      </c>
      <c r="E236">
        <v>1.29</v>
      </c>
      <c r="F236" t="s">
        <v>8</v>
      </c>
      <c r="G236" s="2"/>
      <c r="H236" s="2"/>
    </row>
    <row r="237" spans="2:8" x14ac:dyDescent="0.25">
      <c r="B237" t="s">
        <v>300</v>
      </c>
      <c r="C237" t="s">
        <v>178</v>
      </c>
      <c r="D237">
        <v>3.46</v>
      </c>
      <c r="E237">
        <v>1.35</v>
      </c>
      <c r="F237" t="s">
        <v>8</v>
      </c>
      <c r="G237" s="2"/>
      <c r="H237" s="2"/>
    </row>
    <row r="238" spans="2:8" x14ac:dyDescent="0.25">
      <c r="B238" t="s">
        <v>179</v>
      </c>
      <c r="C238" t="s">
        <v>178</v>
      </c>
      <c r="D238">
        <v>0.95000000000000007</v>
      </c>
      <c r="E238">
        <v>15.93</v>
      </c>
      <c r="F238" t="s">
        <v>8</v>
      </c>
      <c r="G238" s="2"/>
      <c r="H238" s="2"/>
    </row>
    <row r="239" spans="2:8" x14ac:dyDescent="0.25">
      <c r="B239" t="s">
        <v>179</v>
      </c>
      <c r="C239" t="s">
        <v>178</v>
      </c>
      <c r="D239">
        <v>1.02</v>
      </c>
      <c r="E239">
        <v>14.94</v>
      </c>
      <c r="F239" t="s">
        <v>8</v>
      </c>
      <c r="G239" s="2"/>
      <c r="H239" s="2"/>
    </row>
    <row r="240" spans="2:8" x14ac:dyDescent="0.25">
      <c r="B240" t="s">
        <v>179</v>
      </c>
      <c r="C240" t="s">
        <v>178</v>
      </c>
      <c r="D240">
        <v>0.95</v>
      </c>
      <c r="E240">
        <v>16.399999999999999</v>
      </c>
      <c r="F240" t="s">
        <v>8</v>
      </c>
      <c r="G240" s="2"/>
      <c r="H240" s="2"/>
    </row>
    <row r="241" spans="2:8" x14ac:dyDescent="0.25">
      <c r="B241" t="s">
        <v>179</v>
      </c>
      <c r="C241" t="s">
        <v>178</v>
      </c>
      <c r="D241">
        <v>1.05</v>
      </c>
      <c r="E241">
        <v>19.059999999999999</v>
      </c>
      <c r="F241" t="s">
        <v>8</v>
      </c>
      <c r="G241" s="2"/>
      <c r="H241" s="2"/>
    </row>
    <row r="242" spans="2:8" x14ac:dyDescent="0.25">
      <c r="B242" t="s">
        <v>179</v>
      </c>
      <c r="C242" t="s">
        <v>178</v>
      </c>
      <c r="D242">
        <v>1</v>
      </c>
      <c r="E242">
        <v>17.09</v>
      </c>
      <c r="F242" t="s">
        <v>8</v>
      </c>
      <c r="G242" s="2"/>
      <c r="H242" s="2"/>
    </row>
    <row r="243" spans="2:8" x14ac:dyDescent="0.25">
      <c r="B243" t="s">
        <v>179</v>
      </c>
      <c r="C243" t="s">
        <v>178</v>
      </c>
      <c r="D243">
        <v>1.01</v>
      </c>
      <c r="E243">
        <v>16.93</v>
      </c>
      <c r="F243" t="s">
        <v>8</v>
      </c>
      <c r="G243" s="2"/>
      <c r="H243" s="2"/>
    </row>
    <row r="244" spans="2:8" x14ac:dyDescent="0.25">
      <c r="B244" t="s">
        <v>179</v>
      </c>
      <c r="C244" t="s">
        <v>178</v>
      </c>
      <c r="D244">
        <v>1.04</v>
      </c>
      <c r="E244">
        <v>16.96</v>
      </c>
      <c r="F244" t="s">
        <v>8</v>
      </c>
      <c r="G244" s="2"/>
      <c r="H244" s="2"/>
    </row>
    <row r="245" spans="2:8" x14ac:dyDescent="0.25">
      <c r="B245" t="s">
        <v>179</v>
      </c>
      <c r="C245" t="s">
        <v>178</v>
      </c>
      <c r="D245">
        <v>1.08</v>
      </c>
      <c r="E245">
        <v>13.06</v>
      </c>
      <c r="F245" t="s">
        <v>8</v>
      </c>
      <c r="G245" s="2"/>
      <c r="H245" s="2"/>
    </row>
    <row r="246" spans="2:8" x14ac:dyDescent="0.25">
      <c r="B246" t="s">
        <v>301</v>
      </c>
      <c r="C246" t="s">
        <v>181</v>
      </c>
      <c r="D246">
        <v>3.73</v>
      </c>
      <c r="E246">
        <v>1.3800000000000001</v>
      </c>
      <c r="F246" t="s">
        <v>8</v>
      </c>
      <c r="G246" s="2"/>
      <c r="H246" s="2"/>
    </row>
    <row r="247" spans="2:8" x14ac:dyDescent="0.25">
      <c r="B247" t="s">
        <v>301</v>
      </c>
      <c r="C247" t="s">
        <v>181</v>
      </c>
      <c r="D247">
        <v>3.66</v>
      </c>
      <c r="E247">
        <v>1.24</v>
      </c>
      <c r="F247" t="s">
        <v>8</v>
      </c>
      <c r="G247" s="2"/>
      <c r="H247" s="2"/>
    </row>
    <row r="248" spans="2:8" x14ac:dyDescent="0.25">
      <c r="B248" t="s">
        <v>301</v>
      </c>
      <c r="C248" t="s">
        <v>181</v>
      </c>
      <c r="D248">
        <v>4.1899999999999995</v>
      </c>
      <c r="E248">
        <v>1.26</v>
      </c>
      <c r="F248" t="s">
        <v>8</v>
      </c>
      <c r="G248" s="2"/>
      <c r="H248" s="2"/>
    </row>
    <row r="249" spans="2:8" x14ac:dyDescent="0.25">
      <c r="B249" t="s">
        <v>301</v>
      </c>
      <c r="C249" t="s">
        <v>181</v>
      </c>
      <c r="D249">
        <v>3.76</v>
      </c>
      <c r="E249">
        <v>1.36</v>
      </c>
      <c r="F249" t="s">
        <v>8</v>
      </c>
      <c r="G249" s="2"/>
      <c r="H249" s="2"/>
    </row>
    <row r="250" spans="2:8" x14ac:dyDescent="0.25">
      <c r="B250" t="s">
        <v>301</v>
      </c>
      <c r="C250" t="s">
        <v>181</v>
      </c>
      <c r="D250">
        <v>3.44</v>
      </c>
      <c r="E250">
        <v>1.29</v>
      </c>
      <c r="F250" t="s">
        <v>8</v>
      </c>
      <c r="G250" s="2"/>
      <c r="H250" s="2"/>
    </row>
    <row r="251" spans="2:8" x14ac:dyDescent="0.25">
      <c r="B251" t="s">
        <v>301</v>
      </c>
      <c r="C251" t="s">
        <v>181</v>
      </c>
      <c r="D251">
        <v>3.8699999999999997</v>
      </c>
      <c r="E251">
        <v>1.19</v>
      </c>
      <c r="F251" t="s">
        <v>8</v>
      </c>
      <c r="G251" s="2"/>
      <c r="H251" s="2"/>
    </row>
    <row r="252" spans="2:8" x14ac:dyDescent="0.25">
      <c r="B252" t="s">
        <v>301</v>
      </c>
      <c r="C252" t="s">
        <v>181</v>
      </c>
      <c r="D252">
        <v>3.72</v>
      </c>
      <c r="E252">
        <v>1.32</v>
      </c>
      <c r="F252" t="s">
        <v>8</v>
      </c>
      <c r="G252" s="2"/>
      <c r="H252" s="2"/>
    </row>
    <row r="253" spans="2:8" x14ac:dyDescent="0.25">
      <c r="B253" t="s">
        <v>301</v>
      </c>
      <c r="C253" t="s">
        <v>181</v>
      </c>
      <c r="D253">
        <v>3.44</v>
      </c>
      <c r="E253">
        <v>1.34</v>
      </c>
      <c r="F253" t="s">
        <v>8</v>
      </c>
      <c r="G253" s="2"/>
      <c r="H253" s="2"/>
    </row>
    <row r="254" spans="2:8" x14ac:dyDescent="0.25">
      <c r="B254" t="s">
        <v>301</v>
      </c>
      <c r="C254" t="s">
        <v>181</v>
      </c>
      <c r="D254">
        <v>3.79</v>
      </c>
      <c r="E254">
        <v>1.21</v>
      </c>
      <c r="F254" t="s">
        <v>8</v>
      </c>
      <c r="G254" s="2"/>
      <c r="H254" s="2"/>
    </row>
    <row r="255" spans="2:8" x14ac:dyDescent="0.25">
      <c r="B255" t="s">
        <v>301</v>
      </c>
      <c r="C255" t="s">
        <v>181</v>
      </c>
      <c r="D255">
        <v>3.64</v>
      </c>
      <c r="E255">
        <v>1.22</v>
      </c>
      <c r="F255" t="s">
        <v>8</v>
      </c>
      <c r="G255" s="2"/>
      <c r="H255" s="2"/>
    </row>
    <row r="256" spans="2:8" x14ac:dyDescent="0.25">
      <c r="B256" t="s">
        <v>301</v>
      </c>
      <c r="C256" t="s">
        <v>181</v>
      </c>
      <c r="D256">
        <v>3.68</v>
      </c>
      <c r="E256">
        <v>1.3800000000000001</v>
      </c>
      <c r="F256" t="s">
        <v>8</v>
      </c>
      <c r="G256" s="2"/>
      <c r="H256" s="2"/>
    </row>
    <row r="257" spans="2:8" x14ac:dyDescent="0.25">
      <c r="B257" t="s">
        <v>301</v>
      </c>
      <c r="C257" t="s">
        <v>181</v>
      </c>
      <c r="D257">
        <v>3.7</v>
      </c>
      <c r="E257">
        <v>1.23</v>
      </c>
      <c r="F257" t="s">
        <v>8</v>
      </c>
      <c r="G257" s="2"/>
      <c r="H257" s="2"/>
    </row>
    <row r="258" spans="2:8" x14ac:dyDescent="0.25">
      <c r="B258" t="s">
        <v>302</v>
      </c>
      <c r="C258" t="s">
        <v>181</v>
      </c>
      <c r="D258">
        <v>1.27</v>
      </c>
      <c r="E258">
        <v>4.7300000000000004</v>
      </c>
      <c r="F258" t="s">
        <v>8</v>
      </c>
      <c r="G258" s="2"/>
      <c r="H258" s="2"/>
    </row>
    <row r="259" spans="2:8" x14ac:dyDescent="0.25">
      <c r="B259" t="s">
        <v>302</v>
      </c>
      <c r="C259" t="s">
        <v>181</v>
      </c>
      <c r="D259">
        <v>1.3</v>
      </c>
      <c r="E259">
        <v>4.7300000000000004</v>
      </c>
      <c r="F259" t="s">
        <v>8</v>
      </c>
      <c r="G259" s="2"/>
      <c r="H259" s="2"/>
    </row>
    <row r="260" spans="2:8" x14ac:dyDescent="0.25">
      <c r="B260" t="s">
        <v>302</v>
      </c>
      <c r="C260" t="s">
        <v>181</v>
      </c>
      <c r="D260">
        <v>1.1099999999999999</v>
      </c>
      <c r="E260">
        <v>4.7</v>
      </c>
      <c r="F260" t="s">
        <v>8</v>
      </c>
      <c r="G260" s="2"/>
      <c r="H260" s="2"/>
    </row>
    <row r="261" spans="2:8" x14ac:dyDescent="0.25">
      <c r="B261" t="s">
        <v>302</v>
      </c>
      <c r="C261" t="s">
        <v>181</v>
      </c>
      <c r="D261">
        <v>1.1399999999999999</v>
      </c>
      <c r="E261">
        <v>4.7300000000000004</v>
      </c>
      <c r="F261" t="s">
        <v>8</v>
      </c>
      <c r="G261" s="2"/>
      <c r="H261" s="2"/>
    </row>
    <row r="262" spans="2:8" x14ac:dyDescent="0.25">
      <c r="B262" t="s">
        <v>302</v>
      </c>
      <c r="C262" t="s">
        <v>181</v>
      </c>
      <c r="D262">
        <v>1.1599999999999999</v>
      </c>
      <c r="E262">
        <v>4.5699999999999994</v>
      </c>
      <c r="F262" t="s">
        <v>8</v>
      </c>
      <c r="G262" s="2"/>
      <c r="H262" s="2"/>
    </row>
    <row r="263" spans="2:8" x14ac:dyDescent="0.25">
      <c r="B263" t="s">
        <v>302</v>
      </c>
      <c r="C263" t="s">
        <v>181</v>
      </c>
      <c r="D263">
        <v>1.1399999999999999</v>
      </c>
      <c r="E263">
        <v>4.76</v>
      </c>
      <c r="F263" t="s">
        <v>8</v>
      </c>
      <c r="G263" s="2"/>
      <c r="H263" s="2"/>
    </row>
    <row r="264" spans="2:8" x14ac:dyDescent="0.25">
      <c r="B264" t="s">
        <v>302</v>
      </c>
      <c r="C264" t="s">
        <v>181</v>
      </c>
      <c r="D264">
        <v>1.17</v>
      </c>
      <c r="E264">
        <v>4.92</v>
      </c>
      <c r="F264" t="s">
        <v>8</v>
      </c>
      <c r="G264" s="2"/>
      <c r="H264" s="2"/>
    </row>
    <row r="265" spans="2:8" x14ac:dyDescent="0.25">
      <c r="B265" t="s">
        <v>302</v>
      </c>
      <c r="C265" t="s">
        <v>181</v>
      </c>
      <c r="D265">
        <v>1.1499999999999999</v>
      </c>
      <c r="E265">
        <v>4.7300000000000004</v>
      </c>
      <c r="F265" t="s">
        <v>8</v>
      </c>
      <c r="G265" s="2"/>
      <c r="H265" s="2"/>
    </row>
    <row r="266" spans="2:8" x14ac:dyDescent="0.25">
      <c r="B266" t="s">
        <v>302</v>
      </c>
      <c r="C266" t="s">
        <v>181</v>
      </c>
      <c r="D266">
        <v>1.17</v>
      </c>
      <c r="E266">
        <v>4.84</v>
      </c>
      <c r="F266" t="s">
        <v>8</v>
      </c>
      <c r="G266" s="2"/>
      <c r="H266" s="2"/>
    </row>
    <row r="267" spans="2:8" x14ac:dyDescent="0.25">
      <c r="B267" t="s">
        <v>302</v>
      </c>
      <c r="C267" t="s">
        <v>181</v>
      </c>
      <c r="D267">
        <v>1.1499999999999999</v>
      </c>
      <c r="E267">
        <v>4.8099999999999996</v>
      </c>
      <c r="F267" t="s">
        <v>8</v>
      </c>
      <c r="G267" s="2"/>
      <c r="H267" s="2"/>
    </row>
    <row r="268" spans="2:8" x14ac:dyDescent="0.25">
      <c r="B268" t="s">
        <v>302</v>
      </c>
      <c r="C268" t="s">
        <v>181</v>
      </c>
      <c r="D268">
        <v>1.2</v>
      </c>
      <c r="E268">
        <v>4.72</v>
      </c>
      <c r="F268" t="s">
        <v>8</v>
      </c>
      <c r="G268" s="2"/>
      <c r="H268" s="2"/>
    </row>
    <row r="269" spans="2:8" x14ac:dyDescent="0.25">
      <c r="B269" t="s">
        <v>302</v>
      </c>
      <c r="C269" t="s">
        <v>181</v>
      </c>
      <c r="D269">
        <v>1.1299999999999999</v>
      </c>
      <c r="E269">
        <v>4.6400000000000006</v>
      </c>
      <c r="F269" t="s">
        <v>8</v>
      </c>
      <c r="G269" s="2"/>
      <c r="H269" s="2"/>
    </row>
    <row r="270" spans="2:8" x14ac:dyDescent="0.25">
      <c r="B270" t="s">
        <v>183</v>
      </c>
      <c r="C270" t="s">
        <v>181</v>
      </c>
      <c r="D270">
        <v>2.17</v>
      </c>
      <c r="E270">
        <v>1.72</v>
      </c>
      <c r="F270" t="s">
        <v>8</v>
      </c>
      <c r="G270" s="2"/>
      <c r="H270" s="2"/>
    </row>
    <row r="271" spans="2:8" x14ac:dyDescent="0.25">
      <c r="B271" t="s">
        <v>183</v>
      </c>
      <c r="C271" t="s">
        <v>181</v>
      </c>
      <c r="D271">
        <v>2.1300000000000003</v>
      </c>
      <c r="E271">
        <v>1.76</v>
      </c>
      <c r="F271" t="s">
        <v>8</v>
      </c>
      <c r="G271" s="2"/>
      <c r="H271" s="2"/>
    </row>
    <row r="272" spans="2:8" x14ac:dyDescent="0.25">
      <c r="B272" t="s">
        <v>183</v>
      </c>
      <c r="C272" t="s">
        <v>181</v>
      </c>
      <c r="D272">
        <v>2.2400000000000002</v>
      </c>
      <c r="E272">
        <v>1.71</v>
      </c>
      <c r="F272" t="s">
        <v>8</v>
      </c>
      <c r="G272" s="2"/>
      <c r="H272" s="2"/>
    </row>
    <row r="273" spans="2:8" x14ac:dyDescent="0.25">
      <c r="B273" t="s">
        <v>183</v>
      </c>
      <c r="C273" t="s">
        <v>181</v>
      </c>
      <c r="D273">
        <v>2.33</v>
      </c>
      <c r="E273">
        <v>1.6199999999999999</v>
      </c>
      <c r="F273" t="s">
        <v>8</v>
      </c>
      <c r="G273" s="2"/>
      <c r="H273" s="2"/>
    </row>
    <row r="274" spans="2:8" x14ac:dyDescent="0.25">
      <c r="B274" t="s">
        <v>183</v>
      </c>
      <c r="C274" t="s">
        <v>181</v>
      </c>
      <c r="D274">
        <v>2.1800000000000002</v>
      </c>
      <c r="E274">
        <v>1.6099999999999999</v>
      </c>
      <c r="F274" t="s">
        <v>8</v>
      </c>
      <c r="G274" s="2"/>
      <c r="H274" s="2"/>
    </row>
    <row r="275" spans="2:8" x14ac:dyDescent="0.25">
      <c r="B275" t="s">
        <v>183</v>
      </c>
      <c r="C275" t="s">
        <v>181</v>
      </c>
      <c r="D275">
        <v>2.12</v>
      </c>
      <c r="E275">
        <v>1.66</v>
      </c>
      <c r="F275" t="s">
        <v>8</v>
      </c>
      <c r="G275" s="2"/>
      <c r="H275" s="2"/>
    </row>
    <row r="276" spans="2:8" x14ac:dyDescent="0.25">
      <c r="B276" t="s">
        <v>183</v>
      </c>
      <c r="C276" t="s">
        <v>181</v>
      </c>
      <c r="D276">
        <v>2.1500000000000004</v>
      </c>
      <c r="E276">
        <v>1.65</v>
      </c>
      <c r="F276" t="s">
        <v>8</v>
      </c>
      <c r="G276" s="2"/>
      <c r="H276" s="2"/>
    </row>
    <row r="277" spans="2:8" x14ac:dyDescent="0.25">
      <c r="B277" t="s">
        <v>183</v>
      </c>
      <c r="C277" t="s">
        <v>181</v>
      </c>
      <c r="D277">
        <v>2.2400000000000002</v>
      </c>
      <c r="E277">
        <v>1.73</v>
      </c>
      <c r="F277" t="s">
        <v>8</v>
      </c>
      <c r="G277" s="2"/>
      <c r="H277" s="2"/>
    </row>
    <row r="278" spans="2:8" x14ac:dyDescent="0.25">
      <c r="B278" t="s">
        <v>183</v>
      </c>
      <c r="C278" t="s">
        <v>181</v>
      </c>
      <c r="D278">
        <v>2.1500000000000004</v>
      </c>
      <c r="E278">
        <v>1.75</v>
      </c>
      <c r="F278" t="s">
        <v>8</v>
      </c>
      <c r="G278" s="2"/>
      <c r="H278" s="2"/>
    </row>
    <row r="279" spans="2:8" x14ac:dyDescent="0.25">
      <c r="B279" t="s">
        <v>183</v>
      </c>
      <c r="C279" t="s">
        <v>181</v>
      </c>
      <c r="D279">
        <v>2.1800000000000002</v>
      </c>
      <c r="E279">
        <v>1.71</v>
      </c>
      <c r="F279" t="s">
        <v>8</v>
      </c>
      <c r="G279" s="2"/>
      <c r="H279" s="2"/>
    </row>
    <row r="280" spans="2:8" x14ac:dyDescent="0.25">
      <c r="B280" t="s">
        <v>183</v>
      </c>
      <c r="C280" t="s">
        <v>181</v>
      </c>
      <c r="D280">
        <v>2.06</v>
      </c>
      <c r="E280">
        <v>1.8</v>
      </c>
      <c r="F280" t="s">
        <v>8</v>
      </c>
      <c r="G280" s="2"/>
      <c r="H280" s="2"/>
    </row>
    <row r="281" spans="2:8" x14ac:dyDescent="0.25">
      <c r="B281" t="s">
        <v>183</v>
      </c>
      <c r="C281" t="s">
        <v>181</v>
      </c>
      <c r="D281">
        <v>2.29</v>
      </c>
      <c r="E281">
        <v>1.69</v>
      </c>
      <c r="F281" t="s">
        <v>8</v>
      </c>
      <c r="G281" s="2"/>
      <c r="H281" s="2"/>
    </row>
    <row r="282" spans="2:8" x14ac:dyDescent="0.25">
      <c r="B282" t="s">
        <v>184</v>
      </c>
      <c r="C282" t="s">
        <v>181</v>
      </c>
      <c r="D282">
        <v>1.3</v>
      </c>
      <c r="E282">
        <v>3.44</v>
      </c>
      <c r="F282" t="s">
        <v>8</v>
      </c>
      <c r="G282" s="2"/>
      <c r="H282" s="2"/>
    </row>
    <row r="283" spans="2:8" x14ac:dyDescent="0.25">
      <c r="B283" t="s">
        <v>184</v>
      </c>
      <c r="C283" t="s">
        <v>181</v>
      </c>
      <c r="D283">
        <v>1.3800000000000001</v>
      </c>
      <c r="E283">
        <v>3.5</v>
      </c>
      <c r="F283" t="s">
        <v>8</v>
      </c>
      <c r="G283" s="2"/>
      <c r="H283" s="2"/>
    </row>
    <row r="284" spans="2:8" x14ac:dyDescent="0.25">
      <c r="B284" t="s">
        <v>184</v>
      </c>
      <c r="C284" t="s">
        <v>181</v>
      </c>
      <c r="D284">
        <v>1.4200000000000002</v>
      </c>
      <c r="E284">
        <v>3.35</v>
      </c>
      <c r="F284" t="s">
        <v>8</v>
      </c>
      <c r="G284" s="2"/>
      <c r="H284" s="2"/>
    </row>
    <row r="285" spans="2:8" x14ac:dyDescent="0.25">
      <c r="B285" t="s">
        <v>184</v>
      </c>
      <c r="C285" t="s">
        <v>181</v>
      </c>
      <c r="D285">
        <v>1.3800000000000001</v>
      </c>
      <c r="E285">
        <v>3.42</v>
      </c>
      <c r="F285" t="s">
        <v>8</v>
      </c>
      <c r="G285" s="2"/>
      <c r="H285" s="2"/>
    </row>
    <row r="286" spans="2:8" x14ac:dyDescent="0.25">
      <c r="B286" t="s">
        <v>184</v>
      </c>
      <c r="C286" t="s">
        <v>181</v>
      </c>
      <c r="D286">
        <v>1.27</v>
      </c>
      <c r="E286">
        <v>3.32</v>
      </c>
      <c r="F286" t="s">
        <v>8</v>
      </c>
      <c r="G286" s="2"/>
      <c r="H286" s="2"/>
    </row>
    <row r="287" spans="2:8" x14ac:dyDescent="0.25">
      <c r="B287" t="s">
        <v>184</v>
      </c>
      <c r="C287" t="s">
        <v>181</v>
      </c>
      <c r="D287">
        <v>1.33</v>
      </c>
      <c r="E287">
        <v>3.51</v>
      </c>
      <c r="F287" t="s">
        <v>8</v>
      </c>
      <c r="G287" s="2"/>
      <c r="H287" s="2"/>
    </row>
    <row r="288" spans="2:8" x14ac:dyDescent="0.25">
      <c r="B288" t="s">
        <v>184</v>
      </c>
      <c r="C288" t="s">
        <v>181</v>
      </c>
      <c r="D288">
        <v>1.33</v>
      </c>
      <c r="E288">
        <v>3.68</v>
      </c>
      <c r="F288" t="s">
        <v>8</v>
      </c>
      <c r="G288" s="2"/>
      <c r="H288" s="2"/>
    </row>
    <row r="289" spans="2:8" x14ac:dyDescent="0.25">
      <c r="B289" t="s">
        <v>184</v>
      </c>
      <c r="C289" t="s">
        <v>181</v>
      </c>
      <c r="D289">
        <v>1.31</v>
      </c>
      <c r="E289">
        <v>3.37</v>
      </c>
      <c r="F289" t="s">
        <v>8</v>
      </c>
      <c r="G289" s="2"/>
      <c r="H289" s="2"/>
    </row>
    <row r="290" spans="2:8" x14ac:dyDescent="0.25">
      <c r="B290" t="s">
        <v>184</v>
      </c>
      <c r="C290" t="s">
        <v>181</v>
      </c>
      <c r="D290">
        <v>1.3800000000000001</v>
      </c>
      <c r="E290">
        <v>3.5</v>
      </c>
      <c r="F290" t="s">
        <v>8</v>
      </c>
      <c r="G290" s="2"/>
      <c r="H290" s="2"/>
    </row>
    <row r="291" spans="2:8" x14ac:dyDescent="0.25">
      <c r="B291" t="s">
        <v>184</v>
      </c>
      <c r="C291" t="s">
        <v>181</v>
      </c>
      <c r="D291">
        <v>1.25</v>
      </c>
      <c r="E291">
        <v>3.4099999999999997</v>
      </c>
      <c r="F291" t="s">
        <v>8</v>
      </c>
      <c r="G291" s="2"/>
      <c r="H291" s="2"/>
    </row>
    <row r="292" spans="2:8" x14ac:dyDescent="0.25">
      <c r="B292" t="s">
        <v>184</v>
      </c>
      <c r="C292" t="s">
        <v>181</v>
      </c>
      <c r="D292">
        <v>1.4100000000000001</v>
      </c>
      <c r="E292">
        <v>3.42</v>
      </c>
      <c r="F292" t="s">
        <v>8</v>
      </c>
      <c r="G292" s="2"/>
      <c r="H292" s="2"/>
    </row>
    <row r="293" spans="2:8" x14ac:dyDescent="0.25">
      <c r="B293" t="s">
        <v>184</v>
      </c>
      <c r="C293" t="s">
        <v>181</v>
      </c>
      <c r="D293">
        <v>1.4000000000000001</v>
      </c>
      <c r="E293">
        <v>3.35</v>
      </c>
      <c r="F293" t="s">
        <v>8</v>
      </c>
      <c r="G293" s="2"/>
      <c r="H293" s="2"/>
    </row>
    <row r="294" spans="2:8" x14ac:dyDescent="0.25">
      <c r="B294" t="s">
        <v>303</v>
      </c>
      <c r="C294" t="s">
        <v>181</v>
      </c>
      <c r="D294">
        <v>1.24</v>
      </c>
      <c r="E294">
        <v>3.55</v>
      </c>
      <c r="F294" t="s">
        <v>8</v>
      </c>
      <c r="G294" s="2"/>
      <c r="H294" s="2"/>
    </row>
    <row r="295" spans="2:8" x14ac:dyDescent="0.25">
      <c r="B295" t="s">
        <v>303</v>
      </c>
      <c r="C295" t="s">
        <v>181</v>
      </c>
      <c r="D295">
        <v>1.29</v>
      </c>
      <c r="E295">
        <v>3.61</v>
      </c>
      <c r="F295" t="s">
        <v>8</v>
      </c>
      <c r="G295" s="2"/>
      <c r="H295" s="2"/>
    </row>
    <row r="296" spans="2:8" x14ac:dyDescent="0.25">
      <c r="B296" t="s">
        <v>303</v>
      </c>
      <c r="C296" t="s">
        <v>181</v>
      </c>
      <c r="D296">
        <v>1.29</v>
      </c>
      <c r="E296">
        <v>3.59</v>
      </c>
      <c r="F296" t="s">
        <v>8</v>
      </c>
      <c r="G296" s="2"/>
      <c r="H296" s="2"/>
    </row>
    <row r="297" spans="2:8" x14ac:dyDescent="0.25">
      <c r="B297" t="s">
        <v>303</v>
      </c>
      <c r="C297" t="s">
        <v>181</v>
      </c>
      <c r="D297">
        <v>1.2</v>
      </c>
      <c r="E297">
        <v>3.54</v>
      </c>
      <c r="F297" t="s">
        <v>8</v>
      </c>
      <c r="G297" s="2"/>
      <c r="H297" s="2"/>
    </row>
    <row r="298" spans="2:8" x14ac:dyDescent="0.25">
      <c r="B298" t="s">
        <v>303</v>
      </c>
      <c r="C298" t="s">
        <v>181</v>
      </c>
      <c r="D298">
        <v>1.22</v>
      </c>
      <c r="E298">
        <v>3.5500000000000003</v>
      </c>
      <c r="F298" t="s">
        <v>8</v>
      </c>
      <c r="G298" s="2"/>
      <c r="H298" s="2"/>
    </row>
    <row r="299" spans="2:8" x14ac:dyDescent="0.25">
      <c r="B299" t="s">
        <v>303</v>
      </c>
      <c r="C299" t="s">
        <v>181</v>
      </c>
      <c r="D299">
        <v>1.29</v>
      </c>
      <c r="E299">
        <v>3.7399999999999998</v>
      </c>
      <c r="F299" t="s">
        <v>8</v>
      </c>
      <c r="G299" s="2"/>
      <c r="H299" s="2"/>
    </row>
    <row r="300" spans="2:8" x14ac:dyDescent="0.25">
      <c r="B300" t="s">
        <v>303</v>
      </c>
      <c r="C300" t="s">
        <v>181</v>
      </c>
      <c r="D300">
        <v>1.25</v>
      </c>
      <c r="E300">
        <v>3.81</v>
      </c>
      <c r="F300" t="s">
        <v>8</v>
      </c>
      <c r="G300" s="2"/>
      <c r="H300" s="2"/>
    </row>
    <row r="301" spans="2:8" x14ac:dyDescent="0.25">
      <c r="B301" t="s">
        <v>303</v>
      </c>
      <c r="C301" t="s">
        <v>181</v>
      </c>
      <c r="D301">
        <v>1.4000000000000001</v>
      </c>
      <c r="E301">
        <v>3.64</v>
      </c>
      <c r="F301" t="s">
        <v>8</v>
      </c>
      <c r="G301" s="2"/>
      <c r="H301" s="2"/>
    </row>
    <row r="302" spans="2:8" x14ac:dyDescent="0.25">
      <c r="B302" t="s">
        <v>303</v>
      </c>
      <c r="C302" t="s">
        <v>181</v>
      </c>
      <c r="D302">
        <v>1.32</v>
      </c>
      <c r="E302">
        <v>3.69</v>
      </c>
      <c r="F302" t="s">
        <v>8</v>
      </c>
      <c r="G302" s="2"/>
      <c r="H302" s="2"/>
    </row>
    <row r="303" spans="2:8" x14ac:dyDescent="0.25">
      <c r="B303" t="s">
        <v>303</v>
      </c>
      <c r="C303" t="s">
        <v>181</v>
      </c>
      <c r="D303">
        <v>1.26</v>
      </c>
      <c r="E303">
        <v>3.61</v>
      </c>
      <c r="F303" t="s">
        <v>8</v>
      </c>
      <c r="G303" s="2"/>
      <c r="H303" s="2"/>
    </row>
    <row r="304" spans="2:8" x14ac:dyDescent="0.25">
      <c r="B304" t="s">
        <v>303</v>
      </c>
      <c r="C304" t="s">
        <v>181</v>
      </c>
      <c r="D304">
        <v>1.34</v>
      </c>
      <c r="E304">
        <v>3.73</v>
      </c>
      <c r="F304" t="s">
        <v>8</v>
      </c>
      <c r="G304" s="2"/>
      <c r="H304" s="2"/>
    </row>
    <row r="305" spans="2:8" x14ac:dyDescent="0.25">
      <c r="B305" t="s">
        <v>303</v>
      </c>
      <c r="C305" t="s">
        <v>181</v>
      </c>
      <c r="D305">
        <v>1.25</v>
      </c>
      <c r="E305">
        <v>3.4499999999999997</v>
      </c>
      <c r="F305" t="s">
        <v>8</v>
      </c>
      <c r="G305" s="2"/>
      <c r="H305" s="2"/>
    </row>
    <row r="306" spans="2:8" x14ac:dyDescent="0.25">
      <c r="B306" t="s">
        <v>186</v>
      </c>
      <c r="C306" t="s">
        <v>181</v>
      </c>
      <c r="D306">
        <v>5.49</v>
      </c>
      <c r="E306">
        <v>1.1199999999999999</v>
      </c>
      <c r="F306" t="s">
        <v>8</v>
      </c>
      <c r="G306" s="2"/>
      <c r="H306" s="2"/>
    </row>
    <row r="307" spans="2:8" x14ac:dyDescent="0.25">
      <c r="B307" t="s">
        <v>186</v>
      </c>
      <c r="C307" t="s">
        <v>181</v>
      </c>
      <c r="D307">
        <v>5.21</v>
      </c>
      <c r="E307">
        <v>1.22</v>
      </c>
      <c r="F307" t="s">
        <v>8</v>
      </c>
      <c r="G307" s="2"/>
      <c r="H307" s="2"/>
    </row>
    <row r="308" spans="2:8" x14ac:dyDescent="0.25">
      <c r="B308" t="s">
        <v>186</v>
      </c>
      <c r="C308" t="s">
        <v>181</v>
      </c>
      <c r="D308">
        <v>5.0999999999999996</v>
      </c>
      <c r="E308">
        <v>1.23</v>
      </c>
      <c r="F308" t="s">
        <v>8</v>
      </c>
      <c r="G308" s="2"/>
      <c r="H308" s="2"/>
    </row>
    <row r="309" spans="2:8" x14ac:dyDescent="0.25">
      <c r="B309" t="s">
        <v>186</v>
      </c>
      <c r="C309" t="s">
        <v>181</v>
      </c>
      <c r="D309">
        <v>5.0599999999999996</v>
      </c>
      <c r="E309">
        <v>1.0999999999999999</v>
      </c>
      <c r="F309" t="s">
        <v>8</v>
      </c>
      <c r="G309" s="2"/>
      <c r="H309" s="2"/>
    </row>
    <row r="310" spans="2:8" x14ac:dyDescent="0.25">
      <c r="B310" t="s">
        <v>186</v>
      </c>
      <c r="C310" t="s">
        <v>181</v>
      </c>
      <c r="D310">
        <v>4.97</v>
      </c>
      <c r="E310">
        <v>1.2</v>
      </c>
      <c r="F310" t="s">
        <v>8</v>
      </c>
      <c r="G310" s="2"/>
      <c r="H310" s="2"/>
    </row>
    <row r="311" spans="2:8" x14ac:dyDescent="0.25">
      <c r="B311" t="s">
        <v>186</v>
      </c>
      <c r="C311" t="s">
        <v>181</v>
      </c>
      <c r="D311">
        <v>5.63</v>
      </c>
      <c r="E311">
        <v>1.1499999999999999</v>
      </c>
      <c r="F311" t="s">
        <v>8</v>
      </c>
      <c r="G311" s="2"/>
      <c r="H311" s="2"/>
    </row>
    <row r="312" spans="2:8" x14ac:dyDescent="0.25">
      <c r="B312" t="s">
        <v>186</v>
      </c>
      <c r="C312" t="s">
        <v>181</v>
      </c>
      <c r="D312">
        <v>5.88</v>
      </c>
      <c r="E312">
        <v>1.1599999999999999</v>
      </c>
      <c r="F312" t="s">
        <v>8</v>
      </c>
      <c r="G312" s="2"/>
      <c r="H312" s="2"/>
    </row>
    <row r="313" spans="2:8" x14ac:dyDescent="0.25">
      <c r="B313" t="s">
        <v>186</v>
      </c>
      <c r="C313" t="s">
        <v>181</v>
      </c>
      <c r="D313">
        <v>5.35</v>
      </c>
      <c r="E313">
        <v>1.19</v>
      </c>
      <c r="F313" t="s">
        <v>8</v>
      </c>
      <c r="G313" s="2"/>
      <c r="H313" s="2"/>
    </row>
    <row r="314" spans="2:8" x14ac:dyDescent="0.25">
      <c r="B314" t="s">
        <v>186</v>
      </c>
      <c r="C314" t="s">
        <v>181</v>
      </c>
      <c r="D314">
        <v>5.6599999999999993</v>
      </c>
      <c r="E314">
        <v>1.2</v>
      </c>
      <c r="F314" t="s">
        <v>8</v>
      </c>
      <c r="G314" s="2"/>
      <c r="H314" s="2"/>
    </row>
    <row r="315" spans="2:8" x14ac:dyDescent="0.25">
      <c r="B315" t="s">
        <v>186</v>
      </c>
      <c r="C315" t="s">
        <v>181</v>
      </c>
      <c r="D315">
        <v>5.1100000000000003</v>
      </c>
      <c r="E315">
        <v>1.21</v>
      </c>
      <c r="F315" t="s">
        <v>8</v>
      </c>
      <c r="G315" s="2"/>
      <c r="H315" s="2"/>
    </row>
    <row r="316" spans="2:8" x14ac:dyDescent="0.25">
      <c r="B316" t="s">
        <v>186</v>
      </c>
      <c r="C316" t="s">
        <v>181</v>
      </c>
      <c r="D316">
        <v>5.2</v>
      </c>
      <c r="E316">
        <v>1.18</v>
      </c>
      <c r="F316" t="s">
        <v>8</v>
      </c>
      <c r="G316" s="2"/>
      <c r="H316" s="2"/>
    </row>
    <row r="317" spans="2:8" x14ac:dyDescent="0.25">
      <c r="B317" t="s">
        <v>186</v>
      </c>
      <c r="C317" t="s">
        <v>181</v>
      </c>
      <c r="D317">
        <v>5.09</v>
      </c>
      <c r="E317">
        <v>1.21</v>
      </c>
      <c r="F317" t="s">
        <v>8</v>
      </c>
      <c r="G317" s="2"/>
      <c r="H317" s="2"/>
    </row>
    <row r="318" spans="2:8" x14ac:dyDescent="0.25">
      <c r="B318" t="s">
        <v>187</v>
      </c>
      <c r="C318" t="s">
        <v>188</v>
      </c>
      <c r="D318">
        <v>1.97</v>
      </c>
      <c r="E318">
        <v>2.02</v>
      </c>
      <c r="F318" t="s">
        <v>8</v>
      </c>
      <c r="G318" s="2"/>
      <c r="H318" s="2"/>
    </row>
    <row r="319" spans="2:8" x14ac:dyDescent="0.25">
      <c r="B319" t="s">
        <v>187</v>
      </c>
      <c r="C319" t="s">
        <v>188</v>
      </c>
      <c r="D319">
        <v>1.88</v>
      </c>
      <c r="E319">
        <v>1.8199999999999998</v>
      </c>
      <c r="F319" t="s">
        <v>8</v>
      </c>
      <c r="G319" s="2"/>
      <c r="H319" s="2"/>
    </row>
    <row r="320" spans="2:8" x14ac:dyDescent="0.25">
      <c r="B320" t="s">
        <v>187</v>
      </c>
      <c r="C320" t="s">
        <v>188</v>
      </c>
      <c r="D320">
        <v>1.95</v>
      </c>
      <c r="E320">
        <v>1.9100000000000001</v>
      </c>
      <c r="F320" t="s">
        <v>8</v>
      </c>
      <c r="G320" s="2"/>
      <c r="H320" s="2"/>
    </row>
    <row r="321" spans="2:8" x14ac:dyDescent="0.25">
      <c r="B321" t="s">
        <v>187</v>
      </c>
      <c r="C321" t="s">
        <v>188</v>
      </c>
      <c r="D321">
        <v>1.92</v>
      </c>
      <c r="E321">
        <v>1.77</v>
      </c>
      <c r="F321" t="s">
        <v>8</v>
      </c>
      <c r="G321" s="2"/>
      <c r="H321" s="2"/>
    </row>
    <row r="322" spans="2:8" x14ac:dyDescent="0.25">
      <c r="B322" t="s">
        <v>187</v>
      </c>
      <c r="C322" t="s">
        <v>188</v>
      </c>
      <c r="D322">
        <v>1.8499999999999999</v>
      </c>
      <c r="E322">
        <v>1.97</v>
      </c>
      <c r="F322" t="s">
        <v>8</v>
      </c>
      <c r="G322" s="2"/>
      <c r="H322" s="2"/>
    </row>
    <row r="323" spans="2:8" x14ac:dyDescent="0.25">
      <c r="B323" t="s">
        <v>187</v>
      </c>
      <c r="C323" t="s">
        <v>188</v>
      </c>
      <c r="D323">
        <v>1.8</v>
      </c>
      <c r="E323">
        <v>1.95</v>
      </c>
      <c r="F323" t="s">
        <v>8</v>
      </c>
      <c r="G323" s="2"/>
      <c r="H323" s="2"/>
    </row>
    <row r="324" spans="2:8" x14ac:dyDescent="0.25">
      <c r="B324" t="s">
        <v>187</v>
      </c>
      <c r="C324" t="s">
        <v>188</v>
      </c>
      <c r="D324">
        <v>1.8299999999999998</v>
      </c>
      <c r="E324">
        <v>1.8199999999999998</v>
      </c>
      <c r="F324" t="s">
        <v>8</v>
      </c>
      <c r="G324" s="2"/>
      <c r="H324" s="2"/>
    </row>
    <row r="325" spans="2:8" x14ac:dyDescent="0.25">
      <c r="B325" t="s">
        <v>187</v>
      </c>
      <c r="C325" t="s">
        <v>188</v>
      </c>
      <c r="D325">
        <v>1.9</v>
      </c>
      <c r="E325">
        <v>1.9</v>
      </c>
      <c r="F325" t="s">
        <v>8</v>
      </c>
      <c r="G325" s="2"/>
      <c r="H325" s="2"/>
    </row>
    <row r="326" spans="2:8" x14ac:dyDescent="0.25">
      <c r="B326" t="s">
        <v>187</v>
      </c>
      <c r="C326" t="s">
        <v>188</v>
      </c>
      <c r="D326">
        <v>1.91</v>
      </c>
      <c r="E326">
        <v>1.99</v>
      </c>
      <c r="F326" t="s">
        <v>8</v>
      </c>
      <c r="G326" s="2"/>
      <c r="H326" s="2"/>
    </row>
    <row r="327" spans="2:8" x14ac:dyDescent="0.25">
      <c r="B327" t="s">
        <v>334</v>
      </c>
      <c r="C327" t="s">
        <v>188</v>
      </c>
      <c r="D327">
        <v>3.2199999999999998</v>
      </c>
      <c r="E327">
        <v>1.41</v>
      </c>
      <c r="F327" t="s">
        <v>8</v>
      </c>
      <c r="G327" s="2"/>
      <c r="H327" s="2"/>
    </row>
    <row r="328" spans="2:8" x14ac:dyDescent="0.25">
      <c r="B328" t="s">
        <v>334</v>
      </c>
      <c r="C328" t="s">
        <v>188</v>
      </c>
      <c r="D328">
        <v>3.18</v>
      </c>
      <c r="E328">
        <v>1.43</v>
      </c>
      <c r="F328" t="s">
        <v>8</v>
      </c>
      <c r="G328" s="2"/>
      <c r="H328" s="2"/>
    </row>
    <row r="329" spans="2:8" x14ac:dyDescent="0.25">
      <c r="B329" t="s">
        <v>334</v>
      </c>
      <c r="C329" t="s">
        <v>188</v>
      </c>
      <c r="D329">
        <v>3.04</v>
      </c>
      <c r="E329">
        <v>1.3399999999999999</v>
      </c>
      <c r="F329" t="s">
        <v>8</v>
      </c>
      <c r="G329" s="2"/>
      <c r="H329" s="2"/>
    </row>
    <row r="330" spans="2:8" x14ac:dyDescent="0.25">
      <c r="B330" t="s">
        <v>334</v>
      </c>
      <c r="C330" t="s">
        <v>188</v>
      </c>
      <c r="D330">
        <v>3.0799999999999996</v>
      </c>
      <c r="E330">
        <v>1.44</v>
      </c>
      <c r="F330" t="s">
        <v>8</v>
      </c>
      <c r="G330" s="2"/>
      <c r="H330" s="2"/>
    </row>
    <row r="331" spans="2:8" x14ac:dyDescent="0.25">
      <c r="B331" t="s">
        <v>334</v>
      </c>
      <c r="C331" t="s">
        <v>188</v>
      </c>
      <c r="D331">
        <v>2.88</v>
      </c>
      <c r="E331">
        <v>1.46</v>
      </c>
      <c r="F331" t="s">
        <v>8</v>
      </c>
      <c r="G331" s="2"/>
      <c r="H331" s="2"/>
    </row>
    <row r="332" spans="2:8" x14ac:dyDescent="0.25">
      <c r="B332" t="s">
        <v>334</v>
      </c>
      <c r="C332" t="s">
        <v>188</v>
      </c>
      <c r="D332">
        <v>3.0300000000000002</v>
      </c>
      <c r="E332">
        <v>1.3599999999999999</v>
      </c>
      <c r="F332" t="s">
        <v>8</v>
      </c>
      <c r="G332" s="2"/>
      <c r="H332" s="2"/>
    </row>
    <row r="333" spans="2:8" x14ac:dyDescent="0.25">
      <c r="B333" t="s">
        <v>334</v>
      </c>
      <c r="C333" t="s">
        <v>188</v>
      </c>
      <c r="D333">
        <v>3.0700000000000003</v>
      </c>
      <c r="E333">
        <v>1.38</v>
      </c>
      <c r="F333" t="s">
        <v>8</v>
      </c>
      <c r="G333" s="2"/>
      <c r="H333" s="2"/>
    </row>
    <row r="334" spans="2:8" x14ac:dyDescent="0.25">
      <c r="B334" t="s">
        <v>334</v>
      </c>
      <c r="C334" t="s">
        <v>188</v>
      </c>
      <c r="D334">
        <v>3.0700000000000003</v>
      </c>
      <c r="E334">
        <v>1.2799999999999998</v>
      </c>
      <c r="F334" t="s">
        <v>8</v>
      </c>
      <c r="G334" s="2"/>
      <c r="H334" s="2"/>
    </row>
    <row r="335" spans="2:8" x14ac:dyDescent="0.25">
      <c r="B335" t="s">
        <v>334</v>
      </c>
      <c r="C335" t="s">
        <v>188</v>
      </c>
      <c r="D335">
        <v>3.0799999999999996</v>
      </c>
      <c r="E335">
        <v>1.46</v>
      </c>
      <c r="F335" t="s">
        <v>8</v>
      </c>
      <c r="G335" s="2"/>
      <c r="H335" s="2"/>
    </row>
    <row r="336" spans="2:8" x14ac:dyDescent="0.25">
      <c r="B336" t="s">
        <v>334</v>
      </c>
      <c r="C336" t="s">
        <v>188</v>
      </c>
      <c r="D336">
        <v>2.94</v>
      </c>
      <c r="E336">
        <v>1.41</v>
      </c>
      <c r="F336" t="s">
        <v>8</v>
      </c>
      <c r="G336" s="2"/>
      <c r="H336" s="2"/>
    </row>
    <row r="337" spans="2:8" x14ac:dyDescent="0.25">
      <c r="B337" t="s">
        <v>334</v>
      </c>
      <c r="C337" t="s">
        <v>188</v>
      </c>
      <c r="D337">
        <v>3.22</v>
      </c>
      <c r="E337">
        <v>1.26</v>
      </c>
      <c r="F337" t="s">
        <v>8</v>
      </c>
      <c r="G337" s="2"/>
      <c r="H337" s="2"/>
    </row>
    <row r="338" spans="2:8" x14ac:dyDescent="0.25">
      <c r="B338" t="s">
        <v>334</v>
      </c>
      <c r="C338" t="s">
        <v>188</v>
      </c>
      <c r="D338">
        <v>3.1199999999999997</v>
      </c>
      <c r="E338">
        <v>1.2999999999999998</v>
      </c>
      <c r="F338" t="s">
        <v>8</v>
      </c>
      <c r="G338" s="2"/>
      <c r="H338" s="2"/>
    </row>
    <row r="339" spans="2:8" x14ac:dyDescent="0.25">
      <c r="B339" t="s">
        <v>190</v>
      </c>
      <c r="C339" t="s">
        <v>191</v>
      </c>
      <c r="D339">
        <v>1.44</v>
      </c>
      <c r="E339">
        <v>2.63</v>
      </c>
      <c r="F339" t="s">
        <v>8</v>
      </c>
      <c r="G339" s="2"/>
      <c r="H339" s="2"/>
    </row>
    <row r="340" spans="2:8" x14ac:dyDescent="0.25">
      <c r="B340" t="s">
        <v>190</v>
      </c>
      <c r="C340" t="s">
        <v>191</v>
      </c>
      <c r="D340">
        <v>1.6700000000000002</v>
      </c>
      <c r="E340">
        <v>2.5499999999999998</v>
      </c>
      <c r="F340" t="s">
        <v>8</v>
      </c>
      <c r="G340" s="2"/>
      <c r="H340" s="2"/>
    </row>
    <row r="341" spans="2:8" x14ac:dyDescent="0.25">
      <c r="B341" t="s">
        <v>190</v>
      </c>
      <c r="C341" t="s">
        <v>191</v>
      </c>
      <c r="D341">
        <v>1.51</v>
      </c>
      <c r="E341">
        <v>2.5100000000000002</v>
      </c>
      <c r="F341" t="s">
        <v>8</v>
      </c>
      <c r="G341" s="2"/>
      <c r="H341" s="2"/>
    </row>
    <row r="342" spans="2:8" x14ac:dyDescent="0.25">
      <c r="B342" t="s">
        <v>190</v>
      </c>
      <c r="C342" t="s">
        <v>191</v>
      </c>
      <c r="D342">
        <v>1.6300000000000001</v>
      </c>
      <c r="E342">
        <v>2.6399999999999997</v>
      </c>
      <c r="F342" t="s">
        <v>8</v>
      </c>
      <c r="G342" s="2"/>
      <c r="H342" s="2"/>
    </row>
    <row r="343" spans="2:8" x14ac:dyDescent="0.25">
      <c r="B343" t="s">
        <v>190</v>
      </c>
      <c r="C343" t="s">
        <v>191</v>
      </c>
      <c r="D343">
        <v>1.46</v>
      </c>
      <c r="E343">
        <v>2.67</v>
      </c>
      <c r="F343" t="s">
        <v>8</v>
      </c>
      <c r="G343" s="2"/>
      <c r="H343" s="2"/>
    </row>
    <row r="344" spans="2:8" x14ac:dyDescent="0.25">
      <c r="B344" t="s">
        <v>190</v>
      </c>
      <c r="C344" t="s">
        <v>191</v>
      </c>
      <c r="D344">
        <v>1.6300000000000001</v>
      </c>
      <c r="E344">
        <v>2.5100000000000002</v>
      </c>
      <c r="F344" t="s">
        <v>8</v>
      </c>
      <c r="G344" s="2"/>
      <c r="H344" s="2"/>
    </row>
    <row r="345" spans="2:8" x14ac:dyDescent="0.25">
      <c r="B345" t="s">
        <v>190</v>
      </c>
      <c r="C345" t="s">
        <v>191</v>
      </c>
      <c r="D345">
        <v>1.6500000000000001</v>
      </c>
      <c r="E345">
        <v>2.4700000000000002</v>
      </c>
      <c r="F345" t="s">
        <v>8</v>
      </c>
      <c r="G345" s="2"/>
      <c r="H345" s="2"/>
    </row>
    <row r="346" spans="2:8" x14ac:dyDescent="0.25">
      <c r="B346" t="s">
        <v>190</v>
      </c>
      <c r="C346" t="s">
        <v>191</v>
      </c>
      <c r="D346">
        <v>1.6300000000000001</v>
      </c>
      <c r="E346">
        <v>2.35</v>
      </c>
      <c r="F346" t="s">
        <v>8</v>
      </c>
      <c r="G346" s="2"/>
      <c r="H346" s="2"/>
    </row>
    <row r="347" spans="2:8" x14ac:dyDescent="0.25">
      <c r="B347" t="s">
        <v>190</v>
      </c>
      <c r="C347" t="s">
        <v>191</v>
      </c>
      <c r="D347">
        <v>1.59</v>
      </c>
      <c r="E347">
        <v>2.39</v>
      </c>
      <c r="F347" t="s">
        <v>8</v>
      </c>
      <c r="G347" s="2"/>
      <c r="H347" s="2"/>
    </row>
    <row r="348" spans="2:8" x14ac:dyDescent="0.25">
      <c r="B348" t="s">
        <v>190</v>
      </c>
      <c r="C348" t="s">
        <v>191</v>
      </c>
      <c r="D348">
        <v>1.58</v>
      </c>
      <c r="E348">
        <v>2.5299999999999998</v>
      </c>
      <c r="F348" t="s">
        <v>8</v>
      </c>
      <c r="G348" s="2"/>
      <c r="H348" s="2"/>
    </row>
    <row r="349" spans="2:8" x14ac:dyDescent="0.25">
      <c r="B349" t="s">
        <v>190</v>
      </c>
      <c r="C349" t="s">
        <v>191</v>
      </c>
      <c r="D349">
        <v>1.45</v>
      </c>
      <c r="E349">
        <v>2.69</v>
      </c>
      <c r="F349" t="s">
        <v>8</v>
      </c>
      <c r="G349" s="2"/>
      <c r="H349" s="2"/>
    </row>
    <row r="350" spans="2:8" x14ac:dyDescent="0.25">
      <c r="B350" t="s">
        <v>190</v>
      </c>
      <c r="C350" t="s">
        <v>191</v>
      </c>
      <c r="D350">
        <v>1.59</v>
      </c>
      <c r="E350">
        <v>2.57</v>
      </c>
      <c r="F350" t="s">
        <v>8</v>
      </c>
      <c r="G350" s="2"/>
      <c r="H350" s="2"/>
    </row>
    <row r="351" spans="2:8" x14ac:dyDescent="0.25">
      <c r="B351" t="s">
        <v>304</v>
      </c>
      <c r="C351" t="s">
        <v>191</v>
      </c>
      <c r="D351">
        <v>2.59</v>
      </c>
      <c r="E351">
        <v>1.44</v>
      </c>
      <c r="F351" t="s">
        <v>8</v>
      </c>
      <c r="G351" s="2"/>
      <c r="H351" s="2"/>
    </row>
    <row r="352" spans="2:8" x14ac:dyDescent="0.25">
      <c r="B352" t="s">
        <v>304</v>
      </c>
      <c r="C352" t="s">
        <v>191</v>
      </c>
      <c r="D352">
        <v>2.46</v>
      </c>
      <c r="E352">
        <v>1.6800000000000002</v>
      </c>
      <c r="F352" t="s">
        <v>8</v>
      </c>
      <c r="G352" s="2"/>
      <c r="H352" s="2"/>
    </row>
    <row r="353" spans="2:8" x14ac:dyDescent="0.25">
      <c r="B353" t="s">
        <v>304</v>
      </c>
      <c r="C353" t="s">
        <v>191</v>
      </c>
      <c r="D353">
        <v>2.4</v>
      </c>
      <c r="E353">
        <v>1.56</v>
      </c>
      <c r="F353" t="s">
        <v>8</v>
      </c>
      <c r="G353" s="2"/>
      <c r="H353" s="2"/>
    </row>
    <row r="354" spans="2:8" x14ac:dyDescent="0.25">
      <c r="B354" t="s">
        <v>304</v>
      </c>
      <c r="C354" t="s">
        <v>191</v>
      </c>
      <c r="D354">
        <v>2.44</v>
      </c>
      <c r="E354">
        <v>1.59</v>
      </c>
      <c r="F354" t="s">
        <v>8</v>
      </c>
      <c r="G354" s="2"/>
      <c r="H354" s="2"/>
    </row>
    <row r="355" spans="2:8" x14ac:dyDescent="0.25">
      <c r="B355" t="s">
        <v>304</v>
      </c>
      <c r="C355" t="s">
        <v>191</v>
      </c>
      <c r="D355">
        <v>2.39</v>
      </c>
      <c r="E355">
        <v>1.56</v>
      </c>
      <c r="F355" t="s">
        <v>8</v>
      </c>
      <c r="G355" s="2"/>
      <c r="H355" s="2"/>
    </row>
    <row r="356" spans="2:8" x14ac:dyDescent="0.25">
      <c r="B356" t="s">
        <v>304</v>
      </c>
      <c r="C356" t="s">
        <v>191</v>
      </c>
      <c r="D356">
        <v>2.5500000000000003</v>
      </c>
      <c r="E356">
        <v>1.5</v>
      </c>
      <c r="F356" t="s">
        <v>8</v>
      </c>
      <c r="G356" s="2"/>
      <c r="H356" s="2"/>
    </row>
    <row r="357" spans="2:8" x14ac:dyDescent="0.25">
      <c r="B357" t="s">
        <v>304</v>
      </c>
      <c r="C357" t="s">
        <v>191</v>
      </c>
      <c r="D357">
        <v>2.4900000000000002</v>
      </c>
      <c r="E357">
        <v>1.53</v>
      </c>
      <c r="F357" t="s">
        <v>8</v>
      </c>
      <c r="G357" s="2"/>
      <c r="H357" s="2"/>
    </row>
    <row r="358" spans="2:8" x14ac:dyDescent="0.25">
      <c r="B358" t="s">
        <v>304</v>
      </c>
      <c r="C358" t="s">
        <v>191</v>
      </c>
      <c r="D358">
        <v>2.4700000000000002</v>
      </c>
      <c r="E358">
        <v>1.5</v>
      </c>
      <c r="F358" t="s">
        <v>8</v>
      </c>
      <c r="G358" s="2"/>
      <c r="H358" s="2"/>
    </row>
    <row r="359" spans="2:8" x14ac:dyDescent="0.25">
      <c r="B359" t="s">
        <v>304</v>
      </c>
      <c r="C359" t="s">
        <v>191</v>
      </c>
      <c r="D359">
        <v>2.42</v>
      </c>
      <c r="E359">
        <v>1.6700000000000002</v>
      </c>
      <c r="F359" t="s">
        <v>8</v>
      </c>
      <c r="G359" s="2"/>
      <c r="H359" s="2"/>
    </row>
    <row r="360" spans="2:8" x14ac:dyDescent="0.25">
      <c r="B360" t="s">
        <v>304</v>
      </c>
      <c r="C360" t="s">
        <v>191</v>
      </c>
      <c r="D360">
        <v>2.59</v>
      </c>
      <c r="E360">
        <v>1.58</v>
      </c>
      <c r="F360" t="s">
        <v>8</v>
      </c>
      <c r="G360" s="2"/>
      <c r="H360" s="2"/>
    </row>
    <row r="361" spans="2:8" x14ac:dyDescent="0.25">
      <c r="B361" t="s">
        <v>304</v>
      </c>
      <c r="C361" t="s">
        <v>191</v>
      </c>
      <c r="D361">
        <v>2.52</v>
      </c>
      <c r="E361">
        <v>1.57</v>
      </c>
      <c r="F361" t="s">
        <v>8</v>
      </c>
      <c r="G361" s="2"/>
      <c r="H361" s="2"/>
    </row>
    <row r="362" spans="2:8" x14ac:dyDescent="0.25">
      <c r="B362" t="s">
        <v>304</v>
      </c>
      <c r="C362" t="s">
        <v>191</v>
      </c>
      <c r="D362">
        <v>2.5100000000000002</v>
      </c>
      <c r="E362">
        <v>1.55</v>
      </c>
      <c r="F362" t="s">
        <v>8</v>
      </c>
      <c r="G362" s="2"/>
      <c r="H362" s="2"/>
    </row>
    <row r="363" spans="2:8" x14ac:dyDescent="0.25">
      <c r="B363" t="s">
        <v>328</v>
      </c>
      <c r="C363" t="s">
        <v>191</v>
      </c>
      <c r="D363">
        <v>1.71</v>
      </c>
      <c r="E363">
        <v>2.0299999999999998</v>
      </c>
      <c r="F363" t="s">
        <v>8</v>
      </c>
      <c r="G363" s="2"/>
      <c r="H363" s="2"/>
    </row>
    <row r="364" spans="2:8" x14ac:dyDescent="0.25">
      <c r="B364" t="s">
        <v>328</v>
      </c>
      <c r="C364" t="s">
        <v>191</v>
      </c>
      <c r="D364">
        <v>1.66</v>
      </c>
      <c r="E364">
        <v>2.1500000000000004</v>
      </c>
      <c r="F364" t="s">
        <v>8</v>
      </c>
      <c r="G364" s="2"/>
      <c r="H364" s="2"/>
    </row>
    <row r="365" spans="2:8" x14ac:dyDescent="0.25">
      <c r="B365" t="s">
        <v>328</v>
      </c>
      <c r="C365" t="s">
        <v>191</v>
      </c>
      <c r="D365">
        <v>1.77</v>
      </c>
      <c r="E365">
        <v>2.13</v>
      </c>
      <c r="F365" t="s">
        <v>8</v>
      </c>
      <c r="G365" s="2"/>
      <c r="H365" s="2"/>
    </row>
    <row r="366" spans="2:8" x14ac:dyDescent="0.25">
      <c r="B366" t="s">
        <v>328</v>
      </c>
      <c r="C366" t="s">
        <v>191</v>
      </c>
      <c r="D366">
        <v>1.65</v>
      </c>
      <c r="E366">
        <v>2.14</v>
      </c>
      <c r="F366" t="s">
        <v>8</v>
      </c>
      <c r="G366" s="2"/>
      <c r="H366" s="2"/>
    </row>
    <row r="367" spans="2:8" x14ac:dyDescent="0.25">
      <c r="B367" t="s">
        <v>328</v>
      </c>
      <c r="C367" t="s">
        <v>191</v>
      </c>
      <c r="D367">
        <v>1.79</v>
      </c>
      <c r="E367">
        <v>2.08</v>
      </c>
      <c r="F367" t="s">
        <v>8</v>
      </c>
      <c r="G367" s="2"/>
      <c r="H367" s="2"/>
    </row>
    <row r="368" spans="2:8" x14ac:dyDescent="0.25">
      <c r="B368" t="s">
        <v>328</v>
      </c>
      <c r="C368" t="s">
        <v>191</v>
      </c>
      <c r="D368">
        <v>1.78</v>
      </c>
      <c r="E368">
        <v>2.08</v>
      </c>
      <c r="F368" t="s">
        <v>8</v>
      </c>
      <c r="G368" s="2"/>
      <c r="H368" s="2"/>
    </row>
    <row r="369" spans="2:8" x14ac:dyDescent="0.25">
      <c r="B369" t="s">
        <v>328</v>
      </c>
      <c r="C369" t="s">
        <v>191</v>
      </c>
      <c r="D369">
        <v>1.78</v>
      </c>
      <c r="E369">
        <v>2.2000000000000002</v>
      </c>
      <c r="F369" t="s">
        <v>8</v>
      </c>
      <c r="G369" s="2"/>
      <c r="H369" s="2"/>
    </row>
    <row r="370" spans="2:8" x14ac:dyDescent="0.25">
      <c r="B370" t="s">
        <v>328</v>
      </c>
      <c r="C370" t="s">
        <v>191</v>
      </c>
      <c r="D370">
        <v>1.77</v>
      </c>
      <c r="E370">
        <v>2.17</v>
      </c>
      <c r="F370" t="s">
        <v>8</v>
      </c>
      <c r="G370" s="2"/>
      <c r="H370" s="2"/>
    </row>
    <row r="371" spans="2:8" x14ac:dyDescent="0.25">
      <c r="B371" t="s">
        <v>328</v>
      </c>
      <c r="C371" t="s">
        <v>191</v>
      </c>
      <c r="D371">
        <v>1.81</v>
      </c>
      <c r="E371">
        <v>2.14</v>
      </c>
      <c r="F371" t="s">
        <v>8</v>
      </c>
      <c r="G371" s="2"/>
      <c r="H371" s="2"/>
    </row>
    <row r="372" spans="2:8" x14ac:dyDescent="0.25">
      <c r="B372" t="s">
        <v>328</v>
      </c>
      <c r="C372" t="s">
        <v>191</v>
      </c>
      <c r="D372">
        <v>1.68</v>
      </c>
      <c r="E372">
        <v>2.0500000000000003</v>
      </c>
      <c r="F372" t="s">
        <v>8</v>
      </c>
      <c r="G372" s="2"/>
      <c r="H372" s="2"/>
    </row>
    <row r="373" spans="2:8" x14ac:dyDescent="0.25">
      <c r="B373" t="s">
        <v>328</v>
      </c>
      <c r="C373" t="s">
        <v>191</v>
      </c>
      <c r="D373">
        <v>1.8</v>
      </c>
      <c r="E373">
        <v>2.06</v>
      </c>
      <c r="F373" t="s">
        <v>8</v>
      </c>
      <c r="G373" s="2"/>
      <c r="H373" s="2"/>
    </row>
    <row r="374" spans="2:8" x14ac:dyDescent="0.25">
      <c r="B374" t="s">
        <v>328</v>
      </c>
      <c r="C374" t="s">
        <v>191</v>
      </c>
      <c r="D374">
        <v>1.79</v>
      </c>
      <c r="E374">
        <v>2.0499999999999998</v>
      </c>
      <c r="F374" t="s">
        <v>8</v>
      </c>
      <c r="G374" s="2"/>
      <c r="H374" s="2"/>
    </row>
    <row r="375" spans="2:8" x14ac:dyDescent="0.25">
      <c r="B375" t="s">
        <v>194</v>
      </c>
      <c r="C375" t="s">
        <v>191</v>
      </c>
      <c r="D375">
        <v>3.49</v>
      </c>
      <c r="E375">
        <v>1.24</v>
      </c>
      <c r="F375" t="s">
        <v>8</v>
      </c>
      <c r="G375" s="2"/>
      <c r="H375" s="2"/>
    </row>
    <row r="376" spans="2:8" x14ac:dyDescent="0.25">
      <c r="B376" t="s">
        <v>194</v>
      </c>
      <c r="C376" t="s">
        <v>191</v>
      </c>
      <c r="D376">
        <v>3.47</v>
      </c>
      <c r="E376">
        <v>1.32</v>
      </c>
      <c r="F376" t="s">
        <v>8</v>
      </c>
      <c r="G376" s="2"/>
      <c r="H376" s="2"/>
    </row>
    <row r="377" spans="2:8" x14ac:dyDescent="0.25">
      <c r="B377" t="s">
        <v>194</v>
      </c>
      <c r="C377" t="s">
        <v>191</v>
      </c>
      <c r="D377">
        <v>3.48</v>
      </c>
      <c r="E377">
        <v>1.4300000000000002</v>
      </c>
      <c r="F377" t="s">
        <v>8</v>
      </c>
      <c r="G377" s="2"/>
      <c r="H377" s="2"/>
    </row>
    <row r="378" spans="2:8" x14ac:dyDescent="0.25">
      <c r="B378" t="s">
        <v>194</v>
      </c>
      <c r="C378" t="s">
        <v>191</v>
      </c>
      <c r="D378">
        <v>3.38</v>
      </c>
      <c r="E378">
        <v>1.29</v>
      </c>
      <c r="F378" t="s">
        <v>8</v>
      </c>
      <c r="G378" s="2"/>
      <c r="H378" s="2"/>
    </row>
    <row r="379" spans="2:8" x14ac:dyDescent="0.25">
      <c r="B379" t="s">
        <v>194</v>
      </c>
      <c r="C379" t="s">
        <v>191</v>
      </c>
      <c r="D379">
        <v>3.3299999999999996</v>
      </c>
      <c r="E379">
        <v>1.29</v>
      </c>
      <c r="F379" t="s">
        <v>8</v>
      </c>
      <c r="G379" s="2"/>
      <c r="H379" s="2"/>
    </row>
    <row r="380" spans="2:8" x14ac:dyDescent="0.25">
      <c r="B380" t="s">
        <v>194</v>
      </c>
      <c r="C380" t="s">
        <v>191</v>
      </c>
      <c r="D380">
        <v>3.48</v>
      </c>
      <c r="E380">
        <v>1.4000000000000001</v>
      </c>
      <c r="F380" t="s">
        <v>8</v>
      </c>
      <c r="G380" s="2"/>
      <c r="H380" s="2"/>
    </row>
    <row r="381" spans="2:8" x14ac:dyDescent="0.25">
      <c r="B381" t="s">
        <v>194</v>
      </c>
      <c r="C381" t="s">
        <v>191</v>
      </c>
      <c r="D381">
        <v>3.4</v>
      </c>
      <c r="E381">
        <v>1.29</v>
      </c>
      <c r="F381" t="s">
        <v>8</v>
      </c>
      <c r="G381" s="2"/>
      <c r="H381" s="2"/>
    </row>
    <row r="382" spans="2:8" x14ac:dyDescent="0.25">
      <c r="B382" t="s">
        <v>194</v>
      </c>
      <c r="C382" t="s">
        <v>191</v>
      </c>
      <c r="D382">
        <v>3.3299999999999996</v>
      </c>
      <c r="E382">
        <v>1.4000000000000001</v>
      </c>
      <c r="F382" t="s">
        <v>8</v>
      </c>
      <c r="G382" s="2"/>
      <c r="H382" s="2"/>
    </row>
    <row r="383" spans="2:8" x14ac:dyDescent="0.25">
      <c r="B383" t="s">
        <v>194</v>
      </c>
      <c r="C383" t="s">
        <v>191</v>
      </c>
      <c r="D383">
        <v>3.49</v>
      </c>
      <c r="E383">
        <v>1.23</v>
      </c>
      <c r="F383" t="s">
        <v>8</v>
      </c>
      <c r="G383" s="2"/>
      <c r="H383" s="2"/>
    </row>
    <row r="384" spans="2:8" x14ac:dyDescent="0.25">
      <c r="B384" t="s">
        <v>194</v>
      </c>
      <c r="C384" t="s">
        <v>191</v>
      </c>
      <c r="D384">
        <v>3.45</v>
      </c>
      <c r="E384">
        <v>1.4000000000000001</v>
      </c>
      <c r="F384" t="s">
        <v>8</v>
      </c>
      <c r="G384" s="2"/>
      <c r="H384" s="2"/>
    </row>
    <row r="385" spans="2:8" x14ac:dyDescent="0.25">
      <c r="B385" t="s">
        <v>194</v>
      </c>
      <c r="C385" t="s">
        <v>191</v>
      </c>
      <c r="D385">
        <v>3.38</v>
      </c>
      <c r="E385">
        <v>1.35</v>
      </c>
      <c r="F385" t="s">
        <v>8</v>
      </c>
      <c r="G385" s="2"/>
      <c r="H385" s="2"/>
    </row>
    <row r="386" spans="2:8" x14ac:dyDescent="0.25">
      <c r="B386" t="s">
        <v>194</v>
      </c>
      <c r="C386" t="s">
        <v>191</v>
      </c>
      <c r="D386">
        <v>3.3</v>
      </c>
      <c r="E386">
        <v>1.23</v>
      </c>
      <c r="F386" t="s">
        <v>8</v>
      </c>
      <c r="G386" s="2"/>
      <c r="H386" s="2"/>
    </row>
    <row r="387" spans="2:8" x14ac:dyDescent="0.25">
      <c r="B387" t="s">
        <v>305</v>
      </c>
      <c r="C387" t="s">
        <v>191</v>
      </c>
      <c r="D387">
        <v>1.24</v>
      </c>
      <c r="E387">
        <v>4.4000000000000004</v>
      </c>
      <c r="F387" t="s">
        <v>8</v>
      </c>
      <c r="G387" s="2"/>
      <c r="H387" s="2"/>
    </row>
    <row r="388" spans="2:8" x14ac:dyDescent="0.25">
      <c r="B388" t="s">
        <v>305</v>
      </c>
      <c r="C388" t="s">
        <v>191</v>
      </c>
      <c r="D388">
        <v>1.27</v>
      </c>
      <c r="E388">
        <v>4.84</v>
      </c>
      <c r="F388" t="s">
        <v>8</v>
      </c>
      <c r="G388" s="2"/>
      <c r="H388" s="2"/>
    </row>
    <row r="389" spans="2:8" x14ac:dyDescent="0.25">
      <c r="B389" t="s">
        <v>305</v>
      </c>
      <c r="C389" t="s">
        <v>191</v>
      </c>
      <c r="D389">
        <v>1.18</v>
      </c>
      <c r="E389">
        <v>4.6199999999999992</v>
      </c>
      <c r="F389" t="s">
        <v>8</v>
      </c>
      <c r="G389" s="2"/>
      <c r="H389" s="2"/>
    </row>
    <row r="390" spans="2:8" x14ac:dyDescent="0.25">
      <c r="B390" t="s">
        <v>305</v>
      </c>
      <c r="C390" t="s">
        <v>191</v>
      </c>
      <c r="D390">
        <v>1.29</v>
      </c>
      <c r="E390">
        <v>4.34</v>
      </c>
      <c r="F390" t="s">
        <v>8</v>
      </c>
      <c r="G390" s="2"/>
      <c r="H390" s="2"/>
    </row>
    <row r="391" spans="2:8" x14ac:dyDescent="0.25">
      <c r="B391" t="s">
        <v>305</v>
      </c>
      <c r="C391" t="s">
        <v>191</v>
      </c>
      <c r="D391">
        <v>1.1299999999999999</v>
      </c>
      <c r="E391">
        <v>4.3500000000000005</v>
      </c>
      <c r="F391" t="s">
        <v>8</v>
      </c>
      <c r="G391" s="2"/>
      <c r="H391" s="2"/>
    </row>
    <row r="392" spans="2:8" x14ac:dyDescent="0.25">
      <c r="B392" t="s">
        <v>305</v>
      </c>
      <c r="C392" t="s">
        <v>191</v>
      </c>
      <c r="D392">
        <v>1.21</v>
      </c>
      <c r="E392">
        <v>4.54</v>
      </c>
      <c r="F392" t="s">
        <v>8</v>
      </c>
      <c r="G392" s="2"/>
      <c r="H392" s="2"/>
    </row>
    <row r="393" spans="2:8" x14ac:dyDescent="0.25">
      <c r="B393" t="s">
        <v>305</v>
      </c>
      <c r="C393" t="s">
        <v>191</v>
      </c>
      <c r="D393">
        <v>1.28</v>
      </c>
      <c r="E393">
        <v>4.5900000000000007</v>
      </c>
      <c r="F393" t="s">
        <v>8</v>
      </c>
      <c r="G393" s="2"/>
      <c r="H393" s="2"/>
    </row>
    <row r="394" spans="2:8" x14ac:dyDescent="0.25">
      <c r="B394" t="s">
        <v>305</v>
      </c>
      <c r="C394" t="s">
        <v>191</v>
      </c>
      <c r="D394">
        <v>1.27</v>
      </c>
      <c r="E394">
        <v>4.78</v>
      </c>
      <c r="F394" t="s">
        <v>8</v>
      </c>
      <c r="G394" s="2"/>
      <c r="H394" s="2"/>
    </row>
    <row r="395" spans="2:8" x14ac:dyDescent="0.25">
      <c r="B395" t="s">
        <v>305</v>
      </c>
      <c r="C395" t="s">
        <v>191</v>
      </c>
      <c r="D395">
        <v>1.3</v>
      </c>
      <c r="E395">
        <v>4.51</v>
      </c>
      <c r="F395" t="s">
        <v>8</v>
      </c>
      <c r="G395" s="2"/>
      <c r="H395" s="2"/>
    </row>
    <row r="396" spans="2:8" x14ac:dyDescent="0.25">
      <c r="B396" t="s">
        <v>305</v>
      </c>
      <c r="C396" t="s">
        <v>191</v>
      </c>
      <c r="D396">
        <v>1.1499999999999999</v>
      </c>
      <c r="E396">
        <v>4.4300000000000006</v>
      </c>
      <c r="F396" t="s">
        <v>8</v>
      </c>
      <c r="G396" s="2"/>
      <c r="H396" s="2"/>
    </row>
    <row r="397" spans="2:8" x14ac:dyDescent="0.25">
      <c r="B397" t="s">
        <v>305</v>
      </c>
      <c r="C397" t="s">
        <v>191</v>
      </c>
      <c r="D397">
        <v>1.1199999999999999</v>
      </c>
      <c r="E397">
        <v>4.2</v>
      </c>
      <c r="F397" t="s">
        <v>8</v>
      </c>
      <c r="G397" s="2"/>
      <c r="H397" s="2"/>
    </row>
    <row r="398" spans="2:8" x14ac:dyDescent="0.25">
      <c r="B398" t="s">
        <v>305</v>
      </c>
      <c r="C398" t="s">
        <v>191</v>
      </c>
      <c r="D398">
        <v>1.31</v>
      </c>
      <c r="E398">
        <v>4.32</v>
      </c>
      <c r="F398" t="s">
        <v>8</v>
      </c>
      <c r="G398" s="2"/>
      <c r="H398" s="2"/>
    </row>
    <row r="399" spans="2:8" x14ac:dyDescent="0.25">
      <c r="B399" t="s">
        <v>39</v>
      </c>
      <c r="C399" t="s">
        <v>83</v>
      </c>
      <c r="D399">
        <v>1.18</v>
      </c>
      <c r="E399">
        <v>4.01</v>
      </c>
      <c r="F399" t="s">
        <v>8</v>
      </c>
      <c r="G399" s="2"/>
      <c r="H399" s="2"/>
    </row>
    <row r="400" spans="2:8" x14ac:dyDescent="0.25">
      <c r="B400" t="s">
        <v>39</v>
      </c>
      <c r="C400" t="s">
        <v>83</v>
      </c>
      <c r="D400">
        <v>1.27</v>
      </c>
      <c r="E400">
        <v>4.47</v>
      </c>
      <c r="F400" t="s">
        <v>8</v>
      </c>
      <c r="G400" s="2"/>
      <c r="H400" s="2"/>
    </row>
    <row r="401" spans="2:8" x14ac:dyDescent="0.25">
      <c r="B401" t="s">
        <v>39</v>
      </c>
      <c r="C401" t="s">
        <v>83</v>
      </c>
      <c r="D401">
        <v>1.35</v>
      </c>
      <c r="E401">
        <v>3.89</v>
      </c>
      <c r="F401" t="s">
        <v>8</v>
      </c>
      <c r="G401" s="2"/>
      <c r="H401" s="2"/>
    </row>
    <row r="402" spans="2:8" x14ac:dyDescent="0.25">
      <c r="B402" t="s">
        <v>39</v>
      </c>
      <c r="C402" t="s">
        <v>83</v>
      </c>
      <c r="D402">
        <v>1.3</v>
      </c>
      <c r="E402">
        <v>4.18</v>
      </c>
      <c r="F402" t="s">
        <v>8</v>
      </c>
      <c r="G402" s="2"/>
      <c r="H402" s="2"/>
    </row>
    <row r="403" spans="2:8" x14ac:dyDescent="0.25">
      <c r="B403" t="s">
        <v>39</v>
      </c>
      <c r="C403" t="s">
        <v>83</v>
      </c>
      <c r="D403">
        <v>1.24</v>
      </c>
      <c r="E403">
        <v>4.25</v>
      </c>
      <c r="F403" t="s">
        <v>8</v>
      </c>
      <c r="G403" s="2"/>
      <c r="H403" s="2"/>
    </row>
    <row r="404" spans="2:8" x14ac:dyDescent="0.25">
      <c r="B404" t="s">
        <v>39</v>
      </c>
      <c r="C404" t="s">
        <v>83</v>
      </c>
      <c r="D404">
        <v>1.25</v>
      </c>
      <c r="E404">
        <v>4.2</v>
      </c>
      <c r="F404" t="s">
        <v>8</v>
      </c>
      <c r="G404" s="2"/>
      <c r="H404" s="2"/>
    </row>
    <row r="405" spans="2:8" x14ac:dyDescent="0.25">
      <c r="B405" t="s">
        <v>39</v>
      </c>
      <c r="C405" t="s">
        <v>83</v>
      </c>
      <c r="D405">
        <v>1.28</v>
      </c>
      <c r="E405">
        <v>4.03</v>
      </c>
      <c r="F405" t="s">
        <v>8</v>
      </c>
      <c r="G405" s="2"/>
      <c r="H405" s="2"/>
    </row>
    <row r="406" spans="2:8" x14ac:dyDescent="0.25">
      <c r="B406" t="s">
        <v>39</v>
      </c>
      <c r="C406" t="s">
        <v>83</v>
      </c>
      <c r="D406">
        <v>1.3</v>
      </c>
      <c r="E406">
        <v>4.1800000000000006</v>
      </c>
      <c r="F406" t="s">
        <v>8</v>
      </c>
      <c r="G406" s="2"/>
      <c r="H406" s="2"/>
    </row>
    <row r="407" spans="2:8" x14ac:dyDescent="0.25">
      <c r="B407" t="s">
        <v>39</v>
      </c>
      <c r="C407" t="s">
        <v>83</v>
      </c>
      <c r="D407">
        <v>1.34</v>
      </c>
      <c r="E407">
        <v>4.33</v>
      </c>
      <c r="F407" t="s">
        <v>8</v>
      </c>
      <c r="G407" s="2"/>
      <c r="H407" s="2"/>
    </row>
    <row r="408" spans="2:8" x14ac:dyDescent="0.25">
      <c r="B408" t="s">
        <v>39</v>
      </c>
      <c r="C408" t="s">
        <v>83</v>
      </c>
      <c r="D408">
        <v>1.29</v>
      </c>
      <c r="E408">
        <v>3.92</v>
      </c>
      <c r="F408" t="s">
        <v>8</v>
      </c>
      <c r="G408" s="2"/>
      <c r="H408" s="2"/>
    </row>
    <row r="409" spans="2:8" x14ac:dyDescent="0.25">
      <c r="B409" t="s">
        <v>39</v>
      </c>
      <c r="C409" t="s">
        <v>83</v>
      </c>
      <c r="D409">
        <v>1.27</v>
      </c>
      <c r="E409">
        <v>4.1900000000000004</v>
      </c>
      <c r="F409" t="s">
        <v>8</v>
      </c>
      <c r="G409" s="2"/>
      <c r="H409" s="2"/>
    </row>
    <row r="410" spans="2:8" x14ac:dyDescent="0.25">
      <c r="B410" t="s">
        <v>39</v>
      </c>
      <c r="C410" t="s">
        <v>83</v>
      </c>
      <c r="D410">
        <v>1.1599999999999999</v>
      </c>
      <c r="E410">
        <v>4.1099999999999994</v>
      </c>
      <c r="F410" t="s">
        <v>8</v>
      </c>
      <c r="G410" s="2"/>
      <c r="H410" s="2"/>
    </row>
    <row r="411" spans="2:8" x14ac:dyDescent="0.25">
      <c r="B411" t="s">
        <v>329</v>
      </c>
      <c r="C411" t="s">
        <v>83</v>
      </c>
      <c r="D411">
        <v>1.36</v>
      </c>
      <c r="E411">
        <v>3.2600000000000002</v>
      </c>
      <c r="F411" t="s">
        <v>8</v>
      </c>
      <c r="G411" s="2"/>
      <c r="H411" s="2"/>
    </row>
    <row r="412" spans="2:8" x14ac:dyDescent="0.25">
      <c r="B412" t="s">
        <v>329</v>
      </c>
      <c r="C412" t="s">
        <v>83</v>
      </c>
      <c r="D412">
        <v>1.3499999999999999</v>
      </c>
      <c r="E412">
        <v>3</v>
      </c>
      <c r="F412" t="s">
        <v>8</v>
      </c>
      <c r="G412" s="2"/>
      <c r="H412" s="2"/>
    </row>
    <row r="413" spans="2:8" x14ac:dyDescent="0.25">
      <c r="B413" t="s">
        <v>329</v>
      </c>
      <c r="C413" t="s">
        <v>83</v>
      </c>
      <c r="D413">
        <v>1.2999999999999998</v>
      </c>
      <c r="E413">
        <v>3.14</v>
      </c>
      <c r="F413" t="s">
        <v>8</v>
      </c>
      <c r="G413" s="2"/>
      <c r="H413" s="2"/>
    </row>
    <row r="414" spans="2:8" x14ac:dyDescent="0.25">
      <c r="B414" t="s">
        <v>329</v>
      </c>
      <c r="C414" t="s">
        <v>83</v>
      </c>
      <c r="D414">
        <v>1.3599999999999999</v>
      </c>
      <c r="E414">
        <v>3.1199999999999997</v>
      </c>
      <c r="F414" t="s">
        <v>8</v>
      </c>
      <c r="G414" s="2"/>
      <c r="H414" s="2"/>
    </row>
    <row r="415" spans="2:8" x14ac:dyDescent="0.25">
      <c r="B415" t="s">
        <v>329</v>
      </c>
      <c r="C415" t="s">
        <v>83</v>
      </c>
      <c r="D415">
        <v>1.3199999999999998</v>
      </c>
      <c r="E415">
        <v>2.96</v>
      </c>
      <c r="F415" t="s">
        <v>8</v>
      </c>
      <c r="G415" s="2"/>
      <c r="H415" s="2"/>
    </row>
    <row r="416" spans="2:8" x14ac:dyDescent="0.25">
      <c r="B416" t="s">
        <v>329</v>
      </c>
      <c r="C416" t="s">
        <v>83</v>
      </c>
      <c r="D416">
        <v>1.29</v>
      </c>
      <c r="E416">
        <v>3.07</v>
      </c>
      <c r="F416" t="s">
        <v>8</v>
      </c>
      <c r="G416" s="2"/>
      <c r="H416" s="2"/>
    </row>
    <row r="417" spans="2:8" x14ac:dyDescent="0.25">
      <c r="B417" t="s">
        <v>329</v>
      </c>
      <c r="C417" t="s">
        <v>83</v>
      </c>
      <c r="D417">
        <v>1.39</v>
      </c>
      <c r="E417">
        <v>3.1999999999999997</v>
      </c>
      <c r="F417" t="s">
        <v>8</v>
      </c>
      <c r="G417" s="2"/>
      <c r="H417" s="2"/>
    </row>
    <row r="418" spans="2:8" x14ac:dyDescent="0.25">
      <c r="B418" t="s">
        <v>329</v>
      </c>
      <c r="C418" t="s">
        <v>83</v>
      </c>
      <c r="D418">
        <v>1.3599999999999999</v>
      </c>
      <c r="E418">
        <v>2.96</v>
      </c>
      <c r="F418" t="s">
        <v>8</v>
      </c>
      <c r="G418" s="2"/>
      <c r="H418" s="2"/>
    </row>
    <row r="419" spans="2:8" x14ac:dyDescent="0.25">
      <c r="B419" t="s">
        <v>329</v>
      </c>
      <c r="C419" t="s">
        <v>83</v>
      </c>
      <c r="D419">
        <v>1.42</v>
      </c>
      <c r="E419">
        <v>3.12</v>
      </c>
      <c r="F419" t="s">
        <v>8</v>
      </c>
      <c r="G419" s="2"/>
      <c r="H419" s="2"/>
    </row>
    <row r="420" spans="2:8" x14ac:dyDescent="0.25">
      <c r="B420" t="s">
        <v>329</v>
      </c>
      <c r="C420" t="s">
        <v>83</v>
      </c>
      <c r="D420">
        <v>1.27</v>
      </c>
      <c r="E420">
        <v>3.12</v>
      </c>
      <c r="F420" t="s">
        <v>8</v>
      </c>
      <c r="G420" s="2"/>
      <c r="H420" s="2"/>
    </row>
    <row r="421" spans="2:8" x14ac:dyDescent="0.25">
      <c r="B421" t="s">
        <v>329</v>
      </c>
      <c r="C421" t="s">
        <v>83</v>
      </c>
      <c r="D421">
        <v>1.29</v>
      </c>
      <c r="E421">
        <v>3.25</v>
      </c>
      <c r="F421" t="s">
        <v>8</v>
      </c>
      <c r="G421" s="2"/>
      <c r="H421" s="2"/>
    </row>
    <row r="422" spans="2:8" x14ac:dyDescent="0.25">
      <c r="B422" t="s">
        <v>329</v>
      </c>
      <c r="C422" t="s">
        <v>83</v>
      </c>
      <c r="D422">
        <v>1.36</v>
      </c>
      <c r="E422">
        <v>3.1599999999999997</v>
      </c>
      <c r="F422" t="s">
        <v>8</v>
      </c>
      <c r="G422" s="2"/>
      <c r="H422" s="2"/>
    </row>
    <row r="423" spans="2:8" x14ac:dyDescent="0.25">
      <c r="B423" t="s">
        <v>197</v>
      </c>
      <c r="C423" t="s">
        <v>83</v>
      </c>
      <c r="D423">
        <v>1.74</v>
      </c>
      <c r="E423">
        <v>2.25</v>
      </c>
      <c r="F423" t="s">
        <v>8</v>
      </c>
      <c r="G423" s="2"/>
      <c r="H423" s="2"/>
    </row>
    <row r="424" spans="2:8" x14ac:dyDescent="0.25">
      <c r="B424" t="s">
        <v>197</v>
      </c>
      <c r="C424" t="s">
        <v>83</v>
      </c>
      <c r="D424">
        <v>1.61</v>
      </c>
      <c r="E424">
        <v>2.2999999999999998</v>
      </c>
      <c r="F424" t="s">
        <v>8</v>
      </c>
      <c r="G424" s="2"/>
      <c r="H424" s="2"/>
    </row>
    <row r="425" spans="2:8" x14ac:dyDescent="0.25">
      <c r="B425" t="s">
        <v>197</v>
      </c>
      <c r="C425" t="s">
        <v>83</v>
      </c>
      <c r="D425">
        <v>1.6800000000000002</v>
      </c>
      <c r="E425">
        <v>2.4499999999999997</v>
      </c>
      <c r="F425" t="s">
        <v>8</v>
      </c>
      <c r="G425" s="2"/>
      <c r="H425" s="2"/>
    </row>
    <row r="426" spans="2:8" x14ac:dyDescent="0.25">
      <c r="B426" t="s">
        <v>197</v>
      </c>
      <c r="C426" t="s">
        <v>83</v>
      </c>
      <c r="D426">
        <v>1.5699999999999998</v>
      </c>
      <c r="E426">
        <v>2.21</v>
      </c>
      <c r="F426" t="s">
        <v>8</v>
      </c>
      <c r="G426" s="2"/>
      <c r="H426" s="2"/>
    </row>
    <row r="427" spans="2:8" x14ac:dyDescent="0.25">
      <c r="B427" t="s">
        <v>197</v>
      </c>
      <c r="C427" t="s">
        <v>83</v>
      </c>
      <c r="D427">
        <v>1.7000000000000002</v>
      </c>
      <c r="E427">
        <v>2.2999999999999998</v>
      </c>
      <c r="F427" t="s">
        <v>8</v>
      </c>
      <c r="G427" s="2"/>
      <c r="H427" s="2"/>
    </row>
    <row r="428" spans="2:8" x14ac:dyDescent="0.25">
      <c r="B428" t="s">
        <v>197</v>
      </c>
      <c r="C428" t="s">
        <v>83</v>
      </c>
      <c r="D428">
        <v>1.55</v>
      </c>
      <c r="E428">
        <v>2.33</v>
      </c>
      <c r="F428" t="s">
        <v>8</v>
      </c>
      <c r="G428" s="2"/>
      <c r="H428" s="2"/>
    </row>
    <row r="429" spans="2:8" x14ac:dyDescent="0.25">
      <c r="B429" t="s">
        <v>197</v>
      </c>
      <c r="C429" t="s">
        <v>83</v>
      </c>
      <c r="D429">
        <v>1.54</v>
      </c>
      <c r="E429">
        <v>2.3199999999999998</v>
      </c>
      <c r="F429" t="s">
        <v>8</v>
      </c>
      <c r="G429" s="2"/>
      <c r="H429" s="2"/>
    </row>
    <row r="430" spans="2:8" x14ac:dyDescent="0.25">
      <c r="B430" t="s">
        <v>197</v>
      </c>
      <c r="C430" t="s">
        <v>83</v>
      </c>
      <c r="D430">
        <v>1.5999999999999999</v>
      </c>
      <c r="E430">
        <v>2.2599999999999998</v>
      </c>
      <c r="F430" t="s">
        <v>8</v>
      </c>
      <c r="G430" s="2"/>
      <c r="H430" s="2"/>
    </row>
    <row r="431" spans="2:8" x14ac:dyDescent="0.25">
      <c r="B431" t="s">
        <v>197</v>
      </c>
      <c r="C431" t="s">
        <v>83</v>
      </c>
      <c r="D431">
        <v>1.59</v>
      </c>
      <c r="E431">
        <v>2.37</v>
      </c>
      <c r="F431" t="s">
        <v>8</v>
      </c>
      <c r="G431" s="2"/>
      <c r="H431" s="2"/>
    </row>
    <row r="432" spans="2:8" x14ac:dyDescent="0.25">
      <c r="B432" t="s">
        <v>197</v>
      </c>
      <c r="C432" t="s">
        <v>83</v>
      </c>
      <c r="D432">
        <v>1.6700000000000002</v>
      </c>
      <c r="E432">
        <v>2.3000000000000003</v>
      </c>
      <c r="F432" t="s">
        <v>8</v>
      </c>
      <c r="G432" s="2"/>
      <c r="H432" s="2"/>
    </row>
    <row r="433" spans="2:8" x14ac:dyDescent="0.25">
      <c r="B433" t="s">
        <v>197</v>
      </c>
      <c r="C433" t="s">
        <v>83</v>
      </c>
      <c r="D433">
        <v>1.59</v>
      </c>
      <c r="E433">
        <v>2.37</v>
      </c>
      <c r="F433" t="s">
        <v>8</v>
      </c>
      <c r="G433" s="2"/>
      <c r="H433" s="2"/>
    </row>
    <row r="434" spans="2:8" x14ac:dyDescent="0.25">
      <c r="B434" t="s">
        <v>197</v>
      </c>
      <c r="C434" t="s">
        <v>83</v>
      </c>
      <c r="D434">
        <v>1.61</v>
      </c>
      <c r="E434">
        <v>2.34</v>
      </c>
      <c r="F434" t="s">
        <v>8</v>
      </c>
      <c r="G434" s="2"/>
      <c r="H434" s="2"/>
    </row>
    <row r="435" spans="2:8" x14ac:dyDescent="0.25">
      <c r="B435" t="s">
        <v>198</v>
      </c>
      <c r="C435" t="s">
        <v>83</v>
      </c>
      <c r="D435">
        <v>3.3000000000000003</v>
      </c>
      <c r="E435">
        <v>1.4000000000000001</v>
      </c>
      <c r="F435" t="s">
        <v>8</v>
      </c>
      <c r="G435" s="2"/>
      <c r="H435" s="2"/>
    </row>
    <row r="436" spans="2:8" x14ac:dyDescent="0.25">
      <c r="B436" t="s">
        <v>198</v>
      </c>
      <c r="C436" t="s">
        <v>83</v>
      </c>
      <c r="D436">
        <v>3.05</v>
      </c>
      <c r="E436">
        <v>1.3499999999999999</v>
      </c>
      <c r="F436" t="s">
        <v>8</v>
      </c>
      <c r="G436" s="2"/>
      <c r="H436" s="2"/>
    </row>
    <row r="437" spans="2:8" x14ac:dyDescent="0.25">
      <c r="B437" t="s">
        <v>198</v>
      </c>
      <c r="C437" t="s">
        <v>83</v>
      </c>
      <c r="D437">
        <v>3.14</v>
      </c>
      <c r="E437">
        <v>1.45</v>
      </c>
      <c r="F437" t="s">
        <v>8</v>
      </c>
      <c r="G437" s="2"/>
      <c r="H437" s="2"/>
    </row>
    <row r="438" spans="2:8" x14ac:dyDescent="0.25">
      <c r="B438" t="s">
        <v>198</v>
      </c>
      <c r="C438" t="s">
        <v>83</v>
      </c>
      <c r="D438">
        <v>3.04</v>
      </c>
      <c r="E438">
        <v>1.39</v>
      </c>
      <c r="F438" t="s">
        <v>8</v>
      </c>
      <c r="G438" s="2"/>
      <c r="H438" s="2"/>
    </row>
    <row r="439" spans="2:8" x14ac:dyDescent="0.25">
      <c r="B439" t="s">
        <v>198</v>
      </c>
      <c r="C439" t="s">
        <v>83</v>
      </c>
      <c r="D439">
        <v>3.02</v>
      </c>
      <c r="E439">
        <v>1.38</v>
      </c>
      <c r="F439" t="s">
        <v>8</v>
      </c>
      <c r="G439" s="2"/>
      <c r="H439" s="2"/>
    </row>
    <row r="440" spans="2:8" x14ac:dyDescent="0.25">
      <c r="B440" t="s">
        <v>198</v>
      </c>
      <c r="C440" t="s">
        <v>83</v>
      </c>
      <c r="D440">
        <v>3.05</v>
      </c>
      <c r="E440">
        <v>1.45</v>
      </c>
      <c r="F440" t="s">
        <v>8</v>
      </c>
      <c r="G440" s="2"/>
      <c r="H440" s="2"/>
    </row>
    <row r="441" spans="2:8" x14ac:dyDescent="0.25">
      <c r="B441" t="s">
        <v>198</v>
      </c>
      <c r="C441" t="s">
        <v>83</v>
      </c>
      <c r="D441">
        <v>3.18</v>
      </c>
      <c r="E441">
        <v>1.43</v>
      </c>
      <c r="F441" t="s">
        <v>8</v>
      </c>
      <c r="G441" s="2"/>
      <c r="H441" s="2"/>
    </row>
    <row r="442" spans="2:8" x14ac:dyDescent="0.25">
      <c r="B442" t="s">
        <v>198</v>
      </c>
      <c r="C442" t="s">
        <v>83</v>
      </c>
      <c r="D442">
        <v>3.0100000000000002</v>
      </c>
      <c r="E442">
        <v>1.3599999999999999</v>
      </c>
      <c r="F442" t="s">
        <v>8</v>
      </c>
      <c r="G442" s="2"/>
      <c r="H442" s="2"/>
    </row>
    <row r="443" spans="2:8" x14ac:dyDescent="0.25">
      <c r="B443" t="s">
        <v>198</v>
      </c>
      <c r="C443" t="s">
        <v>83</v>
      </c>
      <c r="D443">
        <v>2.9499999999999997</v>
      </c>
      <c r="E443">
        <v>1.43</v>
      </c>
      <c r="F443" t="s">
        <v>8</v>
      </c>
      <c r="G443" s="2"/>
      <c r="H443" s="2"/>
    </row>
    <row r="444" spans="2:8" x14ac:dyDescent="0.25">
      <c r="B444" t="s">
        <v>198</v>
      </c>
      <c r="C444" t="s">
        <v>83</v>
      </c>
      <c r="D444">
        <v>2.9</v>
      </c>
      <c r="E444">
        <v>1.3499999999999999</v>
      </c>
      <c r="F444" t="s">
        <v>8</v>
      </c>
      <c r="G444" s="2"/>
      <c r="H444" s="2"/>
    </row>
    <row r="445" spans="2:8" x14ac:dyDescent="0.25">
      <c r="B445" t="s">
        <v>198</v>
      </c>
      <c r="C445" t="s">
        <v>83</v>
      </c>
      <c r="D445">
        <v>3.04</v>
      </c>
      <c r="E445">
        <v>1.3399999999999999</v>
      </c>
      <c r="F445" t="s">
        <v>8</v>
      </c>
      <c r="G445" s="2"/>
      <c r="H445" s="2"/>
    </row>
    <row r="446" spans="2:8" x14ac:dyDescent="0.25">
      <c r="B446" t="s">
        <v>198</v>
      </c>
      <c r="C446" t="s">
        <v>83</v>
      </c>
      <c r="D446">
        <v>3.16</v>
      </c>
      <c r="E446">
        <v>1.3199999999999998</v>
      </c>
      <c r="F446" t="s">
        <v>8</v>
      </c>
      <c r="G446" s="2"/>
      <c r="H446" s="2"/>
    </row>
    <row r="447" spans="2:8" x14ac:dyDescent="0.25">
      <c r="B447" t="s">
        <v>199</v>
      </c>
      <c r="C447" t="s">
        <v>83</v>
      </c>
      <c r="D447">
        <v>2.3499999999999996</v>
      </c>
      <c r="E447">
        <v>1.69</v>
      </c>
      <c r="F447" t="s">
        <v>8</v>
      </c>
      <c r="G447" s="2"/>
      <c r="H447" s="2"/>
    </row>
    <row r="448" spans="2:8" x14ac:dyDescent="0.25">
      <c r="B448" t="s">
        <v>199</v>
      </c>
      <c r="C448" t="s">
        <v>83</v>
      </c>
      <c r="D448">
        <v>2.4299999999999997</v>
      </c>
      <c r="E448">
        <v>1.7100000000000002</v>
      </c>
      <c r="F448" t="s">
        <v>8</v>
      </c>
      <c r="G448" s="2"/>
      <c r="H448" s="2"/>
    </row>
    <row r="449" spans="2:8" x14ac:dyDescent="0.25">
      <c r="B449" t="s">
        <v>199</v>
      </c>
      <c r="C449" t="s">
        <v>83</v>
      </c>
      <c r="D449">
        <v>2.39</v>
      </c>
      <c r="E449">
        <v>1.69</v>
      </c>
      <c r="F449" t="s">
        <v>8</v>
      </c>
      <c r="G449" s="2"/>
      <c r="H449" s="2"/>
    </row>
    <row r="450" spans="2:8" x14ac:dyDescent="0.25">
      <c r="B450" t="s">
        <v>199</v>
      </c>
      <c r="C450" t="s">
        <v>83</v>
      </c>
      <c r="D450">
        <v>2.42</v>
      </c>
      <c r="E450">
        <v>1.6500000000000001</v>
      </c>
      <c r="F450" t="s">
        <v>8</v>
      </c>
      <c r="G450" s="2"/>
      <c r="H450" s="2"/>
    </row>
    <row r="451" spans="2:8" x14ac:dyDescent="0.25">
      <c r="B451" t="s">
        <v>199</v>
      </c>
      <c r="C451" t="s">
        <v>83</v>
      </c>
      <c r="D451">
        <v>2.4300000000000002</v>
      </c>
      <c r="E451">
        <v>1.5</v>
      </c>
      <c r="F451" t="s">
        <v>8</v>
      </c>
      <c r="G451" s="2"/>
      <c r="H451" s="2"/>
    </row>
    <row r="452" spans="2:8" x14ac:dyDescent="0.25">
      <c r="B452" t="s">
        <v>199</v>
      </c>
      <c r="C452" t="s">
        <v>83</v>
      </c>
      <c r="D452">
        <v>2.46</v>
      </c>
      <c r="E452">
        <v>1.56</v>
      </c>
      <c r="F452" t="s">
        <v>8</v>
      </c>
      <c r="G452" s="2"/>
      <c r="H452" s="2"/>
    </row>
    <row r="453" spans="2:8" x14ac:dyDescent="0.25">
      <c r="B453" t="s">
        <v>199</v>
      </c>
      <c r="C453" t="s">
        <v>83</v>
      </c>
      <c r="D453">
        <v>2.44</v>
      </c>
      <c r="E453">
        <v>1.65</v>
      </c>
      <c r="F453" t="s">
        <v>8</v>
      </c>
      <c r="G453" s="2"/>
      <c r="H453" s="2"/>
    </row>
    <row r="454" spans="2:8" x14ac:dyDescent="0.25">
      <c r="B454" t="s">
        <v>199</v>
      </c>
      <c r="C454" t="s">
        <v>83</v>
      </c>
      <c r="D454">
        <v>2.3600000000000003</v>
      </c>
      <c r="E454">
        <v>1.58</v>
      </c>
      <c r="F454" t="s">
        <v>8</v>
      </c>
      <c r="G454" s="2"/>
      <c r="H454" s="2"/>
    </row>
    <row r="455" spans="2:8" x14ac:dyDescent="0.25">
      <c r="B455" t="s">
        <v>199</v>
      </c>
      <c r="C455" t="s">
        <v>83</v>
      </c>
      <c r="D455">
        <v>2.4699999999999998</v>
      </c>
      <c r="E455">
        <v>1.57</v>
      </c>
      <c r="F455" t="s">
        <v>8</v>
      </c>
      <c r="G455" s="2"/>
      <c r="H455" s="2"/>
    </row>
    <row r="456" spans="2:8" x14ac:dyDescent="0.25">
      <c r="B456" t="s">
        <v>199</v>
      </c>
      <c r="C456" t="s">
        <v>83</v>
      </c>
      <c r="D456">
        <v>2.35</v>
      </c>
      <c r="E456">
        <v>1.61</v>
      </c>
      <c r="F456" t="s">
        <v>8</v>
      </c>
      <c r="G456" s="2"/>
      <c r="H456" s="2"/>
    </row>
    <row r="457" spans="2:8" x14ac:dyDescent="0.25">
      <c r="B457" t="s">
        <v>199</v>
      </c>
      <c r="C457" t="s">
        <v>83</v>
      </c>
      <c r="D457">
        <v>2.46</v>
      </c>
      <c r="E457">
        <v>1.6</v>
      </c>
      <c r="F457" t="s">
        <v>8</v>
      </c>
      <c r="G457" s="2"/>
      <c r="H457" s="2"/>
    </row>
    <row r="458" spans="2:8" x14ac:dyDescent="0.25">
      <c r="B458" t="s">
        <v>199</v>
      </c>
      <c r="C458" t="s">
        <v>83</v>
      </c>
      <c r="D458">
        <v>2.39</v>
      </c>
      <c r="E458">
        <v>1.59</v>
      </c>
      <c r="F458" t="s">
        <v>8</v>
      </c>
      <c r="G458" s="2"/>
      <c r="H458" s="2"/>
    </row>
    <row r="459" spans="2:8" x14ac:dyDescent="0.25">
      <c r="B459" t="s">
        <v>333</v>
      </c>
      <c r="C459" t="s">
        <v>83</v>
      </c>
      <c r="D459">
        <v>1.07</v>
      </c>
      <c r="E459">
        <v>13.03</v>
      </c>
      <c r="F459" t="s">
        <v>8</v>
      </c>
      <c r="G459" s="2"/>
      <c r="H459" s="2"/>
    </row>
    <row r="460" spans="2:8" x14ac:dyDescent="0.25">
      <c r="B460" t="s">
        <v>333</v>
      </c>
      <c r="C460" t="s">
        <v>83</v>
      </c>
      <c r="D460">
        <v>0.94000000000000006</v>
      </c>
      <c r="E460">
        <v>13.74</v>
      </c>
      <c r="F460" t="s">
        <v>8</v>
      </c>
      <c r="G460" s="2"/>
      <c r="H460" s="2"/>
    </row>
    <row r="461" spans="2:8" x14ac:dyDescent="0.25">
      <c r="B461" t="s">
        <v>333</v>
      </c>
      <c r="C461" t="s">
        <v>83</v>
      </c>
      <c r="D461">
        <v>0.95000000000000007</v>
      </c>
      <c r="E461">
        <v>12.09</v>
      </c>
      <c r="F461" t="s">
        <v>8</v>
      </c>
      <c r="G461" s="2"/>
      <c r="H461" s="2"/>
    </row>
    <row r="462" spans="2:8" x14ac:dyDescent="0.25">
      <c r="B462" t="s">
        <v>333</v>
      </c>
      <c r="C462" t="s">
        <v>83</v>
      </c>
      <c r="D462">
        <v>0.94000000000000006</v>
      </c>
      <c r="E462">
        <v>16.399999999999999</v>
      </c>
      <c r="F462" t="s">
        <v>8</v>
      </c>
      <c r="G462" s="2"/>
      <c r="H462" s="2"/>
    </row>
    <row r="463" spans="2:8" x14ac:dyDescent="0.25">
      <c r="B463" t="s">
        <v>333</v>
      </c>
      <c r="C463" t="s">
        <v>83</v>
      </c>
      <c r="D463">
        <v>1.07</v>
      </c>
      <c r="E463">
        <v>12.98</v>
      </c>
      <c r="F463" t="s">
        <v>8</v>
      </c>
      <c r="G463" s="2"/>
      <c r="H463" s="2"/>
    </row>
    <row r="464" spans="2:8" x14ac:dyDescent="0.25">
      <c r="B464" t="s">
        <v>333</v>
      </c>
      <c r="C464" t="s">
        <v>83</v>
      </c>
      <c r="D464">
        <v>1.04</v>
      </c>
      <c r="E464">
        <v>15.9</v>
      </c>
      <c r="F464" t="s">
        <v>8</v>
      </c>
      <c r="G464" s="2"/>
      <c r="H464" s="2"/>
    </row>
    <row r="465" spans="2:8" x14ac:dyDescent="0.25">
      <c r="B465" t="s">
        <v>306</v>
      </c>
      <c r="C465" t="s">
        <v>83</v>
      </c>
      <c r="D465">
        <v>2.12</v>
      </c>
      <c r="E465">
        <v>1.66</v>
      </c>
      <c r="F465" t="s">
        <v>8</v>
      </c>
      <c r="G465" s="2"/>
      <c r="H465" s="2"/>
    </row>
    <row r="466" spans="2:8" x14ac:dyDescent="0.25">
      <c r="B466" t="s">
        <v>306</v>
      </c>
      <c r="C466" t="s">
        <v>83</v>
      </c>
      <c r="D466">
        <v>2.14</v>
      </c>
      <c r="E466">
        <v>1.79</v>
      </c>
      <c r="F466" t="s">
        <v>8</v>
      </c>
      <c r="G466" s="2"/>
      <c r="H466" s="2"/>
    </row>
    <row r="467" spans="2:8" x14ac:dyDescent="0.25">
      <c r="B467" t="s">
        <v>306</v>
      </c>
      <c r="C467" t="s">
        <v>83</v>
      </c>
      <c r="D467">
        <v>2.12</v>
      </c>
      <c r="E467">
        <v>1.66</v>
      </c>
      <c r="F467" t="s">
        <v>8</v>
      </c>
      <c r="G467" s="2"/>
      <c r="H467" s="2"/>
    </row>
    <row r="468" spans="2:8" x14ac:dyDescent="0.25">
      <c r="B468" t="s">
        <v>306</v>
      </c>
      <c r="C468" t="s">
        <v>83</v>
      </c>
      <c r="D468">
        <v>2.29</v>
      </c>
      <c r="E468">
        <v>1.5499999999999998</v>
      </c>
      <c r="F468" t="s">
        <v>8</v>
      </c>
      <c r="G468" s="2"/>
      <c r="H468" s="2"/>
    </row>
    <row r="469" spans="2:8" x14ac:dyDescent="0.25">
      <c r="B469" t="s">
        <v>306</v>
      </c>
      <c r="C469" t="s">
        <v>83</v>
      </c>
      <c r="D469">
        <v>2.29</v>
      </c>
      <c r="E469">
        <v>1.73</v>
      </c>
      <c r="F469" t="s">
        <v>8</v>
      </c>
      <c r="G469" s="2"/>
      <c r="H469" s="2"/>
    </row>
    <row r="470" spans="2:8" x14ac:dyDescent="0.25">
      <c r="B470" t="s">
        <v>306</v>
      </c>
      <c r="C470" t="s">
        <v>83</v>
      </c>
      <c r="D470">
        <v>2.0900000000000003</v>
      </c>
      <c r="E470">
        <v>1.79</v>
      </c>
      <c r="F470" t="s">
        <v>8</v>
      </c>
      <c r="G470" s="2"/>
      <c r="H470" s="2"/>
    </row>
    <row r="471" spans="2:8" x14ac:dyDescent="0.25">
      <c r="B471" t="s">
        <v>306</v>
      </c>
      <c r="C471" t="s">
        <v>83</v>
      </c>
      <c r="D471">
        <v>2.1300000000000003</v>
      </c>
      <c r="E471">
        <v>1.71</v>
      </c>
      <c r="F471" t="s">
        <v>8</v>
      </c>
      <c r="G471" s="2"/>
      <c r="H471" s="2"/>
    </row>
    <row r="472" spans="2:8" x14ac:dyDescent="0.25">
      <c r="B472" t="s">
        <v>306</v>
      </c>
      <c r="C472" t="s">
        <v>83</v>
      </c>
      <c r="D472">
        <v>2.2400000000000002</v>
      </c>
      <c r="E472">
        <v>1.73</v>
      </c>
      <c r="F472" t="s">
        <v>8</v>
      </c>
      <c r="G472" s="2"/>
      <c r="H472" s="2"/>
    </row>
    <row r="473" spans="2:8" x14ac:dyDescent="0.25">
      <c r="B473" t="s">
        <v>306</v>
      </c>
      <c r="C473" t="s">
        <v>83</v>
      </c>
      <c r="D473">
        <v>2.2999999999999998</v>
      </c>
      <c r="E473">
        <v>1.64</v>
      </c>
      <c r="F473" t="s">
        <v>8</v>
      </c>
      <c r="G473" s="2"/>
      <c r="H473" s="2"/>
    </row>
    <row r="474" spans="2:8" x14ac:dyDescent="0.25">
      <c r="B474" t="s">
        <v>306</v>
      </c>
      <c r="C474" t="s">
        <v>83</v>
      </c>
      <c r="D474">
        <v>2.1100000000000003</v>
      </c>
      <c r="E474">
        <v>1.68</v>
      </c>
      <c r="F474" t="s">
        <v>8</v>
      </c>
      <c r="G474" s="2"/>
      <c r="H474" s="2"/>
    </row>
    <row r="475" spans="2:8" x14ac:dyDescent="0.25">
      <c r="B475" t="s">
        <v>306</v>
      </c>
      <c r="C475" t="s">
        <v>83</v>
      </c>
      <c r="D475">
        <v>2.1900000000000004</v>
      </c>
      <c r="E475">
        <v>1.64</v>
      </c>
      <c r="F475" t="s">
        <v>8</v>
      </c>
      <c r="G475" s="2"/>
      <c r="H475" s="2"/>
    </row>
    <row r="476" spans="2:8" x14ac:dyDescent="0.25">
      <c r="B476" t="s">
        <v>306</v>
      </c>
      <c r="C476" t="s">
        <v>83</v>
      </c>
      <c r="D476">
        <v>2.2600000000000002</v>
      </c>
      <c r="E476">
        <v>1.69</v>
      </c>
      <c r="F476" t="s">
        <v>8</v>
      </c>
      <c r="G476" s="2"/>
      <c r="H476" s="2"/>
    </row>
    <row r="477" spans="2:8" x14ac:dyDescent="0.25">
      <c r="B477" t="s">
        <v>307</v>
      </c>
      <c r="C477" t="s">
        <v>83</v>
      </c>
      <c r="D477">
        <v>4.68</v>
      </c>
      <c r="E477">
        <v>1.21</v>
      </c>
      <c r="F477" t="s">
        <v>8</v>
      </c>
      <c r="G477" s="2"/>
      <c r="H477" s="2"/>
    </row>
    <row r="478" spans="2:8" x14ac:dyDescent="0.25">
      <c r="B478" t="s">
        <v>307</v>
      </c>
      <c r="C478" t="s">
        <v>83</v>
      </c>
      <c r="D478">
        <v>4.5599999999999996</v>
      </c>
      <c r="E478">
        <v>1.21</v>
      </c>
      <c r="F478" t="s">
        <v>8</v>
      </c>
      <c r="G478" s="2"/>
      <c r="H478" s="2"/>
    </row>
    <row r="479" spans="2:8" x14ac:dyDescent="0.25">
      <c r="B479" t="s">
        <v>307</v>
      </c>
      <c r="C479" t="s">
        <v>83</v>
      </c>
      <c r="D479">
        <v>5.0999999999999996</v>
      </c>
      <c r="E479">
        <v>1.0799999999999998</v>
      </c>
      <c r="F479" t="s">
        <v>8</v>
      </c>
      <c r="G479" s="2"/>
      <c r="H479" s="2"/>
    </row>
    <row r="480" spans="2:8" x14ac:dyDescent="0.25">
      <c r="B480" t="s">
        <v>307</v>
      </c>
      <c r="C480" t="s">
        <v>83</v>
      </c>
      <c r="D480">
        <v>4.7300000000000004</v>
      </c>
      <c r="E480">
        <v>1.22</v>
      </c>
      <c r="F480" t="s">
        <v>8</v>
      </c>
      <c r="G480" s="2"/>
      <c r="H480" s="2"/>
    </row>
    <row r="481" spans="2:8" x14ac:dyDescent="0.25">
      <c r="B481" t="s">
        <v>307</v>
      </c>
      <c r="C481" t="s">
        <v>83</v>
      </c>
      <c r="D481">
        <v>4.54</v>
      </c>
      <c r="E481">
        <v>1.3</v>
      </c>
      <c r="F481" t="s">
        <v>8</v>
      </c>
      <c r="G481" s="2"/>
      <c r="H481" s="2"/>
    </row>
    <row r="482" spans="2:8" x14ac:dyDescent="0.25">
      <c r="B482" t="s">
        <v>307</v>
      </c>
      <c r="C482" t="s">
        <v>83</v>
      </c>
      <c r="D482">
        <v>4.93</v>
      </c>
      <c r="E482">
        <v>1.1199999999999999</v>
      </c>
      <c r="F482" t="s">
        <v>8</v>
      </c>
      <c r="G482" s="2"/>
      <c r="H482" s="2"/>
    </row>
    <row r="483" spans="2:8" x14ac:dyDescent="0.25">
      <c r="B483" t="s">
        <v>307</v>
      </c>
      <c r="C483" t="s">
        <v>83</v>
      </c>
      <c r="D483">
        <v>4.5299999999999994</v>
      </c>
      <c r="E483">
        <v>1.17</v>
      </c>
      <c r="F483" t="s">
        <v>8</v>
      </c>
      <c r="G483" s="2"/>
      <c r="H483" s="2"/>
    </row>
    <row r="484" spans="2:8" x14ac:dyDescent="0.25">
      <c r="B484" t="s">
        <v>307</v>
      </c>
      <c r="C484" t="s">
        <v>83</v>
      </c>
      <c r="D484">
        <v>5.1499999999999995</v>
      </c>
      <c r="E484">
        <v>1.0799999999999998</v>
      </c>
      <c r="F484" t="s">
        <v>8</v>
      </c>
      <c r="G484" s="2"/>
      <c r="H484" s="2"/>
    </row>
    <row r="485" spans="2:8" x14ac:dyDescent="0.25">
      <c r="B485" t="s">
        <v>307</v>
      </c>
      <c r="C485" t="s">
        <v>83</v>
      </c>
      <c r="D485">
        <v>4.4800000000000004</v>
      </c>
      <c r="E485">
        <v>1.1299999999999999</v>
      </c>
      <c r="F485" t="s">
        <v>8</v>
      </c>
      <c r="G485" s="2"/>
      <c r="H485" s="2"/>
    </row>
    <row r="486" spans="2:8" x14ac:dyDescent="0.25">
      <c r="B486" t="s">
        <v>307</v>
      </c>
      <c r="C486" t="s">
        <v>83</v>
      </c>
      <c r="D486">
        <v>4.43</v>
      </c>
      <c r="E486">
        <v>1.31</v>
      </c>
      <c r="F486" t="s">
        <v>8</v>
      </c>
      <c r="G486" s="2"/>
      <c r="H486" s="2"/>
    </row>
    <row r="487" spans="2:8" x14ac:dyDescent="0.25">
      <c r="B487" t="s">
        <v>307</v>
      </c>
      <c r="C487" t="s">
        <v>83</v>
      </c>
      <c r="D487">
        <v>4.37</v>
      </c>
      <c r="E487">
        <v>1.28</v>
      </c>
      <c r="F487" t="s">
        <v>8</v>
      </c>
      <c r="G487" s="2"/>
      <c r="H487" s="2"/>
    </row>
    <row r="488" spans="2:8" x14ac:dyDescent="0.25">
      <c r="B488" t="s">
        <v>307</v>
      </c>
      <c r="C488" t="s">
        <v>83</v>
      </c>
      <c r="D488">
        <v>4.67</v>
      </c>
      <c r="E488">
        <v>1.25</v>
      </c>
      <c r="F488" t="s">
        <v>8</v>
      </c>
      <c r="G488" s="2"/>
      <c r="H488" s="2"/>
    </row>
    <row r="489" spans="2:8" x14ac:dyDescent="0.25">
      <c r="B489" t="s">
        <v>203</v>
      </c>
      <c r="C489" t="s">
        <v>83</v>
      </c>
      <c r="D489">
        <v>4.9000000000000004</v>
      </c>
      <c r="E489">
        <v>1.0999999999999999</v>
      </c>
      <c r="F489" t="s">
        <v>8</v>
      </c>
      <c r="G489" s="2"/>
      <c r="H489" s="2"/>
    </row>
    <row r="490" spans="2:8" x14ac:dyDescent="0.25">
      <c r="B490" t="s">
        <v>203</v>
      </c>
      <c r="C490" t="s">
        <v>83</v>
      </c>
      <c r="D490">
        <v>4.9300000000000006</v>
      </c>
      <c r="E490">
        <v>1.1399999999999999</v>
      </c>
      <c r="F490" t="s">
        <v>8</v>
      </c>
      <c r="G490" s="2"/>
      <c r="H490" s="2"/>
    </row>
    <row r="491" spans="2:8" x14ac:dyDescent="0.25">
      <c r="B491" t="s">
        <v>203</v>
      </c>
      <c r="C491" t="s">
        <v>83</v>
      </c>
      <c r="D491">
        <v>4.92</v>
      </c>
      <c r="E491">
        <v>1.21</v>
      </c>
      <c r="F491" t="s">
        <v>8</v>
      </c>
      <c r="G491" s="2"/>
      <c r="H491" s="2"/>
    </row>
    <row r="492" spans="2:8" x14ac:dyDescent="0.25">
      <c r="B492" t="s">
        <v>203</v>
      </c>
      <c r="C492" t="s">
        <v>83</v>
      </c>
      <c r="D492">
        <v>4.99</v>
      </c>
      <c r="E492">
        <v>1.18</v>
      </c>
      <c r="F492" t="s">
        <v>8</v>
      </c>
      <c r="G492" s="2"/>
      <c r="H492" s="2"/>
    </row>
    <row r="493" spans="2:8" x14ac:dyDescent="0.25">
      <c r="B493" t="s">
        <v>203</v>
      </c>
      <c r="C493" t="s">
        <v>83</v>
      </c>
      <c r="D493">
        <v>4.8600000000000003</v>
      </c>
      <c r="E493">
        <v>1.1099999999999999</v>
      </c>
      <c r="F493" t="s">
        <v>8</v>
      </c>
      <c r="G493" s="2"/>
      <c r="H493" s="2"/>
    </row>
    <row r="494" spans="2:8" x14ac:dyDescent="0.25">
      <c r="B494" t="s">
        <v>203</v>
      </c>
      <c r="C494" t="s">
        <v>83</v>
      </c>
      <c r="D494">
        <v>4.9400000000000004</v>
      </c>
      <c r="E494">
        <v>1.22</v>
      </c>
      <c r="F494" t="s">
        <v>8</v>
      </c>
      <c r="G494" s="2"/>
      <c r="H494" s="2"/>
    </row>
    <row r="495" spans="2:8" x14ac:dyDescent="0.25">
      <c r="B495" t="s">
        <v>203</v>
      </c>
      <c r="C495" t="s">
        <v>83</v>
      </c>
      <c r="D495">
        <v>4.87</v>
      </c>
      <c r="E495">
        <v>1.28</v>
      </c>
      <c r="F495" t="s">
        <v>8</v>
      </c>
      <c r="G495" s="2"/>
      <c r="H495" s="2"/>
    </row>
    <row r="496" spans="2:8" x14ac:dyDescent="0.25">
      <c r="B496" t="s">
        <v>203</v>
      </c>
      <c r="C496" t="s">
        <v>83</v>
      </c>
      <c r="D496">
        <v>4.96</v>
      </c>
      <c r="E496">
        <v>1.1399999999999999</v>
      </c>
      <c r="F496" t="s">
        <v>8</v>
      </c>
      <c r="G496" s="2"/>
      <c r="H496" s="2"/>
    </row>
    <row r="497" spans="2:8" x14ac:dyDescent="0.25">
      <c r="B497" t="s">
        <v>203</v>
      </c>
      <c r="C497" t="s">
        <v>83</v>
      </c>
      <c r="D497">
        <v>4.8099999999999996</v>
      </c>
      <c r="E497">
        <v>1.18</v>
      </c>
      <c r="F497" t="s">
        <v>8</v>
      </c>
      <c r="G497" s="2"/>
      <c r="H497" s="2"/>
    </row>
    <row r="498" spans="2:8" x14ac:dyDescent="0.25">
      <c r="B498" t="s">
        <v>203</v>
      </c>
      <c r="C498" t="s">
        <v>83</v>
      </c>
      <c r="D498">
        <v>4.9800000000000004</v>
      </c>
      <c r="E498">
        <v>1.27</v>
      </c>
      <c r="F498" t="s">
        <v>8</v>
      </c>
      <c r="G498" s="2"/>
      <c r="H498" s="2"/>
    </row>
    <row r="499" spans="2:8" x14ac:dyDescent="0.25">
      <c r="B499" t="s">
        <v>203</v>
      </c>
      <c r="C499" t="s">
        <v>83</v>
      </c>
      <c r="D499">
        <v>4.9800000000000004</v>
      </c>
      <c r="E499">
        <v>1.0999999999999999</v>
      </c>
      <c r="F499" t="s">
        <v>8</v>
      </c>
      <c r="G499" s="2"/>
      <c r="H499" s="2"/>
    </row>
    <row r="500" spans="2:8" x14ac:dyDescent="0.25">
      <c r="B500" t="s">
        <v>203</v>
      </c>
      <c r="C500" t="s">
        <v>83</v>
      </c>
      <c r="D500">
        <v>4.9800000000000004</v>
      </c>
      <c r="E500">
        <v>1.25</v>
      </c>
      <c r="F500" t="s">
        <v>8</v>
      </c>
      <c r="G500" s="2"/>
      <c r="H500" s="2"/>
    </row>
    <row r="501" spans="2:8" x14ac:dyDescent="0.25">
      <c r="B501" t="s">
        <v>204</v>
      </c>
      <c r="C501" t="s">
        <v>83</v>
      </c>
      <c r="D501">
        <v>6.33</v>
      </c>
      <c r="E501">
        <v>1.2</v>
      </c>
      <c r="F501" t="s">
        <v>8</v>
      </c>
      <c r="G501" s="2"/>
      <c r="H501" s="2"/>
    </row>
    <row r="502" spans="2:8" x14ac:dyDescent="0.25">
      <c r="B502" t="s">
        <v>204</v>
      </c>
      <c r="C502" t="s">
        <v>83</v>
      </c>
      <c r="D502">
        <v>6.47</v>
      </c>
      <c r="E502">
        <v>1.0699999999999998</v>
      </c>
      <c r="F502" t="s">
        <v>8</v>
      </c>
      <c r="G502" s="2"/>
      <c r="H502" s="2"/>
    </row>
    <row r="503" spans="2:8" x14ac:dyDescent="0.25">
      <c r="B503" t="s">
        <v>204</v>
      </c>
      <c r="C503" t="s">
        <v>83</v>
      </c>
      <c r="D503">
        <v>6.7</v>
      </c>
      <c r="E503">
        <v>1.05</v>
      </c>
      <c r="F503" t="s">
        <v>8</v>
      </c>
      <c r="G503" s="2"/>
      <c r="H503" s="2"/>
    </row>
    <row r="504" spans="2:8" x14ac:dyDescent="0.25">
      <c r="B504" t="s">
        <v>204</v>
      </c>
      <c r="C504" t="s">
        <v>83</v>
      </c>
      <c r="D504">
        <v>6.29</v>
      </c>
      <c r="E504">
        <v>1.1000000000000001</v>
      </c>
      <c r="F504" t="s">
        <v>8</v>
      </c>
      <c r="G504" s="2"/>
      <c r="H504" s="2"/>
    </row>
    <row r="505" spans="2:8" x14ac:dyDescent="0.25">
      <c r="B505" t="s">
        <v>204</v>
      </c>
      <c r="C505" t="s">
        <v>83</v>
      </c>
      <c r="D505">
        <v>6.56</v>
      </c>
      <c r="E505">
        <v>1.05</v>
      </c>
      <c r="F505" t="s">
        <v>8</v>
      </c>
      <c r="G505" s="2"/>
      <c r="H505" s="2"/>
    </row>
    <row r="506" spans="2:8" x14ac:dyDescent="0.25">
      <c r="B506" t="s">
        <v>204</v>
      </c>
      <c r="C506" t="s">
        <v>83</v>
      </c>
      <c r="D506">
        <v>6.8199999999999994</v>
      </c>
      <c r="E506">
        <v>1.1600000000000001</v>
      </c>
      <c r="F506" t="s">
        <v>8</v>
      </c>
      <c r="G506" s="2"/>
      <c r="H506" s="2"/>
    </row>
    <row r="507" spans="2:8" x14ac:dyDescent="0.25">
      <c r="B507" t="s">
        <v>204</v>
      </c>
      <c r="C507" t="s">
        <v>83</v>
      </c>
      <c r="D507">
        <v>6.43</v>
      </c>
      <c r="E507">
        <v>1.21</v>
      </c>
      <c r="F507" t="s">
        <v>8</v>
      </c>
      <c r="G507" s="2"/>
      <c r="H507" s="2"/>
    </row>
    <row r="508" spans="2:8" x14ac:dyDescent="0.25">
      <c r="B508" t="s">
        <v>204</v>
      </c>
      <c r="C508" t="s">
        <v>83</v>
      </c>
      <c r="D508">
        <v>6.67</v>
      </c>
      <c r="E508">
        <v>1.07</v>
      </c>
      <c r="F508" t="s">
        <v>8</v>
      </c>
      <c r="G508" s="2"/>
      <c r="H508" s="2"/>
    </row>
    <row r="509" spans="2:8" x14ac:dyDescent="0.25">
      <c r="B509" t="s">
        <v>204</v>
      </c>
      <c r="C509" t="s">
        <v>83</v>
      </c>
      <c r="D509">
        <v>6.28</v>
      </c>
      <c r="E509">
        <v>1.0299999999999998</v>
      </c>
      <c r="F509" t="s">
        <v>8</v>
      </c>
      <c r="G509" s="2"/>
      <c r="H509" s="2"/>
    </row>
    <row r="510" spans="2:8" x14ac:dyDescent="0.25">
      <c r="B510" t="s">
        <v>204</v>
      </c>
      <c r="C510" t="s">
        <v>83</v>
      </c>
      <c r="D510">
        <v>6.48</v>
      </c>
      <c r="E510">
        <v>1.03</v>
      </c>
      <c r="F510" t="s">
        <v>8</v>
      </c>
      <c r="G510" s="2"/>
      <c r="H510" s="2"/>
    </row>
    <row r="511" spans="2:8" x14ac:dyDescent="0.25">
      <c r="B511" t="s">
        <v>204</v>
      </c>
      <c r="C511" t="s">
        <v>83</v>
      </c>
      <c r="D511">
        <v>5.98</v>
      </c>
      <c r="E511">
        <v>1.1299999999999999</v>
      </c>
      <c r="F511" t="s">
        <v>8</v>
      </c>
      <c r="G511" s="2"/>
      <c r="H511" s="2"/>
    </row>
    <row r="512" spans="2:8" x14ac:dyDescent="0.25">
      <c r="B512" t="s">
        <v>204</v>
      </c>
      <c r="C512" t="s">
        <v>83</v>
      </c>
      <c r="D512">
        <v>6.1800000000000006</v>
      </c>
      <c r="E512">
        <v>1.1599999999999999</v>
      </c>
      <c r="F512" t="s">
        <v>8</v>
      </c>
      <c r="G512" s="2"/>
      <c r="H512" s="2"/>
    </row>
    <row r="513" spans="2:8" x14ac:dyDescent="0.25">
      <c r="B513" t="s">
        <v>308</v>
      </c>
      <c r="C513" t="s">
        <v>206</v>
      </c>
      <c r="D513">
        <v>16.02</v>
      </c>
      <c r="E513">
        <v>1.04</v>
      </c>
      <c r="F513" t="s">
        <v>8</v>
      </c>
      <c r="G513" s="2"/>
      <c r="H513" s="2"/>
    </row>
    <row r="514" spans="2:8" x14ac:dyDescent="0.25">
      <c r="B514" t="s">
        <v>308</v>
      </c>
      <c r="C514" t="s">
        <v>206</v>
      </c>
      <c r="D514">
        <v>16.95</v>
      </c>
      <c r="E514">
        <v>1.0900000000000001</v>
      </c>
      <c r="F514" t="s">
        <v>8</v>
      </c>
      <c r="G514" s="2"/>
      <c r="H514" s="2"/>
    </row>
    <row r="515" spans="2:8" x14ac:dyDescent="0.25">
      <c r="B515" t="s">
        <v>308</v>
      </c>
      <c r="C515" t="s">
        <v>206</v>
      </c>
      <c r="D515">
        <v>19.010000000000002</v>
      </c>
      <c r="E515">
        <v>1.07</v>
      </c>
      <c r="F515" t="s">
        <v>8</v>
      </c>
      <c r="G515" s="2"/>
      <c r="H515" s="2"/>
    </row>
    <row r="516" spans="2:8" x14ac:dyDescent="0.25">
      <c r="B516" t="s">
        <v>308</v>
      </c>
      <c r="C516" t="s">
        <v>206</v>
      </c>
      <c r="D516">
        <v>17.05</v>
      </c>
      <c r="E516">
        <v>1.0900000000000001</v>
      </c>
      <c r="F516" t="s">
        <v>8</v>
      </c>
      <c r="G516" s="2"/>
      <c r="H516" s="2"/>
    </row>
    <row r="517" spans="2:8" x14ac:dyDescent="0.25">
      <c r="B517" t="s">
        <v>308</v>
      </c>
      <c r="C517" t="s">
        <v>206</v>
      </c>
      <c r="D517">
        <v>19</v>
      </c>
      <c r="E517">
        <v>0.96</v>
      </c>
      <c r="F517" t="s">
        <v>8</v>
      </c>
      <c r="G517" s="2"/>
      <c r="H517" s="2"/>
    </row>
    <row r="518" spans="2:8" x14ac:dyDescent="0.25">
      <c r="B518" t="s">
        <v>308</v>
      </c>
      <c r="C518" t="s">
        <v>206</v>
      </c>
      <c r="D518">
        <v>14.93</v>
      </c>
      <c r="E518">
        <v>1.1100000000000001</v>
      </c>
      <c r="F518" t="s">
        <v>8</v>
      </c>
      <c r="G518" s="2"/>
      <c r="H518" s="2"/>
    </row>
    <row r="519" spans="2:8" x14ac:dyDescent="0.25">
      <c r="B519" t="s">
        <v>309</v>
      </c>
      <c r="C519" t="s">
        <v>206</v>
      </c>
      <c r="D519">
        <v>12.09</v>
      </c>
      <c r="E519">
        <v>1.1400000000000001</v>
      </c>
      <c r="F519" t="s">
        <v>8</v>
      </c>
      <c r="G519" s="2"/>
      <c r="H519" s="2"/>
    </row>
    <row r="520" spans="2:8" x14ac:dyDescent="0.25">
      <c r="B520" t="s">
        <v>309</v>
      </c>
      <c r="C520" t="s">
        <v>206</v>
      </c>
      <c r="D520">
        <v>15.03</v>
      </c>
      <c r="E520">
        <v>0.97</v>
      </c>
      <c r="F520" t="s">
        <v>8</v>
      </c>
      <c r="G520" s="2"/>
      <c r="H520" s="2"/>
    </row>
    <row r="521" spans="2:8" x14ac:dyDescent="0.25">
      <c r="B521" t="s">
        <v>309</v>
      </c>
      <c r="C521" t="s">
        <v>206</v>
      </c>
      <c r="D521">
        <v>11.01</v>
      </c>
      <c r="E521">
        <v>0.95000000000000007</v>
      </c>
      <c r="F521" t="s">
        <v>8</v>
      </c>
      <c r="G521" s="2"/>
      <c r="H521" s="2"/>
    </row>
    <row r="522" spans="2:8" x14ac:dyDescent="0.25">
      <c r="B522" t="s">
        <v>309</v>
      </c>
      <c r="C522" t="s">
        <v>206</v>
      </c>
      <c r="D522">
        <v>14.9</v>
      </c>
      <c r="E522">
        <v>1.04</v>
      </c>
      <c r="F522" t="s">
        <v>8</v>
      </c>
      <c r="G522" s="2"/>
      <c r="H522" s="2"/>
    </row>
    <row r="523" spans="2:8" x14ac:dyDescent="0.25">
      <c r="B523" t="s">
        <v>309</v>
      </c>
      <c r="C523" t="s">
        <v>206</v>
      </c>
      <c r="D523">
        <v>13.54</v>
      </c>
      <c r="E523">
        <v>1.05</v>
      </c>
      <c r="F523" t="s">
        <v>8</v>
      </c>
      <c r="G523" s="2"/>
      <c r="H523" s="2"/>
    </row>
    <row r="524" spans="2:8" x14ac:dyDescent="0.25">
      <c r="B524" t="s">
        <v>309</v>
      </c>
      <c r="C524" t="s">
        <v>206</v>
      </c>
      <c r="D524">
        <v>12.66</v>
      </c>
      <c r="E524">
        <v>1.1000000000000001</v>
      </c>
      <c r="F524" t="s">
        <v>8</v>
      </c>
      <c r="G524" s="2"/>
      <c r="H524" s="2"/>
    </row>
    <row r="525" spans="2:8" x14ac:dyDescent="0.25">
      <c r="B525" t="s">
        <v>309</v>
      </c>
      <c r="C525" t="s">
        <v>206</v>
      </c>
      <c r="D525">
        <v>15.04</v>
      </c>
      <c r="E525">
        <v>1.04</v>
      </c>
      <c r="F525" t="s">
        <v>8</v>
      </c>
      <c r="G525" s="2"/>
      <c r="H525" s="2"/>
    </row>
    <row r="526" spans="2:8" x14ac:dyDescent="0.25">
      <c r="B526" t="s">
        <v>309</v>
      </c>
      <c r="C526" t="s">
        <v>206</v>
      </c>
      <c r="D526">
        <v>13.02</v>
      </c>
      <c r="E526">
        <v>1.1100000000000001</v>
      </c>
      <c r="F526" t="s">
        <v>8</v>
      </c>
      <c r="G526" s="2"/>
      <c r="H526" s="2"/>
    </row>
    <row r="527" spans="2:8" x14ac:dyDescent="0.25">
      <c r="B527" t="s">
        <v>309</v>
      </c>
      <c r="C527" t="s">
        <v>206</v>
      </c>
      <c r="D527">
        <v>13.97</v>
      </c>
      <c r="E527">
        <v>0.95</v>
      </c>
      <c r="F527" t="s">
        <v>8</v>
      </c>
      <c r="G527" s="2"/>
      <c r="H527" s="2"/>
    </row>
    <row r="528" spans="2:8" x14ac:dyDescent="0.25">
      <c r="B528" t="s">
        <v>310</v>
      </c>
      <c r="C528" t="s">
        <v>206</v>
      </c>
      <c r="D528">
        <v>1.1100000000000001</v>
      </c>
      <c r="E528">
        <v>10.56</v>
      </c>
      <c r="F528" t="s">
        <v>8</v>
      </c>
      <c r="G528" s="2"/>
      <c r="H528" s="2"/>
    </row>
    <row r="529" spans="2:8" x14ac:dyDescent="0.25">
      <c r="B529" t="s">
        <v>310</v>
      </c>
      <c r="C529" t="s">
        <v>206</v>
      </c>
      <c r="D529">
        <v>0.96</v>
      </c>
      <c r="E529">
        <v>12.96</v>
      </c>
      <c r="F529" t="s">
        <v>8</v>
      </c>
      <c r="G529" s="2"/>
      <c r="H529" s="2"/>
    </row>
    <row r="530" spans="2:8" x14ac:dyDescent="0.25">
      <c r="B530" t="s">
        <v>310</v>
      </c>
      <c r="C530" t="s">
        <v>206</v>
      </c>
      <c r="D530">
        <v>0.97</v>
      </c>
      <c r="E530">
        <v>11.91</v>
      </c>
      <c r="F530" t="s">
        <v>8</v>
      </c>
      <c r="G530" s="2"/>
      <c r="H530" s="2"/>
    </row>
    <row r="531" spans="2:8" x14ac:dyDescent="0.25">
      <c r="B531" t="s">
        <v>310</v>
      </c>
      <c r="C531" t="s">
        <v>206</v>
      </c>
      <c r="D531">
        <v>1.08</v>
      </c>
      <c r="E531">
        <v>10.97</v>
      </c>
      <c r="F531" t="s">
        <v>8</v>
      </c>
      <c r="G531" s="2"/>
      <c r="H531" s="2"/>
    </row>
    <row r="532" spans="2:8" x14ac:dyDescent="0.25">
      <c r="B532" t="s">
        <v>310</v>
      </c>
      <c r="C532" t="s">
        <v>206</v>
      </c>
      <c r="D532">
        <v>0.95000000000000007</v>
      </c>
      <c r="E532">
        <v>12.43</v>
      </c>
      <c r="F532" t="s">
        <v>8</v>
      </c>
      <c r="G532" s="2"/>
      <c r="H532" s="2"/>
    </row>
    <row r="533" spans="2:8" x14ac:dyDescent="0.25">
      <c r="B533" t="s">
        <v>310</v>
      </c>
      <c r="C533" t="s">
        <v>206</v>
      </c>
      <c r="D533">
        <v>1.1200000000000001</v>
      </c>
      <c r="E533">
        <v>12.96</v>
      </c>
      <c r="F533" t="s">
        <v>8</v>
      </c>
      <c r="G533" s="2"/>
      <c r="H533" s="2"/>
    </row>
    <row r="534" spans="2:8" x14ac:dyDescent="0.25">
      <c r="B534" t="s">
        <v>310</v>
      </c>
      <c r="C534" t="s">
        <v>206</v>
      </c>
      <c r="D534">
        <v>1.01</v>
      </c>
      <c r="E534">
        <v>13.03</v>
      </c>
      <c r="F534" t="s">
        <v>8</v>
      </c>
      <c r="G534" s="2"/>
      <c r="H534" s="2"/>
    </row>
    <row r="535" spans="2:8" x14ac:dyDescent="0.25">
      <c r="B535" t="s">
        <v>310</v>
      </c>
      <c r="C535" t="s">
        <v>206</v>
      </c>
      <c r="D535">
        <v>0.94000000000000006</v>
      </c>
      <c r="E535">
        <v>12.08</v>
      </c>
      <c r="F535" t="s">
        <v>8</v>
      </c>
      <c r="G535" s="2"/>
      <c r="H535" s="2"/>
    </row>
    <row r="536" spans="2:8" x14ac:dyDescent="0.25">
      <c r="B536" t="s">
        <v>310</v>
      </c>
      <c r="C536" t="s">
        <v>206</v>
      </c>
      <c r="D536">
        <v>0.99</v>
      </c>
      <c r="E536">
        <v>13.09</v>
      </c>
      <c r="F536" t="s">
        <v>8</v>
      </c>
      <c r="G536" s="2"/>
      <c r="H536" s="2"/>
    </row>
    <row r="537" spans="2:8" x14ac:dyDescent="0.25">
      <c r="B537" t="s">
        <v>310</v>
      </c>
      <c r="C537" t="s">
        <v>206</v>
      </c>
      <c r="D537">
        <v>1</v>
      </c>
      <c r="E537">
        <v>13.02</v>
      </c>
      <c r="F537" t="s">
        <v>8</v>
      </c>
      <c r="G537" s="2"/>
      <c r="H537" s="2"/>
    </row>
    <row r="538" spans="2:8" x14ac:dyDescent="0.25">
      <c r="B538" t="s">
        <v>310</v>
      </c>
      <c r="C538" t="s">
        <v>206</v>
      </c>
      <c r="D538">
        <v>1.07</v>
      </c>
      <c r="E538">
        <v>12.989999999999998</v>
      </c>
      <c r="F538" t="s">
        <v>8</v>
      </c>
      <c r="G538" s="2"/>
      <c r="H538" s="2"/>
    </row>
    <row r="539" spans="2:8" x14ac:dyDescent="0.25">
      <c r="B539" t="s">
        <v>311</v>
      </c>
      <c r="C539" t="s">
        <v>206</v>
      </c>
      <c r="D539">
        <v>3.34</v>
      </c>
      <c r="E539">
        <v>1.4300000000000002</v>
      </c>
      <c r="F539" t="s">
        <v>8</v>
      </c>
      <c r="G539" s="2"/>
      <c r="H539" s="2"/>
    </row>
    <row r="540" spans="2:8" x14ac:dyDescent="0.25">
      <c r="B540" t="s">
        <v>311</v>
      </c>
      <c r="C540" t="s">
        <v>206</v>
      </c>
      <c r="D540">
        <v>3.19</v>
      </c>
      <c r="E540">
        <v>1.2799999999999998</v>
      </c>
      <c r="F540" t="s">
        <v>8</v>
      </c>
      <c r="G540" s="2"/>
      <c r="H540" s="2"/>
    </row>
    <row r="541" spans="2:8" x14ac:dyDescent="0.25">
      <c r="B541" t="s">
        <v>311</v>
      </c>
      <c r="C541" t="s">
        <v>206</v>
      </c>
      <c r="D541">
        <v>3.27</v>
      </c>
      <c r="E541">
        <v>1.37</v>
      </c>
      <c r="F541" t="s">
        <v>8</v>
      </c>
      <c r="G541" s="2"/>
      <c r="H541" s="2"/>
    </row>
    <row r="542" spans="2:8" x14ac:dyDescent="0.25">
      <c r="B542" t="s">
        <v>311</v>
      </c>
      <c r="C542" t="s">
        <v>206</v>
      </c>
      <c r="D542">
        <v>3.16</v>
      </c>
      <c r="E542">
        <v>1.37</v>
      </c>
      <c r="F542" t="s">
        <v>8</v>
      </c>
      <c r="G542" s="2"/>
      <c r="H542" s="2"/>
    </row>
    <row r="543" spans="2:8" x14ac:dyDescent="0.25">
      <c r="B543" t="s">
        <v>311</v>
      </c>
      <c r="C543" t="s">
        <v>206</v>
      </c>
      <c r="D543">
        <v>3.29</v>
      </c>
      <c r="E543">
        <v>1.36</v>
      </c>
      <c r="F543" t="s">
        <v>8</v>
      </c>
      <c r="G543" s="2"/>
      <c r="H543" s="2"/>
    </row>
    <row r="544" spans="2:8" x14ac:dyDescent="0.25">
      <c r="B544" t="s">
        <v>311</v>
      </c>
      <c r="C544" t="s">
        <v>206</v>
      </c>
      <c r="D544">
        <v>3.27</v>
      </c>
      <c r="E544">
        <v>1.4100000000000001</v>
      </c>
      <c r="F544" t="s">
        <v>8</v>
      </c>
      <c r="G544" s="2"/>
      <c r="H544" s="2"/>
    </row>
    <row r="545" spans="2:8" x14ac:dyDescent="0.25">
      <c r="B545" t="s">
        <v>311</v>
      </c>
      <c r="C545" t="s">
        <v>206</v>
      </c>
      <c r="D545">
        <v>3.26</v>
      </c>
      <c r="E545">
        <v>1.3399999999999999</v>
      </c>
      <c r="F545" t="s">
        <v>8</v>
      </c>
      <c r="G545" s="2"/>
      <c r="H545" s="2"/>
    </row>
    <row r="546" spans="2:8" x14ac:dyDescent="0.25">
      <c r="B546" t="s">
        <v>311</v>
      </c>
      <c r="C546" t="s">
        <v>206</v>
      </c>
      <c r="D546">
        <v>3.26</v>
      </c>
      <c r="E546">
        <v>1.4000000000000001</v>
      </c>
      <c r="F546" t="s">
        <v>8</v>
      </c>
      <c r="G546" s="2"/>
      <c r="H546" s="2"/>
    </row>
    <row r="547" spans="2:8" x14ac:dyDescent="0.25">
      <c r="B547" t="s">
        <v>311</v>
      </c>
      <c r="C547" t="s">
        <v>206</v>
      </c>
      <c r="D547">
        <v>3.11</v>
      </c>
      <c r="E547">
        <v>1.42</v>
      </c>
      <c r="F547" t="s">
        <v>8</v>
      </c>
      <c r="G547" s="2"/>
      <c r="H547" s="2"/>
    </row>
    <row r="548" spans="2:8" x14ac:dyDescent="0.25">
      <c r="B548" t="s">
        <v>311</v>
      </c>
      <c r="C548" t="s">
        <v>206</v>
      </c>
      <c r="D548">
        <v>3.1900000000000004</v>
      </c>
      <c r="E548">
        <v>1.28</v>
      </c>
      <c r="F548" t="s">
        <v>8</v>
      </c>
      <c r="G548" s="2"/>
      <c r="H548" s="2"/>
    </row>
    <row r="549" spans="2:8" x14ac:dyDescent="0.25">
      <c r="B549" t="s">
        <v>311</v>
      </c>
      <c r="C549" t="s">
        <v>206</v>
      </c>
      <c r="D549">
        <v>3.28</v>
      </c>
      <c r="E549">
        <v>1.4100000000000001</v>
      </c>
      <c r="F549" t="s">
        <v>8</v>
      </c>
      <c r="G549" s="2"/>
      <c r="H549" s="2"/>
    </row>
    <row r="550" spans="2:8" x14ac:dyDescent="0.25">
      <c r="B550" t="s">
        <v>311</v>
      </c>
      <c r="C550" t="s">
        <v>206</v>
      </c>
      <c r="D550">
        <v>3.23</v>
      </c>
      <c r="E550">
        <v>1.26</v>
      </c>
      <c r="F550" t="s">
        <v>8</v>
      </c>
      <c r="G550" s="2"/>
      <c r="H550" s="2"/>
    </row>
    <row r="551" spans="2:8" x14ac:dyDescent="0.25">
      <c r="B551" t="s">
        <v>331</v>
      </c>
      <c r="C551" t="s">
        <v>211</v>
      </c>
      <c r="D551">
        <v>1.7</v>
      </c>
      <c r="E551">
        <v>2.16</v>
      </c>
      <c r="F551" t="s">
        <v>8</v>
      </c>
      <c r="G551" s="2"/>
      <c r="H551" s="2"/>
    </row>
    <row r="552" spans="2:8" x14ac:dyDescent="0.25">
      <c r="B552" t="s">
        <v>331</v>
      </c>
      <c r="C552" t="s">
        <v>211</v>
      </c>
      <c r="D552">
        <v>1.74</v>
      </c>
      <c r="E552">
        <v>2.34</v>
      </c>
      <c r="F552" t="s">
        <v>8</v>
      </c>
      <c r="G552" s="2"/>
      <c r="H552" s="2"/>
    </row>
    <row r="553" spans="2:8" x14ac:dyDescent="0.25">
      <c r="B553" t="s">
        <v>331</v>
      </c>
      <c r="C553" t="s">
        <v>211</v>
      </c>
      <c r="D553">
        <v>1.74</v>
      </c>
      <c r="E553">
        <v>2.0700000000000003</v>
      </c>
      <c r="F553" t="s">
        <v>8</v>
      </c>
      <c r="G553" s="2"/>
      <c r="H553" s="2"/>
    </row>
    <row r="554" spans="2:8" x14ac:dyDescent="0.25">
      <c r="B554" t="s">
        <v>331</v>
      </c>
      <c r="C554" t="s">
        <v>211</v>
      </c>
      <c r="D554">
        <v>1.75</v>
      </c>
      <c r="E554">
        <v>2.19</v>
      </c>
      <c r="F554" t="s">
        <v>8</v>
      </c>
      <c r="G554" s="2"/>
      <c r="H554" s="2"/>
    </row>
    <row r="555" spans="2:8" x14ac:dyDescent="0.25">
      <c r="B555" t="s">
        <v>331</v>
      </c>
      <c r="C555" t="s">
        <v>211</v>
      </c>
      <c r="D555">
        <v>1.72</v>
      </c>
      <c r="E555">
        <v>2.2799999999999998</v>
      </c>
      <c r="F555" t="s">
        <v>8</v>
      </c>
      <c r="G555" s="2"/>
      <c r="H555" s="2"/>
    </row>
    <row r="556" spans="2:8" x14ac:dyDescent="0.25">
      <c r="B556" t="s">
        <v>331</v>
      </c>
      <c r="C556" t="s">
        <v>211</v>
      </c>
      <c r="D556">
        <v>1.69</v>
      </c>
      <c r="E556">
        <v>2.3199999999999998</v>
      </c>
      <c r="F556" t="s">
        <v>8</v>
      </c>
      <c r="G556" s="2"/>
      <c r="H556" s="2"/>
    </row>
    <row r="557" spans="2:8" x14ac:dyDescent="0.25">
      <c r="B557" t="s">
        <v>331</v>
      </c>
      <c r="C557" t="s">
        <v>211</v>
      </c>
      <c r="D557">
        <v>1.65</v>
      </c>
      <c r="E557">
        <v>2.2199999999999998</v>
      </c>
      <c r="F557" t="s">
        <v>8</v>
      </c>
      <c r="G557" s="2"/>
      <c r="H557" s="2"/>
    </row>
    <row r="558" spans="2:8" x14ac:dyDescent="0.25">
      <c r="B558" t="s">
        <v>331</v>
      </c>
      <c r="C558" t="s">
        <v>211</v>
      </c>
      <c r="D558">
        <v>1.66</v>
      </c>
      <c r="E558">
        <v>2.13</v>
      </c>
      <c r="F558" t="s">
        <v>8</v>
      </c>
      <c r="G558" s="2"/>
      <c r="H558" s="2"/>
    </row>
    <row r="559" spans="2:8" x14ac:dyDescent="0.25">
      <c r="B559" t="s">
        <v>331</v>
      </c>
      <c r="C559" t="s">
        <v>211</v>
      </c>
      <c r="D559">
        <v>1.6199999999999999</v>
      </c>
      <c r="E559">
        <v>2.2799999999999998</v>
      </c>
      <c r="F559" t="s">
        <v>8</v>
      </c>
      <c r="G559" s="2"/>
      <c r="H559" s="2"/>
    </row>
    <row r="560" spans="2:8" x14ac:dyDescent="0.25">
      <c r="B560" t="s">
        <v>331</v>
      </c>
      <c r="C560" t="s">
        <v>211</v>
      </c>
      <c r="D560">
        <v>1.6099999999999999</v>
      </c>
      <c r="E560">
        <v>2.21</v>
      </c>
      <c r="F560" t="s">
        <v>8</v>
      </c>
      <c r="G560" s="2"/>
      <c r="H560" s="2"/>
    </row>
    <row r="561" spans="2:8" x14ac:dyDescent="0.25">
      <c r="B561" t="s">
        <v>331</v>
      </c>
      <c r="C561" t="s">
        <v>211</v>
      </c>
      <c r="D561">
        <v>1.68</v>
      </c>
      <c r="E561">
        <v>2.29</v>
      </c>
      <c r="F561" t="s">
        <v>8</v>
      </c>
      <c r="G561" s="2"/>
      <c r="H561" s="2"/>
    </row>
    <row r="562" spans="2:8" x14ac:dyDescent="0.25">
      <c r="B562" t="s">
        <v>331</v>
      </c>
      <c r="C562" t="s">
        <v>211</v>
      </c>
      <c r="D562">
        <v>1.74</v>
      </c>
      <c r="E562">
        <v>2.2000000000000002</v>
      </c>
      <c r="F562" t="s">
        <v>8</v>
      </c>
      <c r="G562" s="2"/>
      <c r="H562" s="2"/>
    </row>
    <row r="563" spans="2:8" x14ac:dyDescent="0.25">
      <c r="B563" t="s">
        <v>325</v>
      </c>
      <c r="C563" t="s">
        <v>211</v>
      </c>
      <c r="D563">
        <v>4.28</v>
      </c>
      <c r="E563">
        <v>1.3</v>
      </c>
      <c r="F563" t="s">
        <v>8</v>
      </c>
      <c r="G563" s="2"/>
      <c r="H563" s="2"/>
    </row>
    <row r="564" spans="2:8" x14ac:dyDescent="0.25">
      <c r="B564" t="s">
        <v>325</v>
      </c>
      <c r="C564" t="s">
        <v>211</v>
      </c>
      <c r="D564">
        <v>4.2700000000000005</v>
      </c>
      <c r="E564">
        <v>1.31</v>
      </c>
      <c r="F564" t="s">
        <v>8</v>
      </c>
      <c r="G564" s="2"/>
      <c r="H564" s="2"/>
    </row>
    <row r="565" spans="2:8" x14ac:dyDescent="0.25">
      <c r="B565" t="s">
        <v>325</v>
      </c>
      <c r="C565" t="s">
        <v>211</v>
      </c>
      <c r="D565">
        <v>4.26</v>
      </c>
      <c r="E565">
        <v>1.24</v>
      </c>
      <c r="F565" t="s">
        <v>8</v>
      </c>
      <c r="G565" s="2"/>
      <c r="H565" s="2"/>
    </row>
    <row r="566" spans="2:8" x14ac:dyDescent="0.25">
      <c r="B566" t="s">
        <v>325</v>
      </c>
      <c r="C566" t="s">
        <v>211</v>
      </c>
      <c r="D566">
        <v>4.1000000000000005</v>
      </c>
      <c r="E566">
        <v>1.33</v>
      </c>
      <c r="F566" t="s">
        <v>8</v>
      </c>
      <c r="G566" s="2"/>
      <c r="H566" s="2"/>
    </row>
    <row r="567" spans="2:8" x14ac:dyDescent="0.25">
      <c r="B567" t="s">
        <v>325</v>
      </c>
      <c r="C567" t="s">
        <v>211</v>
      </c>
      <c r="D567">
        <v>4.28</v>
      </c>
      <c r="E567">
        <v>1.19</v>
      </c>
      <c r="F567" t="s">
        <v>8</v>
      </c>
      <c r="G567" s="2"/>
      <c r="H567" s="2"/>
    </row>
    <row r="568" spans="2:8" x14ac:dyDescent="0.25">
      <c r="B568" t="s">
        <v>325</v>
      </c>
      <c r="C568" t="s">
        <v>211</v>
      </c>
      <c r="D568">
        <v>4.1300000000000008</v>
      </c>
      <c r="E568">
        <v>1.23</v>
      </c>
      <c r="F568" t="s">
        <v>8</v>
      </c>
      <c r="G568" s="2"/>
      <c r="H568" s="2"/>
    </row>
    <row r="569" spans="2:8" x14ac:dyDescent="0.25">
      <c r="B569" t="s">
        <v>325</v>
      </c>
      <c r="C569" t="s">
        <v>211</v>
      </c>
      <c r="D569">
        <v>4.26</v>
      </c>
      <c r="E569">
        <v>1.1499999999999999</v>
      </c>
      <c r="F569" t="s">
        <v>8</v>
      </c>
      <c r="G569" s="2"/>
      <c r="H569" s="2"/>
    </row>
    <row r="570" spans="2:8" x14ac:dyDescent="0.25">
      <c r="B570" t="s">
        <v>325</v>
      </c>
      <c r="C570" t="s">
        <v>211</v>
      </c>
      <c r="D570">
        <v>4.37</v>
      </c>
      <c r="E570">
        <v>1.3</v>
      </c>
      <c r="F570" t="s">
        <v>8</v>
      </c>
      <c r="G570" s="2"/>
      <c r="H570" s="2"/>
    </row>
    <row r="571" spans="2:8" x14ac:dyDescent="0.25">
      <c r="B571" t="s">
        <v>325</v>
      </c>
      <c r="C571" t="s">
        <v>211</v>
      </c>
      <c r="D571">
        <v>4.12</v>
      </c>
      <c r="E571">
        <v>1.21</v>
      </c>
      <c r="F571" t="s">
        <v>8</v>
      </c>
      <c r="G571" s="2"/>
      <c r="H571" s="2"/>
    </row>
    <row r="572" spans="2:8" x14ac:dyDescent="0.25">
      <c r="B572" t="s">
        <v>325</v>
      </c>
      <c r="C572" t="s">
        <v>211</v>
      </c>
      <c r="D572">
        <v>3.7199999999999998</v>
      </c>
      <c r="E572">
        <v>1.22</v>
      </c>
      <c r="F572" t="s">
        <v>8</v>
      </c>
      <c r="G572" s="2"/>
      <c r="H572" s="2"/>
    </row>
    <row r="573" spans="2:8" x14ac:dyDescent="0.25">
      <c r="B573" t="s">
        <v>325</v>
      </c>
      <c r="C573" t="s">
        <v>211</v>
      </c>
      <c r="D573">
        <v>3.93</v>
      </c>
      <c r="E573">
        <v>1.22</v>
      </c>
      <c r="F573" t="s">
        <v>8</v>
      </c>
      <c r="G573" s="2"/>
      <c r="H573" s="2"/>
    </row>
    <row r="574" spans="2:8" x14ac:dyDescent="0.25">
      <c r="B574" t="s">
        <v>325</v>
      </c>
      <c r="C574" t="s">
        <v>211</v>
      </c>
      <c r="D574">
        <v>4.1399999999999997</v>
      </c>
      <c r="E574">
        <v>1.22</v>
      </c>
      <c r="F574" t="s">
        <v>8</v>
      </c>
      <c r="G574" s="2"/>
      <c r="H574" s="2"/>
    </row>
    <row r="575" spans="2:8" x14ac:dyDescent="0.25">
      <c r="B575" t="s">
        <v>213</v>
      </c>
      <c r="C575" t="s">
        <v>214</v>
      </c>
      <c r="D575">
        <v>1.46</v>
      </c>
      <c r="E575">
        <v>3</v>
      </c>
      <c r="F575" t="s">
        <v>8</v>
      </c>
      <c r="G575" s="2"/>
      <c r="H575" s="2"/>
    </row>
    <row r="576" spans="2:8" x14ac:dyDescent="0.25">
      <c r="B576" t="s">
        <v>213</v>
      </c>
      <c r="C576" t="s">
        <v>214</v>
      </c>
      <c r="D576">
        <v>1.42</v>
      </c>
      <c r="E576">
        <v>2.91</v>
      </c>
      <c r="F576" t="s">
        <v>8</v>
      </c>
      <c r="G576" s="2"/>
      <c r="H576" s="2"/>
    </row>
    <row r="577" spans="2:8" x14ac:dyDescent="0.25">
      <c r="B577" t="s">
        <v>213</v>
      </c>
      <c r="C577" t="s">
        <v>214</v>
      </c>
      <c r="D577">
        <v>1.26</v>
      </c>
      <c r="E577">
        <v>3.1300000000000003</v>
      </c>
      <c r="F577" t="s">
        <v>8</v>
      </c>
      <c r="G577" s="2"/>
      <c r="H577" s="2"/>
    </row>
    <row r="578" spans="2:8" x14ac:dyDescent="0.25">
      <c r="B578" t="s">
        <v>213</v>
      </c>
      <c r="C578" t="s">
        <v>214</v>
      </c>
      <c r="D578">
        <v>1.41</v>
      </c>
      <c r="E578">
        <v>2.9699999999999998</v>
      </c>
      <c r="F578" t="s">
        <v>8</v>
      </c>
      <c r="G578" s="2"/>
      <c r="H578" s="2"/>
    </row>
    <row r="579" spans="2:8" x14ac:dyDescent="0.25">
      <c r="B579" t="s">
        <v>213</v>
      </c>
      <c r="C579" t="s">
        <v>214</v>
      </c>
      <c r="D579">
        <v>1.48</v>
      </c>
      <c r="E579">
        <v>2.94</v>
      </c>
      <c r="F579" t="s">
        <v>8</v>
      </c>
      <c r="G579" s="2"/>
      <c r="H579" s="2"/>
    </row>
    <row r="580" spans="2:8" x14ac:dyDescent="0.25">
      <c r="B580" t="s">
        <v>213</v>
      </c>
      <c r="C580" t="s">
        <v>214</v>
      </c>
      <c r="D580">
        <v>1.41</v>
      </c>
      <c r="E580">
        <v>2.95</v>
      </c>
      <c r="F580" t="s">
        <v>8</v>
      </c>
      <c r="G580" s="2"/>
      <c r="H580" s="2"/>
    </row>
    <row r="581" spans="2:8" x14ac:dyDescent="0.25">
      <c r="B581" t="s">
        <v>213</v>
      </c>
      <c r="C581" t="s">
        <v>214</v>
      </c>
      <c r="D581">
        <v>1.5</v>
      </c>
      <c r="E581">
        <v>2.9000000000000004</v>
      </c>
      <c r="F581" t="s">
        <v>8</v>
      </c>
      <c r="G581" s="2"/>
      <c r="H581" s="2"/>
    </row>
    <row r="582" spans="2:8" x14ac:dyDescent="0.25">
      <c r="B582" t="s">
        <v>213</v>
      </c>
      <c r="C582" t="s">
        <v>214</v>
      </c>
      <c r="D582">
        <v>1.35</v>
      </c>
      <c r="E582">
        <v>3.1</v>
      </c>
      <c r="F582" t="s">
        <v>8</v>
      </c>
      <c r="G582" s="2"/>
      <c r="H582" s="2"/>
    </row>
    <row r="583" spans="2:8" x14ac:dyDescent="0.25">
      <c r="B583" t="s">
        <v>213</v>
      </c>
      <c r="C583" t="s">
        <v>214</v>
      </c>
      <c r="D583">
        <v>1.52</v>
      </c>
      <c r="E583">
        <v>2.7800000000000002</v>
      </c>
      <c r="F583" t="s">
        <v>8</v>
      </c>
      <c r="G583" s="2"/>
      <c r="H583" s="2"/>
    </row>
    <row r="584" spans="2:8" x14ac:dyDescent="0.25">
      <c r="B584" t="s">
        <v>213</v>
      </c>
      <c r="C584" t="s">
        <v>214</v>
      </c>
      <c r="D584">
        <v>1.48</v>
      </c>
      <c r="E584">
        <v>2.9299999999999997</v>
      </c>
      <c r="F584" t="s">
        <v>8</v>
      </c>
      <c r="G584" s="2"/>
      <c r="H584" s="2"/>
    </row>
    <row r="585" spans="2:8" x14ac:dyDescent="0.25">
      <c r="B585" t="s">
        <v>213</v>
      </c>
      <c r="C585" t="s">
        <v>214</v>
      </c>
      <c r="D585">
        <v>1.44</v>
      </c>
      <c r="E585">
        <v>3.04</v>
      </c>
      <c r="F585" t="s">
        <v>8</v>
      </c>
      <c r="G585" s="2"/>
      <c r="H585" s="2"/>
    </row>
    <row r="586" spans="2:8" x14ac:dyDescent="0.25">
      <c r="B586" t="s">
        <v>215</v>
      </c>
      <c r="C586" t="s">
        <v>216</v>
      </c>
      <c r="D586">
        <v>1.32</v>
      </c>
      <c r="E586">
        <v>3.09</v>
      </c>
      <c r="F586" t="s">
        <v>8</v>
      </c>
      <c r="G586" s="2"/>
      <c r="H586" s="2"/>
    </row>
    <row r="587" spans="2:8" x14ac:dyDescent="0.25">
      <c r="B587" t="s">
        <v>215</v>
      </c>
      <c r="C587" t="s">
        <v>216</v>
      </c>
      <c r="D587">
        <v>1.45</v>
      </c>
      <c r="E587">
        <v>3.09</v>
      </c>
      <c r="F587" t="s">
        <v>8</v>
      </c>
      <c r="G587" s="2"/>
      <c r="H587" s="2"/>
    </row>
    <row r="588" spans="2:8" x14ac:dyDescent="0.25">
      <c r="B588" t="s">
        <v>215</v>
      </c>
      <c r="C588" t="s">
        <v>216</v>
      </c>
      <c r="D588">
        <v>1.4000000000000001</v>
      </c>
      <c r="E588">
        <v>3.17</v>
      </c>
      <c r="F588" t="s">
        <v>8</v>
      </c>
      <c r="G588" s="2"/>
      <c r="H588" s="2"/>
    </row>
    <row r="589" spans="2:8" x14ac:dyDescent="0.25">
      <c r="B589" t="s">
        <v>215</v>
      </c>
      <c r="C589" t="s">
        <v>216</v>
      </c>
      <c r="D589">
        <v>1.45</v>
      </c>
      <c r="E589">
        <v>3.17</v>
      </c>
      <c r="F589" t="s">
        <v>8</v>
      </c>
      <c r="G589" s="2"/>
      <c r="H589" s="2"/>
    </row>
    <row r="590" spans="2:8" x14ac:dyDescent="0.25">
      <c r="B590" t="s">
        <v>215</v>
      </c>
      <c r="C590" t="s">
        <v>216</v>
      </c>
      <c r="D590">
        <v>1.3299999999999998</v>
      </c>
      <c r="E590">
        <v>3.0100000000000002</v>
      </c>
      <c r="F590" t="s">
        <v>8</v>
      </c>
      <c r="G590" s="2"/>
      <c r="H590" s="2"/>
    </row>
    <row r="591" spans="2:8" x14ac:dyDescent="0.25">
      <c r="B591" t="s">
        <v>215</v>
      </c>
      <c r="C591" t="s">
        <v>216</v>
      </c>
      <c r="D591">
        <v>1.3099999999999998</v>
      </c>
      <c r="E591">
        <v>3.05</v>
      </c>
      <c r="F591" t="s">
        <v>8</v>
      </c>
      <c r="G591" s="2"/>
      <c r="H591" s="2"/>
    </row>
    <row r="592" spans="2:8" x14ac:dyDescent="0.25">
      <c r="B592" t="s">
        <v>215</v>
      </c>
      <c r="C592" t="s">
        <v>216</v>
      </c>
      <c r="D592">
        <v>1.3299999999999998</v>
      </c>
      <c r="E592">
        <v>3.11</v>
      </c>
      <c r="F592" t="s">
        <v>8</v>
      </c>
      <c r="G592" s="2"/>
      <c r="H592" s="2"/>
    </row>
    <row r="593" spans="2:8" x14ac:dyDescent="0.25">
      <c r="B593" t="s">
        <v>215</v>
      </c>
      <c r="C593" t="s">
        <v>216</v>
      </c>
      <c r="D593">
        <v>1.43</v>
      </c>
      <c r="E593">
        <v>3.0500000000000003</v>
      </c>
      <c r="F593" t="s">
        <v>8</v>
      </c>
      <c r="G593" s="2"/>
      <c r="H593" s="2"/>
    </row>
    <row r="594" spans="2:8" x14ac:dyDescent="0.25">
      <c r="B594" t="s">
        <v>215</v>
      </c>
      <c r="C594" t="s">
        <v>216</v>
      </c>
      <c r="D594">
        <v>1.3399999999999999</v>
      </c>
      <c r="E594">
        <v>3.12</v>
      </c>
      <c r="F594" t="s">
        <v>8</v>
      </c>
      <c r="G594" s="2"/>
      <c r="H594" s="2"/>
    </row>
    <row r="595" spans="2:8" x14ac:dyDescent="0.25">
      <c r="B595" t="s">
        <v>215</v>
      </c>
      <c r="C595" t="s">
        <v>216</v>
      </c>
      <c r="D595">
        <v>1.3099999999999998</v>
      </c>
      <c r="E595">
        <v>3.01</v>
      </c>
      <c r="F595" t="s">
        <v>8</v>
      </c>
      <c r="G595" s="2"/>
      <c r="H595" s="2"/>
    </row>
    <row r="596" spans="2:8" x14ac:dyDescent="0.25">
      <c r="B596" t="s">
        <v>215</v>
      </c>
      <c r="C596" t="s">
        <v>216</v>
      </c>
      <c r="D596">
        <v>1.3399999999999999</v>
      </c>
      <c r="E596">
        <v>3</v>
      </c>
      <c r="F596" t="s">
        <v>8</v>
      </c>
      <c r="G596" s="2"/>
      <c r="H596" s="2"/>
    </row>
    <row r="597" spans="2:8" x14ac:dyDescent="0.25">
      <c r="B597" t="s">
        <v>312</v>
      </c>
      <c r="C597" t="s">
        <v>218</v>
      </c>
      <c r="D597">
        <v>1.6900000000000002</v>
      </c>
      <c r="E597">
        <v>2.34</v>
      </c>
      <c r="F597" t="s">
        <v>8</v>
      </c>
      <c r="G597" s="2"/>
      <c r="H597" s="2"/>
    </row>
    <row r="598" spans="2:8" x14ac:dyDescent="0.25">
      <c r="B598" t="s">
        <v>312</v>
      </c>
      <c r="C598" t="s">
        <v>218</v>
      </c>
      <c r="D598">
        <v>1.69</v>
      </c>
      <c r="E598">
        <v>2.4</v>
      </c>
      <c r="F598" t="s">
        <v>8</v>
      </c>
      <c r="G598" s="2"/>
      <c r="H598" s="2"/>
    </row>
    <row r="599" spans="2:8" x14ac:dyDescent="0.25">
      <c r="B599" t="s">
        <v>312</v>
      </c>
      <c r="C599" t="s">
        <v>218</v>
      </c>
      <c r="D599">
        <v>1.49</v>
      </c>
      <c r="E599">
        <v>2.4500000000000002</v>
      </c>
      <c r="F599" t="s">
        <v>8</v>
      </c>
      <c r="G599" s="2"/>
      <c r="H599" s="2"/>
    </row>
    <row r="600" spans="2:8" x14ac:dyDescent="0.25">
      <c r="B600" t="s">
        <v>312</v>
      </c>
      <c r="C600" t="s">
        <v>218</v>
      </c>
      <c r="D600">
        <v>1.56</v>
      </c>
      <c r="E600">
        <v>2.4300000000000002</v>
      </c>
      <c r="F600" t="s">
        <v>8</v>
      </c>
      <c r="G600" s="2"/>
      <c r="H600" s="2"/>
    </row>
    <row r="601" spans="2:8" x14ac:dyDescent="0.25">
      <c r="B601" t="s">
        <v>312</v>
      </c>
      <c r="C601" t="s">
        <v>218</v>
      </c>
      <c r="D601">
        <v>1.61</v>
      </c>
      <c r="E601">
        <v>2.3000000000000003</v>
      </c>
      <c r="F601" t="s">
        <v>8</v>
      </c>
      <c r="G601" s="2"/>
      <c r="H601" s="2"/>
    </row>
    <row r="602" spans="2:8" x14ac:dyDescent="0.25">
      <c r="B602" t="s">
        <v>312</v>
      </c>
      <c r="C602" t="s">
        <v>218</v>
      </c>
      <c r="D602">
        <v>1.53</v>
      </c>
      <c r="E602">
        <v>2.4</v>
      </c>
      <c r="F602" t="s">
        <v>8</v>
      </c>
      <c r="G602" s="2"/>
      <c r="H602" s="2"/>
    </row>
    <row r="603" spans="2:8" x14ac:dyDescent="0.25">
      <c r="B603" t="s">
        <v>312</v>
      </c>
      <c r="C603" t="s">
        <v>218</v>
      </c>
      <c r="D603">
        <v>1.5999999999999999</v>
      </c>
      <c r="E603">
        <v>2.41</v>
      </c>
      <c r="F603" t="s">
        <v>8</v>
      </c>
      <c r="G603" s="2"/>
      <c r="H603" s="2"/>
    </row>
    <row r="604" spans="2:8" x14ac:dyDescent="0.25">
      <c r="B604" t="s">
        <v>312</v>
      </c>
      <c r="C604" t="s">
        <v>218</v>
      </c>
      <c r="D604">
        <v>1.57</v>
      </c>
      <c r="E604">
        <v>2.54</v>
      </c>
      <c r="F604" t="s">
        <v>8</v>
      </c>
      <c r="G604" s="2"/>
      <c r="H604" s="2"/>
    </row>
    <row r="605" spans="2:8" x14ac:dyDescent="0.25">
      <c r="B605" t="s">
        <v>312</v>
      </c>
      <c r="C605" t="s">
        <v>218</v>
      </c>
      <c r="D605">
        <v>1.5999999999999999</v>
      </c>
      <c r="E605">
        <v>2.42</v>
      </c>
      <c r="F605" t="s">
        <v>8</v>
      </c>
      <c r="G605" s="2"/>
      <c r="H605" s="2"/>
    </row>
    <row r="606" spans="2:8" x14ac:dyDescent="0.25">
      <c r="B606" t="s">
        <v>312</v>
      </c>
      <c r="C606" t="s">
        <v>218</v>
      </c>
      <c r="D606">
        <v>1.5999999999999999</v>
      </c>
      <c r="E606">
        <v>2.42</v>
      </c>
      <c r="F606" t="s">
        <v>8</v>
      </c>
      <c r="G606" s="2"/>
      <c r="H606" s="2"/>
    </row>
    <row r="607" spans="2:8" x14ac:dyDescent="0.25">
      <c r="B607" t="s">
        <v>312</v>
      </c>
      <c r="C607" t="s">
        <v>218</v>
      </c>
      <c r="D607">
        <v>1.58</v>
      </c>
      <c r="E607">
        <v>2.41</v>
      </c>
      <c r="F607" t="s">
        <v>8</v>
      </c>
      <c r="G607" s="2"/>
      <c r="H607" s="2"/>
    </row>
    <row r="608" spans="2:8" x14ac:dyDescent="0.25">
      <c r="B608" t="s">
        <v>313</v>
      </c>
      <c r="C608" t="s">
        <v>220</v>
      </c>
      <c r="D608">
        <v>1.8</v>
      </c>
      <c r="E608">
        <v>2.06</v>
      </c>
      <c r="F608" t="s">
        <v>8</v>
      </c>
      <c r="G608" s="2"/>
      <c r="H608" s="2"/>
    </row>
    <row r="609" spans="2:8" x14ac:dyDescent="0.25">
      <c r="B609" t="s">
        <v>313</v>
      </c>
      <c r="C609" t="s">
        <v>220</v>
      </c>
      <c r="D609">
        <v>1.82</v>
      </c>
      <c r="E609">
        <v>2.17</v>
      </c>
      <c r="F609" t="s">
        <v>8</v>
      </c>
      <c r="G609" s="2"/>
      <c r="H609" s="2"/>
    </row>
    <row r="610" spans="2:8" x14ac:dyDescent="0.25">
      <c r="B610" t="s">
        <v>313</v>
      </c>
      <c r="C610" t="s">
        <v>220</v>
      </c>
      <c r="D610">
        <v>1.81</v>
      </c>
      <c r="E610">
        <v>2.1</v>
      </c>
      <c r="F610" t="s">
        <v>8</v>
      </c>
      <c r="G610" s="2"/>
      <c r="H610" s="2"/>
    </row>
    <row r="611" spans="2:8" x14ac:dyDescent="0.25">
      <c r="B611" t="s">
        <v>313</v>
      </c>
      <c r="C611" t="s">
        <v>220</v>
      </c>
      <c r="D611">
        <v>1.68</v>
      </c>
      <c r="E611">
        <v>2.0500000000000003</v>
      </c>
      <c r="F611" t="s">
        <v>8</v>
      </c>
      <c r="G611" s="2"/>
      <c r="H611" s="2"/>
    </row>
    <row r="612" spans="2:8" x14ac:dyDescent="0.25">
      <c r="B612" t="s">
        <v>313</v>
      </c>
      <c r="C612" t="s">
        <v>220</v>
      </c>
      <c r="D612">
        <v>1.79</v>
      </c>
      <c r="E612">
        <v>2.15</v>
      </c>
      <c r="F612" t="s">
        <v>8</v>
      </c>
      <c r="G612" s="2"/>
      <c r="H612" s="2"/>
    </row>
    <row r="613" spans="2:8" x14ac:dyDescent="0.25">
      <c r="B613" t="s">
        <v>313</v>
      </c>
      <c r="C613" t="s">
        <v>220</v>
      </c>
      <c r="D613">
        <v>1.8</v>
      </c>
      <c r="E613">
        <v>2.2199999999999998</v>
      </c>
      <c r="F613" t="s">
        <v>8</v>
      </c>
      <c r="G613" s="2"/>
      <c r="H613" s="2"/>
    </row>
    <row r="614" spans="2:8" x14ac:dyDescent="0.25">
      <c r="B614" t="s">
        <v>313</v>
      </c>
      <c r="C614" t="s">
        <v>220</v>
      </c>
      <c r="D614">
        <v>1.69</v>
      </c>
      <c r="E614">
        <v>2.08</v>
      </c>
      <c r="F614" t="s">
        <v>8</v>
      </c>
      <c r="G614" s="2"/>
      <c r="H614" s="2"/>
    </row>
    <row r="615" spans="2:8" x14ac:dyDescent="0.25">
      <c r="B615" t="s">
        <v>313</v>
      </c>
      <c r="C615" t="s">
        <v>220</v>
      </c>
      <c r="D615">
        <v>1.69</v>
      </c>
      <c r="E615">
        <v>2.19</v>
      </c>
      <c r="F615" t="s">
        <v>8</v>
      </c>
      <c r="G615" s="2"/>
      <c r="H615" s="2"/>
    </row>
    <row r="616" spans="2:8" x14ac:dyDescent="0.25">
      <c r="B616" t="s">
        <v>313</v>
      </c>
      <c r="C616" t="s">
        <v>220</v>
      </c>
      <c r="D616">
        <v>1.82</v>
      </c>
      <c r="E616">
        <v>2.09</v>
      </c>
      <c r="F616" t="s">
        <v>8</v>
      </c>
      <c r="G616" s="2"/>
      <c r="H616" s="2"/>
    </row>
    <row r="617" spans="2:8" x14ac:dyDescent="0.25">
      <c r="B617" t="s">
        <v>313</v>
      </c>
      <c r="C617" t="s">
        <v>220</v>
      </c>
      <c r="D617">
        <v>1.77</v>
      </c>
      <c r="E617">
        <v>2.08</v>
      </c>
      <c r="F617" t="s">
        <v>8</v>
      </c>
      <c r="G617" s="2"/>
      <c r="H617" s="2"/>
    </row>
    <row r="618" spans="2:8" x14ac:dyDescent="0.25">
      <c r="B618" t="s">
        <v>313</v>
      </c>
      <c r="C618" t="s">
        <v>220</v>
      </c>
      <c r="D618">
        <v>1.78</v>
      </c>
      <c r="E618">
        <v>2.19</v>
      </c>
      <c r="F618" t="s">
        <v>8</v>
      </c>
      <c r="G618" s="2"/>
      <c r="H618" s="2"/>
    </row>
    <row r="619" spans="2:8" x14ac:dyDescent="0.25">
      <c r="B619" t="s">
        <v>326</v>
      </c>
      <c r="C619" t="s">
        <v>220</v>
      </c>
      <c r="D619">
        <v>1.78</v>
      </c>
      <c r="E619">
        <v>2.04</v>
      </c>
      <c r="F619" t="s">
        <v>8</v>
      </c>
      <c r="G619" s="2"/>
      <c r="H619" s="2"/>
    </row>
    <row r="620" spans="2:8" x14ac:dyDescent="0.25">
      <c r="B620" t="s">
        <v>326</v>
      </c>
      <c r="C620" t="s">
        <v>220</v>
      </c>
      <c r="D620">
        <v>1.76</v>
      </c>
      <c r="E620">
        <v>1.99</v>
      </c>
      <c r="F620" t="s">
        <v>8</v>
      </c>
      <c r="G620" s="2"/>
      <c r="H620" s="2"/>
    </row>
    <row r="621" spans="2:8" x14ac:dyDescent="0.25">
      <c r="B621" t="s">
        <v>326</v>
      </c>
      <c r="C621" t="s">
        <v>220</v>
      </c>
      <c r="D621">
        <v>1.74</v>
      </c>
      <c r="E621">
        <v>1.9899999999999998</v>
      </c>
      <c r="F621" t="s">
        <v>8</v>
      </c>
      <c r="G621" s="2"/>
      <c r="H621" s="2"/>
    </row>
    <row r="622" spans="2:8" x14ac:dyDescent="0.25">
      <c r="B622" t="s">
        <v>326</v>
      </c>
      <c r="C622" t="s">
        <v>220</v>
      </c>
      <c r="D622">
        <v>1.78</v>
      </c>
      <c r="E622">
        <v>2.0099999999999998</v>
      </c>
      <c r="F622" t="s">
        <v>8</v>
      </c>
      <c r="G622" s="2"/>
      <c r="H622" s="2"/>
    </row>
    <row r="623" spans="2:8" x14ac:dyDescent="0.25">
      <c r="B623" t="s">
        <v>326</v>
      </c>
      <c r="C623" t="s">
        <v>220</v>
      </c>
      <c r="D623">
        <v>1.79</v>
      </c>
      <c r="E623">
        <v>2.08</v>
      </c>
      <c r="F623" t="s">
        <v>8</v>
      </c>
      <c r="G623" s="2"/>
      <c r="H623" s="2"/>
    </row>
    <row r="624" spans="2:8" x14ac:dyDescent="0.25">
      <c r="B624" t="s">
        <v>326</v>
      </c>
      <c r="C624" t="s">
        <v>220</v>
      </c>
      <c r="D624">
        <v>1.8800000000000001</v>
      </c>
      <c r="E624">
        <v>2.0099999999999998</v>
      </c>
      <c r="F624" t="s">
        <v>8</v>
      </c>
      <c r="G624" s="2"/>
      <c r="H624" s="2"/>
    </row>
    <row r="625" spans="2:8" x14ac:dyDescent="0.25">
      <c r="B625" t="s">
        <v>326</v>
      </c>
      <c r="C625" t="s">
        <v>220</v>
      </c>
      <c r="D625">
        <v>1.8</v>
      </c>
      <c r="E625">
        <v>2.0999999999999996</v>
      </c>
      <c r="F625" t="s">
        <v>8</v>
      </c>
      <c r="G625" s="2"/>
      <c r="H625" s="2"/>
    </row>
    <row r="626" spans="2:8" x14ac:dyDescent="0.25">
      <c r="B626" t="s">
        <v>326</v>
      </c>
      <c r="C626" t="s">
        <v>220</v>
      </c>
      <c r="D626">
        <v>1.82</v>
      </c>
      <c r="E626">
        <v>2.06</v>
      </c>
      <c r="F626" t="s">
        <v>8</v>
      </c>
      <c r="G626" s="2"/>
      <c r="H626" s="2"/>
    </row>
    <row r="627" spans="2:8" x14ac:dyDescent="0.25">
      <c r="B627" t="s">
        <v>326</v>
      </c>
      <c r="C627" t="s">
        <v>220</v>
      </c>
      <c r="D627">
        <v>1.79</v>
      </c>
      <c r="E627">
        <v>2.0299999999999998</v>
      </c>
      <c r="F627" t="s">
        <v>8</v>
      </c>
      <c r="G627" s="2"/>
      <c r="H627" s="2"/>
    </row>
    <row r="628" spans="2:8" x14ac:dyDescent="0.25">
      <c r="B628" t="s">
        <v>326</v>
      </c>
      <c r="C628" t="s">
        <v>220</v>
      </c>
      <c r="D628">
        <v>1.74</v>
      </c>
      <c r="E628">
        <v>2.0099999999999998</v>
      </c>
      <c r="F628" t="s">
        <v>8</v>
      </c>
      <c r="G628" s="2"/>
      <c r="H628" s="2"/>
    </row>
    <row r="629" spans="2:8" x14ac:dyDescent="0.25">
      <c r="B629" t="s">
        <v>326</v>
      </c>
      <c r="C629" t="s">
        <v>220</v>
      </c>
      <c r="D629">
        <v>1.77</v>
      </c>
      <c r="E629">
        <v>2.09</v>
      </c>
      <c r="F629" t="s">
        <v>8</v>
      </c>
      <c r="G629" s="2"/>
      <c r="H629" s="2"/>
    </row>
    <row r="630" spans="2:8" x14ac:dyDescent="0.25">
      <c r="B630" t="s">
        <v>222</v>
      </c>
      <c r="C630" t="s">
        <v>220</v>
      </c>
      <c r="D630">
        <v>4.3500000000000005</v>
      </c>
      <c r="E630">
        <v>1.21</v>
      </c>
      <c r="F630" t="s">
        <v>8</v>
      </c>
      <c r="G630" s="2"/>
      <c r="H630" s="2"/>
    </row>
    <row r="631" spans="2:8" x14ac:dyDescent="0.25">
      <c r="B631" t="s">
        <v>222</v>
      </c>
      <c r="C631" t="s">
        <v>220</v>
      </c>
      <c r="D631">
        <v>4.42</v>
      </c>
      <c r="E631">
        <v>1.19</v>
      </c>
      <c r="F631" t="s">
        <v>8</v>
      </c>
      <c r="G631" s="2"/>
      <c r="H631" s="2"/>
    </row>
    <row r="632" spans="2:8" x14ac:dyDescent="0.25">
      <c r="B632" t="s">
        <v>222</v>
      </c>
      <c r="C632" t="s">
        <v>220</v>
      </c>
      <c r="D632">
        <v>4.5199999999999996</v>
      </c>
      <c r="E632">
        <v>1.21</v>
      </c>
      <c r="F632" t="s">
        <v>8</v>
      </c>
      <c r="G632" s="2"/>
      <c r="H632" s="2"/>
    </row>
    <row r="633" spans="2:8" x14ac:dyDescent="0.25">
      <c r="B633" t="s">
        <v>222</v>
      </c>
      <c r="C633" t="s">
        <v>220</v>
      </c>
      <c r="D633">
        <v>4.25</v>
      </c>
      <c r="E633">
        <v>1.29</v>
      </c>
      <c r="F633" t="s">
        <v>8</v>
      </c>
      <c r="G633" s="2"/>
      <c r="H633" s="2"/>
    </row>
    <row r="634" spans="2:8" x14ac:dyDescent="0.25">
      <c r="B634" t="s">
        <v>222</v>
      </c>
      <c r="C634" t="s">
        <v>220</v>
      </c>
      <c r="D634">
        <v>4.5</v>
      </c>
      <c r="E634">
        <v>1.1199999999999999</v>
      </c>
      <c r="F634" t="s">
        <v>8</v>
      </c>
      <c r="G634" s="2"/>
      <c r="H634" s="2"/>
    </row>
    <row r="635" spans="2:8" x14ac:dyDescent="0.25">
      <c r="B635" t="s">
        <v>222</v>
      </c>
      <c r="C635" t="s">
        <v>220</v>
      </c>
      <c r="D635">
        <v>4.2799999999999994</v>
      </c>
      <c r="E635">
        <v>1.26</v>
      </c>
      <c r="F635" t="s">
        <v>8</v>
      </c>
      <c r="G635" s="2"/>
      <c r="H635" s="2"/>
    </row>
    <row r="636" spans="2:8" x14ac:dyDescent="0.25">
      <c r="B636" t="s">
        <v>222</v>
      </c>
      <c r="C636" t="s">
        <v>220</v>
      </c>
      <c r="D636">
        <v>4.5</v>
      </c>
      <c r="E636">
        <v>1.31</v>
      </c>
      <c r="F636" t="s">
        <v>8</v>
      </c>
      <c r="G636" s="2"/>
      <c r="H636" s="2"/>
    </row>
    <row r="637" spans="2:8" x14ac:dyDescent="0.25">
      <c r="B637" t="s">
        <v>222</v>
      </c>
      <c r="C637" t="s">
        <v>220</v>
      </c>
      <c r="D637">
        <v>4.28</v>
      </c>
      <c r="E637">
        <v>1.1599999999999999</v>
      </c>
      <c r="F637" t="s">
        <v>8</v>
      </c>
      <c r="G637" s="2"/>
      <c r="H637" s="2"/>
    </row>
    <row r="638" spans="2:8" x14ac:dyDescent="0.25">
      <c r="B638" t="s">
        <v>222</v>
      </c>
      <c r="C638" t="s">
        <v>220</v>
      </c>
      <c r="D638">
        <v>4.4399999999999995</v>
      </c>
      <c r="E638">
        <v>1.26</v>
      </c>
      <c r="F638" t="s">
        <v>8</v>
      </c>
      <c r="G638" s="2"/>
      <c r="H638" s="2"/>
    </row>
    <row r="639" spans="2:8" x14ac:dyDescent="0.25">
      <c r="B639" t="s">
        <v>222</v>
      </c>
      <c r="C639" t="s">
        <v>220</v>
      </c>
      <c r="D639">
        <v>4.3</v>
      </c>
      <c r="E639">
        <v>1.33</v>
      </c>
      <c r="F639" t="s">
        <v>8</v>
      </c>
      <c r="G639" s="2"/>
      <c r="H639" s="2"/>
    </row>
    <row r="640" spans="2:8" x14ac:dyDescent="0.25">
      <c r="B640" t="s">
        <v>222</v>
      </c>
      <c r="C640" t="s">
        <v>220</v>
      </c>
      <c r="D640">
        <v>4.43</v>
      </c>
      <c r="E640">
        <v>1.26</v>
      </c>
      <c r="F640" t="s">
        <v>8</v>
      </c>
      <c r="G640" s="2"/>
      <c r="H640" s="2"/>
    </row>
    <row r="641" spans="2:8" x14ac:dyDescent="0.25">
      <c r="B641" t="s">
        <v>223</v>
      </c>
      <c r="C641" t="s">
        <v>220</v>
      </c>
      <c r="D641">
        <v>2.54</v>
      </c>
      <c r="E641">
        <v>1.57</v>
      </c>
      <c r="F641" t="s">
        <v>8</v>
      </c>
      <c r="G641" s="2"/>
      <c r="H641" s="2"/>
    </row>
    <row r="642" spans="2:8" x14ac:dyDescent="0.25">
      <c r="B642" t="s">
        <v>223</v>
      </c>
      <c r="C642" t="s">
        <v>220</v>
      </c>
      <c r="D642">
        <v>2.6700000000000004</v>
      </c>
      <c r="E642">
        <v>1.42</v>
      </c>
      <c r="F642" t="s">
        <v>8</v>
      </c>
      <c r="G642" s="2"/>
      <c r="H642" s="2"/>
    </row>
    <row r="643" spans="2:8" x14ac:dyDescent="0.25">
      <c r="B643" t="s">
        <v>223</v>
      </c>
      <c r="C643" t="s">
        <v>220</v>
      </c>
      <c r="D643">
        <v>2.72</v>
      </c>
      <c r="E643">
        <v>1.52</v>
      </c>
      <c r="F643" t="s">
        <v>8</v>
      </c>
      <c r="G643" s="2"/>
      <c r="H643" s="2"/>
    </row>
    <row r="644" spans="2:8" x14ac:dyDescent="0.25">
      <c r="B644" t="s">
        <v>223</v>
      </c>
      <c r="C644" t="s">
        <v>220</v>
      </c>
      <c r="D644">
        <v>2.6</v>
      </c>
      <c r="E644">
        <v>1.56</v>
      </c>
      <c r="F644" t="s">
        <v>8</v>
      </c>
      <c r="G644" s="2"/>
      <c r="H644" s="2"/>
    </row>
    <row r="645" spans="2:8" x14ac:dyDescent="0.25">
      <c r="B645" t="s">
        <v>223</v>
      </c>
      <c r="C645" t="s">
        <v>220</v>
      </c>
      <c r="D645">
        <v>2.79</v>
      </c>
      <c r="E645">
        <v>1.55</v>
      </c>
      <c r="F645" t="s">
        <v>8</v>
      </c>
      <c r="G645" s="2"/>
      <c r="H645" s="2"/>
    </row>
    <row r="646" spans="2:8" x14ac:dyDescent="0.25">
      <c r="B646" t="s">
        <v>223</v>
      </c>
      <c r="C646" t="s">
        <v>220</v>
      </c>
      <c r="D646">
        <v>2.77</v>
      </c>
      <c r="E646">
        <v>1.5</v>
      </c>
      <c r="F646" t="s">
        <v>8</v>
      </c>
      <c r="G646" s="2"/>
      <c r="H646" s="2"/>
    </row>
    <row r="647" spans="2:8" x14ac:dyDescent="0.25">
      <c r="B647" t="s">
        <v>223</v>
      </c>
      <c r="C647" t="s">
        <v>220</v>
      </c>
      <c r="D647">
        <v>2.71</v>
      </c>
      <c r="E647">
        <v>1.41</v>
      </c>
      <c r="F647" t="s">
        <v>8</v>
      </c>
      <c r="G647" s="2"/>
      <c r="H647" s="2"/>
    </row>
    <row r="648" spans="2:8" x14ac:dyDescent="0.25">
      <c r="B648" t="s">
        <v>223</v>
      </c>
      <c r="C648" t="s">
        <v>220</v>
      </c>
      <c r="D648">
        <v>2.62</v>
      </c>
      <c r="E648">
        <v>1.45</v>
      </c>
      <c r="F648" t="s">
        <v>8</v>
      </c>
      <c r="G648" s="2"/>
      <c r="H648" s="2"/>
    </row>
    <row r="649" spans="2:8" x14ac:dyDescent="0.25">
      <c r="B649" t="s">
        <v>223</v>
      </c>
      <c r="C649" t="s">
        <v>220</v>
      </c>
      <c r="D649">
        <v>2.56</v>
      </c>
      <c r="E649">
        <v>1.58</v>
      </c>
      <c r="F649" t="s">
        <v>8</v>
      </c>
      <c r="G649" s="2"/>
      <c r="H649" s="2"/>
    </row>
    <row r="650" spans="2:8" x14ac:dyDescent="0.25">
      <c r="B650" t="s">
        <v>223</v>
      </c>
      <c r="C650" t="s">
        <v>220</v>
      </c>
      <c r="D650">
        <v>2.63</v>
      </c>
      <c r="E650">
        <v>1.47</v>
      </c>
      <c r="F650" t="s">
        <v>8</v>
      </c>
      <c r="G650" s="2"/>
      <c r="H650" s="2"/>
    </row>
    <row r="651" spans="2:8" x14ac:dyDescent="0.25">
      <c r="B651" t="s">
        <v>223</v>
      </c>
      <c r="C651" t="s">
        <v>220</v>
      </c>
      <c r="D651">
        <v>2.64</v>
      </c>
      <c r="E651">
        <v>1.51</v>
      </c>
      <c r="F651" t="s">
        <v>8</v>
      </c>
      <c r="G651" s="2"/>
      <c r="H651" s="2"/>
    </row>
    <row r="652" spans="2:8" x14ac:dyDescent="0.25">
      <c r="B652" t="s">
        <v>224</v>
      </c>
      <c r="C652" t="s">
        <v>220</v>
      </c>
      <c r="D652">
        <v>0.99</v>
      </c>
      <c r="E652">
        <v>19.07</v>
      </c>
      <c r="F652" t="s">
        <v>8</v>
      </c>
      <c r="G652" s="2"/>
      <c r="H652" s="2"/>
    </row>
    <row r="653" spans="2:8" x14ac:dyDescent="0.25">
      <c r="B653" t="s">
        <v>224</v>
      </c>
      <c r="C653" t="s">
        <v>220</v>
      </c>
      <c r="D653">
        <v>0.98</v>
      </c>
      <c r="E653">
        <v>17.02</v>
      </c>
      <c r="F653" t="s">
        <v>8</v>
      </c>
      <c r="G653" s="2"/>
      <c r="H653" s="2"/>
    </row>
    <row r="654" spans="2:8" x14ac:dyDescent="0.25">
      <c r="B654" t="s">
        <v>224</v>
      </c>
      <c r="C654" t="s">
        <v>220</v>
      </c>
      <c r="D654">
        <v>1.05</v>
      </c>
      <c r="E654">
        <v>26.06</v>
      </c>
      <c r="F654" t="s">
        <v>8</v>
      </c>
      <c r="G654" s="2"/>
      <c r="H654" s="2"/>
    </row>
    <row r="655" spans="2:8" x14ac:dyDescent="0.25">
      <c r="B655" t="s">
        <v>224</v>
      </c>
      <c r="C655" t="s">
        <v>220</v>
      </c>
      <c r="D655">
        <v>0.91</v>
      </c>
      <c r="E655">
        <v>21.01</v>
      </c>
      <c r="F655" t="s">
        <v>8</v>
      </c>
      <c r="G655" s="2"/>
      <c r="H655" s="2"/>
    </row>
    <row r="656" spans="2:8" x14ac:dyDescent="0.25">
      <c r="B656" t="s">
        <v>314</v>
      </c>
      <c r="C656" t="s">
        <v>226</v>
      </c>
      <c r="D656">
        <v>3.36</v>
      </c>
      <c r="E656">
        <v>1.27</v>
      </c>
      <c r="F656" t="s">
        <v>8</v>
      </c>
      <c r="G656" s="2"/>
      <c r="H656" s="2"/>
    </row>
    <row r="657" spans="2:8" x14ac:dyDescent="0.25">
      <c r="B657" t="s">
        <v>314</v>
      </c>
      <c r="C657" t="s">
        <v>226</v>
      </c>
      <c r="D657">
        <v>3.33</v>
      </c>
      <c r="E657">
        <v>1.25</v>
      </c>
      <c r="F657" t="s">
        <v>8</v>
      </c>
      <c r="G657" s="2"/>
      <c r="H657" s="2"/>
    </row>
    <row r="658" spans="2:8" x14ac:dyDescent="0.25">
      <c r="B658" t="s">
        <v>314</v>
      </c>
      <c r="C658" t="s">
        <v>226</v>
      </c>
      <c r="D658">
        <v>3.41</v>
      </c>
      <c r="E658">
        <v>1.34</v>
      </c>
      <c r="F658" t="s">
        <v>8</v>
      </c>
      <c r="G658" s="2"/>
      <c r="H658" s="2"/>
    </row>
    <row r="659" spans="2:8" x14ac:dyDescent="0.25">
      <c r="B659" t="s">
        <v>314</v>
      </c>
      <c r="C659" t="s">
        <v>226</v>
      </c>
      <c r="D659">
        <v>3.66</v>
      </c>
      <c r="E659">
        <v>1.21</v>
      </c>
      <c r="F659" t="s">
        <v>8</v>
      </c>
      <c r="G659" s="2"/>
      <c r="H659" s="2"/>
    </row>
    <row r="660" spans="2:8" x14ac:dyDescent="0.25">
      <c r="B660" t="s">
        <v>314</v>
      </c>
      <c r="C660" t="s">
        <v>226</v>
      </c>
      <c r="D660">
        <v>3.69</v>
      </c>
      <c r="E660">
        <v>1.22</v>
      </c>
      <c r="F660" t="s">
        <v>8</v>
      </c>
      <c r="G660" s="2"/>
      <c r="H660" s="2"/>
    </row>
    <row r="661" spans="2:8" x14ac:dyDescent="0.25">
      <c r="B661" t="s">
        <v>314</v>
      </c>
      <c r="C661" t="s">
        <v>226</v>
      </c>
      <c r="D661">
        <v>3.42</v>
      </c>
      <c r="E661">
        <v>1.31</v>
      </c>
      <c r="F661" t="s">
        <v>8</v>
      </c>
      <c r="G661" s="2"/>
      <c r="H661" s="2"/>
    </row>
    <row r="662" spans="2:8" x14ac:dyDescent="0.25">
      <c r="B662" t="s">
        <v>314</v>
      </c>
      <c r="C662" t="s">
        <v>226</v>
      </c>
      <c r="D662">
        <v>3.39</v>
      </c>
      <c r="E662">
        <v>1.26</v>
      </c>
      <c r="F662" t="s">
        <v>8</v>
      </c>
      <c r="G662" s="2"/>
      <c r="H662" s="2"/>
    </row>
    <row r="663" spans="2:8" x14ac:dyDescent="0.25">
      <c r="B663" t="s">
        <v>314</v>
      </c>
      <c r="C663" t="s">
        <v>226</v>
      </c>
      <c r="D663">
        <v>3.5500000000000003</v>
      </c>
      <c r="E663">
        <v>1.24</v>
      </c>
      <c r="F663" t="s">
        <v>8</v>
      </c>
      <c r="G663" s="2"/>
      <c r="H663" s="2"/>
    </row>
    <row r="664" spans="2:8" x14ac:dyDescent="0.25">
      <c r="B664" t="s">
        <v>314</v>
      </c>
      <c r="C664" t="s">
        <v>226</v>
      </c>
      <c r="D664">
        <v>3.3</v>
      </c>
      <c r="E664">
        <v>1.4000000000000001</v>
      </c>
      <c r="F664" t="s">
        <v>8</v>
      </c>
      <c r="G664" s="2"/>
      <c r="H664" s="2"/>
    </row>
    <row r="665" spans="2:8" x14ac:dyDescent="0.25">
      <c r="B665" t="s">
        <v>314</v>
      </c>
      <c r="C665" t="s">
        <v>226</v>
      </c>
      <c r="D665">
        <v>3.47</v>
      </c>
      <c r="E665">
        <v>1.27</v>
      </c>
      <c r="F665" t="s">
        <v>8</v>
      </c>
      <c r="G665" s="2"/>
      <c r="H665" s="2"/>
    </row>
    <row r="666" spans="2:8" x14ac:dyDescent="0.25">
      <c r="B666" t="s">
        <v>314</v>
      </c>
      <c r="C666" t="s">
        <v>226</v>
      </c>
      <c r="D666">
        <v>3.54</v>
      </c>
      <c r="E666">
        <v>1.28</v>
      </c>
      <c r="F666" t="s">
        <v>8</v>
      </c>
      <c r="G666" s="2"/>
      <c r="H666" s="2"/>
    </row>
    <row r="667" spans="2:8" x14ac:dyDescent="0.25">
      <c r="B667" t="s">
        <v>227</v>
      </c>
      <c r="C667" t="s">
        <v>226</v>
      </c>
      <c r="D667">
        <v>1.4</v>
      </c>
      <c r="E667">
        <v>3.04</v>
      </c>
      <c r="F667" t="s">
        <v>8</v>
      </c>
      <c r="G667" s="2"/>
      <c r="H667" s="2"/>
    </row>
    <row r="668" spans="2:8" x14ac:dyDescent="0.25">
      <c r="B668" t="s">
        <v>227</v>
      </c>
      <c r="C668" t="s">
        <v>226</v>
      </c>
      <c r="D668">
        <v>1.39</v>
      </c>
      <c r="E668">
        <v>3.11</v>
      </c>
      <c r="F668" t="s">
        <v>8</v>
      </c>
      <c r="G668" s="2"/>
      <c r="H668" s="2"/>
    </row>
    <row r="669" spans="2:8" x14ac:dyDescent="0.25">
      <c r="B669" t="s">
        <v>227</v>
      </c>
      <c r="C669" t="s">
        <v>226</v>
      </c>
      <c r="D669">
        <v>1.39</v>
      </c>
      <c r="E669">
        <v>3.08</v>
      </c>
      <c r="F669" t="s">
        <v>8</v>
      </c>
      <c r="G669" s="2"/>
      <c r="H669" s="2"/>
    </row>
    <row r="670" spans="2:8" x14ac:dyDescent="0.25">
      <c r="B670" t="s">
        <v>227</v>
      </c>
      <c r="C670" t="s">
        <v>226</v>
      </c>
      <c r="D670">
        <v>1.3199999999999998</v>
      </c>
      <c r="E670">
        <v>2.94</v>
      </c>
      <c r="F670" t="s">
        <v>8</v>
      </c>
      <c r="G670" s="2"/>
      <c r="H670" s="2"/>
    </row>
    <row r="671" spans="2:8" x14ac:dyDescent="0.25">
      <c r="B671" t="s">
        <v>227</v>
      </c>
      <c r="C671" t="s">
        <v>226</v>
      </c>
      <c r="D671">
        <v>1.51</v>
      </c>
      <c r="E671">
        <v>2.8600000000000003</v>
      </c>
      <c r="F671" t="s">
        <v>8</v>
      </c>
      <c r="G671" s="2"/>
      <c r="H671" s="2"/>
    </row>
    <row r="672" spans="2:8" x14ac:dyDescent="0.25">
      <c r="B672" t="s">
        <v>227</v>
      </c>
      <c r="C672" t="s">
        <v>226</v>
      </c>
      <c r="D672">
        <v>1.45</v>
      </c>
      <c r="E672">
        <v>3.0799999999999996</v>
      </c>
      <c r="F672" t="s">
        <v>8</v>
      </c>
      <c r="G672" s="2"/>
      <c r="H672" s="2"/>
    </row>
    <row r="673" spans="2:10" x14ac:dyDescent="0.25">
      <c r="B673" t="s">
        <v>227</v>
      </c>
      <c r="C673" t="s">
        <v>226</v>
      </c>
      <c r="D673">
        <v>1.3099999999999998</v>
      </c>
      <c r="E673">
        <v>3.09</v>
      </c>
      <c r="F673" t="s">
        <v>8</v>
      </c>
      <c r="G673" s="2"/>
      <c r="H673" s="2"/>
    </row>
    <row r="674" spans="2:10" x14ac:dyDescent="0.25">
      <c r="B674" t="s">
        <v>227</v>
      </c>
      <c r="C674" t="s">
        <v>226</v>
      </c>
      <c r="D674">
        <v>1.48</v>
      </c>
      <c r="E674">
        <v>2.94</v>
      </c>
      <c r="F674" t="s">
        <v>8</v>
      </c>
      <c r="G674" s="2"/>
      <c r="H674" s="2"/>
    </row>
    <row r="675" spans="2:10" x14ac:dyDescent="0.25">
      <c r="B675" t="s">
        <v>227</v>
      </c>
      <c r="C675" t="s">
        <v>226</v>
      </c>
      <c r="D675">
        <v>1.38</v>
      </c>
      <c r="E675">
        <v>2.9299999999999997</v>
      </c>
      <c r="F675" t="s">
        <v>8</v>
      </c>
      <c r="G675" s="2"/>
      <c r="H675" s="2"/>
    </row>
    <row r="676" spans="2:10" x14ac:dyDescent="0.25">
      <c r="B676" t="s">
        <v>227</v>
      </c>
      <c r="C676" t="s">
        <v>226</v>
      </c>
      <c r="D676">
        <v>1.41</v>
      </c>
      <c r="E676">
        <v>3.04</v>
      </c>
      <c r="F676" t="s">
        <v>8</v>
      </c>
      <c r="G676" s="2"/>
      <c r="H676" s="2"/>
    </row>
    <row r="677" spans="2:10" x14ac:dyDescent="0.25">
      <c r="B677" t="s">
        <v>227</v>
      </c>
      <c r="C677" t="s">
        <v>226</v>
      </c>
      <c r="D677">
        <v>1.4</v>
      </c>
      <c r="E677">
        <v>3.13</v>
      </c>
      <c r="F677" t="s">
        <v>8</v>
      </c>
      <c r="G677" s="2"/>
      <c r="H677" s="2"/>
    </row>
    <row r="678" spans="2:10" x14ac:dyDescent="0.25">
      <c r="B678" t="s">
        <v>315</v>
      </c>
      <c r="C678" t="s">
        <v>226</v>
      </c>
      <c r="D678">
        <v>23.01</v>
      </c>
      <c r="E678">
        <v>1.0900000000000001</v>
      </c>
      <c r="F678" t="s">
        <v>8</v>
      </c>
      <c r="G678" s="2"/>
      <c r="H678" s="2"/>
    </row>
    <row r="679" spans="2:10" x14ac:dyDescent="0.25">
      <c r="B679" t="s">
        <v>315</v>
      </c>
      <c r="C679" t="s">
        <v>226</v>
      </c>
      <c r="D679">
        <v>24.99</v>
      </c>
      <c r="E679">
        <v>0.92</v>
      </c>
      <c r="F679" t="s">
        <v>8</v>
      </c>
      <c r="G679" s="2"/>
      <c r="H679" s="2"/>
    </row>
    <row r="680" spans="2:10" x14ac:dyDescent="0.25">
      <c r="B680" t="s">
        <v>315</v>
      </c>
      <c r="C680" t="s">
        <v>226</v>
      </c>
      <c r="D680">
        <v>26.04</v>
      </c>
      <c r="E680">
        <v>1.0900000000000001</v>
      </c>
      <c r="F680" t="s">
        <v>8</v>
      </c>
      <c r="G680" s="2"/>
      <c r="H680" s="2"/>
    </row>
    <row r="681" spans="2:10" x14ac:dyDescent="0.25">
      <c r="B681" t="s">
        <v>315</v>
      </c>
      <c r="C681" t="s">
        <v>226</v>
      </c>
      <c r="D681">
        <v>20.94</v>
      </c>
      <c r="E681">
        <v>0.95</v>
      </c>
      <c r="F681" t="s">
        <v>8</v>
      </c>
      <c r="G681" s="2"/>
      <c r="H681" s="2"/>
    </row>
    <row r="682" spans="2:10" x14ac:dyDescent="0.25">
      <c r="B682" t="s">
        <v>316</v>
      </c>
      <c r="C682" t="s">
        <v>230</v>
      </c>
      <c r="D682">
        <v>5.79</v>
      </c>
      <c r="E682">
        <v>1.17</v>
      </c>
      <c r="F682" t="s">
        <v>8</v>
      </c>
      <c r="G682" s="2"/>
      <c r="H682" s="2"/>
    </row>
    <row r="683" spans="2:10" x14ac:dyDescent="0.25">
      <c r="B683" t="s">
        <v>316</v>
      </c>
      <c r="C683" t="s">
        <v>230</v>
      </c>
      <c r="D683">
        <v>5.62</v>
      </c>
      <c r="E683">
        <v>1.1599999999999999</v>
      </c>
      <c r="F683" t="s">
        <v>8</v>
      </c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316</v>
      </c>
      <c r="C684" t="s">
        <v>230</v>
      </c>
      <c r="D684">
        <v>5.71</v>
      </c>
      <c r="E684">
        <v>1.18</v>
      </c>
      <c r="F684" t="s">
        <v>8</v>
      </c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 t="s">
        <v>316</v>
      </c>
      <c r="C685" t="s">
        <v>230</v>
      </c>
      <c r="D685">
        <v>5.55</v>
      </c>
      <c r="E685">
        <v>1.0799999999999998</v>
      </c>
      <c r="F685" t="s">
        <v>8</v>
      </c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 t="s">
        <v>316</v>
      </c>
      <c r="C686" t="s">
        <v>230</v>
      </c>
      <c r="D686">
        <v>5.64</v>
      </c>
      <c r="E686">
        <v>1.19</v>
      </c>
      <c r="F686" t="s">
        <v>8</v>
      </c>
      <c r="G686" s="2"/>
      <c r="H686" s="2"/>
    </row>
    <row r="687" spans="2:10" x14ac:dyDescent="0.25">
      <c r="B687" t="s">
        <v>316</v>
      </c>
      <c r="C687" t="s">
        <v>230</v>
      </c>
      <c r="D687">
        <v>5.74</v>
      </c>
      <c r="E687">
        <v>1.0499999999999998</v>
      </c>
      <c r="F687" t="s">
        <v>8</v>
      </c>
      <c r="G687" s="2"/>
      <c r="H687" s="2"/>
    </row>
    <row r="688" spans="2:10" x14ac:dyDescent="0.25">
      <c r="B688" t="s">
        <v>316</v>
      </c>
      <c r="C688" t="s">
        <v>230</v>
      </c>
      <c r="D688">
        <v>5.69</v>
      </c>
      <c r="E688">
        <v>1.0999999999999999</v>
      </c>
      <c r="F688" t="s">
        <v>8</v>
      </c>
      <c r="G688" s="2"/>
      <c r="H688" s="2"/>
    </row>
    <row r="689" spans="2:8" x14ac:dyDescent="0.25">
      <c r="B689" t="s">
        <v>316</v>
      </c>
      <c r="C689" t="s">
        <v>230</v>
      </c>
      <c r="D689">
        <v>5.67</v>
      </c>
      <c r="E689">
        <v>1.22</v>
      </c>
      <c r="F689" t="s">
        <v>8</v>
      </c>
      <c r="G689" s="2"/>
      <c r="H689" s="2"/>
    </row>
    <row r="690" spans="2:8" x14ac:dyDescent="0.25">
      <c r="B690" t="s">
        <v>316</v>
      </c>
      <c r="C690" t="s">
        <v>230</v>
      </c>
      <c r="D690">
        <v>5.63</v>
      </c>
      <c r="E690">
        <v>1.1299999999999999</v>
      </c>
      <c r="F690" t="s">
        <v>8</v>
      </c>
      <c r="G690" s="2"/>
      <c r="H690" s="2"/>
    </row>
    <row r="691" spans="2:8" x14ac:dyDescent="0.25">
      <c r="B691" t="s">
        <v>316</v>
      </c>
      <c r="C691" t="s">
        <v>230</v>
      </c>
      <c r="D691">
        <v>5.48</v>
      </c>
      <c r="E691">
        <v>1.0999999999999999</v>
      </c>
      <c r="F691" t="s">
        <v>8</v>
      </c>
      <c r="G691" s="2"/>
      <c r="H691" s="2"/>
    </row>
    <row r="692" spans="2:8" x14ac:dyDescent="0.25">
      <c r="B692" t="s">
        <v>316</v>
      </c>
      <c r="C692" t="s">
        <v>230</v>
      </c>
      <c r="D692">
        <v>5.55</v>
      </c>
      <c r="E692">
        <v>1.18</v>
      </c>
      <c r="F692" t="s">
        <v>8</v>
      </c>
      <c r="G692" s="2"/>
      <c r="H692" s="2"/>
    </row>
    <row r="693" spans="2:8" x14ac:dyDescent="0.25">
      <c r="B693" t="s">
        <v>317</v>
      </c>
      <c r="C693" t="s">
        <v>230</v>
      </c>
      <c r="D693">
        <v>1.1400000000000001</v>
      </c>
      <c r="E693">
        <v>11.9</v>
      </c>
      <c r="F693" t="s">
        <v>8</v>
      </c>
      <c r="G693" s="2"/>
      <c r="H693" s="2"/>
    </row>
    <row r="694" spans="2:8" x14ac:dyDescent="0.25">
      <c r="B694" t="s">
        <v>317</v>
      </c>
      <c r="C694" t="s">
        <v>230</v>
      </c>
      <c r="D694">
        <v>1.1000000000000001</v>
      </c>
      <c r="E694">
        <v>12.42</v>
      </c>
      <c r="F694" t="s">
        <v>8</v>
      </c>
      <c r="G694" s="2"/>
      <c r="H694" s="2"/>
    </row>
    <row r="695" spans="2:8" x14ac:dyDescent="0.25">
      <c r="B695" t="s">
        <v>317</v>
      </c>
      <c r="C695" t="s">
        <v>230</v>
      </c>
      <c r="D695">
        <v>1</v>
      </c>
      <c r="E695">
        <v>11.02</v>
      </c>
      <c r="F695" t="s">
        <v>8</v>
      </c>
      <c r="G695" s="2"/>
      <c r="H695" s="2"/>
    </row>
    <row r="696" spans="2:8" x14ac:dyDescent="0.25">
      <c r="B696" t="s">
        <v>317</v>
      </c>
      <c r="C696" t="s">
        <v>230</v>
      </c>
      <c r="D696">
        <v>1.03</v>
      </c>
      <c r="E696">
        <v>12.44</v>
      </c>
      <c r="F696" t="s">
        <v>8</v>
      </c>
      <c r="G696" s="2"/>
      <c r="H696" s="2"/>
    </row>
    <row r="697" spans="2:8" x14ac:dyDescent="0.25">
      <c r="B697" t="s">
        <v>317</v>
      </c>
      <c r="C697" t="s">
        <v>230</v>
      </c>
      <c r="D697">
        <v>1.05</v>
      </c>
      <c r="E697">
        <v>12.97</v>
      </c>
      <c r="F697" t="s">
        <v>8</v>
      </c>
      <c r="G697" s="2"/>
      <c r="H697" s="2"/>
    </row>
    <row r="698" spans="2:8" x14ac:dyDescent="0.25">
      <c r="B698" t="s">
        <v>317</v>
      </c>
      <c r="C698" t="s">
        <v>230</v>
      </c>
      <c r="D698">
        <v>1.08</v>
      </c>
      <c r="E698">
        <v>12.49</v>
      </c>
      <c r="F698" t="s">
        <v>8</v>
      </c>
      <c r="G698" s="2"/>
      <c r="H698" s="2"/>
    </row>
    <row r="699" spans="2:8" x14ac:dyDescent="0.25">
      <c r="B699" t="s">
        <v>317</v>
      </c>
      <c r="C699" t="s">
        <v>230</v>
      </c>
      <c r="D699">
        <v>1.1100000000000001</v>
      </c>
      <c r="E699">
        <v>11.95</v>
      </c>
      <c r="F699" t="s">
        <v>8</v>
      </c>
      <c r="G699" s="2"/>
      <c r="H699" s="2"/>
    </row>
    <row r="700" spans="2:8" x14ac:dyDescent="0.25">
      <c r="B700" t="s">
        <v>317</v>
      </c>
      <c r="C700" t="s">
        <v>230</v>
      </c>
      <c r="D700">
        <v>1.04</v>
      </c>
      <c r="E700">
        <v>12.23</v>
      </c>
      <c r="F700" t="s">
        <v>8</v>
      </c>
      <c r="G700" s="2"/>
      <c r="H700" s="2"/>
    </row>
    <row r="701" spans="2:8" x14ac:dyDescent="0.25">
      <c r="B701" t="s">
        <v>318</v>
      </c>
      <c r="C701" t="s">
        <v>233</v>
      </c>
      <c r="D701">
        <v>5.16</v>
      </c>
      <c r="E701">
        <v>1.1399999999999999</v>
      </c>
      <c r="F701" t="s">
        <v>8</v>
      </c>
      <c r="G701" s="2"/>
      <c r="H701" s="2"/>
    </row>
    <row r="702" spans="2:8" x14ac:dyDescent="0.25">
      <c r="B702" t="s">
        <v>318</v>
      </c>
      <c r="C702" t="s">
        <v>233</v>
      </c>
      <c r="D702">
        <v>5.26</v>
      </c>
      <c r="E702">
        <v>1.2</v>
      </c>
      <c r="F702" t="s">
        <v>8</v>
      </c>
      <c r="G702" s="2"/>
      <c r="H702" s="2"/>
    </row>
    <row r="703" spans="2:8" x14ac:dyDescent="0.25">
      <c r="B703" t="s">
        <v>318</v>
      </c>
      <c r="C703" t="s">
        <v>233</v>
      </c>
      <c r="D703">
        <v>5.6099999999999994</v>
      </c>
      <c r="E703">
        <v>1.1499999999999999</v>
      </c>
      <c r="F703" t="s">
        <v>8</v>
      </c>
      <c r="G703" s="2"/>
      <c r="H703" s="2"/>
    </row>
    <row r="704" spans="2:8" x14ac:dyDescent="0.25">
      <c r="B704" t="s">
        <v>319</v>
      </c>
      <c r="C704" t="s">
        <v>235</v>
      </c>
      <c r="D704">
        <v>1.1099999999999999</v>
      </c>
      <c r="E704">
        <v>4.3000000000000007</v>
      </c>
      <c r="F704" t="s">
        <v>8</v>
      </c>
      <c r="G704" s="2"/>
      <c r="H704" s="2"/>
    </row>
    <row r="705" spans="2:8" x14ac:dyDescent="0.25">
      <c r="B705" t="s">
        <v>319</v>
      </c>
      <c r="C705" t="s">
        <v>235</v>
      </c>
      <c r="D705">
        <v>1.1399999999999999</v>
      </c>
      <c r="E705">
        <v>4.49</v>
      </c>
      <c r="F705" t="s">
        <v>8</v>
      </c>
      <c r="G705" s="2"/>
      <c r="H705" s="2"/>
    </row>
    <row r="706" spans="2:8" x14ac:dyDescent="0.25">
      <c r="B706" t="s">
        <v>319</v>
      </c>
      <c r="C706" t="s">
        <v>235</v>
      </c>
      <c r="D706">
        <v>1.1299999999999999</v>
      </c>
      <c r="E706">
        <v>4.8600000000000003</v>
      </c>
      <c r="F706" t="s">
        <v>8</v>
      </c>
      <c r="G706" s="2"/>
      <c r="H706" s="2"/>
    </row>
    <row r="707" spans="2:8" x14ac:dyDescent="0.25">
      <c r="B707" t="s">
        <v>119</v>
      </c>
      <c r="C707" t="s">
        <v>41</v>
      </c>
      <c r="D707">
        <v>1.48</v>
      </c>
      <c r="E707">
        <v>2.7800000000000002</v>
      </c>
      <c r="F707" t="s">
        <v>8</v>
      </c>
      <c r="G707" s="2"/>
      <c r="H707" s="2"/>
    </row>
    <row r="708" spans="2:8" x14ac:dyDescent="0.25">
      <c r="B708" t="s">
        <v>119</v>
      </c>
      <c r="C708" t="s">
        <v>41</v>
      </c>
      <c r="D708">
        <v>1.42</v>
      </c>
      <c r="E708">
        <v>2.8499999999999996</v>
      </c>
      <c r="F708" t="s">
        <v>8</v>
      </c>
      <c r="G708" s="2"/>
      <c r="H708" s="2"/>
    </row>
    <row r="709" spans="2:8" x14ac:dyDescent="0.25">
      <c r="B709" t="s">
        <v>119</v>
      </c>
      <c r="C709" t="s">
        <v>41</v>
      </c>
      <c r="D709">
        <v>1.46</v>
      </c>
      <c r="E709">
        <v>2.9</v>
      </c>
      <c r="F709" t="s">
        <v>8</v>
      </c>
      <c r="G709" s="2"/>
      <c r="H709" s="2"/>
    </row>
    <row r="710" spans="2:8" x14ac:dyDescent="0.25">
      <c r="B710" t="s">
        <v>119</v>
      </c>
      <c r="C710" t="s">
        <v>41</v>
      </c>
      <c r="D710">
        <v>1.49</v>
      </c>
      <c r="E710">
        <v>2.86</v>
      </c>
      <c r="F710" t="s">
        <v>8</v>
      </c>
      <c r="G710" s="2"/>
      <c r="H710" s="2"/>
    </row>
    <row r="711" spans="2:8" x14ac:dyDescent="0.25">
      <c r="B711" t="s">
        <v>332</v>
      </c>
      <c r="C711" t="s">
        <v>41</v>
      </c>
      <c r="D711">
        <v>1.24</v>
      </c>
      <c r="E711">
        <v>3.83</v>
      </c>
      <c r="F711" t="s">
        <v>8</v>
      </c>
      <c r="G711" s="2"/>
      <c r="H711" s="2"/>
    </row>
    <row r="712" spans="2:8" x14ac:dyDescent="0.25">
      <c r="B712" t="s">
        <v>332</v>
      </c>
      <c r="C712" t="s">
        <v>41</v>
      </c>
      <c r="D712">
        <v>1.24</v>
      </c>
      <c r="E712">
        <v>3.79</v>
      </c>
      <c r="F712" t="s">
        <v>8</v>
      </c>
      <c r="G712" s="2"/>
      <c r="H712" s="2"/>
    </row>
    <row r="713" spans="2:8" x14ac:dyDescent="0.25">
      <c r="B713" t="s">
        <v>332</v>
      </c>
      <c r="C713" t="s">
        <v>41</v>
      </c>
      <c r="D713">
        <v>1.19</v>
      </c>
      <c r="E713">
        <v>3.97</v>
      </c>
      <c r="F713" t="s">
        <v>8</v>
      </c>
      <c r="G713" s="2"/>
      <c r="H713" s="2"/>
    </row>
    <row r="714" spans="2:8" x14ac:dyDescent="0.25">
      <c r="B714" t="s">
        <v>237</v>
      </c>
      <c r="C714" t="s">
        <v>238</v>
      </c>
      <c r="D714">
        <v>2.4</v>
      </c>
      <c r="E714">
        <v>1.5</v>
      </c>
      <c r="F714" t="s">
        <v>8</v>
      </c>
      <c r="G714" s="2"/>
      <c r="H714" s="2"/>
    </row>
    <row r="715" spans="2:8" x14ac:dyDescent="0.25">
      <c r="B715" t="s">
        <v>237</v>
      </c>
      <c r="C715" t="s">
        <v>238</v>
      </c>
      <c r="D715">
        <v>2.5</v>
      </c>
      <c r="E715">
        <v>1.6</v>
      </c>
      <c r="F715" t="s">
        <v>8</v>
      </c>
      <c r="G715" s="2"/>
      <c r="H715" s="2"/>
    </row>
    <row r="716" spans="2:8" x14ac:dyDescent="0.25">
      <c r="B716" t="s">
        <v>237</v>
      </c>
      <c r="C716" t="s">
        <v>238</v>
      </c>
      <c r="D716">
        <v>2.65</v>
      </c>
      <c r="E716">
        <v>1.47</v>
      </c>
      <c r="F716" t="s">
        <v>8</v>
      </c>
      <c r="G716" s="2"/>
      <c r="H716" s="2"/>
    </row>
    <row r="717" spans="2:8" x14ac:dyDescent="0.25">
      <c r="B717" t="s">
        <v>239</v>
      </c>
      <c r="C717" t="s">
        <v>238</v>
      </c>
      <c r="D717">
        <v>2.11</v>
      </c>
      <c r="E717">
        <v>1.78</v>
      </c>
      <c r="F717" t="s">
        <v>8</v>
      </c>
      <c r="G717" s="2"/>
      <c r="H717" s="2"/>
    </row>
    <row r="718" spans="2:8" x14ac:dyDescent="0.25">
      <c r="B718" t="s">
        <v>239</v>
      </c>
      <c r="C718" t="s">
        <v>238</v>
      </c>
      <c r="D718">
        <v>2.08</v>
      </c>
      <c r="E718">
        <v>1.68</v>
      </c>
      <c r="F718" t="s">
        <v>8</v>
      </c>
      <c r="G718" s="2"/>
      <c r="H718" s="2"/>
    </row>
    <row r="719" spans="2:8" x14ac:dyDescent="0.25">
      <c r="B719" t="s">
        <v>239</v>
      </c>
      <c r="C719" t="s">
        <v>238</v>
      </c>
      <c r="D719">
        <v>2.2000000000000002</v>
      </c>
      <c r="E719">
        <v>1.72</v>
      </c>
      <c r="F719" t="s">
        <v>8</v>
      </c>
      <c r="G719" s="2"/>
      <c r="H719" s="2"/>
    </row>
    <row r="720" spans="2:8" x14ac:dyDescent="0.25">
      <c r="B720" t="s">
        <v>330</v>
      </c>
      <c r="C720" t="s">
        <v>238</v>
      </c>
      <c r="D720">
        <v>2.0900000000000003</v>
      </c>
      <c r="E720">
        <v>1.82</v>
      </c>
      <c r="F720" t="s">
        <v>8</v>
      </c>
      <c r="G720" s="2"/>
      <c r="H720" s="2"/>
    </row>
    <row r="721" spans="2:8" x14ac:dyDescent="0.25">
      <c r="B721" t="s">
        <v>330</v>
      </c>
      <c r="C721" t="s">
        <v>238</v>
      </c>
      <c r="D721">
        <v>2.06</v>
      </c>
      <c r="E721">
        <v>1.75</v>
      </c>
      <c r="F721" t="s">
        <v>8</v>
      </c>
      <c r="G721" s="2"/>
      <c r="H721" s="2"/>
    </row>
    <row r="722" spans="2:8" x14ac:dyDescent="0.25">
      <c r="B722" t="s">
        <v>330</v>
      </c>
      <c r="C722" t="s">
        <v>238</v>
      </c>
      <c r="D722">
        <v>2.02</v>
      </c>
      <c r="E722">
        <v>1.74</v>
      </c>
      <c r="F722" t="s">
        <v>8</v>
      </c>
      <c r="G722" s="2"/>
      <c r="H722" s="2"/>
    </row>
    <row r="723" spans="2:8" x14ac:dyDescent="0.25">
      <c r="B723" t="s">
        <v>320</v>
      </c>
      <c r="C723" t="s">
        <v>238</v>
      </c>
      <c r="D723">
        <v>3.6599999999999997</v>
      </c>
      <c r="E723">
        <v>1.3800000000000001</v>
      </c>
      <c r="F723" t="s">
        <v>8</v>
      </c>
      <c r="G723" s="2"/>
      <c r="H723" s="2"/>
    </row>
    <row r="724" spans="2:8" x14ac:dyDescent="0.25">
      <c r="B724" t="s">
        <v>320</v>
      </c>
      <c r="C724" t="s">
        <v>238</v>
      </c>
      <c r="D724">
        <v>3.61</v>
      </c>
      <c r="E724">
        <v>1.3800000000000001</v>
      </c>
      <c r="F724" t="s">
        <v>8</v>
      </c>
      <c r="G724" s="2"/>
      <c r="H724" s="2"/>
    </row>
    <row r="725" spans="2:8" x14ac:dyDescent="0.25">
      <c r="B725" t="s">
        <v>320</v>
      </c>
      <c r="C725" t="s">
        <v>238</v>
      </c>
      <c r="D725">
        <v>3.9</v>
      </c>
      <c r="E725">
        <v>1.31</v>
      </c>
      <c r="F725" t="s">
        <v>8</v>
      </c>
      <c r="G725" s="2"/>
      <c r="H725" s="2"/>
    </row>
    <row r="726" spans="2:8" x14ac:dyDescent="0.25">
      <c r="B726" t="s">
        <v>242</v>
      </c>
      <c r="C726" t="s">
        <v>243</v>
      </c>
      <c r="D726">
        <v>1.1399999999999999</v>
      </c>
      <c r="E726">
        <v>4.42</v>
      </c>
      <c r="F726" t="s">
        <v>8</v>
      </c>
      <c r="G726" s="2"/>
      <c r="H726" s="2"/>
    </row>
    <row r="727" spans="2:8" x14ac:dyDescent="0.25">
      <c r="B727" t="s">
        <v>242</v>
      </c>
      <c r="C727" t="s">
        <v>243</v>
      </c>
      <c r="D727">
        <v>1.27</v>
      </c>
      <c r="E727">
        <v>4.67</v>
      </c>
      <c r="F727" t="s">
        <v>8</v>
      </c>
      <c r="G727" s="2"/>
      <c r="H727" s="2"/>
    </row>
    <row r="728" spans="2:8" x14ac:dyDescent="0.25">
      <c r="B728" t="s">
        <v>242</v>
      </c>
      <c r="C728" t="s">
        <v>243</v>
      </c>
      <c r="D728">
        <v>1.26</v>
      </c>
      <c r="E728">
        <v>4.33</v>
      </c>
      <c r="F728" t="s">
        <v>8</v>
      </c>
      <c r="G728" s="2"/>
      <c r="H728" s="2"/>
    </row>
    <row r="729" spans="2:8" x14ac:dyDescent="0.25">
      <c r="B729" t="s">
        <v>242</v>
      </c>
      <c r="C729" t="s">
        <v>243</v>
      </c>
      <c r="D729">
        <v>1.23</v>
      </c>
      <c r="E729">
        <v>4.41</v>
      </c>
      <c r="F729" t="s">
        <v>8</v>
      </c>
      <c r="G729" s="2"/>
      <c r="H729" s="2"/>
    </row>
    <row r="730" spans="2:8" x14ac:dyDescent="0.25">
      <c r="B730" t="s">
        <v>321</v>
      </c>
      <c r="C730" t="s">
        <v>245</v>
      </c>
      <c r="D730">
        <v>1.23</v>
      </c>
      <c r="E730">
        <v>5.46</v>
      </c>
      <c r="F730" t="s">
        <v>8</v>
      </c>
      <c r="G730" s="2"/>
      <c r="H730" s="2"/>
    </row>
    <row r="731" spans="2:8" x14ac:dyDescent="0.25">
      <c r="B731" t="s">
        <v>321</v>
      </c>
      <c r="C731" t="s">
        <v>245</v>
      </c>
      <c r="D731">
        <v>1.19</v>
      </c>
      <c r="E731">
        <v>5.5</v>
      </c>
      <c r="F731" t="s">
        <v>8</v>
      </c>
      <c r="G731" s="2"/>
      <c r="H731" s="2"/>
    </row>
    <row r="732" spans="2:8" x14ac:dyDescent="0.25">
      <c r="B732" t="s">
        <v>321</v>
      </c>
      <c r="C732" t="s">
        <v>245</v>
      </c>
      <c r="D732">
        <v>1.1399999999999999</v>
      </c>
      <c r="E732">
        <v>5.72</v>
      </c>
      <c r="F732" t="s">
        <v>8</v>
      </c>
      <c r="G732" s="2"/>
      <c r="H732" s="2"/>
    </row>
    <row r="733" spans="2:8" x14ac:dyDescent="0.25">
      <c r="B733" t="s">
        <v>322</v>
      </c>
      <c r="C733" t="s">
        <v>247</v>
      </c>
      <c r="D733">
        <v>4.3099999999999996</v>
      </c>
      <c r="E733">
        <v>1.24</v>
      </c>
      <c r="F733" t="s">
        <v>8</v>
      </c>
      <c r="G733" s="2"/>
      <c r="H733" s="2"/>
    </row>
    <row r="734" spans="2:8" x14ac:dyDescent="0.25">
      <c r="B734" t="s">
        <v>322</v>
      </c>
      <c r="C734" t="s">
        <v>247</v>
      </c>
      <c r="D734">
        <v>4.33</v>
      </c>
      <c r="E734">
        <v>1.21</v>
      </c>
      <c r="F734" t="s">
        <v>8</v>
      </c>
      <c r="G734" s="2"/>
      <c r="H734" s="2"/>
    </row>
    <row r="735" spans="2:8" x14ac:dyDescent="0.25">
      <c r="B735" t="s">
        <v>322</v>
      </c>
      <c r="C735" t="s">
        <v>247</v>
      </c>
      <c r="D735">
        <v>4.3600000000000003</v>
      </c>
      <c r="E735">
        <v>1.28</v>
      </c>
      <c r="F735" t="s">
        <v>8</v>
      </c>
      <c r="G735" s="2"/>
      <c r="H735" s="2"/>
    </row>
    <row r="736" spans="2:8" x14ac:dyDescent="0.25">
      <c r="B736" t="s">
        <v>327</v>
      </c>
      <c r="C736" t="s">
        <v>249</v>
      </c>
      <c r="D736">
        <v>1.36</v>
      </c>
      <c r="E736">
        <v>3.2199999999999998</v>
      </c>
      <c r="F736" t="s">
        <v>8</v>
      </c>
      <c r="G736" s="2"/>
      <c r="H736" s="2"/>
    </row>
    <row r="737" spans="2:8" x14ac:dyDescent="0.25">
      <c r="B737" t="s">
        <v>327</v>
      </c>
      <c r="C737" t="s">
        <v>249</v>
      </c>
      <c r="D737">
        <v>1.3900000000000001</v>
      </c>
      <c r="E737">
        <v>3.19</v>
      </c>
      <c r="F737" t="s">
        <v>8</v>
      </c>
      <c r="G737" s="2"/>
      <c r="H737" s="2"/>
    </row>
    <row r="738" spans="2:8" x14ac:dyDescent="0.25">
      <c r="B738" t="s">
        <v>327</v>
      </c>
      <c r="C738" t="s">
        <v>249</v>
      </c>
      <c r="D738">
        <v>1.3900000000000001</v>
      </c>
      <c r="E738">
        <v>3.33</v>
      </c>
      <c r="F738" t="s">
        <v>8</v>
      </c>
      <c r="G738" s="2"/>
      <c r="H738" s="2"/>
    </row>
    <row r="739" spans="2:8" x14ac:dyDescent="0.25">
      <c r="B739" t="s">
        <v>323</v>
      </c>
      <c r="C739" t="s">
        <v>251</v>
      </c>
      <c r="D739">
        <v>1.17</v>
      </c>
      <c r="E739">
        <v>5.32</v>
      </c>
      <c r="F739" t="s">
        <v>8</v>
      </c>
      <c r="G739" s="2"/>
      <c r="H739" s="2"/>
    </row>
    <row r="740" spans="2:8" x14ac:dyDescent="0.25">
      <c r="B740" t="s">
        <v>323</v>
      </c>
      <c r="C740" t="s">
        <v>251</v>
      </c>
      <c r="D740">
        <v>1.0899999999999999</v>
      </c>
      <c r="E740">
        <v>5.75</v>
      </c>
      <c r="F740" t="s">
        <v>8</v>
      </c>
      <c r="G740" s="2"/>
      <c r="H740" s="2"/>
    </row>
    <row r="741" spans="2:8" x14ac:dyDescent="0.25">
      <c r="B741" t="s">
        <v>323</v>
      </c>
      <c r="C741" t="s">
        <v>251</v>
      </c>
      <c r="D741">
        <v>1.1399999999999999</v>
      </c>
      <c r="E741">
        <v>5.25</v>
      </c>
      <c r="F741" t="s">
        <v>8</v>
      </c>
      <c r="G741" s="2"/>
      <c r="H741" s="2"/>
    </row>
    <row r="742" spans="2:8" x14ac:dyDescent="0.25">
      <c r="B742" t="s">
        <v>252</v>
      </c>
      <c r="C742" t="s">
        <v>253</v>
      </c>
      <c r="D742">
        <v>2.5</v>
      </c>
      <c r="E742">
        <v>1.59</v>
      </c>
      <c r="F742" t="s">
        <v>8</v>
      </c>
      <c r="G742" s="2"/>
      <c r="H742" s="2"/>
    </row>
    <row r="743" spans="2:8" x14ac:dyDescent="0.25">
      <c r="B743" t="s">
        <v>252</v>
      </c>
      <c r="C743" t="s">
        <v>253</v>
      </c>
      <c r="D743">
        <v>2.38</v>
      </c>
      <c r="E743">
        <v>1.6400000000000001</v>
      </c>
      <c r="F743" t="s">
        <v>8</v>
      </c>
      <c r="G743" s="2"/>
      <c r="H743" s="2"/>
    </row>
    <row r="744" spans="2:8" x14ac:dyDescent="0.25">
      <c r="B744" t="s">
        <v>252</v>
      </c>
      <c r="C744" t="s">
        <v>253</v>
      </c>
      <c r="D744">
        <v>2.37</v>
      </c>
      <c r="E744">
        <v>1.55</v>
      </c>
      <c r="F744" t="s">
        <v>8</v>
      </c>
      <c r="G744" s="2"/>
      <c r="H744" s="2"/>
    </row>
    <row r="745" spans="2:8" x14ac:dyDescent="0.25">
      <c r="B745" t="s">
        <v>96</v>
      </c>
      <c r="C745" t="s">
        <v>97</v>
      </c>
      <c r="D745">
        <v>1.5</v>
      </c>
      <c r="E745">
        <v>2.52</v>
      </c>
      <c r="F745" s="1" t="s">
        <v>9</v>
      </c>
      <c r="G745" s="2"/>
      <c r="H745" s="2"/>
    </row>
    <row r="746" spans="2:8" x14ac:dyDescent="0.25">
      <c r="B746" t="s">
        <v>96</v>
      </c>
      <c r="C746" t="s">
        <v>97</v>
      </c>
      <c r="D746">
        <v>1.58</v>
      </c>
      <c r="E746">
        <v>2.58</v>
      </c>
      <c r="F746" s="1" t="s">
        <v>9</v>
      </c>
      <c r="G746" s="2"/>
      <c r="H746" s="2"/>
    </row>
    <row r="747" spans="2:8" x14ac:dyDescent="0.25">
      <c r="B747" t="s">
        <v>96</v>
      </c>
      <c r="C747" t="s">
        <v>97</v>
      </c>
      <c r="D747">
        <v>1.55</v>
      </c>
      <c r="E747">
        <v>2.64</v>
      </c>
      <c r="F747" s="1" t="s">
        <v>9</v>
      </c>
      <c r="G747" s="2"/>
      <c r="H747" s="2"/>
    </row>
    <row r="748" spans="2:8" x14ac:dyDescent="0.25">
      <c r="B748" t="s">
        <v>96</v>
      </c>
      <c r="C748" t="s">
        <v>97</v>
      </c>
      <c r="D748">
        <v>1.46</v>
      </c>
      <c r="E748">
        <v>2.61</v>
      </c>
      <c r="F748" s="1" t="s">
        <v>9</v>
      </c>
      <c r="G748" s="2"/>
      <c r="H748" s="2"/>
    </row>
    <row r="749" spans="2:8" x14ac:dyDescent="0.25">
      <c r="B749" t="s">
        <v>96</v>
      </c>
      <c r="C749" t="s">
        <v>97</v>
      </c>
      <c r="D749">
        <v>1.51</v>
      </c>
      <c r="E749">
        <v>2.71</v>
      </c>
      <c r="F749" s="1" t="s">
        <v>9</v>
      </c>
      <c r="G749" s="2"/>
      <c r="H749" s="2"/>
    </row>
    <row r="750" spans="2:8" x14ac:dyDescent="0.25">
      <c r="B750" t="s">
        <v>96</v>
      </c>
      <c r="C750" t="s">
        <v>97</v>
      </c>
      <c r="D750">
        <v>1.44</v>
      </c>
      <c r="E750">
        <v>2.64</v>
      </c>
      <c r="F750" s="1" t="s">
        <v>9</v>
      </c>
      <c r="G750" s="2"/>
      <c r="H750" s="2"/>
    </row>
    <row r="751" spans="2:8" x14ac:dyDescent="0.25">
      <c r="B751" t="s">
        <v>96</v>
      </c>
      <c r="C751" t="s">
        <v>97</v>
      </c>
      <c r="D751">
        <v>1.4</v>
      </c>
      <c r="E751">
        <v>2.68</v>
      </c>
      <c r="F751" s="1" t="s">
        <v>9</v>
      </c>
      <c r="G751" s="2"/>
      <c r="H751" s="2"/>
    </row>
    <row r="752" spans="2:8" x14ac:dyDescent="0.25">
      <c r="B752" t="s">
        <v>96</v>
      </c>
      <c r="C752" t="s">
        <v>97</v>
      </c>
      <c r="D752">
        <v>1.47</v>
      </c>
      <c r="E752">
        <v>2.5</v>
      </c>
      <c r="F752" s="1" t="s">
        <v>9</v>
      </c>
      <c r="G752" s="2"/>
      <c r="H752" s="2"/>
    </row>
    <row r="753" spans="2:8" x14ac:dyDescent="0.25">
      <c r="B753" t="s">
        <v>96</v>
      </c>
      <c r="C753" t="s">
        <v>97</v>
      </c>
      <c r="D753">
        <v>1.56</v>
      </c>
      <c r="E753">
        <v>2.57</v>
      </c>
      <c r="F753" s="1" t="s">
        <v>9</v>
      </c>
      <c r="G753" s="2"/>
      <c r="H753" s="2"/>
    </row>
    <row r="754" spans="2:8" x14ac:dyDescent="0.25">
      <c r="B754" t="s">
        <v>96</v>
      </c>
      <c r="C754" t="s">
        <v>97</v>
      </c>
      <c r="D754">
        <v>1.6400000000000001</v>
      </c>
      <c r="E754">
        <v>2.46</v>
      </c>
      <c r="F754" s="1" t="s">
        <v>9</v>
      </c>
      <c r="G754" s="2"/>
      <c r="H754" s="2"/>
    </row>
    <row r="755" spans="2:8" x14ac:dyDescent="0.25">
      <c r="B755" t="s">
        <v>96</v>
      </c>
      <c r="C755" t="s">
        <v>97</v>
      </c>
      <c r="D755">
        <v>1.51</v>
      </c>
      <c r="E755">
        <v>2.5</v>
      </c>
      <c r="F755" s="1" t="s">
        <v>9</v>
      </c>
      <c r="G755" s="2"/>
      <c r="H755" s="2"/>
    </row>
    <row r="756" spans="2:8" x14ac:dyDescent="0.25">
      <c r="B756" t="s">
        <v>96</v>
      </c>
      <c r="C756" t="s">
        <v>97</v>
      </c>
      <c r="D756">
        <v>1.59</v>
      </c>
      <c r="E756">
        <v>2.58</v>
      </c>
      <c r="F756" s="1" t="s">
        <v>9</v>
      </c>
      <c r="G756" s="2"/>
      <c r="H756" s="2"/>
    </row>
    <row r="757" spans="2:8" x14ac:dyDescent="0.25">
      <c r="B757" t="s">
        <v>96</v>
      </c>
      <c r="C757" t="s">
        <v>97</v>
      </c>
      <c r="D757">
        <v>1.45</v>
      </c>
      <c r="E757">
        <v>2.5999999999999996</v>
      </c>
      <c r="F757" s="1" t="s">
        <v>9</v>
      </c>
      <c r="G757" s="2"/>
      <c r="H757" s="2"/>
    </row>
    <row r="758" spans="2:8" x14ac:dyDescent="0.25">
      <c r="B758" t="s">
        <v>96</v>
      </c>
      <c r="C758" t="s">
        <v>97</v>
      </c>
      <c r="D758">
        <v>1.55</v>
      </c>
      <c r="E758">
        <v>2.52</v>
      </c>
      <c r="F758" s="1" t="s">
        <v>9</v>
      </c>
      <c r="G758" s="2"/>
      <c r="H758" s="2"/>
    </row>
    <row r="759" spans="2:8" x14ac:dyDescent="0.25">
      <c r="B759" t="s">
        <v>98</v>
      </c>
      <c r="C759" t="s">
        <v>99</v>
      </c>
      <c r="D759">
        <v>2.34</v>
      </c>
      <c r="E759">
        <v>1.7000000000000002</v>
      </c>
      <c r="F759" s="1" t="s">
        <v>9</v>
      </c>
      <c r="G759" s="2"/>
      <c r="H759" s="2"/>
    </row>
    <row r="760" spans="2:8" x14ac:dyDescent="0.25">
      <c r="B760" t="s">
        <v>98</v>
      </c>
      <c r="C760" t="s">
        <v>99</v>
      </c>
      <c r="D760">
        <v>2.2799999999999998</v>
      </c>
      <c r="E760">
        <v>1.6600000000000001</v>
      </c>
      <c r="F760" s="1" t="s">
        <v>9</v>
      </c>
      <c r="G760" s="2"/>
      <c r="H760" s="2"/>
    </row>
    <row r="761" spans="2:8" x14ac:dyDescent="0.25">
      <c r="B761" t="s">
        <v>98</v>
      </c>
      <c r="C761" t="s">
        <v>99</v>
      </c>
      <c r="D761">
        <v>2.57</v>
      </c>
      <c r="E761">
        <v>1.51</v>
      </c>
      <c r="F761" s="1" t="s">
        <v>9</v>
      </c>
      <c r="G761" s="2"/>
      <c r="H761" s="2"/>
    </row>
    <row r="762" spans="2:8" x14ac:dyDescent="0.25">
      <c r="B762" t="s">
        <v>98</v>
      </c>
      <c r="C762" t="s">
        <v>99</v>
      </c>
      <c r="D762">
        <v>2.4099999999999997</v>
      </c>
      <c r="E762">
        <v>1.6500000000000001</v>
      </c>
      <c r="F762" s="1" t="s">
        <v>9</v>
      </c>
      <c r="G762" s="2"/>
      <c r="H762" s="2"/>
    </row>
    <row r="763" spans="2:8" x14ac:dyDescent="0.25">
      <c r="B763" t="s">
        <v>98</v>
      </c>
      <c r="C763" t="s">
        <v>99</v>
      </c>
      <c r="D763">
        <v>2.4300000000000002</v>
      </c>
      <c r="E763">
        <v>1.6800000000000002</v>
      </c>
      <c r="F763" s="1" t="s">
        <v>9</v>
      </c>
      <c r="G763" s="2"/>
      <c r="H763" s="2"/>
    </row>
    <row r="764" spans="2:8" x14ac:dyDescent="0.25">
      <c r="B764" t="s">
        <v>98</v>
      </c>
      <c r="C764" t="s">
        <v>99</v>
      </c>
      <c r="D764">
        <v>2.4700000000000002</v>
      </c>
      <c r="E764">
        <v>1.6600000000000001</v>
      </c>
      <c r="F764" s="1" t="s">
        <v>9</v>
      </c>
      <c r="G764" s="2"/>
      <c r="H764" s="2"/>
    </row>
    <row r="765" spans="2:8" x14ac:dyDescent="0.25">
      <c r="B765" t="s">
        <v>98</v>
      </c>
      <c r="C765" t="s">
        <v>99</v>
      </c>
      <c r="D765">
        <v>2.4400000000000004</v>
      </c>
      <c r="E765">
        <v>1.54</v>
      </c>
      <c r="F765" s="1" t="s">
        <v>9</v>
      </c>
      <c r="G765" s="2"/>
      <c r="H765" s="2"/>
    </row>
    <row r="766" spans="2:8" x14ac:dyDescent="0.25">
      <c r="B766" t="s">
        <v>98</v>
      </c>
      <c r="C766" t="s">
        <v>99</v>
      </c>
      <c r="D766">
        <v>2.38</v>
      </c>
      <c r="E766">
        <v>1.61</v>
      </c>
      <c r="F766" s="1" t="s">
        <v>9</v>
      </c>
      <c r="G766" s="2"/>
      <c r="H766" s="2"/>
    </row>
    <row r="767" spans="2:8" x14ac:dyDescent="0.25">
      <c r="B767" t="s">
        <v>98</v>
      </c>
      <c r="C767" t="s">
        <v>99</v>
      </c>
      <c r="D767">
        <v>2.4699999999999998</v>
      </c>
      <c r="E767">
        <v>1.6300000000000001</v>
      </c>
      <c r="F767" s="1" t="s">
        <v>9</v>
      </c>
      <c r="G767" s="2"/>
      <c r="H767" s="2"/>
    </row>
    <row r="768" spans="2:8" x14ac:dyDescent="0.25">
      <c r="B768" t="s">
        <v>98</v>
      </c>
      <c r="C768" t="s">
        <v>99</v>
      </c>
      <c r="D768">
        <v>2.31</v>
      </c>
      <c r="E768">
        <v>1.55</v>
      </c>
      <c r="F768" s="1" t="s">
        <v>9</v>
      </c>
      <c r="G768" s="2"/>
      <c r="H768" s="2"/>
    </row>
    <row r="769" spans="2:8" x14ac:dyDescent="0.25">
      <c r="B769" t="s">
        <v>98</v>
      </c>
      <c r="C769" t="s">
        <v>99</v>
      </c>
      <c r="D769">
        <v>2.4899999999999998</v>
      </c>
      <c r="E769">
        <v>1.52</v>
      </c>
      <c r="F769" s="1" t="s">
        <v>9</v>
      </c>
      <c r="G769" s="2"/>
      <c r="H769" s="2"/>
    </row>
    <row r="770" spans="2:8" x14ac:dyDescent="0.25">
      <c r="B770" t="s">
        <v>98</v>
      </c>
      <c r="C770" t="s">
        <v>99</v>
      </c>
      <c r="D770">
        <v>2.4099999999999997</v>
      </c>
      <c r="E770">
        <v>1.6700000000000002</v>
      </c>
      <c r="F770" s="1" t="s">
        <v>9</v>
      </c>
      <c r="G770" s="2"/>
      <c r="H770" s="2"/>
    </row>
    <row r="771" spans="2:8" x14ac:dyDescent="0.25">
      <c r="B771" t="s">
        <v>98</v>
      </c>
      <c r="C771" t="s">
        <v>99</v>
      </c>
      <c r="D771">
        <v>2.42</v>
      </c>
      <c r="E771">
        <v>1.56</v>
      </c>
      <c r="F771" s="1" t="s">
        <v>9</v>
      </c>
      <c r="G771" s="2"/>
      <c r="H771" s="2"/>
    </row>
    <row r="772" spans="2:8" x14ac:dyDescent="0.25">
      <c r="B772" t="s">
        <v>98</v>
      </c>
      <c r="C772" t="s">
        <v>99</v>
      </c>
      <c r="D772">
        <v>2.36</v>
      </c>
      <c r="E772">
        <v>1.7000000000000002</v>
      </c>
      <c r="F772" s="1" t="s">
        <v>9</v>
      </c>
      <c r="G772" s="2"/>
      <c r="H772" s="2"/>
    </row>
    <row r="773" spans="2:8" x14ac:dyDescent="0.25">
      <c r="B773" t="s">
        <v>100</v>
      </c>
      <c r="C773" t="s">
        <v>99</v>
      </c>
      <c r="D773">
        <v>1.33</v>
      </c>
      <c r="E773">
        <v>3.37</v>
      </c>
      <c r="F773" s="1" t="s">
        <v>9</v>
      </c>
      <c r="G773" s="2"/>
      <c r="H773" s="2"/>
    </row>
    <row r="774" spans="2:8" x14ac:dyDescent="0.25">
      <c r="B774" t="s">
        <v>100</v>
      </c>
      <c r="C774" t="s">
        <v>99</v>
      </c>
      <c r="D774">
        <v>1.34</v>
      </c>
      <c r="E774">
        <v>3.29</v>
      </c>
      <c r="F774" s="1" t="s">
        <v>9</v>
      </c>
      <c r="G774" s="2"/>
      <c r="H774" s="2"/>
    </row>
    <row r="775" spans="2:8" x14ac:dyDescent="0.25">
      <c r="B775" t="s">
        <v>100</v>
      </c>
      <c r="C775" t="s">
        <v>99</v>
      </c>
      <c r="D775">
        <v>1.29</v>
      </c>
      <c r="E775">
        <v>3.37</v>
      </c>
      <c r="F775" s="1" t="s">
        <v>9</v>
      </c>
      <c r="G775" s="2"/>
      <c r="H775" s="2"/>
    </row>
    <row r="776" spans="2:8" x14ac:dyDescent="0.25">
      <c r="B776" t="s">
        <v>100</v>
      </c>
      <c r="C776" t="s">
        <v>99</v>
      </c>
      <c r="D776">
        <v>1.34</v>
      </c>
      <c r="E776">
        <v>3.35</v>
      </c>
      <c r="F776" s="1" t="s">
        <v>9</v>
      </c>
      <c r="G776" s="2"/>
      <c r="H776" s="2"/>
    </row>
    <row r="777" spans="2:8" x14ac:dyDescent="0.25">
      <c r="B777" t="s">
        <v>100</v>
      </c>
      <c r="C777" t="s">
        <v>99</v>
      </c>
      <c r="D777">
        <v>1.36</v>
      </c>
      <c r="E777">
        <v>3.2800000000000002</v>
      </c>
      <c r="F777" s="1" t="s">
        <v>9</v>
      </c>
      <c r="G777" s="2"/>
      <c r="H777" s="2"/>
    </row>
    <row r="778" spans="2:8" x14ac:dyDescent="0.25">
      <c r="B778" t="s">
        <v>100</v>
      </c>
      <c r="C778" t="s">
        <v>99</v>
      </c>
      <c r="D778">
        <v>1.4000000000000001</v>
      </c>
      <c r="E778">
        <v>3.4200000000000004</v>
      </c>
      <c r="F778" s="1" t="s">
        <v>9</v>
      </c>
      <c r="G778" s="2"/>
      <c r="H778" s="2"/>
    </row>
    <row r="779" spans="2:8" x14ac:dyDescent="0.25">
      <c r="B779" t="s">
        <v>100</v>
      </c>
      <c r="C779" t="s">
        <v>99</v>
      </c>
      <c r="D779">
        <v>1.25</v>
      </c>
      <c r="E779">
        <v>3.3800000000000003</v>
      </c>
      <c r="F779" s="1" t="s">
        <v>9</v>
      </c>
      <c r="G779" s="2"/>
      <c r="H779" s="2"/>
    </row>
    <row r="780" spans="2:8" x14ac:dyDescent="0.25">
      <c r="B780" t="s">
        <v>100</v>
      </c>
      <c r="C780" t="s">
        <v>99</v>
      </c>
      <c r="D780">
        <v>1.3800000000000001</v>
      </c>
      <c r="E780">
        <v>3.27</v>
      </c>
      <c r="F780" s="1" t="s">
        <v>9</v>
      </c>
      <c r="G780" s="2"/>
      <c r="H780" s="2"/>
    </row>
    <row r="781" spans="2:8" x14ac:dyDescent="0.25">
      <c r="B781" t="s">
        <v>100</v>
      </c>
      <c r="C781" t="s">
        <v>99</v>
      </c>
      <c r="D781">
        <v>1.34</v>
      </c>
      <c r="E781">
        <v>3.3299999999999996</v>
      </c>
      <c r="F781" s="1" t="s">
        <v>9</v>
      </c>
      <c r="G781" s="2"/>
      <c r="H781" s="2"/>
    </row>
    <row r="782" spans="2:8" x14ac:dyDescent="0.25">
      <c r="B782" t="s">
        <v>100</v>
      </c>
      <c r="C782" t="s">
        <v>99</v>
      </c>
      <c r="D782">
        <v>1.34</v>
      </c>
      <c r="E782">
        <v>3.3</v>
      </c>
      <c r="F782" s="1" t="s">
        <v>9</v>
      </c>
      <c r="G782" s="2"/>
      <c r="H782" s="2"/>
    </row>
    <row r="783" spans="2:8" x14ac:dyDescent="0.25">
      <c r="B783" t="s">
        <v>100</v>
      </c>
      <c r="C783" t="s">
        <v>99</v>
      </c>
      <c r="D783">
        <v>1.33</v>
      </c>
      <c r="E783">
        <v>3.34</v>
      </c>
      <c r="F783" s="1" t="s">
        <v>9</v>
      </c>
      <c r="G783" s="2"/>
      <c r="H783" s="2"/>
    </row>
    <row r="784" spans="2:8" x14ac:dyDescent="0.25">
      <c r="B784" t="s">
        <v>100</v>
      </c>
      <c r="C784" t="s">
        <v>99</v>
      </c>
      <c r="D784">
        <v>1.4300000000000002</v>
      </c>
      <c r="E784">
        <v>3.2800000000000002</v>
      </c>
      <c r="F784" s="1" t="s">
        <v>9</v>
      </c>
      <c r="G784" s="2"/>
      <c r="H784" s="2"/>
    </row>
    <row r="785" spans="2:8" x14ac:dyDescent="0.25">
      <c r="B785" t="s">
        <v>100</v>
      </c>
      <c r="C785" t="s">
        <v>99</v>
      </c>
      <c r="D785">
        <v>1.29</v>
      </c>
      <c r="E785">
        <v>3.3899999999999997</v>
      </c>
      <c r="F785" s="1" t="s">
        <v>9</v>
      </c>
      <c r="G785" s="2"/>
      <c r="H785" s="2"/>
    </row>
    <row r="786" spans="2:8" x14ac:dyDescent="0.25">
      <c r="B786" t="s">
        <v>100</v>
      </c>
      <c r="C786" t="s">
        <v>99</v>
      </c>
      <c r="D786">
        <v>1.4200000000000002</v>
      </c>
      <c r="E786">
        <v>3.4699999999999998</v>
      </c>
      <c r="F786" s="1" t="s">
        <v>9</v>
      </c>
      <c r="G786" s="2"/>
      <c r="H786" s="2"/>
    </row>
    <row r="787" spans="2:8" x14ac:dyDescent="0.25">
      <c r="B787" t="s">
        <v>101</v>
      </c>
      <c r="C787" t="s">
        <v>99</v>
      </c>
      <c r="D787">
        <v>5.71</v>
      </c>
      <c r="E787">
        <v>1.0899999999999999</v>
      </c>
      <c r="F787" s="1" t="s">
        <v>9</v>
      </c>
      <c r="G787" s="2"/>
      <c r="H787" s="2"/>
    </row>
    <row r="788" spans="2:8" x14ac:dyDescent="0.25">
      <c r="B788" t="s">
        <v>101</v>
      </c>
      <c r="C788" t="s">
        <v>99</v>
      </c>
      <c r="D788">
        <v>5.7</v>
      </c>
      <c r="E788">
        <v>1.0899999999999999</v>
      </c>
      <c r="F788" s="1" t="s">
        <v>9</v>
      </c>
      <c r="G788" s="2"/>
      <c r="H788" s="2"/>
    </row>
    <row r="789" spans="2:8" x14ac:dyDescent="0.25">
      <c r="B789" t="s">
        <v>101</v>
      </c>
      <c r="C789" t="s">
        <v>99</v>
      </c>
      <c r="D789">
        <v>6.3</v>
      </c>
      <c r="E789">
        <v>1.08</v>
      </c>
      <c r="F789" s="1" t="s">
        <v>9</v>
      </c>
      <c r="G789" s="2"/>
      <c r="H789" s="2"/>
    </row>
    <row r="790" spans="2:8" x14ac:dyDescent="0.25">
      <c r="B790" t="s">
        <v>101</v>
      </c>
      <c r="C790" t="s">
        <v>99</v>
      </c>
      <c r="D790">
        <v>6.24</v>
      </c>
      <c r="E790">
        <v>1.18</v>
      </c>
      <c r="F790" s="1" t="s">
        <v>9</v>
      </c>
      <c r="G790" s="2"/>
      <c r="H790" s="2"/>
    </row>
    <row r="791" spans="2:8" x14ac:dyDescent="0.25">
      <c r="B791" t="s">
        <v>101</v>
      </c>
      <c r="C791" t="s">
        <v>99</v>
      </c>
      <c r="D791">
        <v>6.46</v>
      </c>
      <c r="E791">
        <v>1.21</v>
      </c>
      <c r="F791" s="1" t="s">
        <v>9</v>
      </c>
      <c r="G791" s="2"/>
      <c r="H791" s="2"/>
    </row>
    <row r="792" spans="2:8" x14ac:dyDescent="0.25">
      <c r="B792" t="s">
        <v>101</v>
      </c>
      <c r="C792" t="s">
        <v>99</v>
      </c>
      <c r="D792">
        <v>6.56</v>
      </c>
      <c r="E792">
        <v>1.1499999999999999</v>
      </c>
      <c r="F792" s="1" t="s">
        <v>9</v>
      </c>
      <c r="G792" s="2"/>
      <c r="H792" s="2"/>
    </row>
    <row r="793" spans="2:8" x14ac:dyDescent="0.25">
      <c r="B793" t="s">
        <v>101</v>
      </c>
      <c r="C793" t="s">
        <v>99</v>
      </c>
      <c r="D793">
        <v>6.05</v>
      </c>
      <c r="E793">
        <v>1.17</v>
      </c>
      <c r="F793" s="1" t="s">
        <v>9</v>
      </c>
      <c r="G793" s="2"/>
      <c r="H793" s="2"/>
    </row>
    <row r="794" spans="2:8" x14ac:dyDescent="0.25">
      <c r="B794" t="s">
        <v>101</v>
      </c>
      <c r="C794" t="s">
        <v>99</v>
      </c>
      <c r="D794">
        <v>6.07</v>
      </c>
      <c r="E794">
        <v>1.0899999999999999</v>
      </c>
      <c r="F794" s="1" t="s">
        <v>9</v>
      </c>
      <c r="G794" s="2"/>
      <c r="H794" s="2"/>
    </row>
    <row r="795" spans="2:8" x14ac:dyDescent="0.25">
      <c r="B795" t="s">
        <v>101</v>
      </c>
      <c r="C795" t="s">
        <v>99</v>
      </c>
      <c r="D795">
        <v>6.05</v>
      </c>
      <c r="E795">
        <v>1.0599999999999998</v>
      </c>
      <c r="F795" s="1" t="s">
        <v>9</v>
      </c>
      <c r="G795" s="2"/>
      <c r="H795" s="2"/>
    </row>
    <row r="796" spans="2:8" x14ac:dyDescent="0.25">
      <c r="B796" t="s">
        <v>101</v>
      </c>
      <c r="C796" t="s">
        <v>99</v>
      </c>
      <c r="D796">
        <v>5.91</v>
      </c>
      <c r="E796">
        <v>1.0999999999999999</v>
      </c>
      <c r="F796" s="1" t="s">
        <v>9</v>
      </c>
      <c r="G796" s="2"/>
      <c r="H796" s="2"/>
    </row>
    <row r="797" spans="2:8" x14ac:dyDescent="0.25">
      <c r="B797" t="s">
        <v>101</v>
      </c>
      <c r="C797" t="s">
        <v>99</v>
      </c>
      <c r="D797">
        <v>5.97</v>
      </c>
      <c r="E797">
        <v>1.1299999999999999</v>
      </c>
      <c r="F797" s="1" t="s">
        <v>9</v>
      </c>
      <c r="G797" s="2"/>
      <c r="H797" s="2"/>
    </row>
    <row r="798" spans="2:8" x14ac:dyDescent="0.25">
      <c r="B798" t="s">
        <v>101</v>
      </c>
      <c r="C798" t="s">
        <v>99</v>
      </c>
      <c r="D798">
        <v>5.9</v>
      </c>
      <c r="E798">
        <v>1.0299999999999998</v>
      </c>
      <c r="F798" s="1" t="s">
        <v>9</v>
      </c>
      <c r="G798" s="2"/>
      <c r="H798" s="2"/>
    </row>
    <row r="799" spans="2:8" x14ac:dyDescent="0.25">
      <c r="B799" t="s">
        <v>101</v>
      </c>
      <c r="C799" t="s">
        <v>99</v>
      </c>
      <c r="D799">
        <v>5.9</v>
      </c>
      <c r="E799">
        <v>1.22</v>
      </c>
      <c r="F799" s="1" t="s">
        <v>9</v>
      </c>
      <c r="G799" s="2"/>
      <c r="H799" s="2"/>
    </row>
    <row r="800" spans="2:8" x14ac:dyDescent="0.25">
      <c r="B800" t="s">
        <v>101</v>
      </c>
      <c r="C800" t="s">
        <v>99</v>
      </c>
      <c r="D800">
        <v>6.09</v>
      </c>
      <c r="E800">
        <v>1.21</v>
      </c>
      <c r="F800" s="1" t="s">
        <v>9</v>
      </c>
      <c r="G800" s="2"/>
      <c r="H800" s="2"/>
    </row>
    <row r="801" spans="2:8" x14ac:dyDescent="0.25">
      <c r="B801" t="s">
        <v>102</v>
      </c>
      <c r="C801" t="s">
        <v>99</v>
      </c>
      <c r="D801">
        <v>5.54</v>
      </c>
      <c r="E801">
        <v>1.0799999999999998</v>
      </c>
      <c r="F801" s="1" t="s">
        <v>9</v>
      </c>
      <c r="G801" s="2"/>
      <c r="H801" s="2"/>
    </row>
    <row r="802" spans="2:8" x14ac:dyDescent="0.25">
      <c r="B802" t="s">
        <v>102</v>
      </c>
      <c r="C802" t="s">
        <v>99</v>
      </c>
      <c r="D802">
        <v>4.8500000000000005</v>
      </c>
      <c r="E802">
        <v>1.1299999999999999</v>
      </c>
      <c r="F802" s="1" t="s">
        <v>9</v>
      </c>
      <c r="G802" s="2"/>
      <c r="H802" s="2"/>
    </row>
    <row r="803" spans="2:8" x14ac:dyDescent="0.25">
      <c r="B803" t="s">
        <v>102</v>
      </c>
      <c r="C803" t="s">
        <v>99</v>
      </c>
      <c r="D803">
        <v>5.59</v>
      </c>
      <c r="E803">
        <v>1.0499999999999998</v>
      </c>
      <c r="F803" s="1" t="s">
        <v>9</v>
      </c>
      <c r="G803" s="2"/>
      <c r="H803" s="2"/>
    </row>
    <row r="804" spans="2:8" x14ac:dyDescent="0.25">
      <c r="B804" t="s">
        <v>102</v>
      </c>
      <c r="C804" t="s">
        <v>99</v>
      </c>
      <c r="D804">
        <v>5.54</v>
      </c>
      <c r="E804">
        <v>1.0699999999999998</v>
      </c>
      <c r="F804" s="1" t="s">
        <v>9</v>
      </c>
      <c r="G804" s="2"/>
      <c r="H804" s="2"/>
    </row>
    <row r="805" spans="2:8" x14ac:dyDescent="0.25">
      <c r="B805" t="s">
        <v>102</v>
      </c>
      <c r="C805" t="s">
        <v>99</v>
      </c>
      <c r="D805">
        <v>5.38</v>
      </c>
      <c r="E805">
        <v>1.1499999999999999</v>
      </c>
      <c r="F805" s="1" t="s">
        <v>9</v>
      </c>
      <c r="G805" s="2"/>
      <c r="H805" s="2"/>
    </row>
    <row r="806" spans="2:8" x14ac:dyDescent="0.25">
      <c r="B806" t="s">
        <v>102</v>
      </c>
      <c r="C806" t="s">
        <v>99</v>
      </c>
      <c r="D806">
        <v>5.63</v>
      </c>
      <c r="E806">
        <v>1.1199999999999999</v>
      </c>
      <c r="F806" s="1" t="s">
        <v>9</v>
      </c>
      <c r="G806" s="2"/>
      <c r="H806" s="2"/>
    </row>
    <row r="807" spans="2:8" x14ac:dyDescent="0.25">
      <c r="B807" t="s">
        <v>102</v>
      </c>
      <c r="C807" t="s">
        <v>99</v>
      </c>
      <c r="D807">
        <v>5.56</v>
      </c>
      <c r="E807">
        <v>1.1399999999999999</v>
      </c>
      <c r="F807" s="1" t="s">
        <v>9</v>
      </c>
      <c r="G807" s="2"/>
      <c r="H807" s="2"/>
    </row>
    <row r="808" spans="2:8" x14ac:dyDescent="0.25">
      <c r="B808" t="s">
        <v>102</v>
      </c>
      <c r="C808" t="s">
        <v>99</v>
      </c>
      <c r="D808">
        <v>5.09</v>
      </c>
      <c r="E808">
        <v>1.0799999999999998</v>
      </c>
      <c r="F808" s="1" t="s">
        <v>9</v>
      </c>
      <c r="G808" s="2"/>
      <c r="H808" s="2"/>
    </row>
    <row r="809" spans="2:8" x14ac:dyDescent="0.25">
      <c r="B809" t="s">
        <v>102</v>
      </c>
      <c r="C809" t="s">
        <v>99</v>
      </c>
      <c r="D809">
        <v>5.0999999999999996</v>
      </c>
      <c r="E809">
        <v>1.1399999999999999</v>
      </c>
      <c r="F809" s="1" t="s">
        <v>9</v>
      </c>
      <c r="G809" s="2"/>
      <c r="H809" s="2"/>
    </row>
    <row r="810" spans="2:8" x14ac:dyDescent="0.25">
      <c r="B810" t="s">
        <v>102</v>
      </c>
      <c r="C810" t="s">
        <v>99</v>
      </c>
      <c r="D810">
        <v>5.0199999999999996</v>
      </c>
      <c r="E810">
        <v>1.24</v>
      </c>
      <c r="F810" s="1" t="s">
        <v>9</v>
      </c>
      <c r="G810" s="2"/>
      <c r="H810" s="2"/>
    </row>
    <row r="811" spans="2:8" x14ac:dyDescent="0.25">
      <c r="B811" t="s">
        <v>102</v>
      </c>
      <c r="C811" t="s">
        <v>99</v>
      </c>
      <c r="D811">
        <v>5.33</v>
      </c>
      <c r="E811">
        <v>1.23</v>
      </c>
      <c r="F811" s="1" t="s">
        <v>9</v>
      </c>
      <c r="G811" s="2"/>
      <c r="H811" s="2"/>
    </row>
    <row r="812" spans="2:8" x14ac:dyDescent="0.25">
      <c r="B812" t="s">
        <v>102</v>
      </c>
      <c r="C812" t="s">
        <v>99</v>
      </c>
      <c r="D812">
        <v>5.56</v>
      </c>
      <c r="E812">
        <v>1.0899999999999999</v>
      </c>
      <c r="F812" s="1" t="s">
        <v>9</v>
      </c>
      <c r="G812" s="2"/>
      <c r="H812" s="2"/>
    </row>
    <row r="813" spans="2:8" x14ac:dyDescent="0.25">
      <c r="B813" t="s">
        <v>102</v>
      </c>
      <c r="C813" t="s">
        <v>99</v>
      </c>
      <c r="D813">
        <v>4.82</v>
      </c>
      <c r="E813">
        <v>1.21</v>
      </c>
      <c r="F813" s="1" t="s">
        <v>9</v>
      </c>
      <c r="G813" s="2"/>
      <c r="H813" s="2"/>
    </row>
    <row r="814" spans="2:8" x14ac:dyDescent="0.25">
      <c r="B814" t="s">
        <v>102</v>
      </c>
      <c r="C814" t="s">
        <v>99</v>
      </c>
      <c r="D814">
        <v>5.23</v>
      </c>
      <c r="E814">
        <v>1.1099999999999999</v>
      </c>
      <c r="F814" s="1" t="s">
        <v>9</v>
      </c>
      <c r="G814" s="2"/>
      <c r="H814" s="2"/>
    </row>
    <row r="815" spans="2:8" x14ac:dyDescent="0.25">
      <c r="B815" t="s">
        <v>103</v>
      </c>
      <c r="C815" t="s">
        <v>99</v>
      </c>
      <c r="D815">
        <v>2.71</v>
      </c>
      <c r="E815">
        <v>1.41</v>
      </c>
      <c r="F815" s="1" t="s">
        <v>9</v>
      </c>
      <c r="G815" s="2"/>
      <c r="H815" s="2"/>
    </row>
    <row r="816" spans="2:8" x14ac:dyDescent="0.25">
      <c r="B816" t="s">
        <v>103</v>
      </c>
      <c r="C816" t="s">
        <v>99</v>
      </c>
      <c r="D816">
        <v>2.52</v>
      </c>
      <c r="E816">
        <v>1.51</v>
      </c>
      <c r="F816" s="1" t="s">
        <v>9</v>
      </c>
      <c r="G816" s="2"/>
      <c r="H816" s="2"/>
    </row>
    <row r="817" spans="2:8" x14ac:dyDescent="0.25">
      <c r="B817" t="s">
        <v>103</v>
      </c>
      <c r="C817" t="s">
        <v>99</v>
      </c>
      <c r="D817">
        <v>2.77</v>
      </c>
      <c r="E817">
        <v>1.41</v>
      </c>
      <c r="F817" s="1" t="s">
        <v>9</v>
      </c>
      <c r="G817" s="2"/>
      <c r="H817" s="2"/>
    </row>
    <row r="818" spans="2:8" x14ac:dyDescent="0.25">
      <c r="B818" t="s">
        <v>103</v>
      </c>
      <c r="C818" t="s">
        <v>99</v>
      </c>
      <c r="D818">
        <v>2.6999999999999997</v>
      </c>
      <c r="E818">
        <v>1.41</v>
      </c>
      <c r="F818" s="1" t="s">
        <v>9</v>
      </c>
      <c r="G818" s="2"/>
      <c r="H818" s="2"/>
    </row>
    <row r="819" spans="2:8" x14ac:dyDescent="0.25">
      <c r="B819" t="s">
        <v>103</v>
      </c>
      <c r="C819" t="s">
        <v>99</v>
      </c>
      <c r="D819">
        <v>2.6</v>
      </c>
      <c r="E819">
        <v>1.44</v>
      </c>
      <c r="F819" s="1" t="s">
        <v>9</v>
      </c>
      <c r="G819" s="2"/>
      <c r="H819" s="2"/>
    </row>
    <row r="820" spans="2:8" x14ac:dyDescent="0.25">
      <c r="B820" t="s">
        <v>103</v>
      </c>
      <c r="C820" t="s">
        <v>99</v>
      </c>
      <c r="D820">
        <v>2.76</v>
      </c>
      <c r="E820">
        <v>1.41</v>
      </c>
      <c r="F820" s="1" t="s">
        <v>9</v>
      </c>
      <c r="G820" s="2"/>
      <c r="H820" s="2"/>
    </row>
    <row r="821" spans="2:8" x14ac:dyDescent="0.25">
      <c r="B821" t="s">
        <v>103</v>
      </c>
      <c r="C821" t="s">
        <v>99</v>
      </c>
      <c r="D821">
        <v>2.8899999999999997</v>
      </c>
      <c r="E821">
        <v>1.48</v>
      </c>
      <c r="F821" s="1" t="s">
        <v>9</v>
      </c>
      <c r="G821" s="2"/>
      <c r="H821" s="2"/>
    </row>
    <row r="822" spans="2:8" x14ac:dyDescent="0.25">
      <c r="B822" t="s">
        <v>103</v>
      </c>
      <c r="C822" t="s">
        <v>99</v>
      </c>
      <c r="D822">
        <v>2.7199999999999998</v>
      </c>
      <c r="E822">
        <v>1.41</v>
      </c>
      <c r="F822" s="1" t="s">
        <v>9</v>
      </c>
      <c r="G822" s="2"/>
      <c r="H822" s="2"/>
    </row>
    <row r="823" spans="2:8" x14ac:dyDescent="0.25">
      <c r="B823" t="s">
        <v>103</v>
      </c>
      <c r="C823" t="s">
        <v>99</v>
      </c>
      <c r="D823">
        <v>2.57</v>
      </c>
      <c r="E823">
        <v>1.46</v>
      </c>
      <c r="F823" s="1" t="s">
        <v>9</v>
      </c>
      <c r="G823" s="2"/>
      <c r="H823" s="2"/>
    </row>
    <row r="824" spans="2:8" x14ac:dyDescent="0.25">
      <c r="B824" t="s">
        <v>103</v>
      </c>
      <c r="C824" t="s">
        <v>99</v>
      </c>
      <c r="D824">
        <v>2.64</v>
      </c>
      <c r="E824">
        <v>1.55</v>
      </c>
      <c r="F824" s="1" t="s">
        <v>9</v>
      </c>
      <c r="G824" s="2"/>
      <c r="H824" s="2"/>
    </row>
    <row r="825" spans="2:8" x14ac:dyDescent="0.25">
      <c r="B825" t="s">
        <v>103</v>
      </c>
      <c r="C825" t="s">
        <v>99</v>
      </c>
      <c r="D825">
        <v>2.6799999999999997</v>
      </c>
      <c r="E825">
        <v>1.4</v>
      </c>
      <c r="F825" s="1" t="s">
        <v>9</v>
      </c>
      <c r="G825" s="2"/>
      <c r="H825" s="2"/>
    </row>
    <row r="826" spans="2:8" x14ac:dyDescent="0.25">
      <c r="B826" t="s">
        <v>103</v>
      </c>
      <c r="C826" t="s">
        <v>99</v>
      </c>
      <c r="D826">
        <v>2.75</v>
      </c>
      <c r="E826">
        <v>1.4</v>
      </c>
      <c r="F826" s="1" t="s">
        <v>9</v>
      </c>
      <c r="G826" s="2"/>
      <c r="H826" s="2"/>
    </row>
    <row r="827" spans="2:8" x14ac:dyDescent="0.25">
      <c r="B827" t="s">
        <v>103</v>
      </c>
      <c r="C827" t="s">
        <v>99</v>
      </c>
      <c r="D827">
        <v>2.78</v>
      </c>
      <c r="E827">
        <v>1.38</v>
      </c>
      <c r="F827" s="1" t="s">
        <v>9</v>
      </c>
      <c r="G827" s="2"/>
      <c r="H827" s="2"/>
    </row>
    <row r="828" spans="2:8" x14ac:dyDescent="0.25">
      <c r="B828" t="s">
        <v>103</v>
      </c>
      <c r="C828" t="s">
        <v>99</v>
      </c>
      <c r="D828">
        <v>2.72</v>
      </c>
      <c r="E828">
        <v>1.5</v>
      </c>
      <c r="F828" s="1" t="s">
        <v>9</v>
      </c>
      <c r="G828" s="2"/>
      <c r="H828" s="2"/>
    </row>
    <row r="829" spans="2:8" x14ac:dyDescent="0.25">
      <c r="B829" t="s">
        <v>104</v>
      </c>
      <c r="C829" t="s">
        <v>99</v>
      </c>
      <c r="D829">
        <v>1.48</v>
      </c>
      <c r="E829">
        <v>2.5500000000000003</v>
      </c>
      <c r="F829" s="1" t="s">
        <v>9</v>
      </c>
      <c r="G829" s="2"/>
      <c r="H829" s="2"/>
    </row>
    <row r="830" spans="2:8" x14ac:dyDescent="0.25">
      <c r="B830" t="s">
        <v>104</v>
      </c>
      <c r="C830" t="s">
        <v>99</v>
      </c>
      <c r="D830">
        <v>1.55</v>
      </c>
      <c r="E830">
        <v>2.61</v>
      </c>
      <c r="F830" s="1" t="s">
        <v>9</v>
      </c>
      <c r="G830" s="2"/>
      <c r="H830" s="2"/>
    </row>
    <row r="831" spans="2:8" x14ac:dyDescent="0.25">
      <c r="B831" t="s">
        <v>104</v>
      </c>
      <c r="C831" t="s">
        <v>99</v>
      </c>
      <c r="D831">
        <v>1.5</v>
      </c>
      <c r="E831">
        <v>2.62</v>
      </c>
      <c r="F831" s="1" t="s">
        <v>9</v>
      </c>
      <c r="G831" s="2"/>
      <c r="H831" s="2"/>
    </row>
    <row r="832" spans="2:8" x14ac:dyDescent="0.25">
      <c r="B832" t="s">
        <v>104</v>
      </c>
      <c r="C832" t="s">
        <v>99</v>
      </c>
      <c r="D832">
        <v>1.45</v>
      </c>
      <c r="E832">
        <v>2.58</v>
      </c>
      <c r="F832" s="1" t="s">
        <v>9</v>
      </c>
      <c r="G832" s="2"/>
      <c r="H832" s="2"/>
    </row>
    <row r="833" spans="2:8" x14ac:dyDescent="0.25">
      <c r="B833" t="s">
        <v>104</v>
      </c>
      <c r="C833" t="s">
        <v>99</v>
      </c>
      <c r="D833">
        <v>1.56</v>
      </c>
      <c r="E833">
        <v>2.8</v>
      </c>
      <c r="F833" s="1" t="s">
        <v>9</v>
      </c>
      <c r="G833" s="2"/>
      <c r="H833" s="2"/>
    </row>
    <row r="834" spans="2:8" x14ac:dyDescent="0.25">
      <c r="B834" t="s">
        <v>104</v>
      </c>
      <c r="C834" t="s">
        <v>99</v>
      </c>
      <c r="D834">
        <v>1.5</v>
      </c>
      <c r="E834">
        <v>2.66</v>
      </c>
      <c r="F834" s="1" t="s">
        <v>9</v>
      </c>
      <c r="G834" s="2"/>
      <c r="H834" s="2"/>
    </row>
    <row r="835" spans="2:8" x14ac:dyDescent="0.25">
      <c r="B835" t="s">
        <v>104</v>
      </c>
      <c r="C835" t="s">
        <v>99</v>
      </c>
      <c r="D835">
        <v>1.52</v>
      </c>
      <c r="E835">
        <v>2.54</v>
      </c>
      <c r="F835" s="1" t="s">
        <v>9</v>
      </c>
      <c r="G835" s="2"/>
      <c r="H835" s="2"/>
    </row>
    <row r="836" spans="2:8" x14ac:dyDescent="0.25">
      <c r="B836" t="s">
        <v>104</v>
      </c>
      <c r="C836" t="s">
        <v>99</v>
      </c>
      <c r="D836">
        <v>1.58</v>
      </c>
      <c r="E836">
        <v>2.54</v>
      </c>
      <c r="F836" s="1" t="s">
        <v>9</v>
      </c>
      <c r="G836" s="2"/>
      <c r="H836" s="2"/>
    </row>
    <row r="837" spans="2:8" x14ac:dyDescent="0.25">
      <c r="B837" t="s">
        <v>104</v>
      </c>
      <c r="C837" t="s">
        <v>99</v>
      </c>
      <c r="D837">
        <v>1.48</v>
      </c>
      <c r="E837">
        <v>2.65</v>
      </c>
      <c r="F837" s="1" t="s">
        <v>9</v>
      </c>
      <c r="G837" s="2"/>
      <c r="H837" s="2"/>
    </row>
    <row r="838" spans="2:8" x14ac:dyDescent="0.25">
      <c r="B838" t="s">
        <v>104</v>
      </c>
      <c r="C838" t="s">
        <v>99</v>
      </c>
      <c r="D838">
        <v>1.46</v>
      </c>
      <c r="E838">
        <v>2.6599999999999997</v>
      </c>
      <c r="F838" s="1" t="s">
        <v>9</v>
      </c>
      <c r="G838" s="2"/>
      <c r="H838" s="2"/>
    </row>
    <row r="839" spans="2:8" x14ac:dyDescent="0.25">
      <c r="B839" t="s">
        <v>104</v>
      </c>
      <c r="C839" t="s">
        <v>99</v>
      </c>
      <c r="D839">
        <v>1.59</v>
      </c>
      <c r="E839">
        <v>2.6999999999999997</v>
      </c>
      <c r="F839" s="1" t="s">
        <v>9</v>
      </c>
      <c r="G839" s="2"/>
      <c r="H839" s="2"/>
    </row>
    <row r="840" spans="2:8" x14ac:dyDescent="0.25">
      <c r="B840" t="s">
        <v>104</v>
      </c>
      <c r="C840" t="s">
        <v>99</v>
      </c>
      <c r="D840">
        <v>1.56</v>
      </c>
      <c r="E840">
        <v>2.7</v>
      </c>
      <c r="F840" s="1" t="s">
        <v>9</v>
      </c>
      <c r="G840" s="2"/>
      <c r="H840" s="2"/>
    </row>
    <row r="841" spans="2:8" x14ac:dyDescent="0.25">
      <c r="B841" t="s">
        <v>104</v>
      </c>
      <c r="C841" t="s">
        <v>99</v>
      </c>
      <c r="D841">
        <v>1.43</v>
      </c>
      <c r="E841">
        <v>2.71</v>
      </c>
      <c r="F841" s="1" t="s">
        <v>9</v>
      </c>
      <c r="G841" s="2"/>
      <c r="H841" s="2"/>
    </row>
    <row r="842" spans="2:8" x14ac:dyDescent="0.25">
      <c r="B842" t="s">
        <v>104</v>
      </c>
      <c r="C842" t="s">
        <v>99</v>
      </c>
      <c r="D842">
        <v>1.58</v>
      </c>
      <c r="E842">
        <v>2.7399999999999998</v>
      </c>
      <c r="F842" s="1" t="s">
        <v>9</v>
      </c>
      <c r="G842" s="2"/>
      <c r="H842" s="2"/>
    </row>
    <row r="843" spans="2:8" x14ac:dyDescent="0.25">
      <c r="B843" t="s">
        <v>105</v>
      </c>
      <c r="C843" t="s">
        <v>99</v>
      </c>
      <c r="D843">
        <v>4.83</v>
      </c>
      <c r="E843">
        <v>1.18</v>
      </c>
      <c r="F843" s="1" t="s">
        <v>9</v>
      </c>
      <c r="G843" s="2"/>
      <c r="H843" s="2"/>
    </row>
    <row r="844" spans="2:8" x14ac:dyDescent="0.25">
      <c r="B844" t="s">
        <v>105</v>
      </c>
      <c r="C844" t="s">
        <v>99</v>
      </c>
      <c r="D844">
        <v>4.3100000000000005</v>
      </c>
      <c r="E844">
        <v>1.28</v>
      </c>
      <c r="F844" s="1" t="s">
        <v>9</v>
      </c>
      <c r="G844" s="2"/>
      <c r="H844" s="2"/>
    </row>
    <row r="845" spans="2:8" x14ac:dyDescent="0.25">
      <c r="B845" t="s">
        <v>105</v>
      </c>
      <c r="C845" t="s">
        <v>99</v>
      </c>
      <c r="D845">
        <v>4.72</v>
      </c>
      <c r="E845">
        <v>1.25</v>
      </c>
      <c r="F845" s="1" t="s">
        <v>9</v>
      </c>
      <c r="G845" s="2"/>
      <c r="H845" s="2"/>
    </row>
    <row r="846" spans="2:8" x14ac:dyDescent="0.25">
      <c r="B846" t="s">
        <v>105</v>
      </c>
      <c r="C846" t="s">
        <v>99</v>
      </c>
      <c r="D846">
        <v>4.6199999999999992</v>
      </c>
      <c r="E846">
        <v>1.18</v>
      </c>
      <c r="F846" s="1" t="s">
        <v>9</v>
      </c>
      <c r="G846" s="2"/>
      <c r="H846" s="2"/>
    </row>
    <row r="847" spans="2:8" x14ac:dyDescent="0.25">
      <c r="B847" t="s">
        <v>105</v>
      </c>
      <c r="C847" t="s">
        <v>99</v>
      </c>
      <c r="D847">
        <v>4.6099999999999994</v>
      </c>
      <c r="E847">
        <v>1.3</v>
      </c>
      <c r="F847" s="1" t="s">
        <v>9</v>
      </c>
      <c r="G847" s="2"/>
      <c r="H847" s="2"/>
    </row>
    <row r="848" spans="2:8" x14ac:dyDescent="0.25">
      <c r="B848" t="s">
        <v>105</v>
      </c>
      <c r="C848" t="s">
        <v>99</v>
      </c>
      <c r="D848">
        <v>4.59</v>
      </c>
      <c r="E848">
        <v>1.2</v>
      </c>
      <c r="F848" s="1" t="s">
        <v>9</v>
      </c>
      <c r="G848" s="2"/>
      <c r="H848" s="2"/>
    </row>
    <row r="849" spans="2:8" x14ac:dyDescent="0.25">
      <c r="B849" t="s">
        <v>105</v>
      </c>
      <c r="C849" t="s">
        <v>99</v>
      </c>
      <c r="D849">
        <v>4.6899999999999995</v>
      </c>
      <c r="E849">
        <v>1.2</v>
      </c>
      <c r="F849" s="1" t="s">
        <v>9</v>
      </c>
      <c r="G849" s="2"/>
      <c r="H849" s="2"/>
    </row>
    <row r="850" spans="2:8" x14ac:dyDescent="0.25">
      <c r="B850" t="s">
        <v>105</v>
      </c>
      <c r="C850" t="s">
        <v>99</v>
      </c>
      <c r="D850">
        <v>4.6499999999999995</v>
      </c>
      <c r="E850">
        <v>1.23</v>
      </c>
      <c r="F850" s="1" t="s">
        <v>9</v>
      </c>
      <c r="G850" s="2"/>
      <c r="H850" s="2"/>
    </row>
    <row r="851" spans="2:8" x14ac:dyDescent="0.25">
      <c r="B851" t="s">
        <v>105</v>
      </c>
      <c r="C851" t="s">
        <v>99</v>
      </c>
      <c r="D851">
        <v>4.5699999999999994</v>
      </c>
      <c r="E851">
        <v>1.1199999999999999</v>
      </c>
      <c r="F851" s="1" t="s">
        <v>9</v>
      </c>
      <c r="G851" s="2"/>
      <c r="H851" s="2"/>
    </row>
    <row r="852" spans="2:8" x14ac:dyDescent="0.25">
      <c r="B852" t="s">
        <v>105</v>
      </c>
      <c r="C852" t="s">
        <v>99</v>
      </c>
      <c r="D852">
        <v>4.5</v>
      </c>
      <c r="E852">
        <v>1.1299999999999999</v>
      </c>
      <c r="F852" s="1" t="s">
        <v>9</v>
      </c>
      <c r="G852" s="2"/>
      <c r="H852" s="2"/>
    </row>
    <row r="853" spans="2:8" x14ac:dyDescent="0.25">
      <c r="B853" t="s">
        <v>105</v>
      </c>
      <c r="C853" t="s">
        <v>99</v>
      </c>
      <c r="D853">
        <v>4.72</v>
      </c>
      <c r="E853">
        <v>1.27</v>
      </c>
      <c r="F853" s="1" t="s">
        <v>9</v>
      </c>
      <c r="G853" s="2"/>
      <c r="H853" s="2"/>
    </row>
    <row r="854" spans="2:8" x14ac:dyDescent="0.25">
      <c r="B854" t="s">
        <v>105</v>
      </c>
      <c r="C854" t="s">
        <v>99</v>
      </c>
      <c r="D854">
        <v>4.53</v>
      </c>
      <c r="E854">
        <v>1.1099999999999999</v>
      </c>
      <c r="F854" s="1" t="s">
        <v>9</v>
      </c>
      <c r="G854" s="2"/>
      <c r="H854" s="2"/>
    </row>
    <row r="855" spans="2:8" x14ac:dyDescent="0.25">
      <c r="B855" t="s">
        <v>105</v>
      </c>
      <c r="C855" t="s">
        <v>99</v>
      </c>
      <c r="D855">
        <v>4.82</v>
      </c>
      <c r="E855">
        <v>1.25</v>
      </c>
      <c r="F855" s="1" t="s">
        <v>9</v>
      </c>
      <c r="G855" s="2"/>
      <c r="H855" s="2"/>
    </row>
    <row r="856" spans="2:8" x14ac:dyDescent="0.25">
      <c r="B856" t="s">
        <v>105</v>
      </c>
      <c r="C856" t="s">
        <v>99</v>
      </c>
      <c r="D856">
        <v>4.78</v>
      </c>
      <c r="E856">
        <v>1.28</v>
      </c>
      <c r="F856" s="1" t="s">
        <v>9</v>
      </c>
      <c r="G856" s="2"/>
      <c r="H856" s="2"/>
    </row>
    <row r="857" spans="2:8" x14ac:dyDescent="0.25">
      <c r="B857" t="s">
        <v>106</v>
      </c>
      <c r="C857" t="s">
        <v>99</v>
      </c>
      <c r="D857">
        <v>4.3800000000000008</v>
      </c>
      <c r="E857">
        <v>1.28</v>
      </c>
      <c r="F857" s="1" t="s">
        <v>9</v>
      </c>
      <c r="G857" s="2"/>
      <c r="H857" s="2"/>
    </row>
    <row r="858" spans="2:8" x14ac:dyDescent="0.25">
      <c r="B858" t="s">
        <v>106</v>
      </c>
      <c r="C858" t="s">
        <v>99</v>
      </c>
      <c r="D858">
        <v>4.57</v>
      </c>
      <c r="E858">
        <v>1.26</v>
      </c>
      <c r="F858" s="1" t="s">
        <v>9</v>
      </c>
      <c r="G858" s="2"/>
      <c r="H858" s="2"/>
    </row>
    <row r="859" spans="2:8" x14ac:dyDescent="0.25">
      <c r="B859" t="s">
        <v>106</v>
      </c>
      <c r="C859" t="s">
        <v>99</v>
      </c>
      <c r="D859">
        <v>4.6500000000000004</v>
      </c>
      <c r="E859">
        <v>1.21</v>
      </c>
      <c r="F859" s="1" t="s">
        <v>9</v>
      </c>
      <c r="G859" s="2"/>
      <c r="H859" s="2"/>
    </row>
    <row r="860" spans="2:8" x14ac:dyDescent="0.25">
      <c r="B860" t="s">
        <v>106</v>
      </c>
      <c r="C860" t="s">
        <v>99</v>
      </c>
      <c r="D860">
        <v>4.9099999999999993</v>
      </c>
      <c r="E860">
        <v>1.29</v>
      </c>
      <c r="F860" s="1" t="s">
        <v>9</v>
      </c>
      <c r="G860" s="2"/>
      <c r="H860" s="2"/>
    </row>
    <row r="861" spans="2:8" x14ac:dyDescent="0.25">
      <c r="B861" t="s">
        <v>106</v>
      </c>
      <c r="C861" t="s">
        <v>99</v>
      </c>
      <c r="D861">
        <v>4.59</v>
      </c>
      <c r="E861">
        <v>1.29</v>
      </c>
      <c r="F861" s="1" t="s">
        <v>9</v>
      </c>
      <c r="G861" s="2"/>
      <c r="H861" s="2"/>
    </row>
    <row r="862" spans="2:8" x14ac:dyDescent="0.25">
      <c r="B862" t="s">
        <v>106</v>
      </c>
      <c r="C862" t="s">
        <v>99</v>
      </c>
      <c r="D862">
        <v>4.9800000000000004</v>
      </c>
      <c r="E862">
        <v>1.1399999999999999</v>
      </c>
      <c r="F862" s="1" t="s">
        <v>9</v>
      </c>
      <c r="G862" s="2"/>
      <c r="H862" s="2"/>
    </row>
    <row r="863" spans="2:8" x14ac:dyDescent="0.25">
      <c r="B863" t="s">
        <v>106</v>
      </c>
      <c r="C863" t="s">
        <v>99</v>
      </c>
      <c r="D863">
        <v>4.8600000000000003</v>
      </c>
      <c r="E863">
        <v>1.22</v>
      </c>
      <c r="F863" s="1" t="s">
        <v>9</v>
      </c>
      <c r="G863" s="2"/>
      <c r="H863" s="2"/>
    </row>
    <row r="864" spans="2:8" x14ac:dyDescent="0.25">
      <c r="B864" t="s">
        <v>106</v>
      </c>
      <c r="C864" t="s">
        <v>99</v>
      </c>
      <c r="D864">
        <v>4.7</v>
      </c>
      <c r="E864">
        <v>1.22</v>
      </c>
      <c r="F864" s="1" t="s">
        <v>9</v>
      </c>
      <c r="G864" s="2"/>
      <c r="H864" s="2"/>
    </row>
    <row r="865" spans="2:8" x14ac:dyDescent="0.25">
      <c r="B865" t="s">
        <v>106</v>
      </c>
      <c r="C865" t="s">
        <v>99</v>
      </c>
      <c r="D865">
        <v>4.71</v>
      </c>
      <c r="E865">
        <v>1.0999999999999999</v>
      </c>
      <c r="F865" s="1" t="s">
        <v>9</v>
      </c>
      <c r="G865" s="2"/>
      <c r="H865" s="2"/>
    </row>
    <row r="866" spans="2:8" x14ac:dyDescent="0.25">
      <c r="B866" t="s">
        <v>106</v>
      </c>
      <c r="C866" t="s">
        <v>99</v>
      </c>
      <c r="D866">
        <v>4.6500000000000004</v>
      </c>
      <c r="E866">
        <v>1.1199999999999999</v>
      </c>
      <c r="F866" s="1" t="s">
        <v>9</v>
      </c>
      <c r="G866" s="2"/>
      <c r="H866" s="2"/>
    </row>
    <row r="867" spans="2:8" x14ac:dyDescent="0.25">
      <c r="B867" t="s">
        <v>106</v>
      </c>
      <c r="C867" t="s">
        <v>99</v>
      </c>
      <c r="D867">
        <v>4.68</v>
      </c>
      <c r="E867">
        <v>1.19</v>
      </c>
      <c r="F867" s="1" t="s">
        <v>9</v>
      </c>
      <c r="G867" s="2"/>
      <c r="H867" s="2"/>
    </row>
    <row r="868" spans="2:8" x14ac:dyDescent="0.25">
      <c r="B868" t="s">
        <v>106</v>
      </c>
      <c r="C868" t="s">
        <v>99</v>
      </c>
      <c r="D868">
        <v>5.07</v>
      </c>
      <c r="E868">
        <v>1.1199999999999999</v>
      </c>
      <c r="F868" s="1" t="s">
        <v>9</v>
      </c>
      <c r="G868" s="2"/>
      <c r="H868" s="2"/>
    </row>
    <row r="869" spans="2:8" x14ac:dyDescent="0.25">
      <c r="B869" t="s">
        <v>106</v>
      </c>
      <c r="C869" t="s">
        <v>99</v>
      </c>
      <c r="D869">
        <v>4.42</v>
      </c>
      <c r="E869">
        <v>1.22</v>
      </c>
      <c r="F869" s="1" t="s">
        <v>9</v>
      </c>
      <c r="G869" s="2"/>
      <c r="H869" s="2"/>
    </row>
    <row r="870" spans="2:8" x14ac:dyDescent="0.25">
      <c r="B870" t="s">
        <v>106</v>
      </c>
      <c r="C870" t="s">
        <v>99</v>
      </c>
      <c r="D870">
        <v>4.68</v>
      </c>
      <c r="E870">
        <v>1.0999999999999999</v>
      </c>
      <c r="F870" s="1" t="s">
        <v>9</v>
      </c>
      <c r="G870" s="2"/>
      <c r="H870" s="2"/>
    </row>
    <row r="871" spans="2:8" x14ac:dyDescent="0.25">
      <c r="B871" t="s">
        <v>118</v>
      </c>
      <c r="C871" t="s">
        <v>108</v>
      </c>
      <c r="D871">
        <v>1.0599999999999998</v>
      </c>
      <c r="E871">
        <v>5.87</v>
      </c>
      <c r="F871" s="1" t="s">
        <v>9</v>
      </c>
      <c r="G871" s="2"/>
      <c r="H871" s="2"/>
    </row>
    <row r="872" spans="2:8" x14ac:dyDescent="0.25">
      <c r="B872" t="s">
        <v>118</v>
      </c>
      <c r="C872" t="s">
        <v>108</v>
      </c>
      <c r="D872">
        <v>1.17</v>
      </c>
      <c r="E872">
        <v>5.25</v>
      </c>
      <c r="F872" s="1" t="s">
        <v>9</v>
      </c>
      <c r="G872" s="2"/>
      <c r="H872" s="2"/>
    </row>
    <row r="873" spans="2:8" x14ac:dyDescent="0.25">
      <c r="B873" t="s">
        <v>118</v>
      </c>
      <c r="C873" t="s">
        <v>108</v>
      </c>
      <c r="D873">
        <v>1.0999999999999999</v>
      </c>
      <c r="E873">
        <v>5.75</v>
      </c>
      <c r="F873" s="1" t="s">
        <v>9</v>
      </c>
      <c r="G873" s="2"/>
      <c r="H873" s="2"/>
    </row>
    <row r="874" spans="2:8" x14ac:dyDescent="0.25">
      <c r="B874" t="s">
        <v>118</v>
      </c>
      <c r="C874" t="s">
        <v>108</v>
      </c>
      <c r="D874">
        <v>1.1499999999999999</v>
      </c>
      <c r="E874">
        <v>5.77</v>
      </c>
      <c r="F874" s="1" t="s">
        <v>9</v>
      </c>
      <c r="G874" s="2"/>
      <c r="H874" s="2"/>
    </row>
    <row r="875" spans="2:8" x14ac:dyDescent="0.25">
      <c r="B875" t="s">
        <v>118</v>
      </c>
      <c r="C875" t="s">
        <v>108</v>
      </c>
      <c r="D875">
        <v>1.21</v>
      </c>
      <c r="E875">
        <v>5.5699999999999994</v>
      </c>
      <c r="F875" s="1" t="s">
        <v>9</v>
      </c>
      <c r="G875" s="2"/>
      <c r="H875" s="2"/>
    </row>
    <row r="876" spans="2:8" x14ac:dyDescent="0.25">
      <c r="B876" t="s">
        <v>118</v>
      </c>
      <c r="C876" t="s">
        <v>108</v>
      </c>
      <c r="D876">
        <v>1.19</v>
      </c>
      <c r="E876">
        <v>5.85</v>
      </c>
      <c r="F876" s="1" t="s">
        <v>9</v>
      </c>
      <c r="G876" s="2"/>
      <c r="H876" s="2"/>
    </row>
    <row r="877" spans="2:8" x14ac:dyDescent="0.25">
      <c r="B877" t="s">
        <v>118</v>
      </c>
      <c r="C877" t="s">
        <v>108</v>
      </c>
      <c r="D877">
        <v>1.2</v>
      </c>
      <c r="E877">
        <v>5.84</v>
      </c>
      <c r="F877" s="1" t="s">
        <v>9</v>
      </c>
      <c r="G877" s="2"/>
      <c r="H877" s="2"/>
    </row>
    <row r="878" spans="2:8" x14ac:dyDescent="0.25">
      <c r="B878" t="s">
        <v>118</v>
      </c>
      <c r="C878" t="s">
        <v>108</v>
      </c>
      <c r="D878">
        <v>1.24</v>
      </c>
      <c r="E878">
        <v>5.2</v>
      </c>
      <c r="F878" s="1" t="s">
        <v>9</v>
      </c>
      <c r="G878" s="2"/>
      <c r="H878" s="2"/>
    </row>
    <row r="879" spans="2:8" x14ac:dyDescent="0.25">
      <c r="B879" t="s">
        <v>118</v>
      </c>
      <c r="C879" t="s">
        <v>108</v>
      </c>
      <c r="D879">
        <v>1.18</v>
      </c>
      <c r="E879">
        <v>5.3</v>
      </c>
      <c r="F879" s="1" t="s">
        <v>9</v>
      </c>
      <c r="G879" s="2"/>
      <c r="H879" s="2"/>
    </row>
    <row r="880" spans="2:8" x14ac:dyDescent="0.25">
      <c r="B880" t="s">
        <v>118</v>
      </c>
      <c r="C880" t="s">
        <v>108</v>
      </c>
      <c r="D880">
        <v>1.17</v>
      </c>
      <c r="E880">
        <v>5.22</v>
      </c>
      <c r="F880" s="1" t="s">
        <v>9</v>
      </c>
      <c r="G880" s="2"/>
      <c r="H880" s="2"/>
    </row>
    <row r="881" spans="2:8" x14ac:dyDescent="0.25">
      <c r="B881" t="s">
        <v>118</v>
      </c>
      <c r="C881" t="s">
        <v>108</v>
      </c>
      <c r="D881">
        <v>1.1099999999999999</v>
      </c>
      <c r="E881">
        <v>5.52</v>
      </c>
      <c r="F881" s="1" t="s">
        <v>9</v>
      </c>
      <c r="G881" s="2"/>
      <c r="H881" s="2"/>
    </row>
    <row r="882" spans="2:8" x14ac:dyDescent="0.25">
      <c r="B882" t="s">
        <v>118</v>
      </c>
      <c r="C882" t="s">
        <v>108</v>
      </c>
      <c r="D882">
        <v>1.1599999999999999</v>
      </c>
      <c r="E882">
        <v>5.1099999999999994</v>
      </c>
      <c r="F882" s="1" t="s">
        <v>9</v>
      </c>
      <c r="G882" s="2"/>
      <c r="H882" s="2"/>
    </row>
    <row r="883" spans="2:8" x14ac:dyDescent="0.25">
      <c r="B883" t="s">
        <v>118</v>
      </c>
      <c r="C883" t="s">
        <v>108</v>
      </c>
      <c r="D883">
        <v>1.1299999999999999</v>
      </c>
      <c r="E883">
        <v>5.49</v>
      </c>
      <c r="F883" s="1" t="s">
        <v>9</v>
      </c>
      <c r="G883" s="2"/>
      <c r="H883" s="2"/>
    </row>
    <row r="884" spans="2:8" x14ac:dyDescent="0.25">
      <c r="B884" t="s">
        <v>118</v>
      </c>
      <c r="C884" t="s">
        <v>108</v>
      </c>
      <c r="D884">
        <v>1.18</v>
      </c>
      <c r="E884">
        <v>5.24</v>
      </c>
      <c r="F884" s="1" t="s">
        <v>9</v>
      </c>
      <c r="G884" s="2"/>
      <c r="H884" s="2"/>
    </row>
    <row r="885" spans="2:8" x14ac:dyDescent="0.25">
      <c r="B885" t="s">
        <v>109</v>
      </c>
      <c r="C885" t="s">
        <v>110</v>
      </c>
      <c r="D885">
        <v>1.31</v>
      </c>
      <c r="E885">
        <v>3.73</v>
      </c>
      <c r="F885" s="1" t="s">
        <v>9</v>
      </c>
      <c r="G885" s="2"/>
      <c r="H885" s="2"/>
    </row>
    <row r="886" spans="2:8" x14ac:dyDescent="0.25">
      <c r="B886" t="s">
        <v>109</v>
      </c>
      <c r="C886" t="s">
        <v>110</v>
      </c>
      <c r="D886">
        <v>1.34</v>
      </c>
      <c r="E886">
        <v>3.44</v>
      </c>
      <c r="F886" s="1" t="s">
        <v>9</v>
      </c>
      <c r="G886" s="2"/>
      <c r="H886" s="2"/>
    </row>
    <row r="887" spans="2:8" x14ac:dyDescent="0.25">
      <c r="B887" t="s">
        <v>109</v>
      </c>
      <c r="C887" t="s">
        <v>110</v>
      </c>
      <c r="D887">
        <v>1.25</v>
      </c>
      <c r="E887">
        <v>3.68</v>
      </c>
      <c r="F887" s="1" t="s">
        <v>9</v>
      </c>
      <c r="G887" s="2"/>
      <c r="H887" s="2"/>
    </row>
    <row r="888" spans="2:8" x14ac:dyDescent="0.25">
      <c r="B888" t="s">
        <v>109</v>
      </c>
      <c r="C888" t="s">
        <v>110</v>
      </c>
      <c r="D888">
        <v>1.4000000000000001</v>
      </c>
      <c r="E888">
        <v>3.69</v>
      </c>
      <c r="F888" s="1" t="s">
        <v>9</v>
      </c>
      <c r="G888" s="2"/>
      <c r="H888" s="2"/>
    </row>
    <row r="889" spans="2:8" x14ac:dyDescent="0.25">
      <c r="B889" t="s">
        <v>109</v>
      </c>
      <c r="C889" t="s">
        <v>110</v>
      </c>
      <c r="D889">
        <v>1.25</v>
      </c>
      <c r="E889">
        <v>3.73</v>
      </c>
      <c r="F889" s="1" t="s">
        <v>9</v>
      </c>
      <c r="G889" s="2"/>
      <c r="H889" s="2"/>
    </row>
    <row r="890" spans="2:8" x14ac:dyDescent="0.25">
      <c r="B890" t="s">
        <v>109</v>
      </c>
      <c r="C890" t="s">
        <v>110</v>
      </c>
      <c r="D890">
        <v>1.29</v>
      </c>
      <c r="E890">
        <v>3.5100000000000002</v>
      </c>
      <c r="F890" s="1" t="s">
        <v>9</v>
      </c>
      <c r="G890" s="2"/>
      <c r="H890" s="2"/>
    </row>
    <row r="891" spans="2:8" x14ac:dyDescent="0.25">
      <c r="B891" t="s">
        <v>109</v>
      </c>
      <c r="C891" t="s">
        <v>110</v>
      </c>
      <c r="D891">
        <v>1.26</v>
      </c>
      <c r="E891">
        <v>3.64</v>
      </c>
      <c r="F891" s="1" t="s">
        <v>9</v>
      </c>
      <c r="G891" s="2"/>
      <c r="H891" s="2"/>
    </row>
    <row r="892" spans="2:8" x14ac:dyDescent="0.25">
      <c r="B892" t="s">
        <v>109</v>
      </c>
      <c r="C892" t="s">
        <v>110</v>
      </c>
      <c r="D892">
        <v>1.35</v>
      </c>
      <c r="E892">
        <v>3.5</v>
      </c>
      <c r="F892" s="1" t="s">
        <v>9</v>
      </c>
      <c r="G892" s="2"/>
      <c r="H892" s="2"/>
    </row>
    <row r="893" spans="2:8" x14ac:dyDescent="0.25">
      <c r="B893" t="s">
        <v>109</v>
      </c>
      <c r="C893" t="s">
        <v>110</v>
      </c>
      <c r="D893">
        <v>1.22</v>
      </c>
      <c r="E893">
        <v>3.55</v>
      </c>
      <c r="F893" s="1" t="s">
        <v>9</v>
      </c>
      <c r="G893" s="2"/>
      <c r="H893" s="2"/>
    </row>
    <row r="894" spans="2:8" x14ac:dyDescent="0.25">
      <c r="B894" t="s">
        <v>109</v>
      </c>
      <c r="C894" t="s">
        <v>110</v>
      </c>
      <c r="D894">
        <v>1.31</v>
      </c>
      <c r="E894">
        <v>3.5</v>
      </c>
      <c r="F894" s="1" t="s">
        <v>9</v>
      </c>
      <c r="G894" s="2"/>
      <c r="H894" s="2"/>
    </row>
    <row r="895" spans="2:8" x14ac:dyDescent="0.25">
      <c r="B895" t="s">
        <v>109</v>
      </c>
      <c r="C895" t="s">
        <v>110</v>
      </c>
      <c r="D895">
        <v>1.33</v>
      </c>
      <c r="E895">
        <v>3.7399999999999998</v>
      </c>
      <c r="F895" s="1" t="s">
        <v>9</v>
      </c>
      <c r="G895" s="2"/>
      <c r="H895" s="2"/>
    </row>
    <row r="896" spans="2:8" x14ac:dyDescent="0.25">
      <c r="B896" t="s">
        <v>109</v>
      </c>
      <c r="C896" t="s">
        <v>110</v>
      </c>
      <c r="D896">
        <v>1.2</v>
      </c>
      <c r="E896">
        <v>3.5</v>
      </c>
      <c r="F896" s="1" t="s">
        <v>9</v>
      </c>
      <c r="G896" s="2"/>
      <c r="H896" s="2"/>
    </row>
    <row r="897" spans="2:8" x14ac:dyDescent="0.25">
      <c r="B897" t="s">
        <v>109</v>
      </c>
      <c r="C897" t="s">
        <v>110</v>
      </c>
      <c r="D897">
        <v>1.31</v>
      </c>
      <c r="E897">
        <v>3.42</v>
      </c>
      <c r="F897" s="1" t="s">
        <v>9</v>
      </c>
      <c r="G897" s="2"/>
      <c r="H897" s="2"/>
    </row>
    <row r="898" spans="2:8" x14ac:dyDescent="0.25">
      <c r="B898" t="s">
        <v>109</v>
      </c>
      <c r="C898" t="s">
        <v>110</v>
      </c>
      <c r="D898">
        <v>1.36</v>
      </c>
      <c r="E898">
        <v>3.7199999999999998</v>
      </c>
      <c r="F898" s="1" t="s">
        <v>9</v>
      </c>
      <c r="G898" s="2"/>
      <c r="H898" s="2"/>
    </row>
    <row r="899" spans="2:8" x14ac:dyDescent="0.25">
      <c r="B899" t="s">
        <v>111</v>
      </c>
      <c r="C899" t="s">
        <v>110</v>
      </c>
      <c r="D899">
        <v>1.94</v>
      </c>
      <c r="E899">
        <v>1.8800000000000001</v>
      </c>
      <c r="F899" s="1" t="s">
        <v>9</v>
      </c>
      <c r="G899" s="2"/>
      <c r="H899" s="2"/>
    </row>
    <row r="900" spans="2:8" x14ac:dyDescent="0.25">
      <c r="B900" t="s">
        <v>111</v>
      </c>
      <c r="C900" t="s">
        <v>110</v>
      </c>
      <c r="D900">
        <v>1.97</v>
      </c>
      <c r="E900">
        <v>1.94</v>
      </c>
      <c r="F900" s="1" t="s">
        <v>9</v>
      </c>
      <c r="G900" s="2"/>
      <c r="H900" s="2"/>
    </row>
    <row r="901" spans="2:8" x14ac:dyDescent="0.25">
      <c r="B901" t="s">
        <v>111</v>
      </c>
      <c r="C901" t="s">
        <v>110</v>
      </c>
      <c r="D901">
        <v>1.8499999999999999</v>
      </c>
      <c r="E901">
        <v>1.9000000000000001</v>
      </c>
      <c r="F901" s="1" t="s">
        <v>9</v>
      </c>
      <c r="G901" s="2"/>
      <c r="H901" s="2"/>
    </row>
    <row r="902" spans="2:8" x14ac:dyDescent="0.25">
      <c r="B902" t="s">
        <v>111</v>
      </c>
      <c r="C902" t="s">
        <v>110</v>
      </c>
      <c r="D902">
        <v>2.02</v>
      </c>
      <c r="E902">
        <v>1.8800000000000001</v>
      </c>
      <c r="F902" s="1" t="s">
        <v>9</v>
      </c>
      <c r="G902" s="2"/>
      <c r="H902" s="2"/>
    </row>
    <row r="903" spans="2:8" x14ac:dyDescent="0.25">
      <c r="B903" t="s">
        <v>111</v>
      </c>
      <c r="C903" t="s">
        <v>110</v>
      </c>
      <c r="D903">
        <v>2.0299999999999998</v>
      </c>
      <c r="E903">
        <v>1.8</v>
      </c>
      <c r="F903" s="1" t="s">
        <v>9</v>
      </c>
      <c r="G903" s="2"/>
      <c r="H903" s="2"/>
    </row>
    <row r="904" spans="2:8" x14ac:dyDescent="0.25">
      <c r="B904" t="s">
        <v>111</v>
      </c>
      <c r="C904" t="s">
        <v>110</v>
      </c>
      <c r="D904">
        <v>1.8699999999999999</v>
      </c>
      <c r="E904">
        <v>1.79</v>
      </c>
      <c r="F904" s="1" t="s">
        <v>9</v>
      </c>
      <c r="G904" s="2"/>
      <c r="H904" s="2"/>
    </row>
    <row r="905" spans="2:8" x14ac:dyDescent="0.25">
      <c r="B905" t="s">
        <v>111</v>
      </c>
      <c r="C905" t="s">
        <v>110</v>
      </c>
      <c r="D905">
        <v>1.98</v>
      </c>
      <c r="E905">
        <v>1.83</v>
      </c>
      <c r="F905" s="1" t="s">
        <v>9</v>
      </c>
      <c r="G905" s="2"/>
      <c r="H905" s="2"/>
    </row>
    <row r="906" spans="2:8" x14ac:dyDescent="0.25">
      <c r="B906" t="s">
        <v>111</v>
      </c>
      <c r="C906" t="s">
        <v>110</v>
      </c>
      <c r="D906">
        <v>1.94</v>
      </c>
      <c r="E906">
        <v>1.9100000000000001</v>
      </c>
      <c r="F906" s="1" t="s">
        <v>9</v>
      </c>
      <c r="G906" s="2"/>
      <c r="H906" s="2"/>
    </row>
    <row r="907" spans="2:8" x14ac:dyDescent="0.25">
      <c r="B907" t="s">
        <v>111</v>
      </c>
      <c r="C907" t="s">
        <v>110</v>
      </c>
      <c r="D907">
        <v>1.89</v>
      </c>
      <c r="E907">
        <v>1.9000000000000001</v>
      </c>
      <c r="F907" s="1" t="s">
        <v>9</v>
      </c>
      <c r="G907" s="2"/>
      <c r="H907" s="2"/>
    </row>
    <row r="908" spans="2:8" x14ac:dyDescent="0.25">
      <c r="B908" t="s">
        <v>111</v>
      </c>
      <c r="C908" t="s">
        <v>110</v>
      </c>
      <c r="D908">
        <v>1.9</v>
      </c>
      <c r="E908">
        <v>1.84</v>
      </c>
      <c r="F908" s="1" t="s">
        <v>9</v>
      </c>
      <c r="G908" s="2"/>
      <c r="H908" s="2"/>
    </row>
    <row r="909" spans="2:8" x14ac:dyDescent="0.25">
      <c r="B909" t="s">
        <v>111</v>
      </c>
      <c r="C909" t="s">
        <v>110</v>
      </c>
      <c r="D909">
        <v>1.85</v>
      </c>
      <c r="E909">
        <v>1.8699999999999999</v>
      </c>
      <c r="F909" s="1" t="s">
        <v>9</v>
      </c>
      <c r="G909" s="2"/>
      <c r="H909" s="2"/>
    </row>
    <row r="910" spans="2:8" x14ac:dyDescent="0.25">
      <c r="B910" t="s">
        <v>112</v>
      </c>
      <c r="C910" t="s">
        <v>113</v>
      </c>
      <c r="D910">
        <v>1.85</v>
      </c>
      <c r="E910">
        <v>2.0700000000000003</v>
      </c>
      <c r="F910" s="1" t="s">
        <v>9</v>
      </c>
      <c r="G910" s="2"/>
      <c r="H910" s="2"/>
    </row>
    <row r="911" spans="2:8" x14ac:dyDescent="0.25">
      <c r="B911" t="s">
        <v>112</v>
      </c>
      <c r="C911" t="s">
        <v>113</v>
      </c>
      <c r="D911">
        <v>1.84</v>
      </c>
      <c r="E911">
        <v>2.0900000000000003</v>
      </c>
      <c r="F911" s="1" t="s">
        <v>9</v>
      </c>
      <c r="G911" s="2"/>
      <c r="H911" s="2"/>
    </row>
    <row r="912" spans="2:8" x14ac:dyDescent="0.25">
      <c r="B912" t="s">
        <v>112</v>
      </c>
      <c r="C912" t="s">
        <v>113</v>
      </c>
      <c r="D912">
        <v>1.84</v>
      </c>
      <c r="E912">
        <v>2.0700000000000003</v>
      </c>
      <c r="F912" s="1" t="s">
        <v>9</v>
      </c>
      <c r="G912" s="2"/>
      <c r="H912" s="2"/>
    </row>
    <row r="913" spans="2:8" x14ac:dyDescent="0.25">
      <c r="B913" t="s">
        <v>112</v>
      </c>
      <c r="C913" t="s">
        <v>113</v>
      </c>
      <c r="D913">
        <v>1.68</v>
      </c>
      <c r="E913">
        <v>2.15</v>
      </c>
      <c r="F913" s="1" t="s">
        <v>9</v>
      </c>
      <c r="G913" s="2"/>
      <c r="H913" s="2"/>
    </row>
    <row r="914" spans="2:8" x14ac:dyDescent="0.25">
      <c r="B914" t="s">
        <v>112</v>
      </c>
      <c r="C914" t="s">
        <v>113</v>
      </c>
      <c r="D914">
        <v>1.7</v>
      </c>
      <c r="E914">
        <v>2.1</v>
      </c>
      <c r="F914" s="1" t="s">
        <v>9</v>
      </c>
      <c r="G914" s="2"/>
      <c r="H914" s="2"/>
    </row>
    <row r="915" spans="2:8" x14ac:dyDescent="0.25">
      <c r="B915" t="s">
        <v>112</v>
      </c>
      <c r="C915" t="s">
        <v>113</v>
      </c>
      <c r="D915">
        <v>1.84</v>
      </c>
      <c r="E915">
        <v>2.0100000000000002</v>
      </c>
      <c r="F915" s="1" t="s">
        <v>9</v>
      </c>
      <c r="G915" s="2"/>
      <c r="H915" s="2"/>
    </row>
    <row r="916" spans="2:8" x14ac:dyDescent="0.25">
      <c r="B916" t="s">
        <v>112</v>
      </c>
      <c r="C916" t="s">
        <v>113</v>
      </c>
      <c r="D916">
        <v>1.84</v>
      </c>
      <c r="E916">
        <v>2</v>
      </c>
      <c r="F916" s="1" t="s">
        <v>9</v>
      </c>
      <c r="G916" s="2"/>
      <c r="H916" s="2"/>
    </row>
    <row r="917" spans="2:8" x14ac:dyDescent="0.25">
      <c r="B917" t="s">
        <v>112</v>
      </c>
      <c r="C917" t="s">
        <v>113</v>
      </c>
      <c r="D917">
        <v>1.66</v>
      </c>
      <c r="E917">
        <v>2.23</v>
      </c>
      <c r="F917" s="1" t="s">
        <v>9</v>
      </c>
      <c r="G917" s="2"/>
      <c r="H917" s="2"/>
    </row>
    <row r="918" spans="2:8" x14ac:dyDescent="0.25">
      <c r="B918" t="s">
        <v>112</v>
      </c>
      <c r="C918" t="s">
        <v>113</v>
      </c>
      <c r="D918">
        <v>1.77</v>
      </c>
      <c r="E918">
        <v>2.1100000000000003</v>
      </c>
      <c r="F918" s="1" t="s">
        <v>9</v>
      </c>
      <c r="G918" s="2"/>
      <c r="H918" s="2"/>
    </row>
    <row r="919" spans="2:8" x14ac:dyDescent="0.25">
      <c r="B919" t="s">
        <v>112</v>
      </c>
      <c r="C919" t="s">
        <v>113</v>
      </c>
      <c r="D919">
        <v>1.77</v>
      </c>
      <c r="E919">
        <v>2.06</v>
      </c>
      <c r="F919" s="1" t="s">
        <v>9</v>
      </c>
      <c r="G919" s="2"/>
      <c r="H919" s="2"/>
    </row>
    <row r="920" spans="2:8" x14ac:dyDescent="0.25">
      <c r="B920" t="s">
        <v>112</v>
      </c>
      <c r="C920" t="s">
        <v>113</v>
      </c>
      <c r="D920">
        <v>1.76</v>
      </c>
      <c r="E920">
        <v>2.19</v>
      </c>
      <c r="F920" s="1" t="s">
        <v>9</v>
      </c>
      <c r="G920" s="2"/>
      <c r="H920" s="2"/>
    </row>
    <row r="921" spans="2:8" x14ac:dyDescent="0.25">
      <c r="B921" t="s">
        <v>112</v>
      </c>
      <c r="C921" t="s">
        <v>113</v>
      </c>
      <c r="D921">
        <v>1.85</v>
      </c>
      <c r="E921">
        <v>2.13</v>
      </c>
      <c r="F921" s="1" t="s">
        <v>9</v>
      </c>
      <c r="G921" s="2"/>
      <c r="H921" s="2"/>
    </row>
    <row r="922" spans="2:8" x14ac:dyDescent="0.25">
      <c r="B922" t="s">
        <v>112</v>
      </c>
      <c r="C922" t="s">
        <v>113</v>
      </c>
      <c r="D922">
        <v>1.86</v>
      </c>
      <c r="E922">
        <v>2.0500000000000003</v>
      </c>
      <c r="F922" s="1" t="s">
        <v>9</v>
      </c>
      <c r="G922" s="2"/>
      <c r="H922" s="2"/>
    </row>
    <row r="923" spans="2:8" x14ac:dyDescent="0.25">
      <c r="B923" t="s">
        <v>112</v>
      </c>
      <c r="C923" t="s">
        <v>113</v>
      </c>
      <c r="D923">
        <v>1.66</v>
      </c>
      <c r="E923">
        <v>2.1</v>
      </c>
      <c r="F923" s="1" t="s">
        <v>9</v>
      </c>
      <c r="G923" s="2"/>
      <c r="H923" s="2"/>
    </row>
    <row r="924" spans="2:8" x14ac:dyDescent="0.25">
      <c r="B924" t="s">
        <v>114</v>
      </c>
      <c r="C924" t="s">
        <v>115</v>
      </c>
      <c r="D924">
        <v>1.72</v>
      </c>
      <c r="E924">
        <v>2.2599999999999998</v>
      </c>
      <c r="F924" s="1" t="s">
        <v>9</v>
      </c>
      <c r="G924" s="2"/>
      <c r="H924" s="2"/>
    </row>
    <row r="925" spans="2:8" x14ac:dyDescent="0.25">
      <c r="B925" t="s">
        <v>114</v>
      </c>
      <c r="C925" t="s">
        <v>115</v>
      </c>
      <c r="D925">
        <v>1.73</v>
      </c>
      <c r="E925">
        <v>2.25</v>
      </c>
      <c r="F925" s="1" t="s">
        <v>9</v>
      </c>
      <c r="G925" s="2"/>
      <c r="H925" s="2"/>
    </row>
    <row r="926" spans="2:8" x14ac:dyDescent="0.25">
      <c r="B926" t="s">
        <v>114</v>
      </c>
      <c r="C926" t="s">
        <v>115</v>
      </c>
      <c r="D926">
        <v>1.74</v>
      </c>
      <c r="E926">
        <v>2.23</v>
      </c>
      <c r="F926" s="1" t="s">
        <v>9</v>
      </c>
      <c r="G926" s="2"/>
      <c r="H926" s="2"/>
    </row>
    <row r="927" spans="2:8" x14ac:dyDescent="0.25">
      <c r="B927" t="s">
        <v>114</v>
      </c>
      <c r="C927" t="s">
        <v>115</v>
      </c>
      <c r="D927">
        <v>1.64</v>
      </c>
      <c r="E927">
        <v>2.3299999999999996</v>
      </c>
      <c r="F927" s="1" t="s">
        <v>9</v>
      </c>
      <c r="G927" s="2"/>
      <c r="H927" s="2"/>
    </row>
    <row r="928" spans="2:8" x14ac:dyDescent="0.25">
      <c r="B928" t="s">
        <v>114</v>
      </c>
      <c r="C928" t="s">
        <v>115</v>
      </c>
      <c r="D928">
        <v>1.71</v>
      </c>
      <c r="E928">
        <v>2.27</v>
      </c>
      <c r="F928" s="1" t="s">
        <v>9</v>
      </c>
      <c r="G928" s="2"/>
      <c r="H928" s="2"/>
    </row>
    <row r="929" spans="2:8" x14ac:dyDescent="0.25">
      <c r="B929" t="s">
        <v>114</v>
      </c>
      <c r="C929" t="s">
        <v>115</v>
      </c>
      <c r="D929">
        <v>1.63</v>
      </c>
      <c r="E929">
        <v>2.3200000000000003</v>
      </c>
      <c r="F929" s="1" t="s">
        <v>9</v>
      </c>
      <c r="G929" s="2"/>
      <c r="H929" s="2"/>
    </row>
    <row r="930" spans="2:8" x14ac:dyDescent="0.25">
      <c r="B930" t="s">
        <v>114</v>
      </c>
      <c r="C930" t="s">
        <v>115</v>
      </c>
      <c r="D930">
        <v>1.5999999999999999</v>
      </c>
      <c r="E930">
        <v>2.36</v>
      </c>
      <c r="F930" s="1" t="s">
        <v>9</v>
      </c>
      <c r="G930" s="2"/>
      <c r="H930" s="2"/>
    </row>
    <row r="931" spans="2:8" x14ac:dyDescent="0.25">
      <c r="B931" t="s">
        <v>114</v>
      </c>
      <c r="C931" t="s">
        <v>115</v>
      </c>
      <c r="D931">
        <v>1.73</v>
      </c>
      <c r="E931">
        <v>2.3099999999999996</v>
      </c>
      <c r="F931" s="1" t="s">
        <v>9</v>
      </c>
      <c r="G931" s="2"/>
      <c r="H931" s="2"/>
    </row>
    <row r="932" spans="2:8" x14ac:dyDescent="0.25">
      <c r="B932" t="s">
        <v>114</v>
      </c>
      <c r="C932" t="s">
        <v>115</v>
      </c>
      <c r="D932">
        <v>1.71</v>
      </c>
      <c r="E932">
        <v>2.25</v>
      </c>
      <c r="F932" s="1" t="s">
        <v>9</v>
      </c>
      <c r="G932" s="2"/>
      <c r="H932" s="2"/>
    </row>
    <row r="933" spans="2:8" x14ac:dyDescent="0.25">
      <c r="B933" t="s">
        <v>114</v>
      </c>
      <c r="C933" t="s">
        <v>115</v>
      </c>
      <c r="D933">
        <v>1.63</v>
      </c>
      <c r="E933">
        <v>2.27</v>
      </c>
      <c r="F933" s="1" t="s">
        <v>9</v>
      </c>
      <c r="G933" s="2"/>
      <c r="H933" s="2"/>
    </row>
    <row r="934" spans="2:8" x14ac:dyDescent="0.25">
      <c r="B934" t="s">
        <v>114</v>
      </c>
      <c r="C934" t="s">
        <v>115</v>
      </c>
      <c r="D934">
        <v>1.5999999999999999</v>
      </c>
      <c r="E934">
        <v>2.2799999999999998</v>
      </c>
      <c r="F934" s="1" t="s">
        <v>9</v>
      </c>
      <c r="G934" s="2"/>
      <c r="H934" s="2"/>
    </row>
    <row r="935" spans="2:8" x14ac:dyDescent="0.25">
      <c r="B935" t="s">
        <v>114</v>
      </c>
      <c r="C935" t="s">
        <v>115</v>
      </c>
      <c r="D935">
        <v>1.7</v>
      </c>
      <c r="E935">
        <v>2.2799999999999998</v>
      </c>
      <c r="F935" s="1" t="s">
        <v>9</v>
      </c>
      <c r="G935" s="2"/>
      <c r="H935" s="2"/>
    </row>
    <row r="936" spans="2:8" x14ac:dyDescent="0.25">
      <c r="B936" t="s">
        <v>114</v>
      </c>
      <c r="C936" t="s">
        <v>115</v>
      </c>
      <c r="D936">
        <v>1.54</v>
      </c>
      <c r="E936">
        <v>2.2399999999999998</v>
      </c>
      <c r="F936" s="1" t="s">
        <v>9</v>
      </c>
      <c r="G936" s="2"/>
      <c r="H936" s="2"/>
    </row>
    <row r="937" spans="2:8" x14ac:dyDescent="0.25">
      <c r="B937" t="s">
        <v>114</v>
      </c>
      <c r="C937" t="s">
        <v>115</v>
      </c>
      <c r="D937">
        <v>1.64</v>
      </c>
      <c r="E937">
        <v>2.27</v>
      </c>
      <c r="F937" s="1" t="s">
        <v>9</v>
      </c>
      <c r="G937" s="2"/>
      <c r="H937" s="2"/>
    </row>
    <row r="938" spans="2:8" x14ac:dyDescent="0.25">
      <c r="B938" t="s">
        <v>254</v>
      </c>
      <c r="C938" t="s">
        <v>255</v>
      </c>
      <c r="D938">
        <v>1.85</v>
      </c>
      <c r="E938">
        <v>1.8099999999999998</v>
      </c>
      <c r="F938" t="s">
        <v>10</v>
      </c>
      <c r="G938" s="2"/>
      <c r="H938" s="2"/>
    </row>
    <row r="939" spans="2:8" x14ac:dyDescent="0.25">
      <c r="B939" t="s">
        <v>254</v>
      </c>
      <c r="C939" t="s">
        <v>255</v>
      </c>
      <c r="D939">
        <v>1.9300000000000002</v>
      </c>
      <c r="E939">
        <v>1.97</v>
      </c>
      <c r="F939" t="s">
        <v>10</v>
      </c>
      <c r="G939" s="2"/>
      <c r="H939" s="2"/>
    </row>
    <row r="940" spans="2:8" x14ac:dyDescent="0.25">
      <c r="B940" t="s">
        <v>254</v>
      </c>
      <c r="C940" t="s">
        <v>255</v>
      </c>
      <c r="D940">
        <v>1.87</v>
      </c>
      <c r="E940">
        <v>1.8900000000000001</v>
      </c>
      <c r="F940" t="s">
        <v>10</v>
      </c>
      <c r="G940" s="2"/>
      <c r="H940" s="2"/>
    </row>
    <row r="941" spans="2:8" x14ac:dyDescent="0.25">
      <c r="B941" t="s">
        <v>254</v>
      </c>
      <c r="C941" t="s">
        <v>255</v>
      </c>
      <c r="D941">
        <v>1.8099999999999998</v>
      </c>
      <c r="E941">
        <v>1.88</v>
      </c>
      <c r="F941" t="s">
        <v>10</v>
      </c>
      <c r="G941" s="2"/>
      <c r="H941" s="2"/>
    </row>
    <row r="942" spans="2:8" x14ac:dyDescent="0.25">
      <c r="B942" t="s">
        <v>256</v>
      </c>
      <c r="C942" t="s">
        <v>255</v>
      </c>
      <c r="D942">
        <v>1.1499999999999999</v>
      </c>
      <c r="E942">
        <v>4.6199999999999992</v>
      </c>
      <c r="F942" t="s">
        <v>10</v>
      </c>
      <c r="G942" s="2"/>
      <c r="H942" s="2"/>
    </row>
    <row r="943" spans="2:8" x14ac:dyDescent="0.25">
      <c r="B943" t="s">
        <v>256</v>
      </c>
      <c r="C943" t="s">
        <v>255</v>
      </c>
      <c r="D943">
        <v>1.17</v>
      </c>
      <c r="E943">
        <v>4.59</v>
      </c>
      <c r="F943" t="s">
        <v>10</v>
      </c>
      <c r="G943" s="2"/>
      <c r="H943" s="2"/>
    </row>
    <row r="944" spans="2:8" x14ac:dyDescent="0.25">
      <c r="B944" t="s">
        <v>257</v>
      </c>
      <c r="C944" t="s">
        <v>255</v>
      </c>
      <c r="D944">
        <v>2.21</v>
      </c>
      <c r="E944">
        <v>1.67</v>
      </c>
      <c r="F944" t="s">
        <v>10</v>
      </c>
      <c r="G944" s="2"/>
      <c r="H944" s="2"/>
    </row>
    <row r="945" spans="2:8" x14ac:dyDescent="0.25">
      <c r="B945" t="s">
        <v>257</v>
      </c>
      <c r="C945" t="s">
        <v>255</v>
      </c>
      <c r="D945">
        <v>2.4299999999999997</v>
      </c>
      <c r="E945">
        <v>1.62</v>
      </c>
      <c r="F945" t="s">
        <v>10</v>
      </c>
      <c r="G945" s="2"/>
      <c r="H945" s="2"/>
    </row>
    <row r="946" spans="2:8" x14ac:dyDescent="0.25">
      <c r="B946" t="s">
        <v>257</v>
      </c>
      <c r="C946" t="s">
        <v>255</v>
      </c>
      <c r="D946">
        <v>2.3199999999999998</v>
      </c>
      <c r="E946">
        <v>1.6500000000000001</v>
      </c>
      <c r="F946" t="s">
        <v>10</v>
      </c>
      <c r="G946" s="2"/>
      <c r="H946" s="2"/>
    </row>
    <row r="947" spans="2:8" x14ac:dyDescent="0.25">
      <c r="B947" t="s">
        <v>257</v>
      </c>
      <c r="C947" t="s">
        <v>255</v>
      </c>
      <c r="D947">
        <v>2.36</v>
      </c>
      <c r="E947">
        <v>1.7100000000000002</v>
      </c>
      <c r="F947" t="s">
        <v>10</v>
      </c>
      <c r="G947" s="2"/>
      <c r="H947" s="2"/>
    </row>
    <row r="948" spans="2:8" x14ac:dyDescent="0.25">
      <c r="B948" t="s">
        <v>258</v>
      </c>
      <c r="C948" t="s">
        <v>255</v>
      </c>
      <c r="D948">
        <v>1.71</v>
      </c>
      <c r="E948">
        <v>2.2200000000000002</v>
      </c>
      <c r="F948" t="s">
        <v>10</v>
      </c>
      <c r="G948" s="2"/>
      <c r="H948" s="2"/>
    </row>
    <row r="949" spans="2:8" x14ac:dyDescent="0.25">
      <c r="B949" t="s">
        <v>258</v>
      </c>
      <c r="C949" t="s">
        <v>255</v>
      </c>
      <c r="D949">
        <v>1.7</v>
      </c>
      <c r="E949">
        <v>2.09</v>
      </c>
      <c r="F949" t="s">
        <v>10</v>
      </c>
      <c r="G949" s="2"/>
      <c r="H949" s="2"/>
    </row>
    <row r="950" spans="2:8" x14ac:dyDescent="0.25">
      <c r="B950" t="s">
        <v>259</v>
      </c>
      <c r="C950" t="s">
        <v>255</v>
      </c>
      <c r="D950">
        <v>2.04</v>
      </c>
      <c r="E950">
        <v>1.83</v>
      </c>
      <c r="F950" t="s">
        <v>10</v>
      </c>
      <c r="G950" s="2"/>
      <c r="H950" s="2"/>
    </row>
    <row r="951" spans="2:8" x14ac:dyDescent="0.25">
      <c r="B951" t="s">
        <v>259</v>
      </c>
      <c r="C951" t="s">
        <v>255</v>
      </c>
      <c r="D951">
        <v>2.06</v>
      </c>
      <c r="E951">
        <v>1.85</v>
      </c>
      <c r="F951" t="s">
        <v>10</v>
      </c>
      <c r="G951" s="2"/>
      <c r="H951" s="2"/>
    </row>
    <row r="952" spans="2:8" x14ac:dyDescent="0.25">
      <c r="B952" t="s">
        <v>259</v>
      </c>
      <c r="C952" t="s">
        <v>255</v>
      </c>
      <c r="D952">
        <v>2.1199999999999997</v>
      </c>
      <c r="E952">
        <v>1.69</v>
      </c>
      <c r="F952" t="s">
        <v>10</v>
      </c>
      <c r="G952" s="2"/>
      <c r="H952" s="2"/>
    </row>
    <row r="953" spans="2:8" x14ac:dyDescent="0.25">
      <c r="B953" t="s">
        <v>259</v>
      </c>
      <c r="C953" t="s">
        <v>255</v>
      </c>
      <c r="D953">
        <v>1.98</v>
      </c>
      <c r="E953">
        <v>1.73</v>
      </c>
      <c r="F953" t="s">
        <v>10</v>
      </c>
      <c r="G953" s="2"/>
      <c r="H953" s="2"/>
    </row>
    <row r="954" spans="2:8" x14ac:dyDescent="0.25">
      <c r="B954" t="s">
        <v>260</v>
      </c>
      <c r="C954" t="s">
        <v>255</v>
      </c>
      <c r="D954">
        <v>3.3</v>
      </c>
      <c r="E954">
        <v>1.32</v>
      </c>
      <c r="F954" t="s">
        <v>10</v>
      </c>
      <c r="G954" s="2"/>
      <c r="H954" s="2"/>
    </row>
    <row r="955" spans="2:8" x14ac:dyDescent="0.25">
      <c r="B955" t="s">
        <v>260</v>
      </c>
      <c r="C955" t="s">
        <v>255</v>
      </c>
      <c r="D955">
        <v>3.74</v>
      </c>
      <c r="E955">
        <v>1.18</v>
      </c>
      <c r="F955" t="s">
        <v>10</v>
      </c>
      <c r="G955" s="2"/>
      <c r="H955" s="2"/>
    </row>
    <row r="956" spans="2:8" x14ac:dyDescent="0.25">
      <c r="B956" t="s">
        <v>260</v>
      </c>
      <c r="C956" t="s">
        <v>255</v>
      </c>
      <c r="D956">
        <v>3.5799999999999996</v>
      </c>
      <c r="E956">
        <v>1.23</v>
      </c>
      <c r="F956" t="s">
        <v>10</v>
      </c>
      <c r="G956" s="2"/>
      <c r="H956" s="2"/>
    </row>
    <row r="957" spans="2:8" x14ac:dyDescent="0.25">
      <c r="B957" t="s">
        <v>260</v>
      </c>
      <c r="C957" t="s">
        <v>255</v>
      </c>
      <c r="D957">
        <v>3.9200000000000004</v>
      </c>
      <c r="E957">
        <v>1.22</v>
      </c>
      <c r="F957" t="s">
        <v>10</v>
      </c>
      <c r="G957" s="2"/>
      <c r="H957" s="2"/>
    </row>
    <row r="958" spans="2:8" x14ac:dyDescent="0.25">
      <c r="B958" t="s">
        <v>261</v>
      </c>
      <c r="C958" t="s">
        <v>255</v>
      </c>
      <c r="D958">
        <v>1.1300000000000001</v>
      </c>
      <c r="E958">
        <v>6.74</v>
      </c>
      <c r="F958" t="s">
        <v>10</v>
      </c>
      <c r="G958" s="2"/>
      <c r="H958" s="2"/>
    </row>
    <row r="959" spans="2:8" x14ac:dyDescent="0.25">
      <c r="B959" t="s">
        <v>261</v>
      </c>
      <c r="C959" t="s">
        <v>255</v>
      </c>
      <c r="D959">
        <v>1.1800000000000002</v>
      </c>
      <c r="E959">
        <v>8.08</v>
      </c>
      <c r="F959" t="s">
        <v>10</v>
      </c>
      <c r="G959" s="2"/>
      <c r="H959" s="2"/>
    </row>
    <row r="960" spans="2:8" x14ac:dyDescent="0.25">
      <c r="B960" t="s">
        <v>261</v>
      </c>
      <c r="C960" t="s">
        <v>255</v>
      </c>
      <c r="D960">
        <v>1.1500000000000001</v>
      </c>
      <c r="E960">
        <v>6.82</v>
      </c>
      <c r="F960" t="s">
        <v>10</v>
      </c>
      <c r="G960" s="2"/>
      <c r="H960" s="2"/>
    </row>
    <row r="961" spans="2:8" x14ac:dyDescent="0.25">
      <c r="B961" t="s">
        <v>261</v>
      </c>
      <c r="C961" t="s">
        <v>255</v>
      </c>
      <c r="D961">
        <v>1.1500000000000001</v>
      </c>
      <c r="E961">
        <v>7.5</v>
      </c>
      <c r="F961" t="s">
        <v>10</v>
      </c>
      <c r="G961" s="2"/>
      <c r="H961" s="2"/>
    </row>
    <row r="962" spans="2:8" x14ac:dyDescent="0.25">
      <c r="B962" t="s">
        <v>262</v>
      </c>
      <c r="C962" t="s">
        <v>255</v>
      </c>
      <c r="D962">
        <v>1.38</v>
      </c>
      <c r="E962">
        <v>2.57</v>
      </c>
      <c r="F962" t="s">
        <v>10</v>
      </c>
      <c r="G962" s="2"/>
      <c r="H962" s="2"/>
    </row>
    <row r="963" spans="2:8" x14ac:dyDescent="0.25">
      <c r="B963" t="s">
        <v>262</v>
      </c>
      <c r="C963" t="s">
        <v>255</v>
      </c>
      <c r="D963">
        <v>1.5</v>
      </c>
      <c r="E963">
        <v>2.88</v>
      </c>
      <c r="F963" t="s">
        <v>10</v>
      </c>
      <c r="G963" s="2"/>
      <c r="H963" s="2"/>
    </row>
    <row r="964" spans="2:8" x14ac:dyDescent="0.25">
      <c r="B964" t="s">
        <v>262</v>
      </c>
      <c r="C964" t="s">
        <v>255</v>
      </c>
      <c r="D964">
        <v>1.55</v>
      </c>
      <c r="E964">
        <v>2.54</v>
      </c>
      <c r="F964" t="s">
        <v>10</v>
      </c>
      <c r="G964" s="2"/>
      <c r="H964" s="2"/>
    </row>
    <row r="965" spans="2:8" x14ac:dyDescent="0.25">
      <c r="B965" t="s">
        <v>262</v>
      </c>
      <c r="C965" t="s">
        <v>255</v>
      </c>
      <c r="D965">
        <v>1.47</v>
      </c>
      <c r="E965">
        <v>2.88</v>
      </c>
      <c r="F965" t="s">
        <v>10</v>
      </c>
      <c r="G965" s="2"/>
      <c r="H965" s="2"/>
    </row>
    <row r="966" spans="2:8" x14ac:dyDescent="0.25">
      <c r="B966" t="s">
        <v>263</v>
      </c>
      <c r="C966" t="s">
        <v>255</v>
      </c>
      <c r="D966">
        <v>1.51</v>
      </c>
      <c r="E966">
        <v>2.4699999999999998</v>
      </c>
      <c r="F966" t="s">
        <v>10</v>
      </c>
      <c r="G966" s="2"/>
      <c r="H966" s="2"/>
    </row>
    <row r="967" spans="2:8" x14ac:dyDescent="0.25">
      <c r="B967" t="s">
        <v>263</v>
      </c>
      <c r="C967" t="s">
        <v>255</v>
      </c>
      <c r="D967">
        <v>1.6700000000000002</v>
      </c>
      <c r="E967">
        <v>2.38</v>
      </c>
      <c r="F967" t="s">
        <v>10</v>
      </c>
      <c r="G967" s="2"/>
      <c r="H967" s="2"/>
    </row>
    <row r="968" spans="2:8" x14ac:dyDescent="0.25">
      <c r="B968" t="s">
        <v>263</v>
      </c>
      <c r="C968" t="s">
        <v>255</v>
      </c>
      <c r="D968">
        <v>1.49</v>
      </c>
      <c r="E968">
        <v>2.5099999999999998</v>
      </c>
      <c r="F968" t="s">
        <v>10</v>
      </c>
      <c r="G968" s="2"/>
      <c r="H968" s="2"/>
    </row>
    <row r="969" spans="2:8" x14ac:dyDescent="0.25">
      <c r="B969" t="s">
        <v>264</v>
      </c>
      <c r="C969" t="s">
        <v>265</v>
      </c>
      <c r="D969">
        <v>1.4100000000000001</v>
      </c>
      <c r="E969">
        <v>3.36</v>
      </c>
      <c r="F969" t="s">
        <v>10</v>
      </c>
      <c r="G969" s="2"/>
      <c r="H969" s="2"/>
    </row>
    <row r="970" spans="2:8" x14ac:dyDescent="0.25">
      <c r="B970" t="s">
        <v>264</v>
      </c>
      <c r="C970" t="s">
        <v>265</v>
      </c>
      <c r="D970">
        <v>1.3800000000000001</v>
      </c>
      <c r="E970">
        <v>2.96</v>
      </c>
      <c r="F970" t="s">
        <v>10</v>
      </c>
      <c r="G970" s="2"/>
      <c r="H970" s="2"/>
    </row>
    <row r="971" spans="2:8" x14ac:dyDescent="0.25">
      <c r="B971" t="s">
        <v>264</v>
      </c>
      <c r="C971" t="s">
        <v>265</v>
      </c>
      <c r="D971">
        <v>1.3</v>
      </c>
      <c r="E971">
        <v>3.27</v>
      </c>
      <c r="F971" t="s">
        <v>10</v>
      </c>
      <c r="G971" s="2"/>
      <c r="H971" s="2"/>
    </row>
    <row r="972" spans="2:8" x14ac:dyDescent="0.25">
      <c r="B972" t="s">
        <v>264</v>
      </c>
      <c r="C972" t="s">
        <v>265</v>
      </c>
      <c r="D972">
        <v>1.34</v>
      </c>
      <c r="E972">
        <v>3.16</v>
      </c>
      <c r="F972" t="s">
        <v>10</v>
      </c>
      <c r="G972" s="2"/>
      <c r="H972" s="2"/>
    </row>
    <row r="973" spans="2:8" x14ac:dyDescent="0.25">
      <c r="B973" t="s">
        <v>264</v>
      </c>
      <c r="C973" t="s">
        <v>265</v>
      </c>
      <c r="D973">
        <v>1.31</v>
      </c>
      <c r="E973">
        <v>3.2600000000000002</v>
      </c>
      <c r="F973" t="s">
        <v>10</v>
      </c>
      <c r="G973" s="2"/>
      <c r="H973" s="2"/>
    </row>
    <row r="974" spans="2:8" x14ac:dyDescent="0.25">
      <c r="B974" t="s">
        <v>266</v>
      </c>
      <c r="C974" t="s">
        <v>161</v>
      </c>
      <c r="D974">
        <v>4.08</v>
      </c>
      <c r="E974">
        <v>1.27</v>
      </c>
      <c r="F974" t="s">
        <v>10</v>
      </c>
      <c r="G974" s="2"/>
      <c r="H974" s="2"/>
    </row>
    <row r="975" spans="2:8" x14ac:dyDescent="0.25">
      <c r="B975" t="s">
        <v>266</v>
      </c>
      <c r="C975" t="s">
        <v>161</v>
      </c>
      <c r="D975">
        <v>3.95</v>
      </c>
      <c r="E975">
        <v>1.34</v>
      </c>
      <c r="F975" t="s">
        <v>10</v>
      </c>
      <c r="G975" s="2"/>
      <c r="H975" s="2"/>
    </row>
    <row r="976" spans="2:8" x14ac:dyDescent="0.25">
      <c r="B976" t="s">
        <v>267</v>
      </c>
      <c r="C976" t="s">
        <v>161</v>
      </c>
      <c r="D976">
        <v>1.24</v>
      </c>
      <c r="E976">
        <v>3.4000000000000004</v>
      </c>
      <c r="F976" t="s">
        <v>10</v>
      </c>
      <c r="G976" s="2"/>
      <c r="H976" s="2"/>
    </row>
    <row r="977" spans="2:8" x14ac:dyDescent="0.25">
      <c r="B977" t="s">
        <v>267</v>
      </c>
      <c r="C977" t="s">
        <v>161</v>
      </c>
      <c r="D977">
        <v>1.3800000000000001</v>
      </c>
      <c r="E977">
        <v>3.16</v>
      </c>
      <c r="F977" t="s">
        <v>10</v>
      </c>
      <c r="G977" s="2"/>
      <c r="H977" s="2"/>
    </row>
    <row r="978" spans="2:8" x14ac:dyDescent="0.25">
      <c r="B978" t="s">
        <v>267</v>
      </c>
      <c r="C978" t="s">
        <v>161</v>
      </c>
      <c r="D978">
        <v>1.27</v>
      </c>
      <c r="E978">
        <v>3.31</v>
      </c>
      <c r="F978" t="s">
        <v>10</v>
      </c>
      <c r="G978" s="2"/>
      <c r="H978" s="2"/>
    </row>
    <row r="979" spans="2:8" x14ac:dyDescent="0.25">
      <c r="B979" t="s">
        <v>267</v>
      </c>
      <c r="C979" t="s">
        <v>161</v>
      </c>
      <c r="D979">
        <v>1.23</v>
      </c>
      <c r="E979">
        <v>3.42</v>
      </c>
      <c r="F979" t="s">
        <v>10</v>
      </c>
      <c r="G979" s="2"/>
      <c r="H979" s="2"/>
    </row>
    <row r="980" spans="2:8" x14ac:dyDescent="0.25">
      <c r="B980" t="s">
        <v>268</v>
      </c>
      <c r="C980" t="s">
        <v>161</v>
      </c>
      <c r="D980">
        <v>1.1399999999999999</v>
      </c>
      <c r="E980">
        <v>4.6499999999999995</v>
      </c>
      <c r="F980" t="s">
        <v>10</v>
      </c>
      <c r="G980" s="2"/>
      <c r="H980" s="2"/>
    </row>
    <row r="981" spans="2:8" x14ac:dyDescent="0.25">
      <c r="B981" t="s">
        <v>268</v>
      </c>
      <c r="C981" t="s">
        <v>161</v>
      </c>
      <c r="D981">
        <v>1.1299999999999999</v>
      </c>
      <c r="E981">
        <v>4.6500000000000004</v>
      </c>
      <c r="F981" t="s">
        <v>10</v>
      </c>
      <c r="G981" s="2"/>
      <c r="H981" s="2"/>
    </row>
    <row r="982" spans="2:8" x14ac:dyDescent="0.25">
      <c r="B982" t="s">
        <v>268</v>
      </c>
      <c r="C982" t="s">
        <v>161</v>
      </c>
      <c r="D982">
        <v>1.1099999999999999</v>
      </c>
      <c r="E982">
        <v>5.3</v>
      </c>
      <c r="F982" t="s">
        <v>10</v>
      </c>
      <c r="G982" s="2"/>
      <c r="H982" s="2"/>
    </row>
    <row r="983" spans="2:8" x14ac:dyDescent="0.25">
      <c r="B983" t="s">
        <v>84</v>
      </c>
      <c r="C983" t="s">
        <v>85</v>
      </c>
      <c r="D983">
        <v>1.8</v>
      </c>
      <c r="E983">
        <v>2.13</v>
      </c>
      <c r="F983" t="s">
        <v>10</v>
      </c>
      <c r="G983" s="2"/>
      <c r="H983" s="2"/>
    </row>
    <row r="984" spans="2:8" x14ac:dyDescent="0.25">
      <c r="B984" t="s">
        <v>84</v>
      </c>
      <c r="C984" t="s">
        <v>85</v>
      </c>
      <c r="D984">
        <v>1.77</v>
      </c>
      <c r="E984">
        <v>2.06</v>
      </c>
      <c r="F984" t="s">
        <v>10</v>
      </c>
      <c r="G984" s="2"/>
      <c r="H984" s="2"/>
    </row>
    <row r="985" spans="2:8" x14ac:dyDescent="0.25">
      <c r="B985" t="s">
        <v>84</v>
      </c>
      <c r="C985" t="s">
        <v>85</v>
      </c>
      <c r="D985">
        <v>1.82</v>
      </c>
      <c r="E985">
        <v>2.11</v>
      </c>
      <c r="F985" t="s">
        <v>10</v>
      </c>
      <c r="G985" s="2"/>
      <c r="H985" s="2"/>
    </row>
    <row r="986" spans="2:8" x14ac:dyDescent="0.25">
      <c r="B986" t="s">
        <v>84</v>
      </c>
      <c r="C986" t="s">
        <v>85</v>
      </c>
      <c r="D986">
        <v>1.7</v>
      </c>
      <c r="E986">
        <v>2.17</v>
      </c>
      <c r="F986" t="s">
        <v>10</v>
      </c>
      <c r="G986" s="2"/>
      <c r="H986" s="2"/>
    </row>
    <row r="987" spans="2:8" x14ac:dyDescent="0.25">
      <c r="B987" t="s">
        <v>84</v>
      </c>
      <c r="C987" t="s">
        <v>85</v>
      </c>
      <c r="D987">
        <v>1.71</v>
      </c>
      <c r="E987">
        <v>2.04</v>
      </c>
      <c r="F987" t="s">
        <v>10</v>
      </c>
      <c r="G987" s="2"/>
      <c r="H987" s="2"/>
    </row>
    <row r="988" spans="2:8" x14ac:dyDescent="0.25">
      <c r="B988" t="s">
        <v>84</v>
      </c>
      <c r="C988" t="s">
        <v>85</v>
      </c>
      <c r="D988">
        <v>1.7</v>
      </c>
      <c r="E988">
        <v>2.1100000000000003</v>
      </c>
      <c r="F988" t="s">
        <v>10</v>
      </c>
      <c r="G988" s="2"/>
      <c r="H988" s="2"/>
    </row>
    <row r="989" spans="2:8" x14ac:dyDescent="0.25">
      <c r="B989" t="s">
        <v>84</v>
      </c>
      <c r="C989" t="s">
        <v>85</v>
      </c>
      <c r="D989">
        <v>1.71</v>
      </c>
      <c r="E989">
        <v>2.04</v>
      </c>
      <c r="F989" t="s">
        <v>10</v>
      </c>
      <c r="G989" s="2"/>
      <c r="H989" s="2"/>
    </row>
    <row r="990" spans="2:8" x14ac:dyDescent="0.25">
      <c r="B990" t="s">
        <v>84</v>
      </c>
      <c r="C990" t="s">
        <v>85</v>
      </c>
      <c r="D990">
        <v>1.79</v>
      </c>
      <c r="E990">
        <v>2.1199999999999997</v>
      </c>
      <c r="F990" t="s">
        <v>10</v>
      </c>
      <c r="G990" s="2"/>
      <c r="H990" s="2"/>
    </row>
    <row r="991" spans="2:8" x14ac:dyDescent="0.25">
      <c r="B991" t="s">
        <v>84</v>
      </c>
      <c r="C991" t="s">
        <v>85</v>
      </c>
      <c r="D991">
        <v>1.81</v>
      </c>
      <c r="E991">
        <v>2.1999999999999997</v>
      </c>
      <c r="F991" t="s">
        <v>10</v>
      </c>
      <c r="G991" s="2"/>
      <c r="H991" s="2"/>
    </row>
    <row r="992" spans="2:8" x14ac:dyDescent="0.25">
      <c r="B992" t="s">
        <v>84</v>
      </c>
      <c r="C992" t="s">
        <v>85</v>
      </c>
      <c r="D992">
        <v>1.76</v>
      </c>
      <c r="E992">
        <v>2.14</v>
      </c>
      <c r="F992" t="s">
        <v>10</v>
      </c>
      <c r="G992" s="2"/>
      <c r="H992" s="2"/>
    </row>
    <row r="993" spans="2:8" x14ac:dyDescent="0.25">
      <c r="B993" t="s">
        <v>84</v>
      </c>
      <c r="C993" t="s">
        <v>85</v>
      </c>
      <c r="D993">
        <v>1.82</v>
      </c>
      <c r="E993">
        <v>2.1</v>
      </c>
      <c r="F993" t="s">
        <v>10</v>
      </c>
      <c r="G993" s="2"/>
      <c r="H993" s="2"/>
    </row>
    <row r="994" spans="2:8" x14ac:dyDescent="0.25">
      <c r="B994" t="s">
        <v>86</v>
      </c>
      <c r="C994" t="s">
        <v>85</v>
      </c>
      <c r="D994">
        <v>2.08</v>
      </c>
      <c r="E994">
        <v>1.72</v>
      </c>
      <c r="F994" t="s">
        <v>10</v>
      </c>
      <c r="G994" s="2"/>
      <c r="H994" s="2"/>
    </row>
    <row r="995" spans="2:8" x14ac:dyDescent="0.25">
      <c r="B995" t="s">
        <v>86</v>
      </c>
      <c r="C995" t="s">
        <v>85</v>
      </c>
      <c r="D995">
        <v>2.12</v>
      </c>
      <c r="E995">
        <v>1.69</v>
      </c>
      <c r="F995" t="s">
        <v>10</v>
      </c>
      <c r="G995" s="2"/>
      <c r="H995" s="2"/>
    </row>
    <row r="996" spans="2:8" x14ac:dyDescent="0.25">
      <c r="B996" t="s">
        <v>86</v>
      </c>
      <c r="C996" t="s">
        <v>85</v>
      </c>
      <c r="D996">
        <v>2.0700000000000003</v>
      </c>
      <c r="E996">
        <v>1.65</v>
      </c>
      <c r="F996" t="s">
        <v>10</v>
      </c>
      <c r="G996" s="2"/>
      <c r="H996" s="2"/>
    </row>
    <row r="997" spans="2:8" x14ac:dyDescent="0.25">
      <c r="B997" t="s">
        <v>86</v>
      </c>
      <c r="C997" t="s">
        <v>85</v>
      </c>
      <c r="D997">
        <v>2.1800000000000002</v>
      </c>
      <c r="E997">
        <v>1.69</v>
      </c>
      <c r="F997" t="s">
        <v>10</v>
      </c>
      <c r="G997" s="2"/>
      <c r="H997" s="2"/>
    </row>
    <row r="998" spans="2:8" x14ac:dyDescent="0.25">
      <c r="B998" t="s">
        <v>86</v>
      </c>
      <c r="C998" t="s">
        <v>85</v>
      </c>
      <c r="D998">
        <v>1.9899999999999998</v>
      </c>
      <c r="E998">
        <v>1.71</v>
      </c>
      <c r="F998" t="s">
        <v>10</v>
      </c>
      <c r="G998" s="2"/>
      <c r="H998" s="2"/>
    </row>
    <row r="999" spans="2:8" x14ac:dyDescent="0.25">
      <c r="B999" t="s">
        <v>86</v>
      </c>
      <c r="C999" t="s">
        <v>85</v>
      </c>
      <c r="D999">
        <v>2.12</v>
      </c>
      <c r="E999">
        <v>1.81</v>
      </c>
      <c r="F999" t="s">
        <v>10</v>
      </c>
      <c r="G999" s="2"/>
      <c r="H999" s="2"/>
    </row>
    <row r="1000" spans="2:8" x14ac:dyDescent="0.25">
      <c r="B1000" t="s">
        <v>86</v>
      </c>
      <c r="C1000" t="s">
        <v>85</v>
      </c>
      <c r="D1000">
        <v>2.21</v>
      </c>
      <c r="E1000">
        <v>1.63</v>
      </c>
      <c r="F1000" t="s">
        <v>10</v>
      </c>
      <c r="G1000" s="2"/>
      <c r="H1000" s="2"/>
    </row>
    <row r="1001" spans="2:8" x14ac:dyDescent="0.25">
      <c r="B1001" t="s">
        <v>86</v>
      </c>
      <c r="C1001" t="s">
        <v>85</v>
      </c>
      <c r="D1001">
        <v>2.19</v>
      </c>
      <c r="E1001">
        <v>1.5799999999999998</v>
      </c>
      <c r="F1001" t="s">
        <v>10</v>
      </c>
      <c r="G1001" s="2"/>
      <c r="H1001" s="2"/>
    </row>
    <row r="1002" spans="2:8" x14ac:dyDescent="0.25">
      <c r="B1002" t="s">
        <v>86</v>
      </c>
      <c r="C1002" t="s">
        <v>85</v>
      </c>
      <c r="D1002">
        <v>2.23</v>
      </c>
      <c r="E1002">
        <v>1.64</v>
      </c>
      <c r="F1002" t="s">
        <v>10</v>
      </c>
      <c r="G1002" s="2"/>
      <c r="H1002" s="2"/>
    </row>
    <row r="1003" spans="2:8" x14ac:dyDescent="0.25">
      <c r="B1003" t="s">
        <v>86</v>
      </c>
      <c r="C1003" t="s">
        <v>85</v>
      </c>
      <c r="D1003">
        <v>2.14</v>
      </c>
      <c r="E1003">
        <v>1.77</v>
      </c>
      <c r="F1003" t="s">
        <v>10</v>
      </c>
      <c r="G1003" s="2"/>
      <c r="H1003" s="2"/>
    </row>
    <row r="1004" spans="2:8" x14ac:dyDescent="0.25">
      <c r="B1004" t="s">
        <v>86</v>
      </c>
      <c r="C1004" t="s">
        <v>85</v>
      </c>
      <c r="D1004">
        <v>2.09</v>
      </c>
      <c r="E1004">
        <v>1.7</v>
      </c>
      <c r="F1004" t="s">
        <v>10</v>
      </c>
      <c r="G1004" s="2"/>
      <c r="H1004" s="2"/>
    </row>
    <row r="1005" spans="2:8" x14ac:dyDescent="0.25">
      <c r="B1005" t="s">
        <v>87</v>
      </c>
      <c r="C1005" t="s">
        <v>85</v>
      </c>
      <c r="D1005">
        <v>4.9400000000000004</v>
      </c>
      <c r="E1005">
        <v>1.26</v>
      </c>
      <c r="F1005" t="s">
        <v>10</v>
      </c>
      <c r="G1005" s="2"/>
      <c r="H1005" s="2"/>
    </row>
    <row r="1006" spans="2:8" x14ac:dyDescent="0.25">
      <c r="B1006" t="s">
        <v>87</v>
      </c>
      <c r="C1006" t="s">
        <v>85</v>
      </c>
      <c r="D1006">
        <v>4.9800000000000004</v>
      </c>
      <c r="E1006">
        <v>1.0999999999999999</v>
      </c>
      <c r="F1006" t="s">
        <v>10</v>
      </c>
      <c r="G1006" s="2"/>
      <c r="H1006" s="2"/>
    </row>
    <row r="1007" spans="2:8" x14ac:dyDescent="0.25">
      <c r="B1007" t="s">
        <v>87</v>
      </c>
      <c r="C1007" t="s">
        <v>85</v>
      </c>
      <c r="D1007">
        <v>4.55</v>
      </c>
      <c r="E1007">
        <v>1.17</v>
      </c>
      <c r="F1007" t="s">
        <v>10</v>
      </c>
      <c r="G1007" s="2"/>
      <c r="H1007" s="2"/>
    </row>
    <row r="1008" spans="2:8" x14ac:dyDescent="0.25">
      <c r="B1008" t="s">
        <v>87</v>
      </c>
      <c r="C1008" t="s">
        <v>85</v>
      </c>
      <c r="D1008">
        <v>4.63</v>
      </c>
      <c r="E1008">
        <v>1.1299999999999999</v>
      </c>
      <c r="F1008" t="s">
        <v>10</v>
      </c>
      <c r="G1008" s="2"/>
      <c r="H1008" s="2"/>
    </row>
    <row r="1009" spans="2:8" x14ac:dyDescent="0.25">
      <c r="B1009" t="s">
        <v>87</v>
      </c>
      <c r="C1009" t="s">
        <v>85</v>
      </c>
      <c r="D1009">
        <v>4.13</v>
      </c>
      <c r="E1009">
        <v>1.2</v>
      </c>
      <c r="F1009" t="s">
        <v>10</v>
      </c>
      <c r="G1009" s="2"/>
      <c r="H1009" s="2"/>
    </row>
    <row r="1010" spans="2:8" x14ac:dyDescent="0.25">
      <c r="B1010" t="s">
        <v>87</v>
      </c>
      <c r="C1010" t="s">
        <v>85</v>
      </c>
      <c r="D1010">
        <v>4.0199999999999996</v>
      </c>
      <c r="E1010">
        <v>1.1599999999999999</v>
      </c>
      <c r="F1010" t="s">
        <v>10</v>
      </c>
      <c r="G1010" s="2"/>
      <c r="H1010" s="2"/>
    </row>
    <row r="1011" spans="2:8" x14ac:dyDescent="0.25">
      <c r="B1011" t="s">
        <v>87</v>
      </c>
      <c r="C1011" t="s">
        <v>85</v>
      </c>
      <c r="D1011">
        <v>4.13</v>
      </c>
      <c r="E1011">
        <v>1.19</v>
      </c>
      <c r="F1011" t="s">
        <v>10</v>
      </c>
      <c r="G1011" s="2"/>
      <c r="H1011" s="2"/>
    </row>
    <row r="1012" spans="2:8" x14ac:dyDescent="0.25">
      <c r="B1012" t="s">
        <v>87</v>
      </c>
      <c r="C1012" t="s">
        <v>85</v>
      </c>
      <c r="D1012">
        <v>4.88</v>
      </c>
      <c r="E1012">
        <v>1.21</v>
      </c>
      <c r="F1012" t="s">
        <v>10</v>
      </c>
      <c r="G1012" s="2"/>
      <c r="H1012" s="2"/>
    </row>
    <row r="1013" spans="2:8" x14ac:dyDescent="0.25">
      <c r="B1013" t="s">
        <v>87</v>
      </c>
      <c r="C1013" t="s">
        <v>85</v>
      </c>
      <c r="D1013">
        <v>4.8099999999999996</v>
      </c>
      <c r="E1013">
        <v>1.18</v>
      </c>
      <c r="F1013" t="s">
        <v>10</v>
      </c>
      <c r="G1013" s="2"/>
      <c r="H1013" s="2"/>
    </row>
    <row r="1014" spans="2:8" x14ac:dyDescent="0.25">
      <c r="B1014" t="s">
        <v>87</v>
      </c>
      <c r="C1014" t="s">
        <v>85</v>
      </c>
      <c r="D1014">
        <v>4.33</v>
      </c>
      <c r="E1014">
        <v>1.1399999999999999</v>
      </c>
      <c r="F1014" t="s">
        <v>10</v>
      </c>
      <c r="G1014" s="2"/>
      <c r="H1014" s="2"/>
    </row>
    <row r="1015" spans="2:8" x14ac:dyDescent="0.25">
      <c r="B1015" t="s">
        <v>87</v>
      </c>
      <c r="C1015" t="s">
        <v>85</v>
      </c>
      <c r="D1015">
        <v>4.67</v>
      </c>
      <c r="E1015">
        <v>1.2</v>
      </c>
      <c r="F1015" t="s">
        <v>10</v>
      </c>
      <c r="G1015" s="2"/>
      <c r="H1015" s="2"/>
    </row>
    <row r="1016" spans="2:8" x14ac:dyDescent="0.25">
      <c r="B1016" t="s">
        <v>88</v>
      </c>
      <c r="C1016" t="s">
        <v>85</v>
      </c>
      <c r="D1016">
        <v>2.19</v>
      </c>
      <c r="E1016">
        <v>1.84</v>
      </c>
      <c r="F1016" t="s">
        <v>10</v>
      </c>
      <c r="G1016" s="2"/>
      <c r="H1016" s="2"/>
    </row>
    <row r="1017" spans="2:8" x14ac:dyDescent="0.25">
      <c r="B1017" t="s">
        <v>88</v>
      </c>
      <c r="C1017" t="s">
        <v>85</v>
      </c>
      <c r="D1017">
        <v>2.0700000000000003</v>
      </c>
      <c r="E1017">
        <v>1.69</v>
      </c>
      <c r="F1017" t="s">
        <v>10</v>
      </c>
      <c r="G1017" s="2"/>
      <c r="H1017" s="2"/>
    </row>
    <row r="1018" spans="2:8" x14ac:dyDescent="0.25">
      <c r="B1018" t="s">
        <v>88</v>
      </c>
      <c r="C1018" t="s">
        <v>85</v>
      </c>
      <c r="D1018">
        <v>2.0700000000000003</v>
      </c>
      <c r="E1018">
        <v>1.74</v>
      </c>
      <c r="F1018" t="s">
        <v>10</v>
      </c>
      <c r="G1018" s="2"/>
      <c r="H1018" s="2"/>
    </row>
    <row r="1019" spans="2:8" x14ac:dyDescent="0.25">
      <c r="B1019" t="s">
        <v>88</v>
      </c>
      <c r="C1019" t="s">
        <v>85</v>
      </c>
      <c r="D1019">
        <v>2.0500000000000003</v>
      </c>
      <c r="E1019">
        <v>1.8</v>
      </c>
      <c r="F1019" t="s">
        <v>10</v>
      </c>
      <c r="G1019" s="2"/>
      <c r="H1019" s="2"/>
    </row>
    <row r="1020" spans="2:8" x14ac:dyDescent="0.25">
      <c r="B1020" t="s">
        <v>88</v>
      </c>
      <c r="C1020" t="s">
        <v>85</v>
      </c>
      <c r="D1020">
        <v>1.94</v>
      </c>
      <c r="E1020">
        <v>1.76</v>
      </c>
      <c r="F1020" t="s">
        <v>10</v>
      </c>
      <c r="G1020" s="2"/>
      <c r="H1020" s="2"/>
    </row>
    <row r="1021" spans="2:8" x14ac:dyDescent="0.25">
      <c r="B1021" t="s">
        <v>88</v>
      </c>
      <c r="C1021" t="s">
        <v>85</v>
      </c>
      <c r="D1021">
        <v>1.98</v>
      </c>
      <c r="E1021">
        <v>1.68</v>
      </c>
      <c r="F1021" t="s">
        <v>10</v>
      </c>
      <c r="G1021" s="2"/>
      <c r="H1021" s="2"/>
    </row>
    <row r="1022" spans="2:8" x14ac:dyDescent="0.25">
      <c r="B1022" t="s">
        <v>88</v>
      </c>
      <c r="C1022" t="s">
        <v>85</v>
      </c>
      <c r="D1022">
        <v>2.14</v>
      </c>
      <c r="E1022">
        <v>1.86</v>
      </c>
      <c r="F1022" t="s">
        <v>10</v>
      </c>
      <c r="G1022" s="2"/>
      <c r="H1022" s="2"/>
    </row>
    <row r="1023" spans="2:8" x14ac:dyDescent="0.25">
      <c r="B1023" t="s">
        <v>88</v>
      </c>
      <c r="C1023" t="s">
        <v>85</v>
      </c>
      <c r="D1023">
        <v>2.13</v>
      </c>
      <c r="E1023">
        <v>1.83</v>
      </c>
      <c r="F1023" t="s">
        <v>10</v>
      </c>
      <c r="G1023" s="2"/>
      <c r="H1023" s="2"/>
    </row>
    <row r="1024" spans="2:8" x14ac:dyDescent="0.25">
      <c r="B1024" t="s">
        <v>88</v>
      </c>
      <c r="C1024" t="s">
        <v>85</v>
      </c>
      <c r="D1024">
        <v>2.0500000000000003</v>
      </c>
      <c r="E1024">
        <v>1.75</v>
      </c>
      <c r="F1024" t="s">
        <v>10</v>
      </c>
      <c r="G1024" s="2"/>
      <c r="H1024" s="2"/>
    </row>
    <row r="1025" spans="2:8" x14ac:dyDescent="0.25">
      <c r="B1025" t="s">
        <v>88</v>
      </c>
      <c r="C1025" t="s">
        <v>85</v>
      </c>
      <c r="D1025">
        <v>2.1</v>
      </c>
      <c r="E1025">
        <v>1.86</v>
      </c>
      <c r="F1025" t="s">
        <v>10</v>
      </c>
      <c r="G1025" s="2"/>
      <c r="H1025" s="2"/>
    </row>
    <row r="1026" spans="2:8" x14ac:dyDescent="0.25">
      <c r="B1026" t="s">
        <v>88</v>
      </c>
      <c r="C1026" t="s">
        <v>85</v>
      </c>
      <c r="D1026">
        <v>2.04</v>
      </c>
      <c r="E1026">
        <v>1.79</v>
      </c>
      <c r="F1026" t="s">
        <v>10</v>
      </c>
      <c r="G1026" s="2"/>
      <c r="H1026" s="2"/>
    </row>
    <row r="1027" spans="2:8" x14ac:dyDescent="0.25">
      <c r="B1027" t="s">
        <v>89</v>
      </c>
      <c r="C1027" t="s">
        <v>85</v>
      </c>
      <c r="D1027">
        <v>1.53</v>
      </c>
      <c r="E1027">
        <v>2.52</v>
      </c>
      <c r="F1027" t="s">
        <v>10</v>
      </c>
      <c r="G1027" s="2"/>
      <c r="H1027" s="2"/>
    </row>
    <row r="1028" spans="2:8" x14ac:dyDescent="0.25">
      <c r="B1028" t="s">
        <v>89</v>
      </c>
      <c r="C1028" t="s">
        <v>85</v>
      </c>
      <c r="D1028">
        <v>1.56</v>
      </c>
      <c r="E1028">
        <v>2.5499999999999998</v>
      </c>
      <c r="F1028" t="s">
        <v>10</v>
      </c>
      <c r="G1028" s="2"/>
      <c r="H1028" s="2"/>
    </row>
    <row r="1029" spans="2:8" x14ac:dyDescent="0.25">
      <c r="B1029" t="s">
        <v>89</v>
      </c>
      <c r="C1029" t="s">
        <v>85</v>
      </c>
      <c r="D1029">
        <v>1.47</v>
      </c>
      <c r="E1029">
        <v>2.52</v>
      </c>
      <c r="F1029" t="s">
        <v>10</v>
      </c>
      <c r="G1029" s="2"/>
      <c r="H1029" s="2"/>
    </row>
    <row r="1030" spans="2:8" x14ac:dyDescent="0.25">
      <c r="B1030" t="s">
        <v>89</v>
      </c>
      <c r="C1030" t="s">
        <v>85</v>
      </c>
      <c r="D1030">
        <v>1.44</v>
      </c>
      <c r="E1030">
        <v>2.5500000000000003</v>
      </c>
      <c r="F1030" t="s">
        <v>10</v>
      </c>
      <c r="G1030" s="2"/>
      <c r="H1030" s="2"/>
    </row>
    <row r="1031" spans="2:8" x14ac:dyDescent="0.25">
      <c r="B1031" t="s">
        <v>89</v>
      </c>
      <c r="C1031" t="s">
        <v>85</v>
      </c>
      <c r="D1031">
        <v>1.6</v>
      </c>
      <c r="E1031">
        <v>2.7600000000000002</v>
      </c>
      <c r="F1031" t="s">
        <v>10</v>
      </c>
      <c r="G1031" s="2"/>
      <c r="H1031" s="2"/>
    </row>
    <row r="1032" spans="2:8" x14ac:dyDescent="0.25">
      <c r="B1032" t="s">
        <v>89</v>
      </c>
      <c r="C1032" t="s">
        <v>85</v>
      </c>
      <c r="D1032">
        <v>1.59</v>
      </c>
      <c r="E1032">
        <v>2.46</v>
      </c>
      <c r="F1032" t="s">
        <v>10</v>
      </c>
      <c r="G1032" s="2"/>
      <c r="H1032" s="2"/>
    </row>
    <row r="1033" spans="2:8" x14ac:dyDescent="0.25">
      <c r="B1033" t="s">
        <v>89</v>
      </c>
      <c r="C1033" t="s">
        <v>85</v>
      </c>
      <c r="D1033">
        <v>1.52</v>
      </c>
      <c r="E1033">
        <v>2.44</v>
      </c>
      <c r="F1033" t="s">
        <v>10</v>
      </c>
      <c r="G1033" s="2"/>
      <c r="H1033" s="2"/>
    </row>
    <row r="1034" spans="2:8" x14ac:dyDescent="0.25">
      <c r="B1034" t="s">
        <v>89</v>
      </c>
      <c r="C1034" t="s">
        <v>85</v>
      </c>
      <c r="D1034">
        <v>1.48</v>
      </c>
      <c r="E1034">
        <v>2.54</v>
      </c>
      <c r="F1034" t="s">
        <v>10</v>
      </c>
      <c r="G1034" s="2"/>
      <c r="H1034" s="2"/>
    </row>
    <row r="1035" spans="2:8" x14ac:dyDescent="0.25">
      <c r="B1035" t="s">
        <v>89</v>
      </c>
      <c r="C1035" t="s">
        <v>85</v>
      </c>
      <c r="D1035">
        <v>1.45</v>
      </c>
      <c r="E1035">
        <v>2.5</v>
      </c>
      <c r="F1035" t="s">
        <v>10</v>
      </c>
      <c r="G1035" s="2"/>
      <c r="H1035" s="2"/>
    </row>
    <row r="1036" spans="2:8" x14ac:dyDescent="0.25">
      <c r="B1036" t="s">
        <v>89</v>
      </c>
      <c r="C1036" t="s">
        <v>85</v>
      </c>
      <c r="D1036">
        <v>1.52</v>
      </c>
      <c r="E1036">
        <v>2.5</v>
      </c>
      <c r="F1036" t="s">
        <v>10</v>
      </c>
      <c r="G1036" s="2"/>
      <c r="H1036" s="2"/>
    </row>
    <row r="1037" spans="2:8" x14ac:dyDescent="0.25">
      <c r="B1037" t="s">
        <v>89</v>
      </c>
      <c r="C1037" t="s">
        <v>85</v>
      </c>
      <c r="D1037">
        <v>1.48</v>
      </c>
      <c r="E1037">
        <v>2.5499999999999998</v>
      </c>
      <c r="F1037" t="s">
        <v>10</v>
      </c>
      <c r="G1037" s="2"/>
      <c r="H1037" s="2"/>
    </row>
    <row r="1038" spans="2:8" x14ac:dyDescent="0.25">
      <c r="B1038" t="s">
        <v>90</v>
      </c>
      <c r="C1038" t="s">
        <v>85</v>
      </c>
      <c r="D1038">
        <v>2.42</v>
      </c>
      <c r="E1038">
        <v>1.59</v>
      </c>
      <c r="F1038" t="s">
        <v>10</v>
      </c>
      <c r="G1038" s="2"/>
      <c r="H1038" s="2"/>
    </row>
    <row r="1039" spans="2:8" x14ac:dyDescent="0.25">
      <c r="B1039" t="s">
        <v>90</v>
      </c>
      <c r="C1039" t="s">
        <v>85</v>
      </c>
      <c r="D1039">
        <v>2.67</v>
      </c>
      <c r="E1039">
        <v>1.55</v>
      </c>
      <c r="F1039" t="s">
        <v>10</v>
      </c>
      <c r="G1039" s="2"/>
      <c r="H1039" s="2"/>
    </row>
    <row r="1040" spans="2:8" x14ac:dyDescent="0.25">
      <c r="B1040" t="s">
        <v>90</v>
      </c>
      <c r="C1040" t="s">
        <v>85</v>
      </c>
      <c r="D1040">
        <v>2.4299999999999997</v>
      </c>
      <c r="E1040">
        <v>1.55</v>
      </c>
      <c r="F1040" t="s">
        <v>10</v>
      </c>
      <c r="G1040" s="2"/>
      <c r="H1040" s="2"/>
    </row>
    <row r="1041" spans="2:8" x14ac:dyDescent="0.25">
      <c r="B1041" t="s">
        <v>90</v>
      </c>
      <c r="C1041" t="s">
        <v>85</v>
      </c>
      <c r="D1041">
        <v>2.46</v>
      </c>
      <c r="E1041">
        <v>1.62</v>
      </c>
      <c r="F1041" t="s">
        <v>10</v>
      </c>
      <c r="G1041" s="2"/>
      <c r="H1041" s="2"/>
    </row>
    <row r="1042" spans="2:8" x14ac:dyDescent="0.25">
      <c r="B1042" t="s">
        <v>90</v>
      </c>
      <c r="C1042" t="s">
        <v>85</v>
      </c>
      <c r="D1042">
        <v>2.4500000000000002</v>
      </c>
      <c r="E1042">
        <v>1.62</v>
      </c>
      <c r="F1042" t="s">
        <v>10</v>
      </c>
      <c r="G1042" s="2"/>
      <c r="H1042" s="2"/>
    </row>
    <row r="1043" spans="2:8" x14ac:dyDescent="0.25">
      <c r="B1043" t="s">
        <v>90</v>
      </c>
      <c r="C1043" t="s">
        <v>85</v>
      </c>
      <c r="D1043">
        <v>2.56</v>
      </c>
      <c r="E1043">
        <v>1.48</v>
      </c>
      <c r="F1043" t="s">
        <v>10</v>
      </c>
      <c r="G1043" s="2"/>
      <c r="H1043" s="2"/>
    </row>
    <row r="1044" spans="2:8" x14ac:dyDescent="0.25">
      <c r="B1044" t="s">
        <v>90</v>
      </c>
      <c r="C1044" t="s">
        <v>85</v>
      </c>
      <c r="D1044">
        <v>2.71</v>
      </c>
      <c r="E1044">
        <v>1.54</v>
      </c>
      <c r="F1044" t="s">
        <v>10</v>
      </c>
      <c r="G1044" s="2"/>
      <c r="H1044" s="2"/>
    </row>
    <row r="1045" spans="2:8" x14ac:dyDescent="0.25">
      <c r="B1045" t="s">
        <v>90</v>
      </c>
      <c r="C1045" t="s">
        <v>85</v>
      </c>
      <c r="D1045">
        <v>2.5499999999999998</v>
      </c>
      <c r="E1045">
        <v>1.51</v>
      </c>
      <c r="F1045" t="s">
        <v>10</v>
      </c>
      <c r="G1045" s="2"/>
      <c r="H1045" s="2"/>
    </row>
    <row r="1046" spans="2:8" x14ac:dyDescent="0.25">
      <c r="B1046" t="s">
        <v>90</v>
      </c>
      <c r="C1046" t="s">
        <v>85</v>
      </c>
      <c r="D1046">
        <v>2.6</v>
      </c>
      <c r="E1046">
        <v>1.44</v>
      </c>
      <c r="F1046" t="s">
        <v>10</v>
      </c>
      <c r="G1046" s="2"/>
      <c r="H1046" s="2"/>
    </row>
    <row r="1047" spans="2:8" x14ac:dyDescent="0.25">
      <c r="B1047" t="s">
        <v>90</v>
      </c>
      <c r="C1047" t="s">
        <v>85</v>
      </c>
      <c r="D1047">
        <v>2.56</v>
      </c>
      <c r="E1047">
        <v>1.48</v>
      </c>
      <c r="F1047" t="s">
        <v>10</v>
      </c>
      <c r="G1047" s="2"/>
      <c r="H1047" s="2"/>
    </row>
    <row r="1048" spans="2:8" x14ac:dyDescent="0.25">
      <c r="B1048" t="s">
        <v>90</v>
      </c>
      <c r="C1048" t="s">
        <v>85</v>
      </c>
      <c r="D1048">
        <v>2.63</v>
      </c>
      <c r="E1048">
        <v>1.57</v>
      </c>
      <c r="F1048" t="s">
        <v>10</v>
      </c>
      <c r="G1048" s="2"/>
      <c r="H1048" s="2"/>
    </row>
    <row r="1049" spans="2:8" x14ac:dyDescent="0.25">
      <c r="B1049" t="s">
        <v>91</v>
      </c>
      <c r="C1049" t="s">
        <v>85</v>
      </c>
      <c r="D1049">
        <v>3.62</v>
      </c>
      <c r="E1049">
        <v>1.3900000000000001</v>
      </c>
      <c r="F1049" t="s">
        <v>10</v>
      </c>
      <c r="G1049" s="2"/>
      <c r="H1049" s="2"/>
    </row>
    <row r="1050" spans="2:8" x14ac:dyDescent="0.25">
      <c r="B1050" t="s">
        <v>91</v>
      </c>
      <c r="C1050" t="s">
        <v>85</v>
      </c>
      <c r="D1050">
        <v>3.71</v>
      </c>
      <c r="E1050">
        <v>1.28</v>
      </c>
      <c r="F1050" t="s">
        <v>10</v>
      </c>
      <c r="G1050" s="2"/>
      <c r="H1050" s="2"/>
    </row>
    <row r="1051" spans="2:8" x14ac:dyDescent="0.25">
      <c r="B1051" t="s">
        <v>91</v>
      </c>
      <c r="C1051" t="s">
        <v>85</v>
      </c>
      <c r="D1051">
        <v>3.87</v>
      </c>
      <c r="E1051">
        <v>1.34</v>
      </c>
      <c r="F1051" t="s">
        <v>10</v>
      </c>
      <c r="G1051" s="2"/>
      <c r="H1051" s="2"/>
    </row>
    <row r="1052" spans="2:8" x14ac:dyDescent="0.25">
      <c r="B1052" t="s">
        <v>91</v>
      </c>
      <c r="C1052" t="s">
        <v>85</v>
      </c>
      <c r="D1052">
        <v>3.69</v>
      </c>
      <c r="E1052">
        <v>1.32</v>
      </c>
      <c r="F1052" t="s">
        <v>10</v>
      </c>
      <c r="G1052" s="2"/>
      <c r="H1052" s="2"/>
    </row>
    <row r="1053" spans="2:8" x14ac:dyDescent="0.25">
      <c r="B1053" t="s">
        <v>91</v>
      </c>
      <c r="C1053" t="s">
        <v>85</v>
      </c>
      <c r="D1053">
        <v>3.45</v>
      </c>
      <c r="E1053">
        <v>1.34</v>
      </c>
      <c r="F1053" t="s">
        <v>10</v>
      </c>
      <c r="G1053" s="2"/>
      <c r="H1053" s="2"/>
    </row>
    <row r="1054" spans="2:8" x14ac:dyDescent="0.25">
      <c r="B1054" t="s">
        <v>91</v>
      </c>
      <c r="C1054" t="s">
        <v>85</v>
      </c>
      <c r="D1054">
        <v>3.71</v>
      </c>
      <c r="E1054">
        <v>1.24</v>
      </c>
      <c r="F1054" t="s">
        <v>10</v>
      </c>
      <c r="G1054" s="2"/>
      <c r="H1054" s="2"/>
    </row>
    <row r="1055" spans="2:8" x14ac:dyDescent="0.25">
      <c r="B1055" t="s">
        <v>91</v>
      </c>
      <c r="C1055" t="s">
        <v>85</v>
      </c>
      <c r="D1055">
        <v>3.7</v>
      </c>
      <c r="E1055">
        <v>1.34</v>
      </c>
      <c r="F1055" t="s">
        <v>10</v>
      </c>
      <c r="G1055" s="2"/>
      <c r="H1055" s="2"/>
    </row>
    <row r="1056" spans="2:8" x14ac:dyDescent="0.25">
      <c r="B1056" t="s">
        <v>91</v>
      </c>
      <c r="C1056" t="s">
        <v>85</v>
      </c>
      <c r="D1056">
        <v>3.62</v>
      </c>
      <c r="E1056">
        <v>1.35</v>
      </c>
      <c r="F1056" t="s">
        <v>10</v>
      </c>
      <c r="G1056" s="2"/>
      <c r="H1056" s="2"/>
    </row>
    <row r="1057" spans="2:8" x14ac:dyDescent="0.25">
      <c r="B1057" t="s">
        <v>91</v>
      </c>
      <c r="C1057" t="s">
        <v>85</v>
      </c>
      <c r="D1057">
        <v>3.7</v>
      </c>
      <c r="E1057">
        <v>1.23</v>
      </c>
      <c r="F1057" t="s">
        <v>10</v>
      </c>
      <c r="G1057" s="2"/>
      <c r="H1057" s="2"/>
    </row>
    <row r="1058" spans="2:8" x14ac:dyDescent="0.25">
      <c r="B1058" t="s">
        <v>91</v>
      </c>
      <c r="C1058" t="s">
        <v>85</v>
      </c>
      <c r="D1058">
        <v>3.56</v>
      </c>
      <c r="E1058">
        <v>1.29</v>
      </c>
      <c r="F1058" t="s">
        <v>10</v>
      </c>
      <c r="G1058" s="2"/>
      <c r="H1058" s="2"/>
    </row>
    <row r="1059" spans="2:8" x14ac:dyDescent="0.25">
      <c r="B1059" t="s">
        <v>91</v>
      </c>
      <c r="C1059" t="s">
        <v>85</v>
      </c>
      <c r="D1059">
        <v>3.5300000000000002</v>
      </c>
      <c r="E1059">
        <v>1.23</v>
      </c>
      <c r="F1059" t="s">
        <v>10</v>
      </c>
      <c r="G1059" s="2"/>
      <c r="H1059" s="2"/>
    </row>
    <row r="1060" spans="2:8" x14ac:dyDescent="0.25">
      <c r="B1060" t="s">
        <v>42</v>
      </c>
      <c r="C1060" t="s">
        <v>36</v>
      </c>
      <c r="D1060">
        <v>1.3299999999999998</v>
      </c>
      <c r="E1060">
        <v>3.06</v>
      </c>
      <c r="F1060" t="s">
        <v>10</v>
      </c>
      <c r="G1060" s="2"/>
      <c r="H1060" s="2"/>
    </row>
    <row r="1061" spans="2:8" x14ac:dyDescent="0.25">
      <c r="B1061" t="s">
        <v>42</v>
      </c>
      <c r="C1061" t="s">
        <v>36</v>
      </c>
      <c r="D1061">
        <v>1.49</v>
      </c>
      <c r="E1061">
        <v>2.95</v>
      </c>
      <c r="F1061" t="s">
        <v>10</v>
      </c>
      <c r="G1061" s="2"/>
      <c r="H1061" s="2"/>
    </row>
    <row r="1062" spans="2:8" x14ac:dyDescent="0.25">
      <c r="B1062" t="s">
        <v>42</v>
      </c>
      <c r="C1062" t="s">
        <v>36</v>
      </c>
      <c r="D1062">
        <v>1.51</v>
      </c>
      <c r="E1062">
        <v>2.9</v>
      </c>
      <c r="F1062" t="s">
        <v>10</v>
      </c>
      <c r="G1062" s="2"/>
      <c r="H1062" s="2"/>
    </row>
    <row r="1063" spans="2:8" x14ac:dyDescent="0.25">
      <c r="B1063" t="s">
        <v>42</v>
      </c>
      <c r="C1063" t="s">
        <v>36</v>
      </c>
      <c r="D1063">
        <v>1.2999999999999998</v>
      </c>
      <c r="E1063">
        <v>3.0799999999999996</v>
      </c>
      <c r="F1063" t="s">
        <v>10</v>
      </c>
      <c r="G1063" s="2"/>
      <c r="H1063" s="2"/>
    </row>
    <row r="1064" spans="2:8" x14ac:dyDescent="0.25">
      <c r="B1064" t="s">
        <v>42</v>
      </c>
      <c r="C1064" t="s">
        <v>36</v>
      </c>
      <c r="D1064">
        <v>1.47</v>
      </c>
      <c r="E1064">
        <v>2.93</v>
      </c>
      <c r="F1064" t="s">
        <v>10</v>
      </c>
      <c r="G1064" s="2"/>
      <c r="H1064" s="2"/>
    </row>
    <row r="1065" spans="2:8" x14ac:dyDescent="0.25">
      <c r="B1065" t="s">
        <v>42</v>
      </c>
      <c r="C1065" t="s">
        <v>36</v>
      </c>
      <c r="D1065">
        <v>1.51</v>
      </c>
      <c r="E1065">
        <v>2.89</v>
      </c>
      <c r="F1065" t="s">
        <v>10</v>
      </c>
      <c r="G1065" s="2"/>
      <c r="H1065" s="2"/>
    </row>
    <row r="1066" spans="2:8" x14ac:dyDescent="0.25">
      <c r="B1066" t="s">
        <v>42</v>
      </c>
      <c r="C1066" t="s">
        <v>36</v>
      </c>
      <c r="D1066">
        <v>1.2899999999999998</v>
      </c>
      <c r="E1066">
        <v>3</v>
      </c>
      <c r="F1066" t="s">
        <v>10</v>
      </c>
      <c r="G1066" s="2"/>
      <c r="H1066" s="2"/>
    </row>
    <row r="1067" spans="2:8" x14ac:dyDescent="0.25">
      <c r="B1067" t="s">
        <v>42</v>
      </c>
      <c r="C1067" t="s">
        <v>36</v>
      </c>
      <c r="D1067">
        <v>1.43</v>
      </c>
      <c r="E1067">
        <v>2.8</v>
      </c>
      <c r="F1067" t="s">
        <v>10</v>
      </c>
      <c r="G1067" s="2"/>
      <c r="H1067" s="2"/>
    </row>
    <row r="1068" spans="2:8" x14ac:dyDescent="0.25">
      <c r="B1068" t="s">
        <v>42</v>
      </c>
      <c r="C1068" t="s">
        <v>36</v>
      </c>
      <c r="D1068">
        <v>1.45</v>
      </c>
      <c r="E1068">
        <v>2.9499999999999997</v>
      </c>
      <c r="F1068" t="s">
        <v>10</v>
      </c>
      <c r="G1068" s="2"/>
      <c r="H1068" s="2"/>
    </row>
    <row r="1069" spans="2:8" x14ac:dyDescent="0.25">
      <c r="B1069" t="s">
        <v>42</v>
      </c>
      <c r="C1069" t="s">
        <v>36</v>
      </c>
      <c r="D1069">
        <v>1.3599999999999999</v>
      </c>
      <c r="E1069">
        <v>3.01</v>
      </c>
      <c r="F1069" t="s">
        <v>10</v>
      </c>
      <c r="G1069" s="2"/>
      <c r="H1069" s="2"/>
    </row>
    <row r="1070" spans="2:8" x14ac:dyDescent="0.25">
      <c r="B1070" t="s">
        <v>42</v>
      </c>
      <c r="C1070" t="s">
        <v>36</v>
      </c>
      <c r="D1070">
        <v>1.27</v>
      </c>
      <c r="E1070">
        <v>3.02</v>
      </c>
      <c r="F1070" t="s">
        <v>10</v>
      </c>
      <c r="G1070" s="2"/>
      <c r="H1070" s="2"/>
    </row>
    <row r="1071" spans="2:8" x14ac:dyDescent="0.25">
      <c r="B1071" t="s">
        <v>43</v>
      </c>
      <c r="C1071" t="s">
        <v>36</v>
      </c>
      <c r="D1071">
        <v>3.05</v>
      </c>
      <c r="E1071">
        <v>1.42</v>
      </c>
      <c r="F1071" t="s">
        <v>10</v>
      </c>
      <c r="G1071" s="2"/>
      <c r="H1071" s="2"/>
    </row>
    <row r="1072" spans="2:8" x14ac:dyDescent="0.25">
      <c r="B1072" t="s">
        <v>43</v>
      </c>
      <c r="C1072" t="s">
        <v>36</v>
      </c>
      <c r="D1072">
        <v>3.0300000000000002</v>
      </c>
      <c r="E1072">
        <v>1.43</v>
      </c>
      <c r="F1072" t="s">
        <v>10</v>
      </c>
      <c r="G1072" s="2"/>
      <c r="H1072" s="2"/>
    </row>
    <row r="1073" spans="2:8" x14ac:dyDescent="0.25">
      <c r="B1073" t="s">
        <v>43</v>
      </c>
      <c r="C1073" t="s">
        <v>36</v>
      </c>
      <c r="D1073">
        <v>3.01</v>
      </c>
      <c r="E1073">
        <v>1.3299999999999998</v>
      </c>
      <c r="F1073" t="s">
        <v>10</v>
      </c>
      <c r="G1073" s="2"/>
      <c r="H1073" s="2"/>
    </row>
    <row r="1074" spans="2:8" x14ac:dyDescent="0.25">
      <c r="B1074" t="s">
        <v>43</v>
      </c>
      <c r="C1074" t="s">
        <v>36</v>
      </c>
      <c r="D1074">
        <v>2.97</v>
      </c>
      <c r="E1074">
        <v>1.4</v>
      </c>
      <c r="F1074" t="s">
        <v>10</v>
      </c>
      <c r="G1074" s="2"/>
      <c r="H1074" s="2"/>
    </row>
    <row r="1075" spans="2:8" x14ac:dyDescent="0.25">
      <c r="B1075" t="s">
        <v>43</v>
      </c>
      <c r="C1075" t="s">
        <v>36</v>
      </c>
      <c r="D1075">
        <v>2.94</v>
      </c>
      <c r="E1075">
        <v>1.4</v>
      </c>
      <c r="F1075" t="s">
        <v>10</v>
      </c>
      <c r="G1075" s="2"/>
      <c r="H1075" s="2"/>
    </row>
    <row r="1076" spans="2:8" x14ac:dyDescent="0.25">
      <c r="B1076" t="s">
        <v>43</v>
      </c>
      <c r="C1076" t="s">
        <v>36</v>
      </c>
      <c r="D1076">
        <v>2.79</v>
      </c>
      <c r="E1076">
        <v>1.39</v>
      </c>
      <c r="F1076" t="s">
        <v>10</v>
      </c>
      <c r="G1076" s="2"/>
      <c r="H1076" s="2"/>
    </row>
    <row r="1077" spans="2:8" x14ac:dyDescent="0.25">
      <c r="B1077" t="s">
        <v>92</v>
      </c>
      <c r="C1077" t="s">
        <v>93</v>
      </c>
      <c r="D1077">
        <v>6.22</v>
      </c>
      <c r="E1077">
        <v>1.07</v>
      </c>
      <c r="F1077" t="s">
        <v>10</v>
      </c>
      <c r="G1077" s="2"/>
      <c r="H1077" s="2"/>
    </row>
    <row r="1078" spans="2:8" x14ac:dyDescent="0.25">
      <c r="B1078" t="s">
        <v>92</v>
      </c>
      <c r="C1078" t="s">
        <v>93</v>
      </c>
      <c r="D1078">
        <v>6.65</v>
      </c>
      <c r="E1078">
        <v>1.08</v>
      </c>
      <c r="F1078" t="s">
        <v>10</v>
      </c>
      <c r="G1078" s="2"/>
      <c r="H1078" s="2"/>
    </row>
    <row r="1079" spans="2:8" x14ac:dyDescent="0.25">
      <c r="B1079" t="s">
        <v>92</v>
      </c>
      <c r="C1079" t="s">
        <v>93</v>
      </c>
      <c r="D1079">
        <v>6.55</v>
      </c>
      <c r="E1079">
        <v>1.02</v>
      </c>
      <c r="F1079" t="s">
        <v>10</v>
      </c>
      <c r="G1079" s="2"/>
      <c r="H1079" s="2"/>
    </row>
    <row r="1080" spans="2:8" x14ac:dyDescent="0.25">
      <c r="B1080" t="s">
        <v>92</v>
      </c>
      <c r="C1080" t="s">
        <v>93</v>
      </c>
      <c r="D1080">
        <v>5.38</v>
      </c>
      <c r="E1080">
        <v>1.18</v>
      </c>
      <c r="F1080" t="s">
        <v>10</v>
      </c>
      <c r="G1080" s="2"/>
      <c r="H1080" s="2"/>
    </row>
    <row r="1081" spans="2:8" x14ac:dyDescent="0.25">
      <c r="B1081" t="s">
        <v>92</v>
      </c>
      <c r="C1081" t="s">
        <v>93</v>
      </c>
      <c r="D1081">
        <v>7.08</v>
      </c>
      <c r="E1081">
        <v>1.1100000000000001</v>
      </c>
      <c r="F1081" t="s">
        <v>10</v>
      </c>
      <c r="G1081" s="2"/>
      <c r="H1081" s="2"/>
    </row>
    <row r="1082" spans="2:8" x14ac:dyDescent="0.25">
      <c r="B1082" t="s">
        <v>92</v>
      </c>
      <c r="C1082" t="s">
        <v>93</v>
      </c>
      <c r="D1082">
        <v>7</v>
      </c>
      <c r="E1082">
        <v>1.1100000000000001</v>
      </c>
      <c r="F1082" t="s">
        <v>10</v>
      </c>
      <c r="G1082" s="2"/>
      <c r="H1082" s="2"/>
    </row>
    <row r="1083" spans="2:8" x14ac:dyDescent="0.25">
      <c r="B1083" t="s">
        <v>92</v>
      </c>
      <c r="C1083" t="s">
        <v>93</v>
      </c>
      <c r="D1083">
        <v>6.58</v>
      </c>
      <c r="E1083">
        <v>1.1800000000000002</v>
      </c>
      <c r="F1083" t="s">
        <v>10</v>
      </c>
      <c r="G1083" s="2"/>
      <c r="H1083" s="2"/>
    </row>
    <row r="1084" spans="2:8" x14ac:dyDescent="0.25">
      <c r="B1084" t="s">
        <v>92</v>
      </c>
      <c r="C1084" t="s">
        <v>93</v>
      </c>
      <c r="D1084">
        <v>6.06</v>
      </c>
      <c r="E1084">
        <v>1.0499999999999998</v>
      </c>
      <c r="F1084" t="s">
        <v>10</v>
      </c>
      <c r="G1084" s="2"/>
      <c r="H1084" s="2"/>
    </row>
    <row r="1085" spans="2:8" x14ac:dyDescent="0.25">
      <c r="B1085" t="s">
        <v>92</v>
      </c>
      <c r="C1085" t="s">
        <v>93</v>
      </c>
      <c r="D1085">
        <v>5.95</v>
      </c>
      <c r="E1085">
        <v>1.0999999999999999</v>
      </c>
      <c r="F1085" t="s">
        <v>10</v>
      </c>
      <c r="G1085" s="2"/>
      <c r="H1085" s="2"/>
    </row>
    <row r="1086" spans="2:8" x14ac:dyDescent="0.25">
      <c r="B1086" t="s">
        <v>92</v>
      </c>
      <c r="C1086" t="s">
        <v>93</v>
      </c>
      <c r="D1086">
        <v>6.3</v>
      </c>
      <c r="E1086">
        <v>1.1500000000000001</v>
      </c>
      <c r="F1086" t="s">
        <v>10</v>
      </c>
      <c r="G1086" s="2"/>
      <c r="H1086" s="2"/>
    </row>
    <row r="1087" spans="2:8" x14ac:dyDescent="0.25">
      <c r="B1087" t="s">
        <v>92</v>
      </c>
      <c r="C1087" t="s">
        <v>93</v>
      </c>
      <c r="D1087">
        <v>6.42</v>
      </c>
      <c r="E1087">
        <v>1.1000000000000001</v>
      </c>
      <c r="F1087" t="s">
        <v>10</v>
      </c>
      <c r="G1087" s="2"/>
      <c r="H1087" s="2"/>
    </row>
    <row r="1088" spans="2:8" x14ac:dyDescent="0.25">
      <c r="B1088" t="s">
        <v>37</v>
      </c>
      <c r="C1088" t="s">
        <v>269</v>
      </c>
      <c r="D1088">
        <v>1.5</v>
      </c>
      <c r="E1088">
        <v>2.7</v>
      </c>
      <c r="F1088" t="s">
        <v>10</v>
      </c>
      <c r="G1088" s="2"/>
      <c r="H1088" s="2"/>
    </row>
    <row r="1089" spans="2:8" x14ac:dyDescent="0.25">
      <c r="B1089" t="s">
        <v>37</v>
      </c>
      <c r="C1089" t="s">
        <v>269</v>
      </c>
      <c r="D1089">
        <v>1.42</v>
      </c>
      <c r="E1089">
        <v>2.76</v>
      </c>
      <c r="F1089" t="s">
        <v>10</v>
      </c>
      <c r="G1089" s="2"/>
      <c r="H1089" s="2"/>
    </row>
    <row r="1090" spans="2:8" x14ac:dyDescent="0.25">
      <c r="B1090" t="s">
        <v>37</v>
      </c>
      <c r="C1090" t="s">
        <v>269</v>
      </c>
      <c r="D1090">
        <v>1.43</v>
      </c>
      <c r="E1090">
        <v>2.88</v>
      </c>
      <c r="F1090" t="s">
        <v>10</v>
      </c>
      <c r="G1090" s="2"/>
      <c r="H1090" s="2"/>
    </row>
    <row r="1091" spans="2:8" x14ac:dyDescent="0.25">
      <c r="B1091" t="s">
        <v>37</v>
      </c>
      <c r="C1091" t="s">
        <v>269</v>
      </c>
      <c r="D1091">
        <v>1.47</v>
      </c>
      <c r="E1091">
        <v>2.8299999999999996</v>
      </c>
      <c r="F1091" t="s">
        <v>10</v>
      </c>
      <c r="G1091" s="2"/>
      <c r="H1091" s="2"/>
    </row>
    <row r="1092" spans="2:8" x14ac:dyDescent="0.25">
      <c r="B1092" t="s">
        <v>37</v>
      </c>
      <c r="C1092" t="s">
        <v>269</v>
      </c>
      <c r="D1092">
        <v>1.46</v>
      </c>
      <c r="E1092">
        <v>2.76</v>
      </c>
      <c r="F1092" t="s">
        <v>10</v>
      </c>
      <c r="G1092" s="2"/>
      <c r="H1092" s="2"/>
    </row>
    <row r="1093" spans="2:8" x14ac:dyDescent="0.25">
      <c r="B1093" t="s">
        <v>37</v>
      </c>
      <c r="C1093" t="s">
        <v>269</v>
      </c>
      <c r="D1093">
        <v>1.54</v>
      </c>
      <c r="E1093">
        <v>2.86</v>
      </c>
      <c r="F1093" t="s">
        <v>10</v>
      </c>
      <c r="G1093" s="2"/>
      <c r="H1093" s="2"/>
    </row>
    <row r="1094" spans="2:8" x14ac:dyDescent="0.25">
      <c r="B1094" t="s">
        <v>37</v>
      </c>
      <c r="C1094" t="s">
        <v>269</v>
      </c>
      <c r="D1094">
        <v>1.4</v>
      </c>
      <c r="E1094">
        <v>2.8699999999999997</v>
      </c>
      <c r="F1094" t="s">
        <v>10</v>
      </c>
      <c r="G1094" s="2"/>
      <c r="H1094" s="2"/>
    </row>
    <row r="1095" spans="2:8" x14ac:dyDescent="0.25">
      <c r="B1095" t="s">
        <v>37</v>
      </c>
      <c r="C1095" t="s">
        <v>269</v>
      </c>
      <c r="D1095">
        <v>1.41</v>
      </c>
      <c r="E1095">
        <v>2.8</v>
      </c>
      <c r="F1095" t="s">
        <v>10</v>
      </c>
      <c r="G1095" s="2"/>
      <c r="H1095" s="2"/>
    </row>
    <row r="1096" spans="2:8" x14ac:dyDescent="0.25">
      <c r="B1096" t="s">
        <v>37</v>
      </c>
      <c r="C1096" t="s">
        <v>269</v>
      </c>
      <c r="D1096">
        <v>1.3499999999999999</v>
      </c>
      <c r="E1096">
        <v>2.84</v>
      </c>
      <c r="F1096" t="s">
        <v>10</v>
      </c>
      <c r="G1096" s="2"/>
      <c r="H1096" s="2"/>
    </row>
    <row r="1097" spans="2:8" x14ac:dyDescent="0.25">
      <c r="B1097" t="s">
        <v>37</v>
      </c>
      <c r="C1097" t="s">
        <v>269</v>
      </c>
      <c r="D1097">
        <v>1.5</v>
      </c>
      <c r="E1097">
        <v>2.7199999999999998</v>
      </c>
      <c r="F1097" t="s">
        <v>10</v>
      </c>
      <c r="G1097" s="2"/>
      <c r="H1097" s="2"/>
    </row>
    <row r="1098" spans="2:8" x14ac:dyDescent="0.25">
      <c r="B1098" t="s">
        <v>37</v>
      </c>
      <c r="C1098" t="s">
        <v>269</v>
      </c>
      <c r="D1098">
        <v>1.51</v>
      </c>
      <c r="E1098">
        <v>2.81</v>
      </c>
      <c r="F1098" t="s">
        <v>10</v>
      </c>
      <c r="G1098" s="2"/>
      <c r="H1098" s="2"/>
    </row>
    <row r="1099" spans="2:8" x14ac:dyDescent="0.25">
      <c r="B1099" t="s">
        <v>35</v>
      </c>
      <c r="C1099" t="s">
        <v>270</v>
      </c>
      <c r="D1099">
        <v>3.45</v>
      </c>
      <c r="E1099">
        <v>1.31</v>
      </c>
      <c r="F1099" t="s">
        <v>10</v>
      </c>
      <c r="G1099" s="2"/>
      <c r="H1099" s="2"/>
    </row>
    <row r="1100" spans="2:8" x14ac:dyDescent="0.25">
      <c r="B1100" t="s">
        <v>35</v>
      </c>
      <c r="C1100" t="s">
        <v>270</v>
      </c>
      <c r="D1100">
        <v>3.52</v>
      </c>
      <c r="E1100">
        <v>1.31</v>
      </c>
      <c r="F1100" t="s">
        <v>10</v>
      </c>
      <c r="G1100" s="2"/>
      <c r="H1100" s="2"/>
    </row>
    <row r="1101" spans="2:8" x14ac:dyDescent="0.25">
      <c r="B1101" t="s">
        <v>35</v>
      </c>
      <c r="C1101" t="s">
        <v>270</v>
      </c>
      <c r="D1101">
        <v>3.3699999999999997</v>
      </c>
      <c r="E1101">
        <v>1.27</v>
      </c>
      <c r="F1101" t="s">
        <v>10</v>
      </c>
      <c r="G1101" s="2"/>
      <c r="H1101" s="2"/>
    </row>
    <row r="1102" spans="2:8" x14ac:dyDescent="0.25">
      <c r="B1102" t="s">
        <v>35</v>
      </c>
      <c r="C1102" t="s">
        <v>270</v>
      </c>
      <c r="D1102">
        <v>3.23</v>
      </c>
      <c r="E1102">
        <v>1.26</v>
      </c>
      <c r="F1102" t="s">
        <v>10</v>
      </c>
      <c r="G1102" s="2"/>
      <c r="H1102" s="2"/>
    </row>
    <row r="1103" spans="2:8" x14ac:dyDescent="0.25">
      <c r="B1103" t="s">
        <v>35</v>
      </c>
      <c r="C1103" t="s">
        <v>270</v>
      </c>
      <c r="D1103">
        <v>3.27</v>
      </c>
      <c r="E1103">
        <v>1.4100000000000001</v>
      </c>
      <c r="F1103" t="s">
        <v>10</v>
      </c>
      <c r="G1103" s="2"/>
      <c r="H1103" s="2"/>
    </row>
    <row r="1104" spans="2:8" x14ac:dyDescent="0.25">
      <c r="B1104" t="s">
        <v>35</v>
      </c>
      <c r="C1104" t="s">
        <v>270</v>
      </c>
      <c r="D1104">
        <v>3.23</v>
      </c>
      <c r="E1104">
        <v>1.34</v>
      </c>
      <c r="F1104" t="s">
        <v>10</v>
      </c>
      <c r="G1104" s="2"/>
      <c r="H1104" s="2"/>
    </row>
    <row r="1105" spans="2:8" x14ac:dyDescent="0.25">
      <c r="B1105" t="s">
        <v>35</v>
      </c>
      <c r="C1105" t="s">
        <v>270</v>
      </c>
      <c r="D1105">
        <v>3.21</v>
      </c>
      <c r="E1105">
        <v>1.29</v>
      </c>
      <c r="F1105" t="s">
        <v>10</v>
      </c>
      <c r="G1105" s="2"/>
      <c r="H1105" s="2"/>
    </row>
    <row r="1106" spans="2:8" x14ac:dyDescent="0.25">
      <c r="B1106" t="s">
        <v>35</v>
      </c>
      <c r="C1106" t="s">
        <v>270</v>
      </c>
      <c r="D1106">
        <v>3.02</v>
      </c>
      <c r="E1106">
        <v>1.31</v>
      </c>
      <c r="F1106" t="s">
        <v>10</v>
      </c>
      <c r="G1106" s="2"/>
      <c r="H1106" s="2"/>
    </row>
    <row r="1107" spans="2:8" x14ac:dyDescent="0.25">
      <c r="B1107" t="s">
        <v>35</v>
      </c>
      <c r="C1107" t="s">
        <v>270</v>
      </c>
      <c r="D1107">
        <v>3.11</v>
      </c>
      <c r="E1107">
        <v>1.3800000000000001</v>
      </c>
      <c r="F1107" t="s">
        <v>10</v>
      </c>
      <c r="G1107" s="2"/>
      <c r="H1107" s="2"/>
    </row>
    <row r="1108" spans="2:8" x14ac:dyDescent="0.25">
      <c r="B1108" t="s">
        <v>35</v>
      </c>
      <c r="C1108" t="s">
        <v>270</v>
      </c>
      <c r="D1108">
        <v>3.29</v>
      </c>
      <c r="E1108">
        <v>1.4200000000000002</v>
      </c>
      <c r="F1108" t="s">
        <v>10</v>
      </c>
      <c r="G1108" s="2"/>
      <c r="H1108" s="2"/>
    </row>
    <row r="1109" spans="2:8" x14ac:dyDescent="0.25">
      <c r="B1109" t="s">
        <v>35</v>
      </c>
      <c r="C1109" t="s">
        <v>270</v>
      </c>
      <c r="D1109">
        <v>3.29</v>
      </c>
      <c r="E1109">
        <v>1.34</v>
      </c>
      <c r="F1109" t="s">
        <v>10</v>
      </c>
      <c r="G1109" s="2"/>
      <c r="H1109" s="2"/>
    </row>
    <row r="1110" spans="2:8" x14ac:dyDescent="0.25">
      <c r="B1110" t="s">
        <v>38</v>
      </c>
      <c r="C1110" t="s">
        <v>271</v>
      </c>
      <c r="D1110">
        <v>1.21</v>
      </c>
      <c r="E1110">
        <v>4.5199999999999996</v>
      </c>
      <c r="F1110" t="s">
        <v>10</v>
      </c>
      <c r="G1110" s="2"/>
      <c r="H1110" s="2"/>
    </row>
    <row r="1111" spans="2:8" x14ac:dyDescent="0.25">
      <c r="B1111" t="s">
        <v>38</v>
      </c>
      <c r="C1111" t="s">
        <v>271</v>
      </c>
      <c r="D1111">
        <v>1.1499999999999999</v>
      </c>
      <c r="E1111">
        <v>4.42</v>
      </c>
      <c r="F1111" t="s">
        <v>10</v>
      </c>
      <c r="G1111" s="2"/>
      <c r="H1111" s="2"/>
    </row>
    <row r="1112" spans="2:8" x14ac:dyDescent="0.25">
      <c r="B1112" t="s">
        <v>38</v>
      </c>
      <c r="C1112" t="s">
        <v>271</v>
      </c>
      <c r="D1112">
        <v>1.31</v>
      </c>
      <c r="E1112">
        <v>4.34</v>
      </c>
      <c r="F1112" t="s">
        <v>10</v>
      </c>
      <c r="G1112" s="2"/>
      <c r="H1112" s="2"/>
    </row>
    <row r="1113" spans="2:8" x14ac:dyDescent="0.25">
      <c r="B1113" t="s">
        <v>38</v>
      </c>
      <c r="C1113" t="s">
        <v>271</v>
      </c>
      <c r="D1113">
        <v>1.29</v>
      </c>
      <c r="E1113">
        <v>4.34</v>
      </c>
      <c r="F1113" t="s">
        <v>10</v>
      </c>
      <c r="G1113" s="2"/>
      <c r="H1113" s="2"/>
    </row>
    <row r="1114" spans="2:8" x14ac:dyDescent="0.25">
      <c r="B1114" t="s">
        <v>38</v>
      </c>
      <c r="C1114" t="s">
        <v>271</v>
      </c>
      <c r="D1114">
        <v>1.26</v>
      </c>
      <c r="E1114">
        <v>4.51</v>
      </c>
      <c r="F1114" t="s">
        <v>10</v>
      </c>
      <c r="G1114" s="2"/>
      <c r="H1114" s="2"/>
    </row>
    <row r="1115" spans="2:8" x14ac:dyDescent="0.25">
      <c r="B1115" t="s">
        <v>38</v>
      </c>
      <c r="C1115" t="s">
        <v>271</v>
      </c>
      <c r="D1115">
        <v>1.27</v>
      </c>
      <c r="E1115">
        <v>4.59</v>
      </c>
      <c r="F1115" t="s">
        <v>10</v>
      </c>
      <c r="G1115" s="2"/>
      <c r="H1115" s="2"/>
    </row>
    <row r="1116" spans="2:8" x14ac:dyDescent="0.25">
      <c r="B1116" t="s">
        <v>38</v>
      </c>
      <c r="C1116" t="s">
        <v>271</v>
      </c>
      <c r="D1116">
        <v>1.1099999999999999</v>
      </c>
      <c r="E1116">
        <v>4.54</v>
      </c>
      <c r="F1116" t="s">
        <v>10</v>
      </c>
      <c r="G1116" s="2"/>
      <c r="H1116" s="2"/>
    </row>
    <row r="1117" spans="2:8" x14ac:dyDescent="0.25">
      <c r="B1117" t="s">
        <v>38</v>
      </c>
      <c r="C1117" t="s">
        <v>271</v>
      </c>
      <c r="D1117">
        <v>1.31</v>
      </c>
      <c r="E1117">
        <v>4.26</v>
      </c>
      <c r="F1117" t="s">
        <v>10</v>
      </c>
      <c r="G1117" s="2"/>
      <c r="H1117" s="2"/>
    </row>
    <row r="1118" spans="2:8" x14ac:dyDescent="0.25">
      <c r="B1118" t="s">
        <v>38</v>
      </c>
      <c r="C1118" t="s">
        <v>271</v>
      </c>
      <c r="D1118">
        <v>1.31</v>
      </c>
      <c r="E1118">
        <v>3.91</v>
      </c>
      <c r="F1118" t="s">
        <v>10</v>
      </c>
      <c r="G1118" s="2"/>
      <c r="H1118" s="2"/>
    </row>
    <row r="1119" spans="2:8" x14ac:dyDescent="0.25">
      <c r="B1119" t="s">
        <v>38</v>
      </c>
      <c r="C1119" t="s">
        <v>271</v>
      </c>
      <c r="D1119">
        <v>1.18</v>
      </c>
      <c r="E1119">
        <v>4.22</v>
      </c>
      <c r="F1119" t="s">
        <v>10</v>
      </c>
      <c r="G1119" s="2"/>
      <c r="H1119" s="2"/>
    </row>
    <row r="1120" spans="2:8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E28" sqref="E28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116</v>
      </c>
    </row>
    <row r="3" spans="1:1" x14ac:dyDescent="0.25">
      <c r="A3" t="str">
        <f>currentData!E8&amp;","</f>
        <v>165,</v>
      </c>
    </row>
    <row r="4" spans="1:1" x14ac:dyDescent="0.25">
      <c r="A4" t="str">
        <f>currentData!E9&amp;","</f>
        <v>222,</v>
      </c>
    </row>
    <row r="5" spans="1:1" x14ac:dyDescent="0.25">
      <c r="A5" t="str">
        <f>currentData!E10&amp;","</f>
        <v>288,</v>
      </c>
    </row>
    <row r="6" spans="1:1" x14ac:dyDescent="0.25">
      <c r="A6" t="str">
        <f>currentData!E11&amp;","</f>
        <v>140,</v>
      </c>
    </row>
    <row r="7" spans="1:1" x14ac:dyDescent="0.25">
      <c r="A7" t="str">
        <f>currentData!E12&amp;","</f>
        <v>141,</v>
      </c>
    </row>
    <row r="8" spans="1:1" x14ac:dyDescent="0.25">
      <c r="A8" t="str">
        <f>currentData!E13&amp;","</f>
        <v>9,</v>
      </c>
    </row>
    <row r="9" spans="1:1" x14ac:dyDescent="0.25">
      <c r="A9" t="str">
        <f>currentData!E14&amp;","</f>
        <v>236,</v>
      </c>
    </row>
    <row r="10" spans="1:1" x14ac:dyDescent="0.25">
      <c r="A10" t="str">
        <f>currentData!E15&amp;","</f>
        <v>200,</v>
      </c>
    </row>
    <row r="11" spans="1:1" x14ac:dyDescent="0.25">
      <c r="A11" t="str">
        <f>currentData!E16&amp;","</f>
        <v>2,</v>
      </c>
    </row>
    <row r="12" spans="1:1" x14ac:dyDescent="0.25">
      <c r="A12" t="str">
        <f>currentData!E17&amp;","</f>
        <v>121,</v>
      </c>
    </row>
    <row r="13" spans="1:1" x14ac:dyDescent="0.25">
      <c r="A13" t="str">
        <f>currentData!E18&amp;","</f>
        <v>212,</v>
      </c>
    </row>
    <row r="14" spans="1:1" x14ac:dyDescent="0.25">
      <c r="A14" t="str">
        <f>currentData!E19&amp;","</f>
        <v>273,</v>
      </c>
    </row>
    <row r="15" spans="1:1" x14ac:dyDescent="0.25">
      <c r="A15" t="str">
        <f>currentData!E20&amp;","</f>
        <v>197,</v>
      </c>
    </row>
    <row r="16" spans="1:1" x14ac:dyDescent="0.25">
      <c r="A16" t="str">
        <f>currentData!E21&amp;","</f>
        <v>321,</v>
      </c>
    </row>
    <row r="17" spans="1:1" x14ac:dyDescent="0.25">
      <c r="A17" t="str">
        <f>currentData!E22&amp;","</f>
        <v>102,</v>
      </c>
    </row>
    <row r="18" spans="1:1" x14ac:dyDescent="0.25">
      <c r="A18" t="str">
        <f>currentData!E23&amp;","</f>
        <v>204,</v>
      </c>
    </row>
    <row r="19" spans="1:1" x14ac:dyDescent="0.25">
      <c r="A19" t="str">
        <f>currentData!E24&amp;","</f>
        <v>106,</v>
      </c>
    </row>
    <row r="20" spans="1:1" x14ac:dyDescent="0.25">
      <c r="A20" t="str">
        <f>currentData!E25&amp;","</f>
        <v>290,</v>
      </c>
    </row>
    <row r="21" spans="1:1" x14ac:dyDescent="0.25">
      <c r="A21" t="str">
        <f>currentData!E26&amp;","</f>
        <v>34,</v>
      </c>
    </row>
    <row r="22" spans="1:1" x14ac:dyDescent="0.25">
      <c r="A22" t="str">
        <f>currentData!E27&amp;","</f>
        <v>47,</v>
      </c>
    </row>
    <row r="23" spans="1:1" x14ac:dyDescent="0.25">
      <c r="A23" t="str">
        <f>currentData!E28&amp;","</f>
        <v>247,</v>
      </c>
    </row>
    <row r="24" spans="1:1" x14ac:dyDescent="0.25">
      <c r="A24" t="str">
        <f>currentData!E29&amp;","</f>
        <v>311,</v>
      </c>
    </row>
    <row r="25" spans="1:1" x14ac:dyDescent="0.25">
      <c r="A25" t="str">
        <f>currentData!E30&amp;","</f>
        <v>101,</v>
      </c>
    </row>
    <row r="26" spans="1:1" x14ac:dyDescent="0.25">
      <c r="A26" t="str">
        <f>currentData!E31&amp;","</f>
        <v>222,</v>
      </c>
    </row>
    <row r="27" spans="1:1" x14ac:dyDescent="0.25">
      <c r="A27" t="str">
        <f>currentData!E32&amp;","</f>
        <v>335,</v>
      </c>
    </row>
    <row r="28" spans="1:1" x14ac:dyDescent="0.25">
      <c r="A28" t="str">
        <f>currentData!E33&amp;","</f>
        <v>140,</v>
      </c>
    </row>
    <row r="29" spans="1:1" x14ac:dyDescent="0.25">
      <c r="A29" t="str">
        <f>currentData!E34&amp;","</f>
        <v>304,</v>
      </c>
    </row>
    <row r="30" spans="1:1" x14ac:dyDescent="0.25">
      <c r="A30" t="str">
        <f>currentData!E35&amp;","</f>
        <v>161,</v>
      </c>
    </row>
    <row r="31" spans="1:1" x14ac:dyDescent="0.25">
      <c r="A31" t="str">
        <f>currentData!E36&amp;","</f>
        <v>8,</v>
      </c>
    </row>
    <row r="32" spans="1:1" x14ac:dyDescent="0.25">
      <c r="A32" t="str">
        <f>currentData!E37&amp;","</f>
        <v>246,</v>
      </c>
    </row>
    <row r="33" spans="1:1" x14ac:dyDescent="0.25">
      <c r="A33" t="str">
        <f>currentData!E38&amp;","</f>
        <v>42,</v>
      </c>
    </row>
    <row r="34" spans="1:1" x14ac:dyDescent="0.25">
      <c r="A34" t="str">
        <f>currentData!E39&amp;"]"</f>
        <v>80]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/>
      <selection activeCell="A3" sqref="A3"/>
      <selection pane="bottomLeft" activeCell="A91" sqref="A91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31</v>
      </c>
    </row>
    <row r="3" spans="1:1" x14ac:dyDescent="0.25">
      <c r="A3" t="str">
        <f>oldData!G5&amp;","</f>
        <v>0,</v>
      </c>
    </row>
    <row r="4" spans="1:1" x14ac:dyDescent="0.25">
      <c r="A4" t="str">
        <f>oldData!G6&amp;","</f>
        <v>0,</v>
      </c>
    </row>
    <row r="5" spans="1:1" x14ac:dyDescent="0.25">
      <c r="A5" t="str">
        <f>oldData!G7&amp;","</f>
        <v>0,</v>
      </c>
    </row>
    <row r="6" spans="1:1" x14ac:dyDescent="0.25">
      <c r="A6" t="str">
        <f>oldData!G8&amp;","</f>
        <v>0,</v>
      </c>
    </row>
    <row r="7" spans="1:1" x14ac:dyDescent="0.25">
      <c r="A7" t="str">
        <f>oldData!G9&amp;","</f>
        <v>0,</v>
      </c>
    </row>
    <row r="8" spans="1:1" x14ac:dyDescent="0.25">
      <c r="A8" t="str">
        <f>oldData!G10&amp;","</f>
        <v>1,</v>
      </c>
    </row>
    <row r="9" spans="1:1" x14ac:dyDescent="0.25">
      <c r="A9" t="str">
        <f>oldData!G11&amp;","</f>
        <v>0,</v>
      </c>
    </row>
    <row r="10" spans="1:1" x14ac:dyDescent="0.25">
      <c r="A10" t="str">
        <f>oldData!G12&amp;","</f>
        <v>1,</v>
      </c>
    </row>
    <row r="11" spans="1:1" x14ac:dyDescent="0.25">
      <c r="A11" t="str">
        <f>oldData!G13&amp;","</f>
        <v>1,</v>
      </c>
    </row>
    <row r="12" spans="1:1" x14ac:dyDescent="0.25">
      <c r="A12" t="str">
        <f>oldData!G14&amp;","</f>
        <v>0,</v>
      </c>
    </row>
    <row r="13" spans="1:1" x14ac:dyDescent="0.25">
      <c r="A13" t="str">
        <f>oldData!G15&amp;","</f>
        <v>0,</v>
      </c>
    </row>
    <row r="14" spans="1:1" x14ac:dyDescent="0.25">
      <c r="A14" t="str">
        <f>oldData!G16&amp;","</f>
        <v>1,</v>
      </c>
    </row>
    <row r="15" spans="1:1" x14ac:dyDescent="0.25">
      <c r="A15" t="str">
        <f>oldData!G17&amp;","</f>
        <v>0,</v>
      </c>
    </row>
    <row r="16" spans="1:1" x14ac:dyDescent="0.25">
      <c r="A16" t="str">
        <f>oldData!G18&amp;","</f>
        <v>1,</v>
      </c>
    </row>
    <row r="17" spans="1:1" x14ac:dyDescent="0.25">
      <c r="A17" t="str">
        <f>oldData!G19&amp;","</f>
        <v>1,</v>
      </c>
    </row>
    <row r="18" spans="1:1" x14ac:dyDescent="0.25">
      <c r="A18" t="str">
        <f>oldData!G20&amp;","</f>
        <v>0,</v>
      </c>
    </row>
    <row r="19" spans="1:1" x14ac:dyDescent="0.25">
      <c r="A19" t="str">
        <f>oldData!G21&amp;","</f>
        <v>0,</v>
      </c>
    </row>
    <row r="20" spans="1:1" x14ac:dyDescent="0.25">
      <c r="A20" t="str">
        <f>oldData!G22&amp;","</f>
        <v>0,</v>
      </c>
    </row>
    <row r="21" spans="1:1" x14ac:dyDescent="0.25">
      <c r="A21" t="str">
        <f>oldData!G23&amp;","</f>
        <v>0,</v>
      </c>
    </row>
    <row r="22" spans="1:1" x14ac:dyDescent="0.25">
      <c r="A22" t="str">
        <f>oldData!G24&amp;","</f>
        <v>1,</v>
      </c>
    </row>
    <row r="23" spans="1:1" x14ac:dyDescent="0.25">
      <c r="A23" t="str">
        <f>oldData!G25&amp;","</f>
        <v>1,</v>
      </c>
    </row>
    <row r="24" spans="1:1" x14ac:dyDescent="0.25">
      <c r="A24" t="str">
        <f>oldData!G26&amp;","</f>
        <v>0,</v>
      </c>
    </row>
    <row r="25" spans="1:1" x14ac:dyDescent="0.25">
      <c r="A25" t="str">
        <f>oldData!G27&amp;","</f>
        <v>0,</v>
      </c>
    </row>
    <row r="26" spans="1:1" x14ac:dyDescent="0.25">
      <c r="A26" t="str">
        <f>oldData!G28&amp;","</f>
        <v>1,</v>
      </c>
    </row>
    <row r="27" spans="1:1" x14ac:dyDescent="0.25">
      <c r="A27" t="str">
        <f>oldData!G29&amp;","</f>
        <v>0,</v>
      </c>
    </row>
    <row r="28" spans="1:1" x14ac:dyDescent="0.25">
      <c r="A28" t="str">
        <f>oldData!G30&amp;","</f>
        <v>1,</v>
      </c>
    </row>
    <row r="29" spans="1:1" x14ac:dyDescent="0.25">
      <c r="A29" t="str">
        <f>oldData!G31&amp;","</f>
        <v>0,</v>
      </c>
    </row>
    <row r="30" spans="1:1" x14ac:dyDescent="0.25">
      <c r="A30" t="str">
        <f>oldData!G32&amp;","</f>
        <v>0,</v>
      </c>
    </row>
    <row r="31" spans="1:1" x14ac:dyDescent="0.25">
      <c r="A31" t="str">
        <f>oldData!G33&amp;","</f>
        <v>1,</v>
      </c>
    </row>
    <row r="32" spans="1:1" x14ac:dyDescent="0.25">
      <c r="A32" t="str">
        <f>oldData!G34&amp;","</f>
        <v>1,</v>
      </c>
    </row>
    <row r="33" spans="1:1" x14ac:dyDescent="0.25">
      <c r="A33" t="str">
        <f>oldData!G35&amp;","</f>
        <v>2,</v>
      </c>
    </row>
    <row r="34" spans="1:1" x14ac:dyDescent="0.25">
      <c r="A34" t="str">
        <f>oldData!G36&amp;"],"</f>
        <v>2],</v>
      </c>
    </row>
    <row r="35" spans="1:1" x14ac:dyDescent="0.25">
      <c r="A35" t="s">
        <v>33</v>
      </c>
    </row>
    <row r="36" spans="1:1" x14ac:dyDescent="0.25">
      <c r="A36" t="str">
        <f>currentData!$C8&amp;","</f>
        <v>"MMA:Hooper:Leavitt",</v>
      </c>
    </row>
    <row r="37" spans="1:1" x14ac:dyDescent="0.25">
      <c r="A37" t="str">
        <f>currentData!$C9&amp;","</f>
        <v>"MMA:Morales:Matthews",</v>
      </c>
    </row>
    <row r="38" spans="1:1" x14ac:dyDescent="0.25">
      <c r="A38" t="str">
        <f>currentData!$C10&amp;","</f>
        <v>"MMA:Allen:Craig",</v>
      </c>
    </row>
    <row r="39" spans="1:1" x14ac:dyDescent="0.25">
      <c r="A39" t="str">
        <f>currentData!$C11&amp;","</f>
        <v>"NCAAF:WashingtonState:Colorado",</v>
      </c>
    </row>
    <row r="40" spans="1:1" x14ac:dyDescent="0.25">
      <c r="A40" t="str">
        <f>currentData!$C12&amp;","</f>
        <v>"NCAAF:Indiana:MichiganState",</v>
      </c>
    </row>
    <row r="41" spans="1:1" x14ac:dyDescent="0.25">
      <c r="A41" t="str">
        <f>currentData!$C13&amp;","</f>
        <v>"NCAAF:Louisville:Miami",</v>
      </c>
    </row>
    <row r="42" spans="1:1" x14ac:dyDescent="0.25">
      <c r="A42" t="str">
        <f>currentData!$C14&amp;","</f>
        <v>"NCAAF:KansasState:Kansas",</v>
      </c>
    </row>
    <row r="43" spans="1:1" x14ac:dyDescent="0.25">
      <c r="A43" t="str">
        <f>currentData!$C15&amp;","</f>
        <v>"NCAAF:WestVirginia:Cincinnati",</v>
      </c>
    </row>
    <row r="44" spans="1:1" x14ac:dyDescent="0.25">
      <c r="A44" t="str">
        <f>currentData!$C16&amp;","</f>
        <v>"NCAAF:Arizona:Utah",</v>
      </c>
    </row>
    <row r="45" spans="1:1" x14ac:dyDescent="0.25">
      <c r="A45" t="str">
        <f>currentData!$C17&amp;","</f>
        <v>"NCAAF:Duke:Virginia",</v>
      </c>
    </row>
    <row r="46" spans="1:1" x14ac:dyDescent="0.25">
      <c r="A46" t="str">
        <f>currentData!$C18&amp;","</f>
        <v>"NCAAF:Clemson:NorthCarolina",</v>
      </c>
    </row>
    <row r="47" spans="1:1" x14ac:dyDescent="0.25">
      <c r="A47" t="str">
        <f>currentData!$C19&amp;","</f>
        <v>"NCAAF:Georgia:Tennessee",</v>
      </c>
    </row>
    <row r="48" spans="1:1" x14ac:dyDescent="0.25">
      <c r="A48" t="str">
        <f>currentData!$C20&amp;","</f>
        <v>"NCAAF:USC:UCLA",</v>
      </c>
    </row>
    <row r="49" spans="1:1" x14ac:dyDescent="0.25">
      <c r="A49" t="str">
        <f>currentData!$C21&amp;","</f>
        <v>"NCAAF:TCU:Baylor",</v>
      </c>
    </row>
    <row r="50" spans="1:1" x14ac:dyDescent="0.25">
      <c r="A50" t="str">
        <f>currentData!$C22&amp;","</f>
        <v>"NCAAF:Iowa:Illinois",</v>
      </c>
    </row>
    <row r="51" spans="1:1" x14ac:dyDescent="0.25">
      <c r="A51" t="str">
        <f>currentData!$C23&amp;","</f>
        <v>"NCAAF:California:Stanford",</v>
      </c>
    </row>
    <row r="52" spans="1:1" x14ac:dyDescent="0.25">
      <c r="A52" t="str">
        <f>currentData!$C24&amp;","</f>
        <v>"NCAAF:BoiseState:UtahState",</v>
      </c>
    </row>
    <row r="53" spans="1:1" x14ac:dyDescent="0.25">
      <c r="A53" t="str">
        <f>currentData!$C25&amp;","</f>
        <v>"NCAAF:Missouri:Florida",</v>
      </c>
    </row>
    <row r="54" spans="1:1" x14ac:dyDescent="0.25">
      <c r="A54" t="str">
        <f>currentData!$C26&amp;","</f>
        <v>"NCAAF:Kentucky:SouthCarolina",</v>
      </c>
    </row>
    <row r="55" spans="1:1" x14ac:dyDescent="0.25">
      <c r="A55" t="str">
        <f>currentData!$C27&amp;","</f>
        <v>"NCAAF:OregonState:Washington",</v>
      </c>
    </row>
    <row r="56" spans="1:1" x14ac:dyDescent="0.25">
      <c r="A56" t="str">
        <f>currentData!$C28&amp;","</f>
        <v>"NCAAF:Texas:IowaState",</v>
      </c>
    </row>
    <row r="57" spans="1:1" x14ac:dyDescent="0.25">
      <c r="A57" t="str">
        <f>currentData!$C29&amp;","</f>
        <v>"NFL:Lions:Bears",</v>
      </c>
    </row>
    <row r="58" spans="1:1" x14ac:dyDescent="0.25">
      <c r="A58" t="str">
        <f>currentData!$C30&amp;","</f>
        <v>"NFL:Chargers:Packers",</v>
      </c>
    </row>
    <row r="59" spans="1:1" x14ac:dyDescent="0.25">
      <c r="A59" t="str">
        <f>currentData!$C31&amp;","</f>
        <v>"NFL:Jaguars:Titans",</v>
      </c>
    </row>
    <row r="60" spans="1:1" x14ac:dyDescent="0.25">
      <c r="A60" t="str">
        <f>currentData!$C32&amp;","</f>
        <v>"NFL:Cowboys:Panthers",</v>
      </c>
    </row>
    <row r="61" spans="1:1" x14ac:dyDescent="0.25">
      <c r="A61" t="str">
        <f>currentData!$C33&amp;","</f>
        <v>"NFL:Browns:Steelers",</v>
      </c>
    </row>
    <row r="62" spans="1:1" x14ac:dyDescent="0.25">
      <c r="A62" t="str">
        <f>currentData!$C34&amp;","</f>
        <v>"NFL:Commanders:Giants",</v>
      </c>
    </row>
    <row r="63" spans="1:1" x14ac:dyDescent="0.25">
      <c r="A63" t="str">
        <f>currentData!$C35&amp;","</f>
        <v>"NFL:Texans:Cardinals",</v>
      </c>
    </row>
    <row r="64" spans="1:1" x14ac:dyDescent="0.25">
      <c r="A64" t="str">
        <f>currentData!$C36&amp;","</f>
        <v>"NFL:Seahawks:Rams",</v>
      </c>
    </row>
    <row r="65" spans="1:1" x14ac:dyDescent="0.25">
      <c r="A65" t="str">
        <f>currentData!$C37&amp;","</f>
        <v>"NFL:Bills:Jets",</v>
      </c>
    </row>
    <row r="66" spans="1:1" x14ac:dyDescent="0.25">
      <c r="A66" t="str">
        <f>currentData!$C38&amp;","</f>
        <v>"NFL:Broncos:Vikings",</v>
      </c>
    </row>
    <row r="67" spans="1:1" x14ac:dyDescent="0.25">
      <c r="A67" t="str">
        <f>currentData!$C39&amp;"],"</f>
        <v>"NFL:Chiefs:Eagles"],</v>
      </c>
    </row>
    <row r="68" spans="1:1" x14ac:dyDescent="0.25">
      <c r="A68" t="s">
        <v>32</v>
      </c>
    </row>
    <row r="69" spans="1:1" x14ac:dyDescent="0.25">
      <c r="A69" t="str">
        <f>currentData!D8&amp;","</f>
        <v>1700351100,</v>
      </c>
    </row>
    <row r="70" spans="1:1" x14ac:dyDescent="0.25">
      <c r="A70" t="str">
        <f>currentData!D9&amp;","</f>
        <v>1700352899,</v>
      </c>
    </row>
    <row r="71" spans="1:1" x14ac:dyDescent="0.25">
      <c r="A71" t="str">
        <f>currentData!D10&amp;","</f>
        <v>1700354700,</v>
      </c>
    </row>
    <row r="72" spans="1:1" x14ac:dyDescent="0.25">
      <c r="A72" t="str">
        <f>currentData!D11&amp;","</f>
        <v>1700278200,</v>
      </c>
    </row>
    <row r="73" spans="1:1" x14ac:dyDescent="0.25">
      <c r="A73" t="str">
        <f>currentData!D12&amp;","</f>
        <v>1700326800,</v>
      </c>
    </row>
    <row r="74" spans="1:1" x14ac:dyDescent="0.25">
      <c r="A74" t="str">
        <f>currentData!D13&amp;","</f>
        <v>1700326800,</v>
      </c>
    </row>
    <row r="75" spans="1:1" x14ac:dyDescent="0.25">
      <c r="A75" t="str">
        <f>currentData!D14&amp;","</f>
        <v>1700330400,</v>
      </c>
    </row>
    <row r="76" spans="1:1" x14ac:dyDescent="0.25">
      <c r="A76" t="str">
        <f>currentData!D15&amp;","</f>
        <v>1700335800,</v>
      </c>
    </row>
    <row r="77" spans="1:1" x14ac:dyDescent="0.25">
      <c r="A77" t="str">
        <f>currentData!D16&amp;","</f>
        <v>1700335800,</v>
      </c>
    </row>
    <row r="78" spans="1:1" x14ac:dyDescent="0.25">
      <c r="A78" t="str">
        <f>currentData!D17&amp;","</f>
        <v>1700337600,</v>
      </c>
    </row>
    <row r="79" spans="1:1" x14ac:dyDescent="0.25">
      <c r="A79" t="str">
        <f>currentData!D18&amp;","</f>
        <v>1700339399,</v>
      </c>
    </row>
    <row r="80" spans="1:1" x14ac:dyDescent="0.25">
      <c r="A80" t="str">
        <f>currentData!D19&amp;","</f>
        <v>1700339399,</v>
      </c>
    </row>
    <row r="81" spans="1:1" x14ac:dyDescent="0.25">
      <c r="A81" t="str">
        <f>currentData!D20&amp;","</f>
        <v>1700339399,</v>
      </c>
    </row>
    <row r="82" spans="1:1" x14ac:dyDescent="0.25">
      <c r="A82" t="str">
        <f>currentData!D21&amp;","</f>
        <v>1700339399,</v>
      </c>
    </row>
    <row r="83" spans="1:1" x14ac:dyDescent="0.25">
      <c r="A83" t="str">
        <f>currentData!D22&amp;","</f>
        <v>1700339399,</v>
      </c>
    </row>
    <row r="84" spans="1:1" x14ac:dyDescent="0.25">
      <c r="A84" t="str">
        <f>currentData!D23&amp;","</f>
        <v>1700350199,</v>
      </c>
    </row>
    <row r="85" spans="1:1" x14ac:dyDescent="0.25">
      <c r="A85" t="str">
        <f>currentData!D24&amp;","</f>
        <v>1700352000,</v>
      </c>
    </row>
    <row r="86" spans="1:1" x14ac:dyDescent="0.25">
      <c r="A86" t="str">
        <f>currentData!D25&amp;","</f>
        <v>1700353800,</v>
      </c>
    </row>
    <row r="87" spans="1:1" x14ac:dyDescent="0.25">
      <c r="A87" t="str">
        <f>currentData!D26&amp;","</f>
        <v>1700353800,</v>
      </c>
    </row>
    <row r="88" spans="1:1" x14ac:dyDescent="0.25">
      <c r="A88" t="str">
        <f>currentData!D27&amp;","</f>
        <v>1700353800,</v>
      </c>
    </row>
    <row r="89" spans="1:1" x14ac:dyDescent="0.25">
      <c r="A89" t="str">
        <f>currentData!D28&amp;","</f>
        <v>1700355599,</v>
      </c>
    </row>
    <row r="90" spans="1:1" x14ac:dyDescent="0.25">
      <c r="A90" t="str">
        <f>currentData!D29&amp;","</f>
        <v>1700416860,</v>
      </c>
    </row>
    <row r="91" spans="1:1" x14ac:dyDescent="0.25">
      <c r="A91" t="str">
        <f>currentData!D30&amp;","</f>
        <v>1700416860,</v>
      </c>
    </row>
    <row r="92" spans="1:1" x14ac:dyDescent="0.25">
      <c r="A92" t="str">
        <f>currentData!D31&amp;","</f>
        <v>1700416860,</v>
      </c>
    </row>
    <row r="93" spans="1:1" x14ac:dyDescent="0.25">
      <c r="A93" t="str">
        <f>currentData!D32&amp;","</f>
        <v>1700416860,</v>
      </c>
    </row>
    <row r="94" spans="1:1" x14ac:dyDescent="0.25">
      <c r="A94" t="str">
        <f>currentData!D33&amp;","</f>
        <v>1700416860,</v>
      </c>
    </row>
    <row r="95" spans="1:1" x14ac:dyDescent="0.25">
      <c r="A95" t="str">
        <f>currentData!D34&amp;","</f>
        <v>1700416860,</v>
      </c>
    </row>
    <row r="96" spans="1:1" x14ac:dyDescent="0.25">
      <c r="A96" t="str">
        <f>currentData!D35&amp;","</f>
        <v>1700416860,</v>
      </c>
    </row>
    <row r="97" spans="1:1" x14ac:dyDescent="0.25">
      <c r="A97" t="str">
        <f>currentData!D36&amp;","</f>
        <v>1700429160,</v>
      </c>
    </row>
    <row r="98" spans="1:1" x14ac:dyDescent="0.25">
      <c r="A98" t="str">
        <f>currentData!D37&amp;","</f>
        <v>1700429160,</v>
      </c>
    </row>
    <row r="99" spans="1:1" x14ac:dyDescent="0.25">
      <c r="A99" t="str">
        <f>currentData!D38&amp;","</f>
        <v>1700443260,</v>
      </c>
    </row>
    <row r="100" spans="1:1" x14ac:dyDescent="0.25">
      <c r="A100" s="8" t="str">
        <f>currentData!D39&amp;"]"</f>
        <v>1700529359]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oldData</vt:lpstr>
      <vt:lpstr>currentData</vt:lpstr>
      <vt:lpstr>rawInputs</vt:lpstr>
      <vt:lpstr>FromMSAccess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2023-11-19T22:20:03Z</dcterms:modified>
</cp:coreProperties>
</file>