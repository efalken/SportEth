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asb\docs\"/>
    </mc:Choice>
  </mc:AlternateContent>
  <xr:revisionPtr revIDLastSave="0" documentId="13_ncr:1_{06791FEE-824F-41E5-9514-4440B71BDC0C}" xr6:coauthVersionLast="47" xr6:coauthVersionMax="47" xr10:uidLastSave="{00000000-0000-0000-0000-000000000000}"/>
  <bookViews>
    <workbookView xWindow="6225" yWindow="1845" windowWidth="21600" windowHeight="12555" xr2:uid="{1230EDBB-7CF7-4CB6-8A8B-436EE42A5ED4}"/>
  </bookViews>
  <sheets>
    <sheet name="oldData" sheetId="14" r:id="rId1"/>
    <sheet name="currentData" sheetId="3" r:id="rId2"/>
    <sheet name="adjNames" sheetId="12" r:id="rId3"/>
    <sheet name="oddscsv" sheetId="6" r:id="rId4"/>
    <sheet name="settleRefreshcsv" sheetId="7" r:id="rId5"/>
  </sheets>
  <externalReferences>
    <externalReference r:id="rId6"/>
  </externalReferences>
  <definedNames>
    <definedName name="_xlnm.Print_Area" localSheetId="1">currentData!$K$9:$L$39</definedName>
    <definedName name="solver_adj" localSheetId="1" hidden="1">currentData!#REF!</definedName>
    <definedName name="solver_adj" localSheetId="0" hidden="1">oldData!#REF!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currentData!#REF!</definedName>
    <definedName name="solver_lhs1" localSheetId="0" hidden="1">oldData!#REF!</definedName>
    <definedName name="solver_lhs2" localSheetId="1" hidden="1">currentData!#REF!</definedName>
    <definedName name="solver_lhs2" localSheetId="0" hidden="1">oldData!#REF!</definedName>
    <definedName name="solver_lhs3" localSheetId="1" hidden="1">currentData!#REF!</definedName>
    <definedName name="solver_lhs3" localSheetId="0" hidden="1">oldData!#REF!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3</definedName>
    <definedName name="solver_num" localSheetId="0" hidden="1">3</definedName>
    <definedName name="solver_nwt" localSheetId="1" hidden="1">1</definedName>
    <definedName name="solver_nwt" localSheetId="0" hidden="1">1</definedName>
    <definedName name="solver_opt" localSheetId="1" hidden="1">currentData!#REF!</definedName>
    <definedName name="solver_opt" localSheetId="0" hidden="1">oldData!#REF!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2</definedName>
    <definedName name="solver_rel1" localSheetId="1" hidden="1">1</definedName>
    <definedName name="solver_rel1" localSheetId="0" hidden="1">1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hs1" localSheetId="1" hidden="1">1</definedName>
    <definedName name="solver_rhs1" localSheetId="0" hidden="1">1</definedName>
    <definedName name="solver_rhs2" localSheetId="1" hidden="1">0.5</definedName>
    <definedName name="solver_rhs2" localSheetId="0" hidden="1">0.5</definedName>
    <definedName name="solver_rhs3" localSheetId="1" hidden="1">0</definedName>
    <definedName name="solver_rhs3" localSheetId="0" hidden="1">0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909</definedName>
    <definedName name="solver_val" localSheetId="0" hidden="1">909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7" i="7" l="1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G1120" i="12" l="1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J8" i="3"/>
  <c r="I8" i="3"/>
  <c r="M8" i="3" l="1"/>
  <c r="K8" i="3"/>
  <c r="N8" i="3"/>
  <c r="L8" i="3"/>
  <c r="N13" i="3"/>
  <c r="L13" i="3"/>
  <c r="M25" i="3"/>
  <c r="K25" i="3"/>
  <c r="M38" i="3"/>
  <c r="K38" i="3"/>
  <c r="N25" i="3"/>
  <c r="L25" i="3"/>
  <c r="N30" i="3"/>
  <c r="L30" i="3"/>
  <c r="N11" i="3"/>
  <c r="L11" i="3"/>
  <c r="M14" i="3"/>
  <c r="K14" i="3"/>
  <c r="M31" i="3"/>
  <c r="K31" i="3"/>
  <c r="N12" i="3"/>
  <c r="L12" i="3"/>
  <c r="N29" i="3"/>
  <c r="L29" i="3"/>
  <c r="M11" i="3"/>
  <c r="K11" i="3"/>
  <c r="M19" i="3"/>
  <c r="K19" i="3"/>
  <c r="M36" i="3"/>
  <c r="K36" i="3"/>
  <c r="N10" i="3"/>
  <c r="L10" i="3"/>
  <c r="M26" i="3"/>
  <c r="K26" i="3"/>
  <c r="N31" i="3"/>
  <c r="L31" i="3"/>
  <c r="N24" i="3"/>
  <c r="L24" i="3"/>
  <c r="M30" i="3"/>
  <c r="K30" i="3"/>
  <c r="N35" i="3"/>
  <c r="L35" i="3"/>
  <c r="M23" i="3"/>
  <c r="K23" i="3"/>
  <c r="N28" i="3"/>
  <c r="L28" i="3"/>
  <c r="M28" i="3"/>
  <c r="K28" i="3"/>
  <c r="M10" i="3"/>
  <c r="K10" i="3"/>
  <c r="M20" i="3"/>
  <c r="K20" i="3"/>
  <c r="M37" i="3"/>
  <c r="K37" i="3"/>
  <c r="N36" i="3"/>
  <c r="L36" i="3"/>
  <c r="M12" i="3"/>
  <c r="K12" i="3"/>
  <c r="M35" i="3"/>
  <c r="K35" i="3"/>
  <c r="M17" i="3"/>
  <c r="K17" i="3"/>
  <c r="N39" i="3"/>
  <c r="L39" i="3"/>
  <c r="N21" i="3"/>
  <c r="L21" i="3"/>
  <c r="N15" i="3"/>
  <c r="L15" i="3"/>
  <c r="N9" i="3"/>
  <c r="L9" i="3"/>
  <c r="N19" i="3"/>
  <c r="L19" i="3"/>
  <c r="N18" i="3"/>
  <c r="L18" i="3"/>
  <c r="M24" i="3"/>
  <c r="K24" i="3"/>
  <c r="N17" i="3"/>
  <c r="L17" i="3"/>
  <c r="M29" i="3"/>
  <c r="K29" i="3"/>
  <c r="N34" i="3"/>
  <c r="L34" i="3"/>
  <c r="N16" i="3"/>
  <c r="L16" i="3"/>
  <c r="M16" i="3"/>
  <c r="K16" i="3"/>
  <c r="M33" i="3"/>
  <c r="K33" i="3"/>
  <c r="M21" i="3"/>
  <c r="K21" i="3"/>
  <c r="M15" i="3"/>
  <c r="K15" i="3"/>
  <c r="M9" i="3"/>
  <c r="K9" i="3"/>
  <c r="M32" i="3"/>
  <c r="K32" i="3"/>
  <c r="N37" i="3"/>
  <c r="L37" i="3"/>
  <c r="M13" i="3"/>
  <c r="K13" i="3"/>
  <c r="M18" i="3"/>
  <c r="K18" i="3"/>
  <c r="N23" i="3"/>
  <c r="L23" i="3"/>
  <c r="N22" i="3"/>
  <c r="L22" i="3"/>
  <c r="M34" i="3"/>
  <c r="K34" i="3"/>
  <c r="M22" i="3"/>
  <c r="K22" i="3"/>
  <c r="N33" i="3"/>
  <c r="L33" i="3"/>
  <c r="N27" i="3"/>
  <c r="L27" i="3"/>
  <c r="M39" i="3"/>
  <c r="K39" i="3"/>
  <c r="M27" i="3"/>
  <c r="K27" i="3"/>
  <c r="N38" i="3"/>
  <c r="L38" i="3"/>
  <c r="N32" i="3"/>
  <c r="L32" i="3"/>
  <c r="N26" i="3"/>
  <c r="L26" i="3"/>
  <c r="N20" i="3"/>
  <c r="L20" i="3"/>
  <c r="N14" i="3"/>
  <c r="L14" i="3"/>
  <c r="D45" i="3"/>
  <c r="D46" i="3" s="1"/>
  <c r="D47" i="3" s="1"/>
  <c r="D48" i="3" s="1"/>
  <c r="F47" i="3" a="1"/>
  <c r="F44" i="3" a="1"/>
  <c r="F48" i="3" a="1"/>
  <c r="F42" i="3" a="1"/>
  <c r="D49" i="3" l="1"/>
  <c r="G28" i="3" s="1"/>
  <c r="G27" i="3"/>
  <c r="G16" i="3"/>
  <c r="F48" i="3"/>
  <c r="F47" i="3"/>
  <c r="F44" i="3"/>
  <c r="F42" i="3"/>
  <c r="F8" i="3"/>
  <c r="F49" i="3" a="1"/>
  <c r="G26" i="3" l="1"/>
  <c r="G36" i="3"/>
  <c r="G33" i="3"/>
  <c r="G21" i="3"/>
  <c r="F49" i="3"/>
  <c r="G14" i="3"/>
  <c r="G9" i="3"/>
  <c r="G22" i="3"/>
  <c r="G32" i="3"/>
  <c r="G12" i="3"/>
  <c r="G10" i="3"/>
  <c r="G20" i="3"/>
  <c r="G24" i="3"/>
  <c r="G19" i="3"/>
  <c r="G35" i="3"/>
  <c r="G39" i="3"/>
  <c r="G17" i="3"/>
  <c r="G23" i="3"/>
  <c r="G15" i="3"/>
  <c r="G8" i="3"/>
  <c r="G34" i="3"/>
  <c r="G13" i="3"/>
  <c r="G25" i="3"/>
  <c r="G31" i="3"/>
  <c r="G11" i="3"/>
  <c r="G38" i="3"/>
  <c r="G30" i="3"/>
  <c r="G29" i="3"/>
  <c r="G37" i="3"/>
  <c r="G1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J683" i="12" l="1"/>
  <c r="J684" i="12" s="1"/>
  <c r="J685" i="12" s="1"/>
  <c r="I683" i="12"/>
  <c r="I684" i="12" s="1"/>
  <c r="I685" i="12" s="1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31" i="7"/>
  <c r="A32" i="7"/>
  <c r="A34" i="7"/>
  <c r="A4" i="7"/>
  <c r="A33" i="7"/>
  <c r="A24" i="7"/>
  <c r="A20" i="7"/>
  <c r="A16" i="7"/>
  <c r="A12" i="7"/>
  <c r="A8" i="7"/>
  <c r="A29" i="7" l="1"/>
  <c r="A25" i="7"/>
  <c r="A23" i="7"/>
  <c r="A18" i="7"/>
  <c r="A22" i="7"/>
  <c r="A21" i="7"/>
  <c r="A9" i="7"/>
  <c r="A19" i="7"/>
  <c r="A7" i="7"/>
  <c r="A6" i="7"/>
  <c r="A5" i="7"/>
  <c r="A30" i="7"/>
  <c r="A15" i="7"/>
  <c r="A17" i="7"/>
  <c r="A28" i="7"/>
  <c r="A27" i="7"/>
  <c r="A26" i="7"/>
  <c r="A14" i="7"/>
  <c r="A13" i="7"/>
  <c r="A11" i="7"/>
  <c r="A10" i="7"/>
  <c r="A3" i="7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A100" i="7" l="1"/>
  <c r="A69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182EF6-74C3-4461-8259-08ED56632484}" keepAlive="1" name="Query - initSched" description="Connection to the 'initSched' query in the workbook." type="5" refreshedVersion="8" background="1" saveData="1">
    <dbPr connection="Provider=Microsoft.Mashup.OleDb.1;Data Source=$Workbook$;Location=initSched;Extended Properties=&quot;&quot;" command="SELECT * FROM [initSch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<sst xmlns="http://schemas.openxmlformats.org/spreadsheetml/2006/main" count="1718" uniqueCount="250">
  <si>
    <t>Schedule</t>
  </si>
  <si>
    <t>StartTime</t>
  </si>
  <si>
    <t>Match</t>
  </si>
  <si>
    <t>{</t>
  </si>
  <si>
    <t>}</t>
  </si>
  <si>
    <t>GMT UTC</t>
  </si>
  <si>
    <t>Winner</t>
  </si>
  <si>
    <t>NCAAF</t>
  </si>
  <si>
    <t>NFL</t>
  </si>
  <si>
    <t>MMA</t>
  </si>
  <si>
    <t>event_name</t>
  </si>
  <si>
    <t>sport</t>
  </si>
  <si>
    <t>odd_2</t>
  </si>
  <si>
    <t>odd_1</t>
  </si>
  <si>
    <t>WakeForest</t>
  </si>
  <si>
    <t>TexasTech</t>
  </si>
  <si>
    <t>North_</t>
  </si>
  <si>
    <t>South_</t>
  </si>
  <si>
    <t>_State</t>
  </si>
  <si>
    <t>San_</t>
  </si>
  <si>
    <t>BoiseState</t>
  </si>
  <si>
    <t>NotreDame</t>
  </si>
  <si>
    <t>OleMiss</t>
  </si>
  <si>
    <t>TexasA&amp;M</t>
  </si>
  <si>
    <t>"_resultVector": [</t>
  </si>
  <si>
    <t>"_starts": [</t>
  </si>
  <si>
    <t>"_teamsched": [</t>
  </si>
  <si>
    <t>West Virgina</t>
  </si>
  <si>
    <t>Texas</t>
  </si>
  <si>
    <t>Florida</t>
  </si>
  <si>
    <t>Kansas</t>
  </si>
  <si>
    <t>Kentucky</t>
  </si>
  <si>
    <t>Arizona</t>
  </si>
  <si>
    <t>Texans</t>
  </si>
  <si>
    <t>Browns</t>
  </si>
  <si>
    <t>Bills</t>
  </si>
  <si>
    <t>Cardinals</t>
  </si>
  <si>
    <t>Chargers</t>
  </si>
  <si>
    <t>UTC in Chicago time</t>
  </si>
  <si>
    <t>Enter Here</t>
  </si>
  <si>
    <t>Boston College</t>
  </si>
  <si>
    <t>VirginiaTech</t>
  </si>
  <si>
    <t>"_probSpread2": [</t>
  </si>
  <si>
    <t>startTime</t>
  </si>
  <si>
    <t>Ole Miss</t>
  </si>
  <si>
    <t>Notre Dame</t>
  </si>
  <si>
    <t>Boise State</t>
  </si>
  <si>
    <t>Texas Tech</t>
  </si>
  <si>
    <t>Texas A&amp;M</t>
  </si>
  <si>
    <t>Wake Forest</t>
  </si>
  <si>
    <t>Cincinnati</t>
  </si>
  <si>
    <t>Steelers</t>
  </si>
  <si>
    <t>Jaguars</t>
  </si>
  <si>
    <t>Titans</t>
  </si>
  <si>
    <t>Broncos</t>
  </si>
  <si>
    <t>2023-12-02T00:00:00.000Z</t>
  </si>
  <si>
    <t>Alabama Crimson Tide_Georgia Bulldogs</t>
  </si>
  <si>
    <t>2023-12-02T21:00:00.000Z</t>
  </si>
  <si>
    <t>Liberty Flames_New MexicoState Aggies</t>
  </si>
  <si>
    <t>4days</t>
  </si>
  <si>
    <t>now</t>
  </si>
  <si>
    <t>diff1</t>
  </si>
  <si>
    <t>stub</t>
  </si>
  <si>
    <t>LastFriday</t>
  </si>
  <si>
    <t>DateCheck</t>
  </si>
  <si>
    <t>NextFriday9pm</t>
  </si>
  <si>
    <t>NextTuesday9pm</t>
  </si>
  <si>
    <t>must be between next Friday9pmGMT and next Tues9pmGMT</t>
  </si>
  <si>
    <t>June friday 9pm GMT</t>
  </si>
  <si>
    <t xml:space="preserve"> "Odds"</t>
  </si>
  <si>
    <t>see odds in columns J&amp;K</t>
  </si>
  <si>
    <t>0.512 +/- (x/1e3)</t>
  </si>
  <si>
    <t>Miami (OH) RedHawks_Toledo Rockets</t>
  </si>
  <si>
    <t>2023-12-02T17:00:00.000Z</t>
  </si>
  <si>
    <t>2023-12-03T01:00:00.000Z</t>
  </si>
  <si>
    <t>Dallas Cowboys_Seattle Seahawks</t>
  </si>
  <si>
    <t>Los Angeles Chargers_New England Patriots</t>
  </si>
  <si>
    <t>2023-12-03T18:01:00.000Z</t>
  </si>
  <si>
    <t>Arizona Cardinals_Pittsburgh Steelers</t>
  </si>
  <si>
    <t>Carolina Panthers_Tampa Bay Buccaneers</t>
  </si>
  <si>
    <t>Indianapolis Colts_Tennessee Titans</t>
  </si>
  <si>
    <t>Atlanta Falcons_New York Jets</t>
  </si>
  <si>
    <t>Miami Dolphins_Washington Commanders</t>
  </si>
  <si>
    <t>Denver Broncos_Houston Texans</t>
  </si>
  <si>
    <t>Cleveland Browns_Los Angeles Rams</t>
  </si>
  <si>
    <t>Cincinnati Bengals_Jacksonville Jaguars</t>
  </si>
  <si>
    <t>Philadelphia Eagles_SanFrancisco 49ers</t>
  </si>
  <si>
    <t>FloridaState Seminoles_Louisville Cardinals</t>
  </si>
  <si>
    <t>Indiana</t>
  </si>
  <si>
    <t>Louisville</t>
  </si>
  <si>
    <t>KansasState</t>
  </si>
  <si>
    <t>Virginia</t>
  </si>
  <si>
    <t>Clemson</t>
  </si>
  <si>
    <t>NorthCarolina</t>
  </si>
  <si>
    <t>Illinois</t>
  </si>
  <si>
    <t>SouthCarolina</t>
  </si>
  <si>
    <t>OregonState</t>
  </si>
  <si>
    <t>IowaState</t>
  </si>
  <si>
    <t>Panthers</t>
  </si>
  <si>
    <t>Giants</t>
  </si>
  <si>
    <t>Rams</t>
  </si>
  <si>
    <t>Chiefs</t>
  </si>
  <si>
    <t>Eagles</t>
  </si>
  <si>
    <r>
      <t>"MMA:Cooper:</t>
    </r>
    <r>
      <rPr>
        <b/>
        <sz val="11"/>
        <color theme="1"/>
        <rFont val="Calibri"/>
        <family val="2"/>
        <scheme val="minor"/>
      </rPr>
      <t>Brunson</t>
    </r>
    <r>
      <rPr>
        <sz val="11"/>
        <color theme="1"/>
        <rFont val="Calibri"/>
        <family val="2"/>
        <scheme val="minor"/>
      </rPr>
      <t>"</t>
    </r>
  </si>
  <si>
    <r>
      <t>"MMA:</t>
    </r>
    <r>
      <rPr>
        <b/>
        <sz val="11"/>
        <color theme="1"/>
        <rFont val="Calibri"/>
        <family val="2"/>
        <scheme val="minor"/>
      </rPr>
      <t>Aubin-Mercier</t>
    </r>
    <r>
      <rPr>
        <sz val="11"/>
        <color theme="1"/>
        <rFont val="Calibri"/>
        <family val="2"/>
        <scheme val="minor"/>
      </rPr>
      <t>:Collard"</t>
    </r>
  </si>
  <si>
    <r>
      <t>"NCAAF:</t>
    </r>
    <r>
      <rPr>
        <b/>
        <sz val="11"/>
        <color theme="1"/>
        <rFont val="Calibri"/>
        <family val="2"/>
        <scheme val="minor"/>
      </rPr>
      <t>Texas</t>
    </r>
    <r>
      <rPr>
        <sz val="11"/>
        <color theme="1"/>
        <rFont val="Calibri"/>
        <family val="2"/>
        <scheme val="minor"/>
      </rPr>
      <t>:TexasTech"</t>
    </r>
  </si>
  <si>
    <r>
      <t>"NCAAF:</t>
    </r>
    <r>
      <rPr>
        <b/>
        <sz val="11"/>
        <color theme="1"/>
        <rFont val="Calibri"/>
        <family val="2"/>
        <scheme val="minor"/>
      </rPr>
      <t>Oregon</t>
    </r>
    <r>
      <rPr>
        <sz val="11"/>
        <color theme="1"/>
        <rFont val="Calibri"/>
        <family val="2"/>
        <scheme val="minor"/>
      </rPr>
      <t>:OregonState"</t>
    </r>
  </si>
  <si>
    <r>
      <t>"NCAAF:Louisville:</t>
    </r>
    <r>
      <rPr>
        <b/>
        <sz val="11"/>
        <color theme="1"/>
        <rFont val="Calibri"/>
        <family val="2"/>
        <scheme val="minor"/>
      </rPr>
      <t>Kentucky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</si>
  <si>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Purdue</t>
    </r>
    <r>
      <rPr>
        <sz val="11"/>
        <color theme="1"/>
        <rFont val="Calibri"/>
        <family val="2"/>
        <scheme val="minor"/>
      </rPr>
      <t>:Indiana"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</si>
  <si>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:OhioState"</t>
    </r>
  </si>
  <si>
    <r>
      <t>"NCAAF:</t>
    </r>
    <r>
      <rPr>
        <b/>
        <sz val="11"/>
        <color theme="1"/>
        <rFont val="Calibri"/>
        <family val="2"/>
        <scheme val="minor"/>
      </rPr>
      <t>Michigan</t>
    </r>
    <r>
      <rPr>
        <sz val="11"/>
        <color theme="1"/>
        <rFont val="Calibri"/>
        <family val="2"/>
        <scheme val="minor"/>
      </rPr>
      <t>-2.5:OhioState"</t>
    </r>
  </si>
  <si>
    <r>
      <t>"NCAAF:</t>
    </r>
    <r>
      <rPr>
        <b/>
        <sz val="11"/>
        <color theme="1"/>
        <rFont val="Calibri"/>
        <family val="2"/>
        <scheme val="minor"/>
      </rPr>
      <t>LSU</t>
    </r>
    <r>
      <rPr>
        <sz val="11"/>
        <color theme="1"/>
        <rFont val="Calibri"/>
        <family val="2"/>
        <scheme val="minor"/>
      </rPr>
      <t>:TexasA&amp;M"</t>
    </r>
  </si>
  <si>
    <r>
      <t>"NCAAF:</t>
    </r>
    <r>
      <rPr>
        <b/>
        <sz val="11"/>
        <color theme="1"/>
        <rFont val="Calibri"/>
        <family val="2"/>
        <scheme val="minor"/>
      </rPr>
      <t>Wisconsin</t>
    </r>
    <r>
      <rPr>
        <sz val="11"/>
        <color theme="1"/>
        <rFont val="Calibri"/>
        <family val="2"/>
        <scheme val="minor"/>
      </rPr>
      <t>:Minnesota"</t>
    </r>
  </si>
  <si>
    <r>
      <t>"NCAAF:Illinois:</t>
    </r>
    <r>
      <rPr>
        <b/>
        <sz val="11"/>
        <color theme="1"/>
        <rFont val="Calibri"/>
        <family val="2"/>
        <scheme val="minor"/>
      </rPr>
      <t>Northwestern</t>
    </r>
    <r>
      <rPr>
        <sz val="11"/>
        <color theme="1"/>
        <rFont val="Calibri"/>
        <family val="2"/>
        <scheme val="minor"/>
      </rPr>
      <t>"</t>
    </r>
  </si>
  <si>
    <r>
      <t>"NCAAF:</t>
    </r>
    <r>
      <rPr>
        <b/>
        <sz val="11"/>
        <color theme="1"/>
        <rFont val="Calibri"/>
        <family val="2"/>
        <scheme val="minor"/>
      </rPr>
      <t>VirginiaTech</t>
    </r>
    <r>
      <rPr>
        <sz val="11"/>
        <color theme="1"/>
        <rFont val="Calibri"/>
        <family val="2"/>
        <scheme val="minor"/>
      </rPr>
      <t>:Virginia"</t>
    </r>
  </si>
  <si>
    <r>
      <t>"NCAAF:</t>
    </r>
    <r>
      <rPr>
        <b/>
        <sz val="11"/>
        <color theme="1"/>
        <rFont val="Calibri"/>
        <family val="2"/>
        <scheme val="minor"/>
      </rPr>
      <t>Arizona</t>
    </r>
    <r>
      <rPr>
        <sz val="11"/>
        <color theme="1"/>
        <rFont val="Calibri"/>
        <family val="2"/>
        <scheme val="minor"/>
      </rPr>
      <t>:ArizonaState"</t>
    </r>
  </si>
  <si>
    <r>
      <t>"NCAAF:</t>
    </r>
    <r>
      <rPr>
        <b/>
        <sz val="11"/>
        <color theme="1"/>
        <rFont val="Calibri"/>
        <family val="2"/>
        <scheme val="minor"/>
      </rPr>
      <t>FloridaState</t>
    </r>
    <r>
      <rPr>
        <sz val="11"/>
        <color theme="1"/>
        <rFont val="Calibri"/>
        <family val="2"/>
        <scheme val="minor"/>
      </rPr>
      <t>:Florida"</t>
    </r>
  </si>
  <si>
    <r>
      <t>"NCAAF:</t>
    </r>
    <r>
      <rPr>
        <b/>
        <sz val="11"/>
        <color theme="1"/>
        <rFont val="Calibri"/>
        <family val="2"/>
        <scheme val="minor"/>
      </rPr>
      <t>Kansas</t>
    </r>
    <r>
      <rPr>
        <sz val="11"/>
        <color theme="1"/>
        <rFont val="Calibri"/>
        <family val="2"/>
        <scheme val="minor"/>
      </rPr>
      <t>:Cincinnati"</t>
    </r>
  </si>
  <si>
    <r>
      <t>"NCAAF:</t>
    </r>
    <r>
      <rPr>
        <b/>
        <sz val="11"/>
        <color theme="1"/>
        <rFont val="Calibri"/>
        <family val="2"/>
        <scheme val="minor"/>
      </rPr>
      <t>Clemson</t>
    </r>
    <r>
      <rPr>
        <sz val="11"/>
        <color theme="1"/>
        <rFont val="Calibri"/>
        <family val="2"/>
        <scheme val="minor"/>
      </rPr>
      <t>:SouthCarolina"</t>
    </r>
  </si>
  <si>
    <r>
      <t>"NCAAF:NorthCarolina:</t>
    </r>
    <r>
      <rPr>
        <b/>
        <sz val="11"/>
        <color theme="1"/>
        <rFont val="Calibri"/>
        <family val="2"/>
        <scheme val="minor"/>
      </rPr>
      <t>NCState</t>
    </r>
    <r>
      <rPr>
        <sz val="11"/>
        <color theme="1"/>
        <rFont val="Calibri"/>
        <family val="2"/>
        <scheme val="minor"/>
      </rPr>
      <t>"</t>
    </r>
  </si>
  <si>
    <r>
      <t>"NCAAF:KansasState:</t>
    </r>
    <r>
      <rPr>
        <b/>
        <sz val="11"/>
        <color theme="1"/>
        <rFont val="Calibri"/>
        <family val="2"/>
        <scheme val="minor"/>
      </rPr>
      <t>IowaState</t>
    </r>
    <r>
      <rPr>
        <sz val="11"/>
        <color theme="1"/>
        <rFont val="Calibri"/>
        <family val="2"/>
        <scheme val="minor"/>
      </rPr>
      <t>"</t>
    </r>
  </si>
  <si>
    <r>
      <t>"NFL:Patriots:</t>
    </r>
    <r>
      <rPr>
        <b/>
        <sz val="11"/>
        <color theme="1"/>
        <rFont val="Calibri"/>
        <family val="2"/>
        <scheme val="minor"/>
      </rPr>
      <t>Giants</t>
    </r>
    <r>
      <rPr>
        <sz val="11"/>
        <color theme="1"/>
        <rFont val="Calibri"/>
        <family val="2"/>
        <scheme val="minor"/>
      </rPr>
      <t>"</t>
    </r>
  </si>
  <si>
    <r>
      <t>"NFL:</t>
    </r>
    <r>
      <rPr>
        <b/>
        <sz val="11"/>
        <color theme="1"/>
        <rFont val="Calibri"/>
        <family val="2"/>
        <scheme val="minor"/>
      </rPr>
      <t>Jaguars</t>
    </r>
    <r>
      <rPr>
        <sz val="11"/>
        <color theme="1"/>
        <rFont val="Calibri"/>
        <family val="2"/>
        <scheme val="minor"/>
      </rPr>
      <t>:Texans"</t>
    </r>
  </si>
  <si>
    <r>
      <t>"NFL:</t>
    </r>
    <r>
      <rPr>
        <b/>
        <sz val="11"/>
        <color theme="1"/>
        <rFont val="Calibri"/>
        <family val="2"/>
        <scheme val="minor"/>
      </rPr>
      <t>Titans</t>
    </r>
    <r>
      <rPr>
        <sz val="11"/>
        <color theme="1"/>
        <rFont val="Calibri"/>
        <family val="2"/>
        <scheme val="minor"/>
      </rPr>
      <t>:Panthers"</t>
    </r>
  </si>
  <si>
    <r>
      <t>"NFL:</t>
    </r>
    <r>
      <rPr>
        <b/>
        <sz val="11"/>
        <color theme="1"/>
        <rFont val="Calibri"/>
        <family val="2"/>
        <scheme val="minor"/>
      </rPr>
      <t>Falcons</t>
    </r>
    <r>
      <rPr>
        <sz val="11"/>
        <color theme="1"/>
        <rFont val="Calibri"/>
        <family val="2"/>
        <scheme val="minor"/>
      </rPr>
      <t>:Saints"</t>
    </r>
  </si>
  <si>
    <r>
      <t>"NFL:</t>
    </r>
    <r>
      <rPr>
        <b/>
        <sz val="11"/>
        <color theme="1"/>
        <rFont val="Calibri"/>
        <family val="2"/>
        <scheme val="minor"/>
      </rPr>
      <t>Steelers</t>
    </r>
    <r>
      <rPr>
        <sz val="11"/>
        <color theme="1"/>
        <rFont val="Calibri"/>
        <family val="2"/>
        <scheme val="minor"/>
      </rPr>
      <t>:Bengals"</t>
    </r>
  </si>
  <si>
    <r>
      <t>"NFL:</t>
    </r>
    <r>
      <rPr>
        <b/>
        <sz val="11"/>
        <color theme="1"/>
        <rFont val="Calibri"/>
        <family val="2"/>
        <scheme val="minor"/>
      </rPr>
      <t>Colts</t>
    </r>
    <r>
      <rPr>
        <sz val="11"/>
        <color theme="1"/>
        <rFont val="Calibri"/>
        <family val="2"/>
        <scheme val="minor"/>
      </rPr>
      <t>:Buccaneers"</t>
    </r>
  </si>
  <si>
    <r>
      <t>"NFL:</t>
    </r>
    <r>
      <rPr>
        <b/>
        <sz val="11"/>
        <color theme="1"/>
        <rFont val="Calibri"/>
        <family val="2"/>
        <scheme val="minor"/>
      </rPr>
      <t>Broncos</t>
    </r>
    <r>
      <rPr>
        <sz val="11"/>
        <color theme="1"/>
        <rFont val="Calibri"/>
        <family val="2"/>
        <scheme val="minor"/>
      </rPr>
      <t>:Browns"</t>
    </r>
  </si>
  <si>
    <r>
      <t>"NFL:</t>
    </r>
    <r>
      <rPr>
        <b/>
        <sz val="11"/>
        <color theme="1"/>
        <rFont val="Calibri"/>
        <family val="2"/>
        <scheme val="minor"/>
      </rPr>
      <t>Rams</t>
    </r>
    <r>
      <rPr>
        <sz val="11"/>
        <color theme="1"/>
        <rFont val="Calibri"/>
        <family val="2"/>
        <scheme val="minor"/>
      </rPr>
      <t>:Cardinals"</t>
    </r>
  </si>
  <si>
    <r>
      <t>"NFL:</t>
    </r>
    <r>
      <rPr>
        <b/>
        <sz val="11"/>
        <color theme="1"/>
        <rFont val="Calibri"/>
        <family val="2"/>
        <scheme val="minor"/>
      </rPr>
      <t>Chiefs</t>
    </r>
    <r>
      <rPr>
        <sz val="11"/>
        <color theme="1"/>
        <rFont val="Calibri"/>
        <family val="2"/>
        <scheme val="minor"/>
      </rPr>
      <t>:Raiders"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</si>
  <si>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:Bills"</t>
    </r>
  </si>
  <si>
    <r>
      <t>"NFL:</t>
    </r>
    <r>
      <rPr>
        <b/>
        <sz val="11"/>
        <color theme="1"/>
        <rFont val="Calibri"/>
        <family val="2"/>
        <scheme val="minor"/>
      </rPr>
      <t>Eagles</t>
    </r>
    <r>
      <rPr>
        <sz val="11"/>
        <color theme="1"/>
        <rFont val="Calibri"/>
        <family val="2"/>
        <scheme val="minor"/>
      </rPr>
      <t>-2.5:Bills"</t>
    </r>
  </si>
  <si>
    <r>
      <t>"NFL:</t>
    </r>
    <r>
      <rPr>
        <b/>
        <sz val="11"/>
        <color theme="1"/>
        <rFont val="Calibri"/>
        <family val="2"/>
        <scheme val="minor"/>
      </rPr>
      <t>Ravens</t>
    </r>
    <r>
      <rPr>
        <sz val="11"/>
        <color theme="1"/>
        <rFont val="Calibri"/>
        <family val="2"/>
        <scheme val="minor"/>
      </rPr>
      <t>:Chargers"</t>
    </r>
  </si>
  <si>
    <t>Jenkins</t>
  </si>
  <si>
    <t>Wade</t>
  </si>
  <si>
    <t>Brunson</t>
  </si>
  <si>
    <t>Cooper</t>
  </si>
  <si>
    <t>Aubin-Mercier</t>
  </si>
  <si>
    <t>Collard</t>
  </si>
  <si>
    <t xml:space="preserve">Texas </t>
  </si>
  <si>
    <t>Oregon</t>
  </si>
  <si>
    <t>Purdue</t>
  </si>
  <si>
    <t>Michigan</t>
  </si>
  <si>
    <t>OhioState</t>
  </si>
  <si>
    <t>Michigan-2.5</t>
  </si>
  <si>
    <t>LSU</t>
  </si>
  <si>
    <t>Wisconsin</t>
  </si>
  <si>
    <t>Minnesota</t>
  </si>
  <si>
    <t>Northwestern</t>
  </si>
  <si>
    <t>ArizonaState</t>
  </si>
  <si>
    <t>FloridaState</t>
  </si>
  <si>
    <t>NCState</t>
  </si>
  <si>
    <t>Patriots</t>
  </si>
  <si>
    <t>Tenessee</t>
  </si>
  <si>
    <t>Falcons</t>
  </si>
  <si>
    <t>Saints</t>
  </si>
  <si>
    <t>Bengals</t>
  </si>
  <si>
    <t>Colts</t>
  </si>
  <si>
    <t>Buccaneers</t>
  </si>
  <si>
    <t>Bronco</t>
  </si>
  <si>
    <t>Raiders</t>
  </si>
  <si>
    <t>Eagles-2.5</t>
  </si>
  <si>
    <t>Ravens</t>
  </si>
  <si>
    <t>sport:fave:dog</t>
  </si>
  <si>
    <t>ProbWin</t>
  </si>
  <si>
    <t>fave</t>
  </si>
  <si>
    <t>dog</t>
  </si>
  <si>
    <t>Detroit Lions_New Orleans Saints</t>
  </si>
  <si>
    <t>Green Bay Packers_Kansas City Chiefs</t>
  </si>
  <si>
    <t>2023-12-04T01:21:00.000Z</t>
  </si>
  <si>
    <t>Virginia Tech</t>
  </si>
  <si>
    <t>Decimal</t>
  </si>
  <si>
    <t>MoneyLine</t>
  </si>
  <si>
    <t>Oregon Ducks_Washington Huskies</t>
  </si>
  <si>
    <t>2023-12-02T01:00:00.000Z</t>
  </si>
  <si>
    <t>2023-12-02T20:00:00.000Z</t>
  </si>
  <si>
    <t>SMU Mustangs_Tulane Green Wave</t>
  </si>
  <si>
    <t>Iowa Hawkeyes_Michigan Wolverines</t>
  </si>
  <si>
    <t>2023-12-01T01:15:00.000Z</t>
  </si>
  <si>
    <t>2023-12-03T18:00:00.000Z</t>
  </si>
  <si>
    <t>2023-12-03T21:25:00.000Z</t>
  </si>
  <si>
    <t>2023-12-05T01:15:00.000Z</t>
  </si>
  <si>
    <t>Jamey-Lyn Horth_Veronica Hardy</t>
  </si>
  <si>
    <t>2023-12-02T21:10:00.000Z</t>
  </si>
  <si>
    <t>Jared Gooden_Wellington Turman</t>
  </si>
  <si>
    <t>2023-12-02T21:30:00.000Z</t>
  </si>
  <si>
    <t>Ihor Potieria_Rodolfo Bellato</t>
  </si>
  <si>
    <t>2023-12-02T21:50:00.000Z</t>
  </si>
  <si>
    <t>Melquizael Costa_Steve Garcia Jr.</t>
  </si>
  <si>
    <t>2023-12-02T22:10:00.000Z</t>
  </si>
  <si>
    <t>Drakkar Klose_Joseph Solecki</t>
  </si>
  <si>
    <t>2023-12-02T22:30:00.000Z</t>
  </si>
  <si>
    <t>Cody Brundage_Zachary Reese</t>
  </si>
  <si>
    <t>2023-12-02T22:50:00.000Z</t>
  </si>
  <si>
    <t>Julia Avila_Miesha Tate</t>
  </si>
  <si>
    <t>2023-12-02T23:10:00.000Z</t>
  </si>
  <si>
    <t>Clay Guida_Joaquim Silva</t>
  </si>
  <si>
    <t>2023-12-02T23:30:00.000Z</t>
  </si>
  <si>
    <t>Dustin Stoltzfus_Punahele Soriano</t>
  </si>
  <si>
    <t>2023-12-03T00:45:00.000Z</t>
  </si>
  <si>
    <t>Kelvin Gastelum_Sean Brady</t>
  </si>
  <si>
    <t>2023-12-03T01:15:00.000Z</t>
  </si>
  <si>
    <t>Deiveson Figueiredo_Rob Font</t>
  </si>
  <si>
    <t>2023-12-03T01:45:00.000Z</t>
  </si>
  <si>
    <t>Bobby Green_Jalin Turner</t>
  </si>
  <si>
    <t>Arman Tsarukyan_Beneil Dariush</t>
  </si>
  <si>
    <t>2023-12-03T03:00:00.000Z</t>
  </si>
  <si>
    <t>BoiseState Broncos_UNLV Rebels</t>
  </si>
  <si>
    <t>OklahomaState Cowboys_Texas Longhorns</t>
  </si>
  <si>
    <t>AppalachianState Mountaineers_Troy Trojans</t>
  </si>
  <si>
    <t>MMA:Turman:Gooden</t>
  </si>
  <si>
    <t>MMA:Costa:Jr.</t>
  </si>
  <si>
    <t>MMA:Klose:Solecki</t>
  </si>
  <si>
    <t>MMA:Reese:Brundage</t>
  </si>
  <si>
    <t>MMA:Avila:Tate</t>
  </si>
  <si>
    <t>MMA:Silva:Guida</t>
  </si>
  <si>
    <t>MMA:Soriano:Stoltzfus</t>
  </si>
  <si>
    <t>MMA:Brady:Gastelum</t>
  </si>
  <si>
    <t>MMA:Font:Figueiredo</t>
  </si>
  <si>
    <t>MMA:Turner:Green</t>
  </si>
  <si>
    <t>MMA:Tsarukyan:Dariush</t>
  </si>
  <si>
    <t>NCAAF:Oregon:Washington</t>
  </si>
  <si>
    <t>NCAAF:BoiseState:UNLV</t>
  </si>
  <si>
    <t>NCAAF:Tulane:SMU</t>
  </si>
  <si>
    <t>NCAAF:Georgia:Alabama</t>
  </si>
  <si>
    <t>NCAAF:FloridaState:Louisville</t>
  </si>
  <si>
    <t>NFL:Buccaneers:Panthers</t>
  </si>
  <si>
    <t>NFL:Dolphins:Commanders</t>
  </si>
  <si>
    <t>NFL:Lions:Saints</t>
  </si>
  <si>
    <t>NFL:Steelers:Cardinals</t>
  </si>
  <si>
    <t>NFL:Colts:Titans</t>
  </si>
  <si>
    <t>NFL:Falcons:Jets</t>
  </si>
  <si>
    <t>NFL:Chargers:Patriots</t>
  </si>
  <si>
    <t>NFL:Texans:Broncos</t>
  </si>
  <si>
    <t>NFL:Rams:Browns</t>
  </si>
  <si>
    <t>NFL:49ers:Eagles</t>
  </si>
  <si>
    <t>NFL:Chiefs:Packers</t>
  </si>
  <si>
    <t>NFL:Jaguars:Bengals</t>
  </si>
  <si>
    <t>sport: fave : underdog</t>
  </si>
  <si>
    <t>No Contest</t>
  </si>
  <si>
    <t>"MMA:Jenkins:Wade"</t>
  </si>
  <si>
    <t>NCAAF:Oregon-7.5:Washington+7.5</t>
  </si>
  <si>
    <t>NCAAF:Michigan-20.5:Iowa+20.5</t>
  </si>
  <si>
    <t>2023-12-03T01:05:00.000Z</t>
  </si>
  <si>
    <t>2023-12-03T02:15:00.000Z</t>
  </si>
  <si>
    <t>2023-12-03T21:06:00.000Z</t>
  </si>
  <si>
    <t>MMA:Horth:Hardy</t>
  </si>
  <si>
    <r>
      <t>"NFL:Vikings:</t>
    </r>
    <r>
      <rPr>
        <b/>
        <sz val="11"/>
        <color theme="1"/>
        <rFont val="Calibri"/>
        <family val="2"/>
        <scheme val="minor"/>
      </rPr>
      <t>Bears</t>
    </r>
    <r>
      <rPr>
        <sz val="11"/>
        <color theme="1"/>
        <rFont val="Calibri"/>
        <family val="2"/>
        <scheme val="minor"/>
      </rPr>
      <t>"</t>
    </r>
  </si>
  <si>
    <t>NCAAF:Texas-12.5:OklahomaSt+12.5</t>
  </si>
  <si>
    <t>AAA:bla:foo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</si>
</sst>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;[Red]#,##0.00"/>
    <numFmt numFmtId="165" formatCode="###0;[Red]###0"/>
    <numFmt numFmtId="166" formatCode="[$-409]m/d/yy\ h:mm\ AM/PM;@"/>
    <numFmt numFmtId="167" formatCode="#,##0;[Red]#,##0"/>
    <numFmt numFmtId="168" formatCode="0.0000000"/>
    <numFmt numFmtId="169" formatCode="0.0%;[Red]\-0.0%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222222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164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5" fontId="2" fillId="0" borderId="0" xfId="0" applyNumberFormat="1" applyFont="1"/>
    <xf numFmtId="0" fontId="4" fillId="0" borderId="0" xfId="3" applyFill="1"/>
    <xf numFmtId="165" fontId="0" fillId="0" borderId="0" xfId="0" applyNumberFormat="1"/>
    <xf numFmtId="0" fontId="0" fillId="0" borderId="0" xfId="0" applyAlignment="1">
      <alignment horizontal="left"/>
    </xf>
    <xf numFmtId="0" fontId="5" fillId="0" borderId="0" xfId="3" applyFont="1" applyFill="1"/>
    <xf numFmtId="0" fontId="0" fillId="4" borderId="0" xfId="0" applyFill="1"/>
    <xf numFmtId="166" fontId="0" fillId="0" borderId="0" xfId="0" applyNumberFormat="1"/>
    <xf numFmtId="0" fontId="0" fillId="5" borderId="1" xfId="0" applyFill="1" applyBorder="1"/>
    <xf numFmtId="0" fontId="7" fillId="5" borderId="2" xfId="0" applyFont="1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7" xfId="0" applyFill="1" applyBorder="1"/>
    <xf numFmtId="0" fontId="0" fillId="6" borderId="3" xfId="0" applyFill="1" applyBorder="1"/>
    <xf numFmtId="0" fontId="0" fillId="6" borderId="5" xfId="0" applyFill="1" applyBorder="1"/>
    <xf numFmtId="0" fontId="0" fillId="6" borderId="8" xfId="0" applyFill="1" applyBorder="1"/>
    <xf numFmtId="167" fontId="2" fillId="0" borderId="0" xfId="0" applyNumberFormat="1" applyFont="1"/>
    <xf numFmtId="0" fontId="0" fillId="4" borderId="9" xfId="0" applyFill="1" applyBorder="1"/>
    <xf numFmtId="0" fontId="0" fillId="4" borderId="10" xfId="0" applyFill="1" applyBorder="1"/>
    <xf numFmtId="0" fontId="7" fillId="5" borderId="0" xfId="0" applyFont="1" applyFill="1"/>
    <xf numFmtId="0" fontId="0" fillId="5" borderId="0" xfId="0" applyFill="1"/>
    <xf numFmtId="166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9" fontId="2" fillId="0" borderId="0" xfId="4" applyFont="1"/>
    <xf numFmtId="0" fontId="2" fillId="0" borderId="0" xfId="0" quotePrefix="1" applyFont="1" applyAlignment="1">
      <alignment horizontal="right"/>
    </xf>
    <xf numFmtId="0" fontId="0" fillId="0" borderId="0" xfId="0" quotePrefix="1" applyAlignment="1">
      <alignment horizontal="right"/>
    </xf>
    <xf numFmtId="0" fontId="0" fillId="4" borderId="11" xfId="0" applyFill="1" applyBorder="1"/>
    <xf numFmtId="0" fontId="2" fillId="0" borderId="1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6" xfId="0" applyNumberFormat="1" applyFont="1" applyBorder="1"/>
    <xf numFmtId="164" fontId="2" fillId="0" borderId="8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169" fontId="2" fillId="0" borderId="6" xfId="0" applyNumberFormat="1" applyFont="1" applyBorder="1"/>
    <xf numFmtId="169" fontId="2" fillId="0" borderId="8" xfId="0" applyNumberFormat="1" applyFont="1" applyBorder="1"/>
    <xf numFmtId="167" fontId="2" fillId="0" borderId="4" xfId="0" applyNumberFormat="1" applyFont="1" applyBorder="1"/>
    <xf numFmtId="167" fontId="2" fillId="0" borderId="5" xfId="0" applyNumberFormat="1" applyFont="1" applyBorder="1"/>
    <xf numFmtId="167" fontId="2" fillId="0" borderId="6" xfId="0" applyNumberFormat="1" applyFont="1" applyBorder="1"/>
    <xf numFmtId="167" fontId="2" fillId="0" borderId="8" xfId="0" applyNumberFormat="1" applyFont="1" applyBorder="1"/>
    <xf numFmtId="0" fontId="0" fillId="0" borderId="0" xfId="0" quotePrefix="1"/>
  </cellXfs>
  <cellStyles count="5">
    <cellStyle name="Bad" xfId="1" builtinId="27"/>
    <cellStyle name="Excel Built-in Normal" xfId="2" xr:uid="{5CF1FBC3-5FF4-4C75-9E28-0C3DCCB9D487}"/>
    <cellStyle name="Good" xfId="3" builtinId="26"/>
    <cellStyle name="Normal" xfId="0" builtinId="0"/>
    <cellStyle name="Percent" xfId="4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76201</xdr:rowOff>
    </xdr:from>
    <xdr:to>
      <xdr:col>2</xdr:col>
      <xdr:colOff>1854200</xdr:colOff>
      <xdr:row>4</xdr:row>
      <xdr:rowOff>12701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04900" y="76201"/>
          <a:ext cx="1854200" cy="673100"/>
        </a:xfrm>
        <a:prstGeom prst="round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28575"/>
        <a:effectLst>
          <a:glow>
            <a:schemeClr val="accent6">
              <a:lumMod val="20000"/>
              <a:lumOff val="80000"/>
              <a:alpha val="40000"/>
            </a:schemeClr>
          </a:glow>
        </a:effectLst>
        <a:scene3d>
          <a:camera prst="orthographicFront"/>
          <a:lightRig rig="balanced" dir="t">
            <a:rot lat="0" lon="0" rev="0"/>
          </a:lightRig>
        </a:scene3d>
        <a:sp3d contourW="12700" prstMaterial="matte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create</a:t>
          </a:r>
          <a:r>
            <a:rPr lang="en-US" sz="1600" baseline="0">
              <a:solidFill>
                <a:sysClr val="windowText" lastClr="000000"/>
              </a:solidFill>
            </a:rPr>
            <a:t> settleRefresh.json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219075</xdr:colOff>
      <xdr:row>0</xdr:row>
      <xdr:rowOff>146050</xdr:rowOff>
    </xdr:from>
    <xdr:to>
      <xdr:col>4</xdr:col>
      <xdr:colOff>838200</xdr:colOff>
      <xdr:row>3</xdr:row>
      <xdr:rowOff>146050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22675" y="146050"/>
          <a:ext cx="1571625" cy="546100"/>
        </a:xfrm>
        <a:prstGeom prst="roundRect">
          <a:avLst/>
        </a:prstGeom>
        <a:gradFill flip="none" rotWithShape="1">
          <a:gsLst>
            <a:gs pos="0">
              <a:schemeClr val="accent2">
                <a:lumMod val="5000"/>
                <a:lumOff val="95000"/>
              </a:schemeClr>
            </a:gs>
            <a:gs pos="74000">
              <a:schemeClr val="accent2">
                <a:lumMod val="45000"/>
                <a:lumOff val="55000"/>
              </a:schemeClr>
            </a:gs>
            <a:gs pos="83000">
              <a:schemeClr val="accent2">
                <a:lumMod val="45000"/>
                <a:lumOff val="55000"/>
              </a:schemeClr>
            </a:gs>
            <a:gs pos="100000">
              <a:schemeClr val="accent2">
                <a:lumMod val="30000"/>
                <a:lumOff val="70000"/>
              </a:schemeClr>
            </a:gs>
          </a:gsLst>
          <a:lin ang="5400000" scaled="1"/>
          <a:tileRect/>
        </a:gradFill>
        <a:ln w="25400"/>
        <a:effectLst/>
        <a:scene3d>
          <a:camera prst="orthographicFront"/>
          <a:lightRig rig="threePt" dir="t"/>
        </a:scene3d>
        <a:sp3d extrusionH="76200">
          <a:extrusionClr>
            <a:schemeClr val="tx1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create odds.json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3</xdr:row>
          <xdr:rowOff>95250</xdr:rowOff>
        </xdr:from>
        <xdr:to>
          <xdr:col>10</xdr:col>
          <xdr:colOff>914400</xdr:colOff>
          <xdr:row>7</xdr:row>
          <xdr:rowOff>66675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Space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878E4-921F-4DBB-80B0-BC444177521F}">
  <sheetPr codeName="Sheet10"/>
  <dimension ref="A2:G36"/>
  <sheetViews>
    <sheetView tabSelected="1" zoomScale="75" zoomScaleNormal="75" workbookViewId="0">
      <pane ySplit="3390" topLeftCell="A16" activePane="bottomLeft"/>
      <selection activeCell="C6" sqref="C6"/>
      <selection pane="bottomLeft" activeCell="C32" sqref="C32"/>
    </sheetView>
  </sheetViews>
  <sheetFormatPr defaultRowHeight="15" x14ac:dyDescent="0.25"/>
  <cols>
    <col min="2" max="2" width="19.140625" customWidth="1"/>
    <col min="3" max="3" width="30.85546875" customWidth="1"/>
    <col min="4" max="4" width="15.5703125" customWidth="1"/>
  </cols>
  <sheetData>
    <row r="2" spans="1:7" x14ac:dyDescent="0.25">
      <c r="B2" t="s">
        <v>39</v>
      </c>
    </row>
    <row r="4" spans="1:7" ht="15.75" thickBot="1" x14ac:dyDescent="0.3">
      <c r="A4" t="s">
        <v>2</v>
      </c>
      <c r="B4" s="3" t="s">
        <v>6</v>
      </c>
      <c r="C4" s="1" t="s">
        <v>163</v>
      </c>
      <c r="D4" s="3"/>
    </row>
    <row r="5" spans="1:7" x14ac:dyDescent="0.25">
      <c r="A5" s="1">
        <v>0</v>
      </c>
      <c r="B5" s="21">
        <v>2</v>
      </c>
      <c r="C5" t="s">
        <v>240</v>
      </c>
      <c r="D5" s="1" t="s">
        <v>239</v>
      </c>
      <c r="E5" t="s">
        <v>9</v>
      </c>
      <c r="F5" t="s">
        <v>133</v>
      </c>
      <c r="G5" t="s">
        <v>134</v>
      </c>
    </row>
    <row r="6" spans="1:7" x14ac:dyDescent="0.25">
      <c r="A6" s="1">
        <v>1</v>
      </c>
      <c r="B6" s="22">
        <v>1</v>
      </c>
      <c r="C6" t="s">
        <v>103</v>
      </c>
      <c r="D6" t="s">
        <v>135</v>
      </c>
      <c r="E6" t="s">
        <v>9</v>
      </c>
      <c r="F6" t="s">
        <v>136</v>
      </c>
      <c r="G6" t="s">
        <v>135</v>
      </c>
    </row>
    <row r="7" spans="1:7" x14ac:dyDescent="0.25">
      <c r="A7" s="1">
        <v>2</v>
      </c>
      <c r="B7" s="22">
        <v>0</v>
      </c>
      <c r="C7" t="s">
        <v>104</v>
      </c>
      <c r="D7" t="s">
        <v>137</v>
      </c>
      <c r="E7" t="s">
        <v>9</v>
      </c>
      <c r="F7" t="s">
        <v>137</v>
      </c>
      <c r="G7" t="s">
        <v>138</v>
      </c>
    </row>
    <row r="8" spans="1:7" x14ac:dyDescent="0.25">
      <c r="A8" s="1">
        <v>3</v>
      </c>
      <c r="B8" s="22">
        <v>0</v>
      </c>
      <c r="C8" t="s">
        <v>105</v>
      </c>
      <c r="D8" t="s">
        <v>139</v>
      </c>
      <c r="E8" t="s">
        <v>7</v>
      </c>
      <c r="F8" t="s">
        <v>28</v>
      </c>
      <c r="G8" t="s">
        <v>15</v>
      </c>
    </row>
    <row r="9" spans="1:7" x14ac:dyDescent="0.25">
      <c r="A9" s="1">
        <v>4</v>
      </c>
      <c r="B9" s="22">
        <v>0</v>
      </c>
      <c r="C9" t="s">
        <v>106</v>
      </c>
      <c r="D9" t="s">
        <v>140</v>
      </c>
      <c r="E9" t="s">
        <v>7</v>
      </c>
      <c r="F9" t="s">
        <v>140</v>
      </c>
      <c r="G9" t="s">
        <v>96</v>
      </c>
    </row>
    <row r="10" spans="1:7" x14ac:dyDescent="0.25">
      <c r="A10" s="1">
        <v>5</v>
      </c>
      <c r="B10" s="22">
        <v>1</v>
      </c>
      <c r="C10" t="s">
        <v>107</v>
      </c>
      <c r="D10" t="s">
        <v>31</v>
      </c>
      <c r="E10" t="s">
        <v>7</v>
      </c>
      <c r="F10" t="s">
        <v>89</v>
      </c>
      <c r="G10" t="s">
        <v>31</v>
      </c>
    </row>
    <row r="11" spans="1:7" x14ac:dyDescent="0.25">
      <c r="A11" s="1">
        <v>6</v>
      </c>
      <c r="B11" s="22">
        <v>0</v>
      </c>
      <c r="C11" t="s">
        <v>108</v>
      </c>
      <c r="D11" t="s">
        <v>141</v>
      </c>
      <c r="E11" t="s">
        <v>7</v>
      </c>
      <c r="F11" t="s">
        <v>141</v>
      </c>
      <c r="G11" t="s">
        <v>88</v>
      </c>
    </row>
    <row r="12" spans="1:7" s="4" customFormat="1" x14ac:dyDescent="0.25">
      <c r="A12" s="1">
        <v>7</v>
      </c>
      <c r="B12" s="22">
        <v>0</v>
      </c>
      <c r="C12" t="s">
        <v>109</v>
      </c>
      <c r="D12" t="s">
        <v>142</v>
      </c>
      <c r="E12" t="s">
        <v>7</v>
      </c>
      <c r="F12" t="s">
        <v>142</v>
      </c>
      <c r="G12" t="s">
        <v>143</v>
      </c>
    </row>
    <row r="13" spans="1:7" x14ac:dyDescent="0.25">
      <c r="A13" s="1">
        <v>8</v>
      </c>
      <c r="B13" s="22">
        <v>0</v>
      </c>
      <c r="C13" t="s">
        <v>110</v>
      </c>
      <c r="D13" t="s">
        <v>144</v>
      </c>
      <c r="E13" t="s">
        <v>7</v>
      </c>
      <c r="F13" t="s">
        <v>144</v>
      </c>
      <c r="G13" t="s">
        <v>143</v>
      </c>
    </row>
    <row r="14" spans="1:7" x14ac:dyDescent="0.25">
      <c r="A14" s="1">
        <v>9</v>
      </c>
      <c r="B14" s="22">
        <v>0</v>
      </c>
      <c r="C14" t="s">
        <v>111</v>
      </c>
      <c r="D14" t="s">
        <v>145</v>
      </c>
      <c r="E14" t="s">
        <v>7</v>
      </c>
      <c r="F14" t="s">
        <v>145</v>
      </c>
      <c r="G14" t="s">
        <v>23</v>
      </c>
    </row>
    <row r="15" spans="1:7" x14ac:dyDescent="0.25">
      <c r="A15" s="1">
        <v>10</v>
      </c>
      <c r="B15" s="22">
        <v>0</v>
      </c>
      <c r="C15" t="s">
        <v>112</v>
      </c>
      <c r="D15" t="s">
        <v>146</v>
      </c>
      <c r="E15" t="s">
        <v>7</v>
      </c>
      <c r="F15" t="s">
        <v>146</v>
      </c>
      <c r="G15" t="s">
        <v>147</v>
      </c>
    </row>
    <row r="16" spans="1:7" x14ac:dyDescent="0.25">
      <c r="A16" s="1">
        <v>11</v>
      </c>
      <c r="B16" s="22">
        <v>1</v>
      </c>
      <c r="C16" t="s">
        <v>113</v>
      </c>
      <c r="D16" t="s">
        <v>148</v>
      </c>
      <c r="E16" t="s">
        <v>7</v>
      </c>
      <c r="F16" t="s">
        <v>94</v>
      </c>
      <c r="G16" t="s">
        <v>148</v>
      </c>
    </row>
    <row r="17" spans="1:7" x14ac:dyDescent="0.25">
      <c r="A17" s="1">
        <v>12</v>
      </c>
      <c r="B17" s="22">
        <v>0</v>
      </c>
      <c r="C17" t="s">
        <v>114</v>
      </c>
      <c r="D17" t="s">
        <v>41</v>
      </c>
      <c r="E17" t="s">
        <v>7</v>
      </c>
      <c r="F17" t="s">
        <v>41</v>
      </c>
      <c r="G17" t="s">
        <v>91</v>
      </c>
    </row>
    <row r="18" spans="1:7" x14ac:dyDescent="0.25">
      <c r="A18" s="1">
        <v>13</v>
      </c>
      <c r="B18" s="22">
        <v>0</v>
      </c>
      <c r="C18" t="s">
        <v>115</v>
      </c>
      <c r="D18" t="s">
        <v>32</v>
      </c>
      <c r="E18" t="s">
        <v>7</v>
      </c>
      <c r="F18" t="s">
        <v>32</v>
      </c>
      <c r="G18" t="s">
        <v>149</v>
      </c>
    </row>
    <row r="19" spans="1:7" x14ac:dyDescent="0.25">
      <c r="A19" s="1">
        <v>14</v>
      </c>
      <c r="B19" s="22">
        <v>0</v>
      </c>
      <c r="C19" t="s">
        <v>116</v>
      </c>
      <c r="D19" t="s">
        <v>150</v>
      </c>
      <c r="E19" t="s">
        <v>7</v>
      </c>
      <c r="F19" t="s">
        <v>150</v>
      </c>
      <c r="G19" t="s">
        <v>29</v>
      </c>
    </row>
    <row r="20" spans="1:7" x14ac:dyDescent="0.25">
      <c r="A20" s="1">
        <v>15</v>
      </c>
      <c r="B20" s="22">
        <v>0</v>
      </c>
      <c r="C20" t="s">
        <v>117</v>
      </c>
      <c r="D20" t="s">
        <v>30</v>
      </c>
      <c r="E20" t="s">
        <v>7</v>
      </c>
      <c r="F20" t="s">
        <v>30</v>
      </c>
      <c r="G20" t="s">
        <v>50</v>
      </c>
    </row>
    <row r="21" spans="1:7" x14ac:dyDescent="0.25">
      <c r="A21" s="1">
        <v>16</v>
      </c>
      <c r="B21" s="22">
        <v>0</v>
      </c>
      <c r="C21" t="s">
        <v>118</v>
      </c>
      <c r="D21" t="s">
        <v>92</v>
      </c>
      <c r="E21" t="s">
        <v>7</v>
      </c>
      <c r="F21" t="s">
        <v>92</v>
      </c>
      <c r="G21" t="s">
        <v>95</v>
      </c>
    </row>
    <row r="22" spans="1:7" x14ac:dyDescent="0.25">
      <c r="A22" s="1">
        <v>17</v>
      </c>
      <c r="B22" s="22">
        <v>1</v>
      </c>
      <c r="C22" t="s">
        <v>119</v>
      </c>
      <c r="D22" t="s">
        <v>151</v>
      </c>
      <c r="E22" t="s">
        <v>7</v>
      </c>
      <c r="F22" t="s">
        <v>93</v>
      </c>
      <c r="G22" t="s">
        <v>151</v>
      </c>
    </row>
    <row r="23" spans="1:7" x14ac:dyDescent="0.25">
      <c r="A23" s="1">
        <v>18</v>
      </c>
      <c r="B23" s="22">
        <v>1</v>
      </c>
      <c r="C23" t="s">
        <v>120</v>
      </c>
      <c r="D23" t="s">
        <v>97</v>
      </c>
      <c r="E23" t="s">
        <v>7</v>
      </c>
      <c r="F23" t="s">
        <v>90</v>
      </c>
      <c r="G23" t="s">
        <v>97</v>
      </c>
    </row>
    <row r="24" spans="1:7" x14ac:dyDescent="0.25">
      <c r="A24" s="1">
        <v>19</v>
      </c>
      <c r="B24" s="22">
        <v>1</v>
      </c>
      <c r="C24" t="s">
        <v>121</v>
      </c>
      <c r="D24" t="s">
        <v>99</v>
      </c>
      <c r="E24" t="s">
        <v>8</v>
      </c>
      <c r="F24" t="s">
        <v>152</v>
      </c>
      <c r="G24" t="s">
        <v>99</v>
      </c>
    </row>
    <row r="25" spans="1:7" x14ac:dyDescent="0.25">
      <c r="A25" s="1">
        <v>20</v>
      </c>
      <c r="B25" s="22">
        <v>0</v>
      </c>
      <c r="C25" t="s">
        <v>122</v>
      </c>
      <c r="D25" t="s">
        <v>52</v>
      </c>
      <c r="E25" t="s">
        <v>8</v>
      </c>
      <c r="F25" t="s">
        <v>52</v>
      </c>
      <c r="G25" t="s">
        <v>33</v>
      </c>
    </row>
    <row r="26" spans="1:7" x14ac:dyDescent="0.25">
      <c r="A26" s="1">
        <v>21</v>
      </c>
      <c r="B26" s="22">
        <v>0</v>
      </c>
      <c r="C26" t="s">
        <v>123</v>
      </c>
      <c r="D26" t="s">
        <v>153</v>
      </c>
      <c r="E26" t="s">
        <v>8</v>
      </c>
      <c r="F26" t="s">
        <v>53</v>
      </c>
      <c r="G26" t="s">
        <v>98</v>
      </c>
    </row>
    <row r="27" spans="1:7" x14ac:dyDescent="0.25">
      <c r="A27" s="1">
        <v>22</v>
      </c>
      <c r="B27" s="22">
        <v>0</v>
      </c>
      <c r="C27" t="s">
        <v>124</v>
      </c>
      <c r="D27" t="s">
        <v>154</v>
      </c>
      <c r="E27" t="s">
        <v>8</v>
      </c>
      <c r="F27" t="s">
        <v>154</v>
      </c>
      <c r="G27" t="s">
        <v>155</v>
      </c>
    </row>
    <row r="28" spans="1:7" x14ac:dyDescent="0.25">
      <c r="A28" s="1">
        <v>23</v>
      </c>
      <c r="B28" s="22">
        <v>0</v>
      </c>
      <c r="C28" t="s">
        <v>125</v>
      </c>
      <c r="D28" t="s">
        <v>51</v>
      </c>
      <c r="E28" t="s">
        <v>8</v>
      </c>
      <c r="F28" t="s">
        <v>51</v>
      </c>
      <c r="G28" t="s">
        <v>156</v>
      </c>
    </row>
    <row r="29" spans="1:7" x14ac:dyDescent="0.25">
      <c r="A29" s="1">
        <v>24</v>
      </c>
      <c r="B29" s="22">
        <v>0</v>
      </c>
      <c r="C29" t="s">
        <v>126</v>
      </c>
      <c r="D29" t="s">
        <v>157</v>
      </c>
      <c r="E29" t="s">
        <v>8</v>
      </c>
      <c r="F29" t="s">
        <v>157</v>
      </c>
      <c r="G29" t="s">
        <v>158</v>
      </c>
    </row>
    <row r="30" spans="1:7" s="6" customFormat="1" x14ac:dyDescent="0.25">
      <c r="A30" s="9">
        <v>25</v>
      </c>
      <c r="B30" s="22">
        <v>0</v>
      </c>
      <c r="C30" t="s">
        <v>127</v>
      </c>
      <c r="D30" t="s">
        <v>159</v>
      </c>
      <c r="E30" t="s">
        <v>8</v>
      </c>
      <c r="F30" t="s">
        <v>54</v>
      </c>
      <c r="G30" t="s">
        <v>34</v>
      </c>
    </row>
    <row r="31" spans="1:7" x14ac:dyDescent="0.25">
      <c r="A31" s="1">
        <v>26</v>
      </c>
      <c r="B31" s="22">
        <v>0</v>
      </c>
      <c r="C31" t="s">
        <v>128</v>
      </c>
      <c r="D31" t="s">
        <v>100</v>
      </c>
      <c r="E31" t="s">
        <v>8</v>
      </c>
      <c r="F31" t="s">
        <v>100</v>
      </c>
      <c r="G31" t="s">
        <v>36</v>
      </c>
    </row>
    <row r="32" spans="1:7" x14ac:dyDescent="0.25">
      <c r="A32" s="1">
        <v>27</v>
      </c>
      <c r="B32" s="22">
        <v>0</v>
      </c>
      <c r="C32" t="s">
        <v>129</v>
      </c>
      <c r="D32" t="s">
        <v>101</v>
      </c>
      <c r="E32" t="s">
        <v>8</v>
      </c>
      <c r="F32" t="s">
        <v>101</v>
      </c>
      <c r="G32" t="s">
        <v>160</v>
      </c>
    </row>
    <row r="33" spans="1:7" x14ac:dyDescent="0.25">
      <c r="A33" s="1">
        <v>28</v>
      </c>
      <c r="B33" s="22">
        <v>0</v>
      </c>
      <c r="C33" t="s">
        <v>130</v>
      </c>
      <c r="D33" t="s">
        <v>102</v>
      </c>
      <c r="E33" t="s">
        <v>8</v>
      </c>
      <c r="F33" t="s">
        <v>102</v>
      </c>
      <c r="G33" t="s">
        <v>35</v>
      </c>
    </row>
    <row r="34" spans="1:7" x14ac:dyDescent="0.25">
      <c r="A34" s="1">
        <v>29</v>
      </c>
      <c r="B34" s="22">
        <v>0</v>
      </c>
      <c r="C34" t="s">
        <v>131</v>
      </c>
      <c r="D34" t="s">
        <v>161</v>
      </c>
      <c r="E34" t="s">
        <v>8</v>
      </c>
      <c r="F34" t="s">
        <v>161</v>
      </c>
      <c r="G34" t="s">
        <v>35</v>
      </c>
    </row>
    <row r="35" spans="1:7" x14ac:dyDescent="0.25">
      <c r="A35" s="1">
        <v>30</v>
      </c>
      <c r="B35" s="22">
        <v>0</v>
      </c>
      <c r="C35" t="s">
        <v>132</v>
      </c>
      <c r="D35" t="s">
        <v>162</v>
      </c>
      <c r="E35" t="s">
        <v>8</v>
      </c>
      <c r="F35" t="s">
        <v>162</v>
      </c>
      <c r="G35" t="s">
        <v>37</v>
      </c>
    </row>
    <row r="36" spans="1:7" ht="15.75" thickBot="1" x14ac:dyDescent="0.3">
      <c r="A36" s="1">
        <v>31</v>
      </c>
      <c r="B36" s="31">
        <v>1</v>
      </c>
      <c r="C36" t="s">
        <v>247</v>
      </c>
    </row>
  </sheetData>
  <sortState xmlns:xlrd2="http://schemas.microsoft.com/office/spreadsheetml/2017/richdata2" ref="C32">
    <sortCondition ref="C32"/>
  </sortState>
  <conditionalFormatting sqref="B5:B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1:T51"/>
  <sheetViews>
    <sheetView zoomScale="75" zoomScaleNormal="75" workbookViewId="0">
      <selection activeCell="G3" sqref="G3"/>
    </sheetView>
  </sheetViews>
  <sheetFormatPr defaultRowHeight="15" x14ac:dyDescent="0.25"/>
  <cols>
    <col min="2" max="2" width="7.42578125" customWidth="1"/>
    <col min="3" max="3" width="34.42578125" bestFit="1" customWidth="1"/>
    <col min="4" max="4" width="14.28515625" customWidth="1"/>
    <col min="5" max="5" width="13.7109375" customWidth="1"/>
    <col min="6" max="6" width="18.85546875" customWidth="1"/>
    <col min="7" max="7" width="10.140625" customWidth="1"/>
    <col min="8" max="8" width="5.42578125" customWidth="1"/>
    <col min="9" max="9" width="9.85546875" customWidth="1"/>
    <col min="10" max="10" width="8.85546875" customWidth="1"/>
    <col min="11" max="11" width="9" customWidth="1"/>
    <col min="16" max="16" width="20.42578125" customWidth="1"/>
    <col min="17" max="17" width="22.28515625" customWidth="1"/>
    <col min="19" max="19" width="18.42578125" customWidth="1"/>
  </cols>
  <sheetData>
    <row r="1" spans="1:20" ht="12.75" customHeight="1" x14ac:dyDescent="0.25"/>
    <row r="2" spans="1:20" x14ac:dyDescent="0.25">
      <c r="C2" s="2"/>
      <c r="D2" s="2"/>
      <c r="E2" s="2"/>
      <c r="F2" s="5"/>
    </row>
    <row r="5" spans="1:20" x14ac:dyDescent="0.25">
      <c r="E5" t="s">
        <v>70</v>
      </c>
    </row>
    <row r="6" spans="1:20" ht="15.75" thickBot="1" x14ac:dyDescent="0.3">
      <c r="C6" s="46" t="s">
        <v>238</v>
      </c>
      <c r="D6" s="7" t="s">
        <v>5</v>
      </c>
      <c r="E6" s="30" t="s">
        <v>71</v>
      </c>
      <c r="I6" t="s">
        <v>171</v>
      </c>
      <c r="K6" t="s">
        <v>172</v>
      </c>
      <c r="M6" t="s">
        <v>164</v>
      </c>
    </row>
    <row r="7" spans="1:20" ht="15.75" thickBot="1" x14ac:dyDescent="0.3">
      <c r="A7" t="s">
        <v>2</v>
      </c>
      <c r="B7" s="3"/>
      <c r="C7" s="3" t="s">
        <v>0</v>
      </c>
      <c r="D7" s="3" t="s">
        <v>1</v>
      </c>
      <c r="E7" s="29" t="s">
        <v>69</v>
      </c>
      <c r="F7" s="3" t="s">
        <v>38</v>
      </c>
      <c r="G7" s="3" t="s">
        <v>64</v>
      </c>
      <c r="I7" s="32" t="s">
        <v>165</v>
      </c>
      <c r="J7" s="33" t="s">
        <v>166</v>
      </c>
      <c r="K7" s="32" t="s">
        <v>165</v>
      </c>
      <c r="L7" s="33" t="s">
        <v>166</v>
      </c>
      <c r="M7" s="32" t="s">
        <v>165</v>
      </c>
      <c r="N7" s="33" t="s">
        <v>166</v>
      </c>
    </row>
    <row r="8" spans="1:20" x14ac:dyDescent="0.25">
      <c r="A8" s="1">
        <v>0</v>
      </c>
      <c r="B8">
        <v>0</v>
      </c>
      <c r="C8" s="12" t="s">
        <v>246</v>
      </c>
      <c r="D8" s="13">
        <v>1701550800</v>
      </c>
      <c r="E8" s="17">
        <v>70</v>
      </c>
      <c r="F8" s="11">
        <f>D8/86400+25569-6/24</f>
        <v>45262.625</v>
      </c>
      <c r="G8">
        <f>IF(AND(D8&gt;D$48,D$49&gt;D8),0,1)</f>
        <v>1</v>
      </c>
      <c r="H8" s="20"/>
      <c r="I8" s="34">
        <f>(10000000/(512+E8)/10000-1)*0.95+1</f>
        <v>1.682302405498282</v>
      </c>
      <c r="J8" s="35">
        <f>(10000000/(512-E8)/10000-1)*0.95+1</f>
        <v>2.199321266968326</v>
      </c>
      <c r="K8" s="42">
        <f>IF(I8&lt;2,-100/(I8-1),(I8-1)*100)</f>
        <v>-146.56257869554264</v>
      </c>
      <c r="L8" s="43">
        <f>IF(J8&lt;2,-100/(J8-1),(J8-1)*100)</f>
        <v>119.9321266968326</v>
      </c>
      <c r="M8" s="38">
        <f>1/I8</f>
        <v>0.59442345010724129</v>
      </c>
      <c r="N8" s="39">
        <f>1/J8</f>
        <v>0.45468573192058426</v>
      </c>
      <c r="S8" s="11"/>
    </row>
    <row r="9" spans="1:20" x14ac:dyDescent="0.25">
      <c r="A9" s="1">
        <v>1</v>
      </c>
      <c r="B9">
        <v>1</v>
      </c>
      <c r="C9" s="14" t="s">
        <v>210</v>
      </c>
      <c r="D9" s="23">
        <v>1701551700</v>
      </c>
      <c r="E9" s="18">
        <v>136</v>
      </c>
      <c r="F9" s="11">
        <f t="shared" ref="F9:F39" si="0">D9/86400+25569-6/24</f>
        <v>45262.635416666672</v>
      </c>
      <c r="G9">
        <f t="shared" ref="G9:G39" si="1">IF(AND(D9&gt;D$48,D$49&gt;D9),0,1)</f>
        <v>1</v>
      </c>
      <c r="H9" s="28"/>
      <c r="I9" s="34">
        <f t="shared" ref="I9:I39" si="2">(10000000/(512+E9)/10000-1)*0.95+1</f>
        <v>1.5160493827160493</v>
      </c>
      <c r="J9" s="35">
        <f t="shared" ref="J9:J39" si="3">(10000000/(512-E9)/10000-1)*0.95+1</f>
        <v>2.576595744680851</v>
      </c>
      <c r="K9" s="42">
        <f>IF(I9&lt;2,-100/(I9-1),(I9-1)*100)</f>
        <v>-193.77990430622015</v>
      </c>
      <c r="L9" s="43">
        <f>IF(J9&lt;2,-100/(J9-1),(J9-1)*100)</f>
        <v>157.65957446808508</v>
      </c>
      <c r="M9" s="38">
        <f t="shared" ref="M9:N39" si="4">1/I9</f>
        <v>0.65960912052117271</v>
      </c>
      <c r="N9" s="39">
        <f t="shared" si="4"/>
        <v>0.38810900082576383</v>
      </c>
      <c r="S9" s="11"/>
    </row>
    <row r="10" spans="1:20" x14ac:dyDescent="0.25">
      <c r="A10" s="1">
        <v>2</v>
      </c>
      <c r="B10">
        <v>2</v>
      </c>
      <c r="C10" s="14" t="s">
        <v>211</v>
      </c>
      <c r="D10" s="24">
        <v>1701552600</v>
      </c>
      <c r="E10" s="18">
        <v>179</v>
      </c>
      <c r="F10" s="11">
        <f t="shared" si="0"/>
        <v>45262.645833333328</v>
      </c>
      <c r="G10">
        <f t="shared" si="1"/>
        <v>1</v>
      </c>
      <c r="H10" s="20"/>
      <c r="I10" s="34">
        <f t="shared" si="2"/>
        <v>1.4248191027496382</v>
      </c>
      <c r="J10" s="35">
        <f t="shared" si="3"/>
        <v>2.9028528528528525</v>
      </c>
      <c r="K10" s="42">
        <f t="shared" ref="K10:K39" si="5">IF(I10&lt;2,-100/(I10-1),(I10-1)*100)</f>
        <v>-235.39431102026913</v>
      </c>
      <c r="L10" s="43">
        <f t="shared" ref="L10:L39" si="6">IF(J10&lt;2,-100/(J10-1),(J10-1)*100)</f>
        <v>190.28528528528525</v>
      </c>
      <c r="M10" s="38">
        <f t="shared" si="4"/>
        <v>0.70184348179371292</v>
      </c>
      <c r="N10" s="39">
        <f t="shared" si="4"/>
        <v>0.34448869808100141</v>
      </c>
      <c r="S10" s="11"/>
    </row>
    <row r="11" spans="1:20" x14ac:dyDescent="0.25">
      <c r="A11" s="1">
        <v>3</v>
      </c>
      <c r="B11">
        <v>3</v>
      </c>
      <c r="C11" s="14" t="s">
        <v>212</v>
      </c>
      <c r="D11" s="24">
        <v>1701553500</v>
      </c>
      <c r="E11" s="18">
        <v>26</v>
      </c>
      <c r="F11" s="11">
        <f t="shared" si="0"/>
        <v>45262.65625</v>
      </c>
      <c r="G11">
        <f t="shared" si="1"/>
        <v>1</v>
      </c>
      <c r="H11" s="20"/>
      <c r="I11" s="34">
        <f t="shared" si="2"/>
        <v>1.8157992565055765</v>
      </c>
      <c r="J11" s="35">
        <f t="shared" si="3"/>
        <v>2.0047325102880658</v>
      </c>
      <c r="K11" s="42">
        <f t="shared" si="5"/>
        <v>-122.57917521075412</v>
      </c>
      <c r="L11" s="43">
        <f t="shared" si="6"/>
        <v>100.47325102880657</v>
      </c>
      <c r="M11" s="38">
        <f t="shared" si="4"/>
        <v>0.55072167059064381</v>
      </c>
      <c r="N11" s="39">
        <f t="shared" si="4"/>
        <v>0.49881966540080058</v>
      </c>
      <c r="S11" s="11"/>
    </row>
    <row r="12" spans="1:20" x14ac:dyDescent="0.25">
      <c r="A12" s="1">
        <v>4</v>
      </c>
      <c r="B12">
        <v>4</v>
      </c>
      <c r="C12" s="14" t="s">
        <v>213</v>
      </c>
      <c r="D12" s="24">
        <v>1701554400</v>
      </c>
      <c r="E12" s="18">
        <v>174</v>
      </c>
      <c r="F12" s="11">
        <f t="shared" si="0"/>
        <v>45262.666666666672</v>
      </c>
      <c r="G12">
        <f t="shared" si="1"/>
        <v>1</v>
      </c>
      <c r="H12" s="20"/>
      <c r="I12" s="34">
        <f t="shared" si="2"/>
        <v>1.4348396501457727</v>
      </c>
      <c r="J12" s="35">
        <f t="shared" si="3"/>
        <v>2.8606508875739642</v>
      </c>
      <c r="K12" s="42">
        <f t="shared" si="5"/>
        <v>-229.96982903117657</v>
      </c>
      <c r="L12" s="43">
        <f t="shared" si="6"/>
        <v>186.06508875739644</v>
      </c>
      <c r="M12" s="38">
        <f t="shared" si="4"/>
        <v>0.69694198923092543</v>
      </c>
      <c r="N12" s="39">
        <f t="shared" si="4"/>
        <v>0.34957079325680013</v>
      </c>
      <c r="S12" s="11"/>
    </row>
    <row r="13" spans="1:20" x14ac:dyDescent="0.25">
      <c r="A13" s="1">
        <v>5</v>
      </c>
      <c r="B13">
        <v>5</v>
      </c>
      <c r="C13" s="14" t="s">
        <v>214</v>
      </c>
      <c r="D13" s="24">
        <v>1701555300</v>
      </c>
      <c r="E13" s="18">
        <v>88</v>
      </c>
      <c r="F13" s="11">
        <f t="shared" si="0"/>
        <v>45262.677083333328</v>
      </c>
      <c r="G13">
        <f t="shared" si="1"/>
        <v>1</v>
      </c>
      <c r="H13" s="20"/>
      <c r="I13" s="34">
        <f t="shared" si="2"/>
        <v>1.6333333333333333</v>
      </c>
      <c r="J13" s="35">
        <f t="shared" si="3"/>
        <v>2.2905660377358488</v>
      </c>
      <c r="K13" s="42">
        <f t="shared" si="5"/>
        <v>-157.89473684210526</v>
      </c>
      <c r="L13" s="43">
        <f t="shared" si="6"/>
        <v>129.05660377358487</v>
      </c>
      <c r="M13" s="38">
        <f t="shared" si="4"/>
        <v>0.61224489795918369</v>
      </c>
      <c r="N13" s="39">
        <f t="shared" si="4"/>
        <v>0.43657331136738059</v>
      </c>
      <c r="S13" s="11"/>
    </row>
    <row r="14" spans="1:20" x14ac:dyDescent="0.25">
      <c r="A14" s="1">
        <v>6</v>
      </c>
      <c r="B14">
        <v>6</v>
      </c>
      <c r="C14" s="14" t="s">
        <v>215</v>
      </c>
      <c r="D14" s="24">
        <v>1701556200</v>
      </c>
      <c r="E14" s="18">
        <v>240</v>
      </c>
      <c r="F14" s="11">
        <f t="shared" si="0"/>
        <v>45262.6875</v>
      </c>
      <c r="G14">
        <f t="shared" si="1"/>
        <v>1</v>
      </c>
      <c r="H14" s="20"/>
      <c r="I14" s="34">
        <f t="shared" si="2"/>
        <v>1.3132978723404256</v>
      </c>
      <c r="J14" s="35">
        <f t="shared" si="3"/>
        <v>3.5426470588235297</v>
      </c>
      <c r="K14" s="42">
        <f t="shared" si="5"/>
        <v>-319.18505942275033</v>
      </c>
      <c r="L14" s="43">
        <f t="shared" si="6"/>
        <v>254.26470588235298</v>
      </c>
      <c r="M14" s="38">
        <f t="shared" si="4"/>
        <v>0.7614418793033616</v>
      </c>
      <c r="N14" s="39">
        <f t="shared" si="4"/>
        <v>0.28227480282274803</v>
      </c>
      <c r="S14" s="11"/>
    </row>
    <row r="15" spans="1:20" s="4" customFormat="1" x14ac:dyDescent="0.25">
      <c r="A15" s="1">
        <v>7</v>
      </c>
      <c r="B15">
        <v>7</v>
      </c>
      <c r="C15" s="14" t="s">
        <v>216</v>
      </c>
      <c r="D15" s="24">
        <v>1701561600</v>
      </c>
      <c r="E15" s="18">
        <v>202</v>
      </c>
      <c r="F15" s="11">
        <f t="shared" si="0"/>
        <v>45262.75</v>
      </c>
      <c r="G15">
        <f t="shared" si="1"/>
        <v>1</v>
      </c>
      <c r="H15" s="20"/>
      <c r="I15" s="34">
        <f t="shared" si="2"/>
        <v>1.380532212885154</v>
      </c>
      <c r="J15" s="35">
        <f t="shared" si="3"/>
        <v>3.1145161290322583</v>
      </c>
      <c r="K15" s="42">
        <f t="shared" si="5"/>
        <v>-262.78984173721017</v>
      </c>
      <c r="L15" s="43">
        <f t="shared" si="6"/>
        <v>211.45161290322582</v>
      </c>
      <c r="M15" s="38">
        <f t="shared" si="4"/>
        <v>0.72435832403368161</v>
      </c>
      <c r="N15" s="39">
        <f t="shared" si="4"/>
        <v>0.32107716209218018</v>
      </c>
      <c r="O15"/>
      <c r="P15"/>
      <c r="Q15"/>
      <c r="R15"/>
      <c r="S15" s="11"/>
      <c r="T15"/>
    </row>
    <row r="16" spans="1:20" x14ac:dyDescent="0.25">
      <c r="A16" s="1">
        <v>8</v>
      </c>
      <c r="B16">
        <v>8</v>
      </c>
      <c r="C16" s="14" t="s">
        <v>217</v>
      </c>
      <c r="D16" s="24">
        <v>1701562500</v>
      </c>
      <c r="E16" s="18">
        <v>27</v>
      </c>
      <c r="F16" s="11">
        <f t="shared" si="0"/>
        <v>45262.760416666672</v>
      </c>
      <c r="G16">
        <f t="shared" si="1"/>
        <v>1</v>
      </c>
      <c r="H16" s="20"/>
      <c r="I16" s="34">
        <f t="shared" si="2"/>
        <v>1.8125231910946196</v>
      </c>
      <c r="J16" s="35">
        <f t="shared" si="3"/>
        <v>2.0087628865979381</v>
      </c>
      <c r="K16" s="42">
        <f t="shared" si="5"/>
        <v>-123.07341020664461</v>
      </c>
      <c r="L16" s="43">
        <f t="shared" si="6"/>
        <v>100.87628865979381</v>
      </c>
      <c r="M16" s="38">
        <f t="shared" si="4"/>
        <v>0.55171707866318642</v>
      </c>
      <c r="N16" s="39">
        <f t="shared" si="4"/>
        <v>0.49781883500128304</v>
      </c>
      <c r="S16" s="11"/>
    </row>
    <row r="17" spans="1:19" x14ac:dyDescent="0.25">
      <c r="A17" s="1">
        <v>9</v>
      </c>
      <c r="B17">
        <v>9</v>
      </c>
      <c r="C17" s="14" t="s">
        <v>218</v>
      </c>
      <c r="D17" s="24">
        <v>1701563400</v>
      </c>
      <c r="E17" s="18">
        <v>65</v>
      </c>
      <c r="F17" s="11">
        <f t="shared" si="0"/>
        <v>45262.770833333328</v>
      </c>
      <c r="G17">
        <f t="shared" si="1"/>
        <v>1</v>
      </c>
      <c r="H17" s="20"/>
      <c r="I17" s="34">
        <f t="shared" si="2"/>
        <v>1.6964471403812826</v>
      </c>
      <c r="J17" s="35">
        <f t="shared" si="3"/>
        <v>2.1752796420581655</v>
      </c>
      <c r="K17" s="42">
        <f t="shared" si="5"/>
        <v>-143.58591514246606</v>
      </c>
      <c r="L17" s="43">
        <f t="shared" si="6"/>
        <v>117.52796420581655</v>
      </c>
      <c r="M17" s="38">
        <f t="shared" si="4"/>
        <v>0.58946723195586648</v>
      </c>
      <c r="N17" s="39">
        <f t="shared" si="4"/>
        <v>0.45971100941019183</v>
      </c>
      <c r="S17" s="11"/>
    </row>
    <row r="18" spans="1:19" x14ac:dyDescent="0.25">
      <c r="A18" s="1">
        <v>10</v>
      </c>
      <c r="B18">
        <v>10</v>
      </c>
      <c r="C18" s="14" t="s">
        <v>219</v>
      </c>
      <c r="D18" s="24">
        <v>1701564300</v>
      </c>
      <c r="E18" s="18">
        <v>173</v>
      </c>
      <c r="F18" s="11">
        <f t="shared" si="0"/>
        <v>45262.78125</v>
      </c>
      <c r="G18">
        <f t="shared" si="1"/>
        <v>1</v>
      </c>
      <c r="H18" s="20"/>
      <c r="I18" s="34">
        <f t="shared" si="2"/>
        <v>1.436861313868613</v>
      </c>
      <c r="J18" s="35">
        <f t="shared" si="3"/>
        <v>2.8523598820059002</v>
      </c>
      <c r="K18" s="42">
        <f t="shared" si="5"/>
        <v>-228.90559732665</v>
      </c>
      <c r="L18" s="43">
        <f t="shared" si="6"/>
        <v>185.23598820059001</v>
      </c>
      <c r="M18" s="38">
        <f t="shared" si="4"/>
        <v>0.69596139192278395</v>
      </c>
      <c r="N18" s="39">
        <f t="shared" si="4"/>
        <v>0.35058689694399914</v>
      </c>
      <c r="S18" s="11"/>
    </row>
    <row r="19" spans="1:19" x14ac:dyDescent="0.25">
      <c r="A19" s="1">
        <v>11</v>
      </c>
      <c r="B19">
        <v>11</v>
      </c>
      <c r="C19" s="14" t="s">
        <v>220</v>
      </c>
      <c r="D19" s="24">
        <v>1701565200</v>
      </c>
      <c r="E19" s="18">
        <v>213</v>
      </c>
      <c r="F19" s="11">
        <f t="shared" si="0"/>
        <v>45262.791666666672</v>
      </c>
      <c r="G19">
        <f t="shared" si="1"/>
        <v>1</v>
      </c>
      <c r="H19" s="20"/>
      <c r="I19" s="34">
        <f t="shared" si="2"/>
        <v>1.3603448275862069</v>
      </c>
      <c r="J19" s="35">
        <f t="shared" si="3"/>
        <v>3.227257525083612</v>
      </c>
      <c r="K19" s="42">
        <f t="shared" si="5"/>
        <v>-277.51196172248802</v>
      </c>
      <c r="L19" s="43">
        <f t="shared" si="6"/>
        <v>222.72575250836121</v>
      </c>
      <c r="M19" s="38">
        <f t="shared" si="4"/>
        <v>0.73510773130544993</v>
      </c>
      <c r="N19" s="39">
        <f t="shared" si="4"/>
        <v>0.30986061453961344</v>
      </c>
      <c r="S19" s="11"/>
    </row>
    <row r="20" spans="1:19" x14ac:dyDescent="0.25">
      <c r="A20" s="1">
        <v>12</v>
      </c>
      <c r="B20">
        <v>12</v>
      </c>
      <c r="C20" s="14" t="s">
        <v>221</v>
      </c>
      <c r="D20" s="24">
        <v>1701478800</v>
      </c>
      <c r="E20" s="18">
        <v>265</v>
      </c>
      <c r="F20" s="11">
        <f t="shared" si="0"/>
        <v>45261.791666666672</v>
      </c>
      <c r="G20">
        <f t="shared" si="1"/>
        <v>1</v>
      </c>
      <c r="H20" s="20"/>
      <c r="I20" s="34">
        <f t="shared" si="2"/>
        <v>1.2726512226512225</v>
      </c>
      <c r="J20" s="35">
        <f t="shared" si="3"/>
        <v>3.8961538461538461</v>
      </c>
      <c r="K20" s="42">
        <f t="shared" si="5"/>
        <v>-366.7689402879397</v>
      </c>
      <c r="L20" s="43">
        <f t="shared" si="6"/>
        <v>289.61538461538458</v>
      </c>
      <c r="M20" s="38">
        <f t="shared" si="4"/>
        <v>0.78576123780148666</v>
      </c>
      <c r="N20" s="39">
        <f t="shared" si="4"/>
        <v>0.25666337611056267</v>
      </c>
    </row>
    <row r="21" spans="1:19" x14ac:dyDescent="0.25">
      <c r="A21" s="1">
        <v>13</v>
      </c>
      <c r="B21">
        <v>13</v>
      </c>
      <c r="C21" s="14" t="s">
        <v>241</v>
      </c>
      <c r="D21" s="24">
        <v>1701478800</v>
      </c>
      <c r="E21" s="18">
        <v>10</v>
      </c>
      <c r="F21" s="11">
        <f t="shared" si="0"/>
        <v>45261.791666666672</v>
      </c>
      <c r="G21">
        <f t="shared" si="1"/>
        <v>1</v>
      </c>
      <c r="H21" s="20"/>
      <c r="I21" s="34">
        <f t="shared" si="2"/>
        <v>1.8699233716475097</v>
      </c>
      <c r="J21" s="35">
        <f t="shared" si="3"/>
        <v>1.9424302788844621</v>
      </c>
      <c r="K21" s="42">
        <f t="shared" si="5"/>
        <v>-114.95265360052851</v>
      </c>
      <c r="L21" s="43">
        <f t="shared" si="6"/>
        <v>-106.10864510674277</v>
      </c>
      <c r="M21" s="38">
        <f t="shared" si="4"/>
        <v>0.53478127241061368</v>
      </c>
      <c r="N21" s="39">
        <f t="shared" si="4"/>
        <v>0.51481899292380273</v>
      </c>
    </row>
    <row r="22" spans="1:19" x14ac:dyDescent="0.25">
      <c r="A22" s="1">
        <v>14</v>
      </c>
      <c r="B22">
        <v>14</v>
      </c>
      <c r="C22" s="14" t="s">
        <v>248</v>
      </c>
      <c r="D22" s="24">
        <v>1701536400.0000002</v>
      </c>
      <c r="E22" s="18">
        <v>10</v>
      </c>
      <c r="F22" s="11">
        <f t="shared" si="0"/>
        <v>45262.458333333336</v>
      </c>
      <c r="G22">
        <f t="shared" si="1"/>
        <v>1</v>
      </c>
      <c r="H22" s="20"/>
      <c r="I22" s="34">
        <f t="shared" si="2"/>
        <v>1.8699233716475097</v>
      </c>
      <c r="J22" s="35">
        <f t="shared" si="3"/>
        <v>1.9424302788844621</v>
      </c>
      <c r="K22" s="42">
        <f t="shared" si="5"/>
        <v>-114.95265360052851</v>
      </c>
      <c r="L22" s="43">
        <f t="shared" si="6"/>
        <v>-106.10864510674277</v>
      </c>
      <c r="M22" s="38">
        <f t="shared" si="4"/>
        <v>0.53478127241061368</v>
      </c>
      <c r="N22" s="39">
        <f t="shared" si="4"/>
        <v>0.51481899292380273</v>
      </c>
    </row>
    <row r="23" spans="1:19" x14ac:dyDescent="0.25">
      <c r="A23" s="1">
        <v>15</v>
      </c>
      <c r="B23">
        <v>15</v>
      </c>
      <c r="C23" s="14" t="s">
        <v>222</v>
      </c>
      <c r="D23" s="24">
        <v>1701547200</v>
      </c>
      <c r="E23" s="18">
        <v>46</v>
      </c>
      <c r="F23" s="11">
        <f t="shared" si="0"/>
        <v>45262.583333333328</v>
      </c>
      <c r="G23">
        <f t="shared" si="1"/>
        <v>1</v>
      </c>
      <c r="H23" s="20"/>
      <c r="I23" s="34">
        <f t="shared" si="2"/>
        <v>1.7525089605734767</v>
      </c>
      <c r="J23" s="35">
        <f t="shared" si="3"/>
        <v>2.08862660944206</v>
      </c>
      <c r="K23" s="42">
        <f t="shared" si="5"/>
        <v>-132.88878304358181</v>
      </c>
      <c r="L23" s="43">
        <f t="shared" si="6"/>
        <v>108.862660944206</v>
      </c>
      <c r="M23" s="38">
        <f t="shared" si="4"/>
        <v>0.57061049187033441</v>
      </c>
      <c r="N23" s="39">
        <f t="shared" si="4"/>
        <v>0.47878351998356111</v>
      </c>
    </row>
    <row r="24" spans="1:19" x14ac:dyDescent="0.25">
      <c r="A24" s="1">
        <v>16</v>
      </c>
      <c r="B24">
        <v>16</v>
      </c>
      <c r="C24" s="14" t="s">
        <v>223</v>
      </c>
      <c r="D24" s="24">
        <v>1701550800</v>
      </c>
      <c r="E24" s="18">
        <v>128</v>
      </c>
      <c r="F24" s="11">
        <f t="shared" si="0"/>
        <v>45262.625</v>
      </c>
      <c r="G24">
        <f t="shared" si="1"/>
        <v>1</v>
      </c>
      <c r="H24" s="20"/>
      <c r="I24" s="34">
        <f t="shared" si="2"/>
        <v>1.5343749999999998</v>
      </c>
      <c r="J24" s="35">
        <f t="shared" si="3"/>
        <v>2.5239583333333337</v>
      </c>
      <c r="K24" s="42">
        <f t="shared" si="5"/>
        <v>-187.13450292397667</v>
      </c>
      <c r="L24" s="43">
        <f t="shared" si="6"/>
        <v>152.39583333333337</v>
      </c>
      <c r="M24" s="38">
        <f t="shared" si="4"/>
        <v>0.65173116089613037</v>
      </c>
      <c r="N24" s="39">
        <f t="shared" si="4"/>
        <v>0.39620305406520834</v>
      </c>
    </row>
    <row r="25" spans="1:19" x14ac:dyDescent="0.25">
      <c r="A25" s="1">
        <v>17</v>
      </c>
      <c r="B25">
        <v>17</v>
      </c>
      <c r="C25" s="14" t="s">
        <v>224</v>
      </c>
      <c r="D25" s="24">
        <v>1701550800</v>
      </c>
      <c r="E25" s="18">
        <v>165</v>
      </c>
      <c r="F25" s="11">
        <f t="shared" si="0"/>
        <v>45262.625</v>
      </c>
      <c r="G25">
        <f t="shared" si="1"/>
        <v>1</v>
      </c>
      <c r="H25" s="20"/>
      <c r="I25" s="34">
        <f t="shared" si="2"/>
        <v>1.4532496307237814</v>
      </c>
      <c r="J25" s="35">
        <f t="shared" si="3"/>
        <v>2.7877521613832852</v>
      </c>
      <c r="K25" s="42">
        <f t="shared" si="5"/>
        <v>-220.62897181033077</v>
      </c>
      <c r="L25" s="43">
        <f t="shared" si="6"/>
        <v>178.77521613832852</v>
      </c>
      <c r="M25" s="38">
        <f t="shared" si="4"/>
        <v>0.68811302535955687</v>
      </c>
      <c r="N25" s="39">
        <f t="shared" si="4"/>
        <v>0.35871194500439346</v>
      </c>
    </row>
    <row r="26" spans="1:19" x14ac:dyDescent="0.25">
      <c r="A26" s="1">
        <v>18</v>
      </c>
      <c r="B26">
        <v>18</v>
      </c>
      <c r="C26" s="14" t="s">
        <v>242</v>
      </c>
      <c r="D26" s="24">
        <v>1701565200</v>
      </c>
      <c r="E26" s="18">
        <v>10</v>
      </c>
      <c r="F26" s="11">
        <f t="shared" si="0"/>
        <v>45262.791666666672</v>
      </c>
      <c r="G26">
        <f t="shared" si="1"/>
        <v>1</v>
      </c>
      <c r="H26" s="20"/>
      <c r="I26" s="34">
        <f t="shared" si="2"/>
        <v>1.8699233716475097</v>
      </c>
      <c r="J26" s="35">
        <f t="shared" si="3"/>
        <v>1.9424302788844621</v>
      </c>
      <c r="K26" s="42">
        <f t="shared" si="5"/>
        <v>-114.95265360052851</v>
      </c>
      <c r="L26" s="43">
        <f t="shared" si="6"/>
        <v>-106.10864510674277</v>
      </c>
      <c r="M26" s="38">
        <f t="shared" si="4"/>
        <v>0.53478127241061368</v>
      </c>
      <c r="N26" s="39">
        <f t="shared" si="4"/>
        <v>0.51481899292380273</v>
      </c>
    </row>
    <row r="27" spans="1:19" x14ac:dyDescent="0.25">
      <c r="A27" s="1">
        <v>19</v>
      </c>
      <c r="B27">
        <v>19</v>
      </c>
      <c r="C27" s="14" t="s">
        <v>225</v>
      </c>
      <c r="D27" s="24">
        <v>1701565199</v>
      </c>
      <c r="E27" s="18">
        <v>52</v>
      </c>
      <c r="F27" s="11">
        <f t="shared" si="0"/>
        <v>45262.791655092587</v>
      </c>
      <c r="G27">
        <f t="shared" si="1"/>
        <v>1</v>
      </c>
      <c r="H27" s="20"/>
      <c r="I27" s="34">
        <f t="shared" si="2"/>
        <v>1.7343971631205672</v>
      </c>
      <c r="J27" s="35">
        <f t="shared" si="3"/>
        <v>2.1152173913043475</v>
      </c>
      <c r="K27" s="42">
        <f t="shared" si="5"/>
        <v>-136.16610333172383</v>
      </c>
      <c r="L27" s="43">
        <f t="shared" si="6"/>
        <v>111.52173913043475</v>
      </c>
      <c r="M27" s="38">
        <f t="shared" si="4"/>
        <v>0.57656920875076678</v>
      </c>
      <c r="N27" s="39">
        <f t="shared" si="4"/>
        <v>0.47276464542651603</v>
      </c>
    </row>
    <row r="28" spans="1:19" x14ac:dyDescent="0.25">
      <c r="A28" s="1">
        <v>20</v>
      </c>
      <c r="B28">
        <v>20</v>
      </c>
      <c r="C28" s="14" t="s">
        <v>233</v>
      </c>
      <c r="D28" s="24">
        <v>1701626460</v>
      </c>
      <c r="E28" s="18">
        <v>55</v>
      </c>
      <c r="F28" s="11">
        <f t="shared" si="0"/>
        <v>45263.500694444447</v>
      </c>
      <c r="G28">
        <f t="shared" si="1"/>
        <v>1</v>
      </c>
      <c r="H28" s="20"/>
      <c r="I28" s="34">
        <f t="shared" si="2"/>
        <v>1.725485008818342</v>
      </c>
      <c r="J28" s="35">
        <f t="shared" si="3"/>
        <v>2.1287746170678332</v>
      </c>
      <c r="K28" s="42">
        <f t="shared" si="5"/>
        <v>-137.83882338641064</v>
      </c>
      <c r="L28" s="43">
        <f t="shared" si="6"/>
        <v>112.87746170678332</v>
      </c>
      <c r="M28" s="38">
        <f t="shared" si="4"/>
        <v>0.57954719681095723</v>
      </c>
      <c r="N28" s="39">
        <f t="shared" si="4"/>
        <v>0.46975381610731365</v>
      </c>
    </row>
    <row r="29" spans="1:19" x14ac:dyDescent="0.25">
      <c r="A29" s="1">
        <v>21</v>
      </c>
      <c r="B29">
        <v>21</v>
      </c>
      <c r="C29" s="14" t="s">
        <v>230</v>
      </c>
      <c r="D29" s="24">
        <v>1701626400</v>
      </c>
      <c r="E29" s="18">
        <v>20</v>
      </c>
      <c r="F29" s="11">
        <f t="shared" si="0"/>
        <v>45263.5</v>
      </c>
      <c r="G29">
        <f t="shared" si="1"/>
        <v>1</v>
      </c>
      <c r="H29" s="20"/>
      <c r="I29" s="34">
        <f t="shared" si="2"/>
        <v>1.8357142857142856</v>
      </c>
      <c r="J29" s="35">
        <f t="shared" si="3"/>
        <v>1.980894308943089</v>
      </c>
      <c r="K29" s="42">
        <f t="shared" si="5"/>
        <v>-119.65811965811967</v>
      </c>
      <c r="L29" s="43">
        <f t="shared" si="6"/>
        <v>-101.94778284293415</v>
      </c>
      <c r="M29" s="38">
        <f t="shared" si="4"/>
        <v>0.54474708171206232</v>
      </c>
      <c r="N29" s="39">
        <f t="shared" si="4"/>
        <v>0.50482249127847334</v>
      </c>
    </row>
    <row r="30" spans="1:19" x14ac:dyDescent="0.25">
      <c r="A30" s="1">
        <v>22</v>
      </c>
      <c r="B30">
        <v>22</v>
      </c>
      <c r="C30" s="14" t="s">
        <v>227</v>
      </c>
      <c r="D30" s="24">
        <v>1701626400</v>
      </c>
      <c r="E30" s="18">
        <v>297</v>
      </c>
      <c r="F30" s="11">
        <f t="shared" si="0"/>
        <v>45263.5</v>
      </c>
      <c r="G30">
        <f t="shared" si="1"/>
        <v>1</v>
      </c>
      <c r="H30" s="20"/>
      <c r="I30" s="34">
        <f t="shared" si="2"/>
        <v>1.2242892459826948</v>
      </c>
      <c r="J30" s="35">
        <f t="shared" si="3"/>
        <v>4.4686046511627904</v>
      </c>
      <c r="K30" s="42">
        <f t="shared" si="5"/>
        <v>-445.85285202535101</v>
      </c>
      <c r="L30" s="43">
        <f t="shared" si="6"/>
        <v>346.86046511627904</v>
      </c>
      <c r="M30" s="38">
        <f t="shared" si="4"/>
        <v>0.81680044424251597</v>
      </c>
      <c r="N30" s="39">
        <f t="shared" si="4"/>
        <v>0.22378350247202708</v>
      </c>
    </row>
    <row r="31" spans="1:19" x14ac:dyDescent="0.25">
      <c r="A31" s="1">
        <v>23</v>
      </c>
      <c r="B31">
        <v>23</v>
      </c>
      <c r="C31" s="14" t="s">
        <v>231</v>
      </c>
      <c r="D31" s="24">
        <v>1701626400</v>
      </c>
      <c r="E31" s="18">
        <v>78</v>
      </c>
      <c r="F31" s="11">
        <f t="shared" si="0"/>
        <v>45263.5</v>
      </c>
      <c r="G31">
        <f t="shared" si="1"/>
        <v>1</v>
      </c>
      <c r="H31" s="20"/>
      <c r="I31" s="34">
        <f t="shared" si="2"/>
        <v>1.6601694915254237</v>
      </c>
      <c r="J31" s="35">
        <f t="shared" si="3"/>
        <v>2.2389400921658988</v>
      </c>
      <c r="K31" s="42">
        <f t="shared" si="5"/>
        <v>-151.47625160462132</v>
      </c>
      <c r="L31" s="43">
        <f t="shared" si="6"/>
        <v>123.89400921658988</v>
      </c>
      <c r="M31" s="38">
        <f t="shared" si="4"/>
        <v>0.60234813680449206</v>
      </c>
      <c r="N31" s="39">
        <f t="shared" si="4"/>
        <v>0.44663990943706899</v>
      </c>
    </row>
    <row r="32" spans="1:19" x14ac:dyDescent="0.25">
      <c r="A32" s="1">
        <v>24</v>
      </c>
      <c r="B32">
        <v>24</v>
      </c>
      <c r="C32" s="14" t="s">
        <v>228</v>
      </c>
      <c r="D32" s="24">
        <v>1701626400</v>
      </c>
      <c r="E32" s="18">
        <v>145</v>
      </c>
      <c r="F32" s="11">
        <f t="shared" si="0"/>
        <v>45263.5</v>
      </c>
      <c r="G32">
        <f t="shared" si="1"/>
        <v>1</v>
      </c>
      <c r="H32" s="20"/>
      <c r="I32" s="34">
        <f t="shared" si="2"/>
        <v>1.4959665144596652</v>
      </c>
      <c r="J32" s="35">
        <f t="shared" si="3"/>
        <v>2.6385558583106268</v>
      </c>
      <c r="K32" s="42">
        <f t="shared" si="5"/>
        <v>-201.62651526776122</v>
      </c>
      <c r="L32" s="43">
        <f t="shared" si="6"/>
        <v>163.85558583106268</v>
      </c>
      <c r="M32" s="38">
        <f t="shared" si="4"/>
        <v>0.66846416035000256</v>
      </c>
      <c r="N32" s="39">
        <f t="shared" si="4"/>
        <v>0.37899519801724579</v>
      </c>
    </row>
    <row r="33" spans="1:14" s="6" customFormat="1" x14ac:dyDescent="0.25">
      <c r="A33" s="1">
        <v>25</v>
      </c>
      <c r="B33">
        <v>25</v>
      </c>
      <c r="C33" s="14" t="s">
        <v>229</v>
      </c>
      <c r="D33" s="24">
        <v>1701626400</v>
      </c>
      <c r="E33" s="18">
        <v>194</v>
      </c>
      <c r="F33" s="11">
        <f t="shared" si="0"/>
        <v>45263.5</v>
      </c>
      <c r="G33">
        <f t="shared" si="1"/>
        <v>1</v>
      </c>
      <c r="H33" s="20"/>
      <c r="I33" s="34">
        <f t="shared" si="2"/>
        <v>1.3956090651558073</v>
      </c>
      <c r="J33" s="35">
        <f t="shared" si="3"/>
        <v>3.0374213836477986</v>
      </c>
      <c r="K33" s="42">
        <f t="shared" si="5"/>
        <v>-252.77479412817763</v>
      </c>
      <c r="L33" s="43">
        <f t="shared" si="6"/>
        <v>203.74213836477986</v>
      </c>
      <c r="M33" s="38">
        <f t="shared" si="4"/>
        <v>0.71653303562366799</v>
      </c>
      <c r="N33" s="39">
        <f t="shared" si="4"/>
        <v>0.32922662801532254</v>
      </c>
    </row>
    <row r="34" spans="1:14" x14ac:dyDescent="0.25">
      <c r="A34" s="1">
        <v>26</v>
      </c>
      <c r="B34">
        <v>26</v>
      </c>
      <c r="C34" s="14" t="s">
        <v>232</v>
      </c>
      <c r="D34" s="24">
        <v>1701626460</v>
      </c>
      <c r="E34" s="18">
        <v>205</v>
      </c>
      <c r="F34" s="11">
        <f t="shared" si="0"/>
        <v>45263.500694444447</v>
      </c>
      <c r="G34">
        <f t="shared" si="1"/>
        <v>1</v>
      </c>
      <c r="H34" s="20"/>
      <c r="I34" s="34">
        <f t="shared" si="2"/>
        <v>1.3749651324965131</v>
      </c>
      <c r="J34" s="35">
        <f t="shared" si="3"/>
        <v>3.1444625407166122</v>
      </c>
      <c r="K34" s="42">
        <f t="shared" si="5"/>
        <v>-266.69146364143586</v>
      </c>
      <c r="L34" s="43">
        <f t="shared" si="6"/>
        <v>214.44625407166123</v>
      </c>
      <c r="M34" s="38">
        <f t="shared" si="4"/>
        <v>0.72729117005629673</v>
      </c>
      <c r="N34" s="39">
        <f t="shared" si="4"/>
        <v>0.31801937121251361</v>
      </c>
    </row>
    <row r="35" spans="1:14" x14ac:dyDescent="0.25">
      <c r="A35" s="1">
        <v>27</v>
      </c>
      <c r="B35">
        <v>27</v>
      </c>
      <c r="C35" s="14" t="s">
        <v>226</v>
      </c>
      <c r="D35" s="24">
        <v>1701637560</v>
      </c>
      <c r="E35" s="18">
        <v>55</v>
      </c>
      <c r="F35" s="11">
        <f t="shared" si="0"/>
        <v>45263.629166666666</v>
      </c>
      <c r="G35">
        <f t="shared" si="1"/>
        <v>1</v>
      </c>
      <c r="H35" s="20"/>
      <c r="I35" s="34">
        <f t="shared" si="2"/>
        <v>1.725485008818342</v>
      </c>
      <c r="J35" s="35">
        <f t="shared" si="3"/>
        <v>2.1287746170678332</v>
      </c>
      <c r="K35" s="42">
        <f t="shared" si="5"/>
        <v>-137.83882338641064</v>
      </c>
      <c r="L35" s="43">
        <f t="shared" si="6"/>
        <v>112.87746170678332</v>
      </c>
      <c r="M35" s="38">
        <f t="shared" si="4"/>
        <v>0.57954719681095723</v>
      </c>
      <c r="N35" s="39">
        <f t="shared" si="4"/>
        <v>0.46975381610731365</v>
      </c>
    </row>
    <row r="36" spans="1:14" x14ac:dyDescent="0.25">
      <c r="A36" s="1">
        <v>28</v>
      </c>
      <c r="B36">
        <v>28</v>
      </c>
      <c r="C36" s="14" t="s">
        <v>235</v>
      </c>
      <c r="D36" s="24">
        <v>1701638699</v>
      </c>
      <c r="E36" s="18">
        <v>79</v>
      </c>
      <c r="F36" s="11">
        <f t="shared" si="0"/>
        <v>45263.64234953704</v>
      </c>
      <c r="G36">
        <f t="shared" si="1"/>
        <v>1</v>
      </c>
      <c r="H36" s="20"/>
      <c r="I36" s="34">
        <f t="shared" si="2"/>
        <v>1.6574450084602366</v>
      </c>
      <c r="J36" s="35">
        <f t="shared" si="3"/>
        <v>2.2439953810623554</v>
      </c>
      <c r="K36" s="42">
        <f t="shared" si="5"/>
        <v>-152.10397632222373</v>
      </c>
      <c r="L36" s="43">
        <f t="shared" si="6"/>
        <v>124.39953810623554</v>
      </c>
      <c r="M36" s="38">
        <f t="shared" si="4"/>
        <v>0.60333826757184428</v>
      </c>
      <c r="N36" s="39">
        <f t="shared" si="4"/>
        <v>0.4456337158441826</v>
      </c>
    </row>
    <row r="37" spans="1:14" x14ac:dyDescent="0.25">
      <c r="A37" s="1">
        <v>29</v>
      </c>
      <c r="B37">
        <v>29</v>
      </c>
      <c r="C37" s="14" t="s">
        <v>234</v>
      </c>
      <c r="D37" s="24">
        <v>1701638699</v>
      </c>
      <c r="E37" s="18">
        <v>127</v>
      </c>
      <c r="F37" s="11">
        <f t="shared" si="0"/>
        <v>45263.64234953704</v>
      </c>
      <c r="G37">
        <f t="shared" si="1"/>
        <v>1</v>
      </c>
      <c r="H37" s="20"/>
      <c r="I37" s="34">
        <f t="shared" si="2"/>
        <v>1.536697965571205</v>
      </c>
      <c r="J37" s="35">
        <f t="shared" si="3"/>
        <v>2.5175324675324675</v>
      </c>
      <c r="K37" s="42">
        <f t="shared" si="5"/>
        <v>-186.32453710453422</v>
      </c>
      <c r="L37" s="43">
        <f t="shared" si="6"/>
        <v>151.75324675324674</v>
      </c>
      <c r="M37" s="38">
        <f t="shared" si="4"/>
        <v>0.65074596466215184</v>
      </c>
      <c r="N37" s="39">
        <f t="shared" si="4"/>
        <v>0.3972143409852979</v>
      </c>
    </row>
    <row r="38" spans="1:14" x14ac:dyDescent="0.25">
      <c r="A38" s="1">
        <v>30</v>
      </c>
      <c r="B38">
        <v>30</v>
      </c>
      <c r="C38" s="14" t="s">
        <v>236</v>
      </c>
      <c r="D38" s="24">
        <v>1701652860</v>
      </c>
      <c r="E38" s="18">
        <v>219</v>
      </c>
      <c r="F38" s="11">
        <f t="shared" si="0"/>
        <v>45263.806250000001</v>
      </c>
      <c r="G38">
        <f t="shared" si="1"/>
        <v>1</v>
      </c>
      <c r="H38" s="20"/>
      <c r="I38" s="34">
        <f t="shared" si="2"/>
        <v>1.3495896032831736</v>
      </c>
      <c r="J38" s="35">
        <f t="shared" si="3"/>
        <v>3.2923208191126281</v>
      </c>
      <c r="K38" s="42">
        <f t="shared" si="5"/>
        <v>-286.04969673253783</v>
      </c>
      <c r="L38" s="43">
        <f t="shared" si="6"/>
        <v>229.23208191126281</v>
      </c>
      <c r="M38" s="38">
        <f t="shared" si="4"/>
        <v>0.74096599260047646</v>
      </c>
      <c r="N38" s="39">
        <f t="shared" si="4"/>
        <v>0.30373710672264553</v>
      </c>
    </row>
    <row r="39" spans="1:14" ht="15.75" thickBot="1" x14ac:dyDescent="0.3">
      <c r="A39" s="1">
        <v>31</v>
      </c>
      <c r="B39">
        <v>31</v>
      </c>
      <c r="C39" s="15" t="s">
        <v>237</v>
      </c>
      <c r="D39" s="16">
        <v>1701738900</v>
      </c>
      <c r="E39" s="19">
        <v>275</v>
      </c>
      <c r="F39" s="11">
        <f t="shared" si="0"/>
        <v>45264.802083333328</v>
      </c>
      <c r="G39">
        <f t="shared" si="1"/>
        <v>1</v>
      </c>
      <c r="H39" s="20"/>
      <c r="I39" s="36">
        <f t="shared" si="2"/>
        <v>1.2571156289707752</v>
      </c>
      <c r="J39" s="37">
        <f t="shared" si="3"/>
        <v>4.058438818565401</v>
      </c>
      <c r="K39" s="44">
        <f t="shared" si="5"/>
        <v>-388.93007165801811</v>
      </c>
      <c r="L39" s="45">
        <f t="shared" si="6"/>
        <v>305.84388185654012</v>
      </c>
      <c r="M39" s="40">
        <f t="shared" si="4"/>
        <v>0.79547177439733152</v>
      </c>
      <c r="N39" s="41">
        <f t="shared" si="4"/>
        <v>0.24640016634610384</v>
      </c>
    </row>
    <row r="40" spans="1:14" x14ac:dyDescent="0.25">
      <c r="F40" s="11"/>
    </row>
    <row r="41" spans="1:14" x14ac:dyDescent="0.25">
      <c r="C41" t="s">
        <v>67</v>
      </c>
      <c r="F41" s="11"/>
    </row>
    <row r="42" spans="1:14" x14ac:dyDescent="0.25">
      <c r="C42" s="24" t="s">
        <v>68</v>
      </c>
      <c r="D42" s="26">
        <v>1687554000</v>
      </c>
      <c r="F42" s="11" cm="1">
        <f t="array" ref="F42">[1]!datefromutc(D42)</f>
        <v>45100.875</v>
      </c>
    </row>
    <row r="43" spans="1:14" x14ac:dyDescent="0.25">
      <c r="C43" s="24" t="s">
        <v>59</v>
      </c>
      <c r="D43" s="26">
        <v>345600</v>
      </c>
      <c r="F43" s="27"/>
    </row>
    <row r="44" spans="1:14" x14ac:dyDescent="0.25">
      <c r="C44" s="24" t="s">
        <v>60</v>
      </c>
      <c r="D44" s="26">
        <v>1700070834</v>
      </c>
      <c r="F44" s="11" cm="1">
        <f t="array" ref="F44">[1]!datefromutc(D44)</f>
        <v>45245.745763888888</v>
      </c>
    </row>
    <row r="45" spans="1:14" x14ac:dyDescent="0.25">
      <c r="C45" s="24" t="s">
        <v>61</v>
      </c>
      <c r="D45" s="26">
        <f>D44-D42</f>
        <v>12516834</v>
      </c>
      <c r="F45" s="11"/>
    </row>
    <row r="46" spans="1:14" x14ac:dyDescent="0.25">
      <c r="C46" s="24" t="s">
        <v>62</v>
      </c>
      <c r="D46" s="26">
        <f>MOD(D45,604800)</f>
        <v>420834</v>
      </c>
      <c r="F46" s="11"/>
    </row>
    <row r="47" spans="1:14" x14ac:dyDescent="0.25">
      <c r="C47" s="24" t="s">
        <v>63</v>
      </c>
      <c r="D47" s="26">
        <f>D44-D46</f>
        <v>1699650000</v>
      </c>
      <c r="F47" s="11" cm="1">
        <f t="array" ref="F47">[1]!datefromutc(D47)</f>
        <v>45240.875</v>
      </c>
    </row>
    <row r="48" spans="1:14" x14ac:dyDescent="0.25">
      <c r="C48" s="24" t="s">
        <v>65</v>
      </c>
      <c r="D48" s="26">
        <f>D47+604800</f>
        <v>1700254800</v>
      </c>
      <c r="F48" s="11" cm="1">
        <f t="array" ref="F48">[1]!datefromutc(D48)</f>
        <v>45247.875</v>
      </c>
    </row>
    <row r="49" spans="3:6" x14ac:dyDescent="0.25">
      <c r="C49" s="24" t="s">
        <v>66</v>
      </c>
      <c r="D49" s="26">
        <f>D48+D43</f>
        <v>1700600400</v>
      </c>
      <c r="F49" s="11" cm="1">
        <f t="array" ref="F49">[1]!datefromutc(D49)</f>
        <v>45251.875</v>
      </c>
    </row>
    <row r="50" spans="3:6" x14ac:dyDescent="0.25">
      <c r="D50" s="26"/>
      <c r="E50" s="11"/>
      <c r="F50" s="11"/>
    </row>
    <row r="51" spans="3:6" x14ac:dyDescent="0.25">
      <c r="C51" s="14" t="s">
        <v>249</v>
      </c>
      <c r="D51" s="20"/>
      <c r="E51" s="25"/>
      <c r="F51" s="11"/>
    </row>
  </sheetData>
  <sheetProtection selectLockedCells="1"/>
  <sortState xmlns:xlrd2="http://schemas.microsoft.com/office/spreadsheetml/2017/richdata2" ref="D11">
    <sortCondition descending="1" ref="D11"/>
  </sortState>
  <conditionalFormatting sqref="G8:G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39">
    <cfRule type="cellIs" dxfId="0" priority="1" operator="greaterThan">
      <formula>335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J1415"/>
  <sheetViews>
    <sheetView zoomScaleNormal="100" workbookViewId="0">
      <pane ySplit="3300" topLeftCell="A482"/>
      <selection activeCell="B3" sqref="B3:F488"/>
      <selection pane="bottomLeft" activeCell="D479" sqref="D479"/>
    </sheetView>
  </sheetViews>
  <sheetFormatPr defaultRowHeight="15" x14ac:dyDescent="0.25"/>
  <cols>
    <col min="2" max="2" width="41" style="10" customWidth="1"/>
    <col min="3" max="3" width="24.140625" customWidth="1"/>
    <col min="4" max="4" width="8.140625" customWidth="1"/>
    <col min="5" max="5" width="9.140625" customWidth="1"/>
    <col min="8" max="9" width="14" customWidth="1"/>
    <col min="10" max="10" width="19.28515625" customWidth="1"/>
    <col min="11" max="11" width="15.42578125" customWidth="1"/>
  </cols>
  <sheetData>
    <row r="2" spans="2:10" x14ac:dyDescent="0.25">
      <c r="B2" s="1" t="s">
        <v>10</v>
      </c>
      <c r="C2" s="1" t="s">
        <v>43</v>
      </c>
      <c r="D2" s="3" t="s">
        <v>13</v>
      </c>
      <c r="E2" s="3" t="s">
        <v>12</v>
      </c>
      <c r="F2" s="1" t="s">
        <v>11</v>
      </c>
    </row>
    <row r="3" spans="2:10" x14ac:dyDescent="0.25">
      <c r="B3" t="s">
        <v>75</v>
      </c>
      <c r="C3" t="s">
        <v>178</v>
      </c>
      <c r="D3">
        <v>1.22</v>
      </c>
      <c r="E3">
        <v>4.5</v>
      </c>
      <c r="F3" t="s">
        <v>8</v>
      </c>
      <c r="G3" s="2"/>
      <c r="H3" s="2"/>
      <c r="I3" t="s">
        <v>44</v>
      </c>
      <c r="J3" t="s">
        <v>22</v>
      </c>
    </row>
    <row r="4" spans="2:10" x14ac:dyDescent="0.25">
      <c r="B4" t="s">
        <v>75</v>
      </c>
      <c r="C4" t="s">
        <v>178</v>
      </c>
      <c r="D4">
        <v>1.24</v>
      </c>
      <c r="E4">
        <v>4.2</v>
      </c>
      <c r="F4" t="s">
        <v>8</v>
      </c>
      <c r="G4" s="2"/>
      <c r="H4" s="2"/>
      <c r="I4" t="s">
        <v>45</v>
      </c>
      <c r="J4" t="s">
        <v>21</v>
      </c>
    </row>
    <row r="5" spans="2:10" x14ac:dyDescent="0.25">
      <c r="B5" t="s">
        <v>75</v>
      </c>
      <c r="C5" t="s">
        <v>178</v>
      </c>
      <c r="D5">
        <v>1.22</v>
      </c>
      <c r="E5">
        <v>4.5</v>
      </c>
      <c r="F5" t="s">
        <v>8</v>
      </c>
      <c r="G5" s="2"/>
      <c r="H5" s="2"/>
      <c r="I5" t="s">
        <v>46</v>
      </c>
      <c r="J5" t="s">
        <v>20</v>
      </c>
    </row>
    <row r="6" spans="2:10" x14ac:dyDescent="0.25">
      <c r="B6" t="s">
        <v>75</v>
      </c>
      <c r="C6" t="s">
        <v>178</v>
      </c>
      <c r="D6">
        <v>1.22</v>
      </c>
      <c r="E6">
        <v>4.4000000000000004</v>
      </c>
      <c r="F6" t="s">
        <v>8</v>
      </c>
      <c r="G6" s="2"/>
      <c r="H6" s="2"/>
      <c r="I6" t="s">
        <v>19</v>
      </c>
      <c r="J6" t="s">
        <v>19</v>
      </c>
    </row>
    <row r="7" spans="2:10" x14ac:dyDescent="0.25">
      <c r="B7" t="s">
        <v>75</v>
      </c>
      <c r="C7" t="s">
        <v>178</v>
      </c>
      <c r="D7">
        <v>1.22</v>
      </c>
      <c r="E7">
        <v>4.45</v>
      </c>
      <c r="F7" t="s">
        <v>8</v>
      </c>
      <c r="G7" s="2"/>
      <c r="H7" s="2"/>
      <c r="I7" t="s">
        <v>18</v>
      </c>
      <c r="J7" t="s">
        <v>18</v>
      </c>
    </row>
    <row r="8" spans="2:10" x14ac:dyDescent="0.25">
      <c r="B8" t="s">
        <v>75</v>
      </c>
      <c r="C8" t="s">
        <v>178</v>
      </c>
      <c r="D8">
        <v>1.22</v>
      </c>
      <c r="E8">
        <v>4.5999999999999996</v>
      </c>
      <c r="F8" t="s">
        <v>8</v>
      </c>
      <c r="G8" s="2"/>
      <c r="H8" s="2"/>
      <c r="I8" t="s">
        <v>17</v>
      </c>
      <c r="J8" t="s">
        <v>17</v>
      </c>
    </row>
    <row r="9" spans="2:10" x14ac:dyDescent="0.25">
      <c r="B9" t="s">
        <v>75</v>
      </c>
      <c r="C9" t="s">
        <v>178</v>
      </c>
      <c r="D9">
        <v>1.22</v>
      </c>
      <c r="E9">
        <v>4.5999999999999996</v>
      </c>
      <c r="F9" t="s">
        <v>8</v>
      </c>
      <c r="G9" s="2"/>
      <c r="H9" s="2"/>
      <c r="I9" t="s">
        <v>16</v>
      </c>
      <c r="J9" t="s">
        <v>16</v>
      </c>
    </row>
    <row r="10" spans="2:10" x14ac:dyDescent="0.25">
      <c r="B10" t="s">
        <v>75</v>
      </c>
      <c r="C10" t="s">
        <v>178</v>
      </c>
      <c r="D10">
        <v>1.23</v>
      </c>
      <c r="E10">
        <v>4.3</v>
      </c>
      <c r="F10" t="s">
        <v>8</v>
      </c>
      <c r="G10" s="2"/>
      <c r="H10" s="2"/>
      <c r="I10" t="s">
        <v>47</v>
      </c>
      <c r="J10" t="s">
        <v>15</v>
      </c>
    </row>
    <row r="11" spans="2:10" x14ac:dyDescent="0.25">
      <c r="B11" t="s">
        <v>75</v>
      </c>
      <c r="C11" t="s">
        <v>178</v>
      </c>
      <c r="D11">
        <v>1.24</v>
      </c>
      <c r="E11">
        <v>4.1500000000000004</v>
      </c>
      <c r="F11" t="s">
        <v>8</v>
      </c>
      <c r="G11" s="2"/>
      <c r="H11" s="2"/>
      <c r="I11" t="s">
        <v>48</v>
      </c>
      <c r="J11" t="s">
        <v>23</v>
      </c>
    </row>
    <row r="12" spans="2:10" x14ac:dyDescent="0.25">
      <c r="B12" t="s">
        <v>75</v>
      </c>
      <c r="C12" t="s">
        <v>178</v>
      </c>
      <c r="D12">
        <v>1.24</v>
      </c>
      <c r="E12">
        <v>4.3</v>
      </c>
      <c r="F12" t="s">
        <v>8</v>
      </c>
      <c r="G12" s="2"/>
      <c r="H12" s="2"/>
      <c r="I12" t="s">
        <v>49</v>
      </c>
      <c r="J12" t="s">
        <v>14</v>
      </c>
    </row>
    <row r="13" spans="2:10" x14ac:dyDescent="0.25">
      <c r="B13" t="s">
        <v>75</v>
      </c>
      <c r="C13" t="s">
        <v>178</v>
      </c>
      <c r="D13">
        <v>1.24</v>
      </c>
      <c r="E13">
        <v>4.2</v>
      </c>
      <c r="F13" t="s">
        <v>8</v>
      </c>
      <c r="G13" s="2"/>
      <c r="H13" s="2"/>
      <c r="I13" t="s">
        <v>27</v>
      </c>
      <c r="J13" t="s">
        <v>27</v>
      </c>
    </row>
    <row r="14" spans="2:10" x14ac:dyDescent="0.25">
      <c r="B14" t="s">
        <v>75</v>
      </c>
      <c r="C14" t="s">
        <v>178</v>
      </c>
      <c r="D14">
        <v>1.24</v>
      </c>
      <c r="E14">
        <v>4.2</v>
      </c>
      <c r="F14" t="s">
        <v>8</v>
      </c>
      <c r="G14" s="2"/>
      <c r="H14" s="2"/>
      <c r="I14" t="s">
        <v>40</v>
      </c>
      <c r="J14" t="s">
        <v>40</v>
      </c>
    </row>
    <row r="15" spans="2:10" x14ac:dyDescent="0.25">
      <c r="B15" t="s">
        <v>75</v>
      </c>
      <c r="C15" t="s">
        <v>178</v>
      </c>
      <c r="D15">
        <v>1.24</v>
      </c>
      <c r="E15">
        <v>4.2</v>
      </c>
      <c r="F15" t="s">
        <v>8</v>
      </c>
      <c r="G15" s="2"/>
      <c r="H15" s="2"/>
      <c r="I15" t="s">
        <v>170</v>
      </c>
      <c r="J15" t="s">
        <v>41</v>
      </c>
    </row>
    <row r="16" spans="2:10" x14ac:dyDescent="0.25">
      <c r="B16" t="s">
        <v>75</v>
      </c>
      <c r="C16" t="s">
        <v>178</v>
      </c>
      <c r="D16">
        <v>1.22</v>
      </c>
      <c r="E16">
        <v>4.5</v>
      </c>
      <c r="F16" t="s">
        <v>8</v>
      </c>
      <c r="G16" s="2"/>
      <c r="H16" s="2"/>
    </row>
    <row r="17" spans="2:8" x14ac:dyDescent="0.25">
      <c r="B17" t="s">
        <v>75</v>
      </c>
      <c r="C17" t="s">
        <v>178</v>
      </c>
      <c r="D17">
        <v>1.23</v>
      </c>
      <c r="E17">
        <v>4.45</v>
      </c>
      <c r="F17" t="s">
        <v>8</v>
      </c>
      <c r="G17" s="2"/>
      <c r="H17" s="2"/>
    </row>
    <row r="18" spans="2:8" x14ac:dyDescent="0.25">
      <c r="B18" t="s">
        <v>78</v>
      </c>
      <c r="C18" t="s">
        <v>179</v>
      </c>
      <c r="D18">
        <v>2.98</v>
      </c>
      <c r="E18">
        <v>1.42</v>
      </c>
      <c r="F18" t="s">
        <v>8</v>
      </c>
      <c r="G18" s="2"/>
      <c r="H18" s="2"/>
    </row>
    <row r="19" spans="2:8" x14ac:dyDescent="0.25">
      <c r="B19" t="s">
        <v>78</v>
      </c>
      <c r="C19" t="s">
        <v>179</v>
      </c>
      <c r="D19">
        <v>3</v>
      </c>
      <c r="E19">
        <v>1.41</v>
      </c>
      <c r="F19" t="s">
        <v>8</v>
      </c>
      <c r="G19" s="2"/>
      <c r="H19" s="2"/>
    </row>
    <row r="20" spans="2:8" x14ac:dyDescent="0.25">
      <c r="B20" t="s">
        <v>78</v>
      </c>
      <c r="C20" t="s">
        <v>179</v>
      </c>
      <c r="D20">
        <v>3</v>
      </c>
      <c r="E20">
        <v>1.4</v>
      </c>
      <c r="F20" t="s">
        <v>8</v>
      </c>
      <c r="G20" s="2"/>
      <c r="H20" s="2"/>
    </row>
    <row r="21" spans="2:8" x14ac:dyDescent="0.25">
      <c r="B21" t="s">
        <v>78</v>
      </c>
      <c r="C21" t="s">
        <v>179</v>
      </c>
      <c r="D21">
        <v>3.1</v>
      </c>
      <c r="E21">
        <v>1.38</v>
      </c>
      <c r="F21" t="s">
        <v>8</v>
      </c>
      <c r="G21" s="2"/>
      <c r="H21" s="2"/>
    </row>
    <row r="22" spans="2:8" x14ac:dyDescent="0.25">
      <c r="B22" t="s">
        <v>78</v>
      </c>
      <c r="C22" t="s">
        <v>179</v>
      </c>
      <c r="D22">
        <v>3.05</v>
      </c>
      <c r="E22">
        <v>1.4</v>
      </c>
      <c r="F22" t="s">
        <v>8</v>
      </c>
      <c r="G22" s="2"/>
      <c r="H22" s="2"/>
    </row>
    <row r="23" spans="2:8" x14ac:dyDescent="0.25">
      <c r="B23" t="s">
        <v>78</v>
      </c>
      <c r="C23" t="s">
        <v>179</v>
      </c>
      <c r="D23">
        <v>3.2</v>
      </c>
      <c r="E23">
        <v>1.39</v>
      </c>
      <c r="F23" t="s">
        <v>8</v>
      </c>
      <c r="G23" s="2"/>
      <c r="H23" s="2"/>
    </row>
    <row r="24" spans="2:8" x14ac:dyDescent="0.25">
      <c r="B24" t="s">
        <v>78</v>
      </c>
      <c r="C24" t="s">
        <v>179</v>
      </c>
      <c r="D24">
        <v>3.2</v>
      </c>
      <c r="E24">
        <v>1.38</v>
      </c>
      <c r="F24" t="s">
        <v>8</v>
      </c>
      <c r="G24" s="2"/>
      <c r="H24" s="2"/>
    </row>
    <row r="25" spans="2:8" x14ac:dyDescent="0.25">
      <c r="B25" t="s">
        <v>78</v>
      </c>
      <c r="C25" t="s">
        <v>179</v>
      </c>
      <c r="D25">
        <v>3.1</v>
      </c>
      <c r="E25">
        <v>1.4</v>
      </c>
      <c r="F25" t="s">
        <v>8</v>
      </c>
      <c r="G25" s="2"/>
      <c r="H25" s="2"/>
    </row>
    <row r="26" spans="2:8" x14ac:dyDescent="0.25">
      <c r="B26" t="s">
        <v>78</v>
      </c>
      <c r="C26" t="s">
        <v>179</v>
      </c>
      <c r="D26">
        <v>3.1</v>
      </c>
      <c r="E26">
        <v>1.38</v>
      </c>
      <c r="F26" t="s">
        <v>8</v>
      </c>
      <c r="G26" s="2"/>
      <c r="H26" s="2"/>
    </row>
    <row r="27" spans="2:8" x14ac:dyDescent="0.25">
      <c r="B27" t="s">
        <v>78</v>
      </c>
      <c r="C27" t="s">
        <v>179</v>
      </c>
      <c r="D27">
        <v>3.1</v>
      </c>
      <c r="E27">
        <v>1.38</v>
      </c>
      <c r="F27" t="s">
        <v>8</v>
      </c>
      <c r="G27" s="2"/>
      <c r="H27" s="2"/>
    </row>
    <row r="28" spans="2:8" x14ac:dyDescent="0.25">
      <c r="B28" t="s">
        <v>78</v>
      </c>
      <c r="C28" t="s">
        <v>179</v>
      </c>
      <c r="D28">
        <v>3.1</v>
      </c>
      <c r="E28">
        <v>1.38</v>
      </c>
      <c r="F28" t="s">
        <v>8</v>
      </c>
      <c r="G28" s="2"/>
      <c r="H28" s="2"/>
    </row>
    <row r="29" spans="2:8" x14ac:dyDescent="0.25">
      <c r="B29" t="s">
        <v>78</v>
      </c>
      <c r="C29" t="s">
        <v>179</v>
      </c>
      <c r="D29">
        <v>3</v>
      </c>
      <c r="E29">
        <v>1.4</v>
      </c>
      <c r="F29" t="s">
        <v>8</v>
      </c>
      <c r="G29" s="2"/>
      <c r="H29" s="2"/>
    </row>
    <row r="30" spans="2:8" x14ac:dyDescent="0.25">
      <c r="B30" t="s">
        <v>78</v>
      </c>
      <c r="C30" t="s">
        <v>179</v>
      </c>
      <c r="D30">
        <v>2.9</v>
      </c>
      <c r="E30">
        <v>1.42</v>
      </c>
      <c r="F30" t="s">
        <v>8</v>
      </c>
      <c r="G30" s="2"/>
      <c r="H30" s="2"/>
    </row>
    <row r="31" spans="2:8" x14ac:dyDescent="0.25">
      <c r="B31" t="s">
        <v>78</v>
      </c>
      <c r="C31" t="s">
        <v>179</v>
      </c>
      <c r="D31">
        <v>3</v>
      </c>
      <c r="E31">
        <v>1.4</v>
      </c>
      <c r="F31" t="s">
        <v>8</v>
      </c>
      <c r="G31" s="2"/>
      <c r="H31" s="2"/>
    </row>
    <row r="32" spans="2:8" x14ac:dyDescent="0.25">
      <c r="B32" t="s">
        <v>78</v>
      </c>
      <c r="C32" t="s">
        <v>179</v>
      </c>
      <c r="D32">
        <v>3.03</v>
      </c>
      <c r="E32">
        <v>1.42</v>
      </c>
      <c r="F32" t="s">
        <v>8</v>
      </c>
      <c r="G32" s="2"/>
      <c r="H32" s="2"/>
    </row>
    <row r="33" spans="2:8" x14ac:dyDescent="0.25">
      <c r="B33" t="s">
        <v>167</v>
      </c>
      <c r="C33" t="s">
        <v>179</v>
      </c>
      <c r="D33">
        <v>1.51</v>
      </c>
      <c r="E33">
        <v>2.66</v>
      </c>
      <c r="F33" t="s">
        <v>8</v>
      </c>
      <c r="G33" s="2"/>
      <c r="H33" s="2"/>
    </row>
    <row r="34" spans="2:8" x14ac:dyDescent="0.25">
      <c r="B34" t="s">
        <v>167</v>
      </c>
      <c r="C34" t="s">
        <v>179</v>
      </c>
      <c r="D34">
        <v>1.49</v>
      </c>
      <c r="E34">
        <v>2.7</v>
      </c>
      <c r="F34" t="s">
        <v>8</v>
      </c>
      <c r="G34" s="2"/>
      <c r="H34" s="2"/>
    </row>
    <row r="35" spans="2:8" x14ac:dyDescent="0.25">
      <c r="B35" t="s">
        <v>167</v>
      </c>
      <c r="C35" t="s">
        <v>179</v>
      </c>
      <c r="D35">
        <v>1.5</v>
      </c>
      <c r="E35">
        <v>2.7</v>
      </c>
      <c r="F35" t="s">
        <v>8</v>
      </c>
      <c r="G35" s="2"/>
      <c r="H35" s="2"/>
    </row>
    <row r="36" spans="2:8" x14ac:dyDescent="0.25">
      <c r="B36" t="s">
        <v>167</v>
      </c>
      <c r="C36" t="s">
        <v>179</v>
      </c>
      <c r="D36">
        <v>1.5</v>
      </c>
      <c r="E36">
        <v>2.7</v>
      </c>
      <c r="F36" t="s">
        <v>8</v>
      </c>
      <c r="G36" s="2"/>
      <c r="H36" s="2"/>
    </row>
    <row r="37" spans="2:8" x14ac:dyDescent="0.25">
      <c r="B37" t="s">
        <v>167</v>
      </c>
      <c r="C37" t="s">
        <v>179</v>
      </c>
      <c r="D37">
        <v>1.49</v>
      </c>
      <c r="E37">
        <v>2.7</v>
      </c>
      <c r="F37" t="s">
        <v>8</v>
      </c>
      <c r="G37" s="2"/>
      <c r="H37" s="2"/>
    </row>
    <row r="38" spans="2:8" x14ac:dyDescent="0.25">
      <c r="B38" t="s">
        <v>167</v>
      </c>
      <c r="C38" t="s">
        <v>179</v>
      </c>
      <c r="D38">
        <v>1.51</v>
      </c>
      <c r="E38">
        <v>2.7</v>
      </c>
      <c r="F38" t="s">
        <v>8</v>
      </c>
      <c r="G38" s="2"/>
      <c r="H38" s="2"/>
    </row>
    <row r="39" spans="2:8" x14ac:dyDescent="0.25">
      <c r="B39" t="s">
        <v>167</v>
      </c>
      <c r="C39" t="s">
        <v>179</v>
      </c>
      <c r="D39">
        <v>1.51</v>
      </c>
      <c r="E39">
        <v>2.7</v>
      </c>
      <c r="F39" t="s">
        <v>8</v>
      </c>
      <c r="G39" s="2"/>
      <c r="H39" s="2"/>
    </row>
    <row r="40" spans="2:8" x14ac:dyDescent="0.25">
      <c r="B40" t="s">
        <v>167</v>
      </c>
      <c r="C40" t="s">
        <v>179</v>
      </c>
      <c r="D40">
        <v>1.51</v>
      </c>
      <c r="E40">
        <v>2.65</v>
      </c>
      <c r="F40" t="s">
        <v>8</v>
      </c>
      <c r="G40" s="2"/>
      <c r="H40" s="2"/>
    </row>
    <row r="41" spans="2:8" x14ac:dyDescent="0.25">
      <c r="B41" t="s">
        <v>167</v>
      </c>
      <c r="C41" t="s">
        <v>179</v>
      </c>
      <c r="D41">
        <v>1.5</v>
      </c>
      <c r="E41">
        <v>2.63</v>
      </c>
      <c r="F41" t="s">
        <v>8</v>
      </c>
      <c r="G41" s="2"/>
      <c r="H41" s="2"/>
    </row>
    <row r="42" spans="2:8" x14ac:dyDescent="0.25">
      <c r="B42" t="s">
        <v>167</v>
      </c>
      <c r="C42" t="s">
        <v>179</v>
      </c>
      <c r="D42">
        <v>1.49</v>
      </c>
      <c r="E42">
        <v>2.7</v>
      </c>
      <c r="F42" t="s">
        <v>8</v>
      </c>
      <c r="G42" s="2"/>
      <c r="H42" s="2"/>
    </row>
    <row r="43" spans="2:8" x14ac:dyDescent="0.25">
      <c r="B43" t="s">
        <v>167</v>
      </c>
      <c r="C43" t="s">
        <v>179</v>
      </c>
      <c r="D43">
        <v>1.5</v>
      </c>
      <c r="E43">
        <v>2.65</v>
      </c>
      <c r="F43" t="s">
        <v>8</v>
      </c>
      <c r="G43" s="2"/>
      <c r="H43" s="2"/>
    </row>
    <row r="44" spans="2:8" x14ac:dyDescent="0.25">
      <c r="B44" t="s">
        <v>167</v>
      </c>
      <c r="C44" t="s">
        <v>179</v>
      </c>
      <c r="D44">
        <v>1.5</v>
      </c>
      <c r="E44">
        <v>2.63</v>
      </c>
      <c r="F44" t="s">
        <v>8</v>
      </c>
      <c r="G44" s="2"/>
      <c r="H44" s="2"/>
    </row>
    <row r="45" spans="2:8" x14ac:dyDescent="0.25">
      <c r="B45" t="s">
        <v>167</v>
      </c>
      <c r="C45" t="s">
        <v>179</v>
      </c>
      <c r="D45">
        <v>1.5</v>
      </c>
      <c r="E45">
        <v>2.63</v>
      </c>
      <c r="F45" t="s">
        <v>8</v>
      </c>
      <c r="G45" s="2"/>
      <c r="H45" s="2"/>
    </row>
    <row r="46" spans="2:8" x14ac:dyDescent="0.25">
      <c r="B46" t="s">
        <v>167</v>
      </c>
      <c r="C46" t="s">
        <v>179</v>
      </c>
      <c r="D46">
        <v>1.5</v>
      </c>
      <c r="E46">
        <v>2.65</v>
      </c>
      <c r="F46" t="s">
        <v>8</v>
      </c>
      <c r="G46" s="2"/>
      <c r="H46" s="2"/>
    </row>
    <row r="47" spans="2:8" x14ac:dyDescent="0.25">
      <c r="B47" t="s">
        <v>167</v>
      </c>
      <c r="C47" t="s">
        <v>179</v>
      </c>
      <c r="D47">
        <v>1.51</v>
      </c>
      <c r="E47">
        <v>2.65</v>
      </c>
      <c r="F47" t="s">
        <v>8</v>
      </c>
      <c r="G47" s="2"/>
      <c r="H47" s="2"/>
    </row>
    <row r="48" spans="2:8" x14ac:dyDescent="0.25">
      <c r="B48" t="s">
        <v>80</v>
      </c>
      <c r="C48" t="s">
        <v>179</v>
      </c>
      <c r="D48">
        <v>1.85</v>
      </c>
      <c r="E48">
        <v>2</v>
      </c>
      <c r="F48" t="s">
        <v>8</v>
      </c>
      <c r="G48" s="2"/>
      <c r="H48" s="2"/>
    </row>
    <row r="49" spans="2:8" x14ac:dyDescent="0.25">
      <c r="B49" t="s">
        <v>80</v>
      </c>
      <c r="C49" t="s">
        <v>179</v>
      </c>
      <c r="D49">
        <v>1.83</v>
      </c>
      <c r="E49">
        <v>2</v>
      </c>
      <c r="F49" t="s">
        <v>8</v>
      </c>
      <c r="G49" s="2"/>
      <c r="H49" s="2"/>
    </row>
    <row r="50" spans="2:8" x14ac:dyDescent="0.25">
      <c r="B50" t="s">
        <v>80</v>
      </c>
      <c r="C50" t="s">
        <v>179</v>
      </c>
      <c r="D50">
        <v>1.83</v>
      </c>
      <c r="E50">
        <v>2</v>
      </c>
      <c r="F50" t="s">
        <v>8</v>
      </c>
      <c r="G50" s="2"/>
      <c r="H50" s="2"/>
    </row>
    <row r="51" spans="2:8" x14ac:dyDescent="0.25">
      <c r="B51" t="s">
        <v>80</v>
      </c>
      <c r="C51" t="s">
        <v>179</v>
      </c>
      <c r="D51">
        <v>1.83</v>
      </c>
      <c r="E51">
        <v>2</v>
      </c>
      <c r="F51" t="s">
        <v>8</v>
      </c>
      <c r="G51" s="2"/>
      <c r="H51" s="2"/>
    </row>
    <row r="52" spans="2:8" x14ac:dyDescent="0.25">
      <c r="B52" t="s">
        <v>80</v>
      </c>
      <c r="C52" t="s">
        <v>179</v>
      </c>
      <c r="D52">
        <v>1.83</v>
      </c>
      <c r="E52">
        <v>2</v>
      </c>
      <c r="F52" t="s">
        <v>8</v>
      </c>
      <c r="G52" s="2"/>
      <c r="H52" s="2"/>
    </row>
    <row r="53" spans="2:8" x14ac:dyDescent="0.25">
      <c r="B53" t="s">
        <v>80</v>
      </c>
      <c r="C53" t="s">
        <v>179</v>
      </c>
      <c r="D53">
        <v>1.83</v>
      </c>
      <c r="E53">
        <v>2</v>
      </c>
      <c r="F53" t="s">
        <v>8</v>
      </c>
      <c r="G53" s="2"/>
      <c r="H53" s="2"/>
    </row>
    <row r="54" spans="2:8" x14ac:dyDescent="0.25">
      <c r="B54" t="s">
        <v>80</v>
      </c>
      <c r="C54" t="s">
        <v>179</v>
      </c>
      <c r="D54">
        <v>1.83</v>
      </c>
      <c r="E54">
        <v>2</v>
      </c>
      <c r="F54" t="s">
        <v>8</v>
      </c>
      <c r="G54" s="2"/>
      <c r="H54" s="2"/>
    </row>
    <row r="55" spans="2:8" x14ac:dyDescent="0.25">
      <c r="B55" t="s">
        <v>80</v>
      </c>
      <c r="C55" t="s">
        <v>179</v>
      </c>
      <c r="D55">
        <v>1.87</v>
      </c>
      <c r="E55">
        <v>1.95</v>
      </c>
      <c r="F55" t="s">
        <v>8</v>
      </c>
      <c r="G55" s="2"/>
      <c r="H55" s="2"/>
    </row>
    <row r="56" spans="2:8" x14ac:dyDescent="0.25">
      <c r="B56" t="s">
        <v>80</v>
      </c>
      <c r="C56" t="s">
        <v>179</v>
      </c>
      <c r="D56">
        <v>1.85</v>
      </c>
      <c r="E56">
        <v>1.96</v>
      </c>
      <c r="F56" t="s">
        <v>8</v>
      </c>
      <c r="G56" s="2"/>
      <c r="H56" s="2"/>
    </row>
    <row r="57" spans="2:8" x14ac:dyDescent="0.25">
      <c r="B57" t="s">
        <v>80</v>
      </c>
      <c r="C57" t="s">
        <v>179</v>
      </c>
      <c r="D57">
        <v>1.85</v>
      </c>
      <c r="E57">
        <v>1.96</v>
      </c>
      <c r="F57" t="s">
        <v>8</v>
      </c>
      <c r="G57" s="2"/>
      <c r="H57" s="2"/>
    </row>
    <row r="58" spans="2:8" x14ac:dyDescent="0.25">
      <c r="B58" t="s">
        <v>80</v>
      </c>
      <c r="C58" t="s">
        <v>179</v>
      </c>
      <c r="D58">
        <v>1.85</v>
      </c>
      <c r="E58">
        <v>1.96</v>
      </c>
      <c r="F58" t="s">
        <v>8</v>
      </c>
      <c r="G58" s="2"/>
      <c r="H58" s="2"/>
    </row>
    <row r="59" spans="2:8" x14ac:dyDescent="0.25">
      <c r="B59" t="s">
        <v>80</v>
      </c>
      <c r="C59" t="s">
        <v>179</v>
      </c>
      <c r="D59">
        <v>1.83</v>
      </c>
      <c r="E59">
        <v>2</v>
      </c>
      <c r="F59" t="s">
        <v>8</v>
      </c>
      <c r="G59" s="2"/>
      <c r="H59" s="2"/>
    </row>
    <row r="60" spans="2:8" x14ac:dyDescent="0.25">
      <c r="B60" t="s">
        <v>80</v>
      </c>
      <c r="C60" t="s">
        <v>179</v>
      </c>
      <c r="D60">
        <v>1.83</v>
      </c>
      <c r="E60">
        <v>2</v>
      </c>
      <c r="F60" t="s">
        <v>8</v>
      </c>
      <c r="G60" s="2"/>
      <c r="H60" s="2"/>
    </row>
    <row r="61" spans="2:8" x14ac:dyDescent="0.25">
      <c r="B61" t="s">
        <v>80</v>
      </c>
      <c r="C61" t="s">
        <v>179</v>
      </c>
      <c r="D61">
        <v>1.83</v>
      </c>
      <c r="E61">
        <v>2</v>
      </c>
      <c r="F61" t="s">
        <v>8</v>
      </c>
      <c r="G61" s="2"/>
      <c r="H61" s="2"/>
    </row>
    <row r="62" spans="2:8" x14ac:dyDescent="0.25">
      <c r="B62" t="s">
        <v>80</v>
      </c>
      <c r="C62" t="s">
        <v>179</v>
      </c>
      <c r="D62">
        <v>1.83</v>
      </c>
      <c r="E62">
        <v>2.04</v>
      </c>
      <c r="F62" t="s">
        <v>8</v>
      </c>
      <c r="G62" s="2"/>
      <c r="H62" s="2"/>
    </row>
    <row r="63" spans="2:8" x14ac:dyDescent="0.25">
      <c r="B63" t="s">
        <v>81</v>
      </c>
      <c r="C63" t="s">
        <v>179</v>
      </c>
      <c r="D63">
        <v>1.69</v>
      </c>
      <c r="E63">
        <v>2.2200000000000002</v>
      </c>
      <c r="F63" t="s">
        <v>8</v>
      </c>
      <c r="G63" s="2"/>
      <c r="H63" s="2"/>
    </row>
    <row r="64" spans="2:8" x14ac:dyDescent="0.25">
      <c r="B64" t="s">
        <v>81</v>
      </c>
      <c r="C64" t="s">
        <v>179</v>
      </c>
      <c r="D64">
        <v>1.65</v>
      </c>
      <c r="E64">
        <v>2.2999999999999998</v>
      </c>
      <c r="F64" t="s">
        <v>8</v>
      </c>
      <c r="G64" s="2"/>
      <c r="H64" s="2"/>
    </row>
    <row r="65" spans="2:8" x14ac:dyDescent="0.25">
      <c r="B65" t="s">
        <v>81</v>
      </c>
      <c r="C65" t="s">
        <v>179</v>
      </c>
      <c r="D65">
        <v>1.67</v>
      </c>
      <c r="E65">
        <v>2.2999999999999998</v>
      </c>
      <c r="F65" t="s">
        <v>8</v>
      </c>
      <c r="G65" s="2"/>
      <c r="H65" s="2"/>
    </row>
    <row r="66" spans="2:8" x14ac:dyDescent="0.25">
      <c r="B66" t="s">
        <v>81</v>
      </c>
      <c r="C66" t="s">
        <v>179</v>
      </c>
      <c r="D66">
        <v>1.67</v>
      </c>
      <c r="E66">
        <v>2.2999999999999998</v>
      </c>
      <c r="F66" t="s">
        <v>8</v>
      </c>
      <c r="G66" s="2"/>
      <c r="H66" s="2"/>
    </row>
    <row r="67" spans="2:8" x14ac:dyDescent="0.25">
      <c r="B67" t="s">
        <v>81</v>
      </c>
      <c r="C67" t="s">
        <v>179</v>
      </c>
      <c r="D67">
        <v>1.69</v>
      </c>
      <c r="E67">
        <v>2.2200000000000002</v>
      </c>
      <c r="F67" t="s">
        <v>8</v>
      </c>
      <c r="G67" s="2"/>
      <c r="H67" s="2"/>
    </row>
    <row r="68" spans="2:8" x14ac:dyDescent="0.25">
      <c r="B68" t="s">
        <v>81</v>
      </c>
      <c r="C68" t="s">
        <v>179</v>
      </c>
      <c r="D68">
        <v>1.66</v>
      </c>
      <c r="E68">
        <v>2.31</v>
      </c>
      <c r="F68" t="s">
        <v>8</v>
      </c>
      <c r="G68" s="2"/>
      <c r="H68" s="2"/>
    </row>
    <row r="69" spans="2:8" x14ac:dyDescent="0.25">
      <c r="B69" t="s">
        <v>81</v>
      </c>
      <c r="C69" t="s">
        <v>179</v>
      </c>
      <c r="D69">
        <v>1.66</v>
      </c>
      <c r="E69">
        <v>2.31</v>
      </c>
      <c r="F69" t="s">
        <v>8</v>
      </c>
      <c r="G69" s="2"/>
      <c r="H69" s="2"/>
    </row>
    <row r="70" spans="2:8" x14ac:dyDescent="0.25">
      <c r="B70" t="s">
        <v>81</v>
      </c>
      <c r="C70" t="s">
        <v>179</v>
      </c>
      <c r="D70">
        <v>1.67</v>
      </c>
      <c r="E70">
        <v>2.2999999999999998</v>
      </c>
      <c r="F70" t="s">
        <v>8</v>
      </c>
      <c r="G70" s="2"/>
      <c r="H70" s="2"/>
    </row>
    <row r="71" spans="2:8" x14ac:dyDescent="0.25">
      <c r="B71" t="s">
        <v>81</v>
      </c>
      <c r="C71" t="s">
        <v>179</v>
      </c>
      <c r="D71">
        <v>1.66</v>
      </c>
      <c r="E71">
        <v>2.25</v>
      </c>
      <c r="F71" t="s">
        <v>8</v>
      </c>
      <c r="G71" s="2"/>
      <c r="H71" s="2"/>
    </row>
    <row r="72" spans="2:8" x14ac:dyDescent="0.25">
      <c r="B72" t="s">
        <v>81</v>
      </c>
      <c r="C72" t="s">
        <v>179</v>
      </c>
      <c r="D72">
        <v>1.66</v>
      </c>
      <c r="E72">
        <v>2.25</v>
      </c>
      <c r="F72" t="s">
        <v>8</v>
      </c>
      <c r="G72" s="2"/>
      <c r="H72" s="2"/>
    </row>
    <row r="73" spans="2:8" x14ac:dyDescent="0.25">
      <c r="B73" t="s">
        <v>81</v>
      </c>
      <c r="C73" t="s">
        <v>179</v>
      </c>
      <c r="D73">
        <v>1.66</v>
      </c>
      <c r="E73">
        <v>2.25</v>
      </c>
      <c r="F73" t="s">
        <v>8</v>
      </c>
      <c r="G73" s="2"/>
      <c r="H73" s="2"/>
    </row>
    <row r="74" spans="2:8" x14ac:dyDescent="0.25">
      <c r="B74" t="s">
        <v>81</v>
      </c>
      <c r="C74" t="s">
        <v>179</v>
      </c>
      <c r="D74">
        <v>1.67</v>
      </c>
      <c r="E74">
        <v>2.25</v>
      </c>
      <c r="F74" t="s">
        <v>8</v>
      </c>
      <c r="G74" s="2"/>
      <c r="H74" s="2"/>
    </row>
    <row r="75" spans="2:8" x14ac:dyDescent="0.25">
      <c r="B75" t="s">
        <v>81</v>
      </c>
      <c r="C75" t="s">
        <v>179</v>
      </c>
      <c r="D75">
        <v>1.67</v>
      </c>
      <c r="E75">
        <v>2.2999999999999998</v>
      </c>
      <c r="F75" t="s">
        <v>8</v>
      </c>
      <c r="G75" s="2"/>
      <c r="H75" s="2"/>
    </row>
    <row r="76" spans="2:8" x14ac:dyDescent="0.25">
      <c r="B76" t="s">
        <v>81</v>
      </c>
      <c r="C76" t="s">
        <v>179</v>
      </c>
      <c r="D76">
        <v>1.67</v>
      </c>
      <c r="E76">
        <v>2.25</v>
      </c>
      <c r="F76" t="s">
        <v>8</v>
      </c>
      <c r="G76" s="2"/>
      <c r="H76" s="2"/>
    </row>
    <row r="77" spans="2:8" x14ac:dyDescent="0.25">
      <c r="B77" t="s">
        <v>81</v>
      </c>
      <c r="C77" t="s">
        <v>179</v>
      </c>
      <c r="D77">
        <v>1.71</v>
      </c>
      <c r="E77">
        <v>2.2000000000000002</v>
      </c>
      <c r="F77" t="s">
        <v>8</v>
      </c>
      <c r="G77" s="2"/>
      <c r="H77" s="2"/>
    </row>
    <row r="78" spans="2:8" x14ac:dyDescent="0.25">
      <c r="B78" t="s">
        <v>82</v>
      </c>
      <c r="C78" t="s">
        <v>179</v>
      </c>
      <c r="D78">
        <v>1.21</v>
      </c>
      <c r="E78">
        <v>4.7</v>
      </c>
      <c r="F78" t="s">
        <v>8</v>
      </c>
      <c r="G78" s="2"/>
      <c r="H78" s="2"/>
    </row>
    <row r="79" spans="2:8" x14ac:dyDescent="0.25">
      <c r="B79" t="s">
        <v>82</v>
      </c>
      <c r="C79" t="s">
        <v>179</v>
      </c>
      <c r="D79">
        <v>1.23</v>
      </c>
      <c r="E79">
        <v>4.4000000000000004</v>
      </c>
      <c r="F79" t="s">
        <v>8</v>
      </c>
      <c r="G79" s="2"/>
      <c r="H79" s="2"/>
    </row>
    <row r="80" spans="2:8" x14ac:dyDescent="0.25">
      <c r="B80" t="s">
        <v>82</v>
      </c>
      <c r="C80" t="s">
        <v>179</v>
      </c>
      <c r="D80">
        <v>1.22</v>
      </c>
      <c r="E80">
        <v>4.5</v>
      </c>
      <c r="F80" t="s">
        <v>8</v>
      </c>
      <c r="G80" s="2"/>
      <c r="H80" s="2"/>
    </row>
    <row r="81" spans="2:8" x14ac:dyDescent="0.25">
      <c r="B81" t="s">
        <v>82</v>
      </c>
      <c r="C81" t="s">
        <v>179</v>
      </c>
      <c r="D81">
        <v>1.22</v>
      </c>
      <c r="E81">
        <v>4.4000000000000004</v>
      </c>
      <c r="F81" t="s">
        <v>8</v>
      </c>
      <c r="G81" s="2"/>
      <c r="H81" s="2"/>
    </row>
    <row r="82" spans="2:8" x14ac:dyDescent="0.25">
      <c r="B82" t="s">
        <v>82</v>
      </c>
      <c r="C82" t="s">
        <v>179</v>
      </c>
      <c r="D82">
        <v>1.22</v>
      </c>
      <c r="E82">
        <v>4.45</v>
      </c>
      <c r="F82" t="s">
        <v>8</v>
      </c>
      <c r="G82" s="2"/>
      <c r="H82" s="2"/>
    </row>
    <row r="83" spans="2:8" x14ac:dyDescent="0.25">
      <c r="B83" t="s">
        <v>82</v>
      </c>
      <c r="C83" t="s">
        <v>179</v>
      </c>
      <c r="D83">
        <v>1.23</v>
      </c>
      <c r="E83">
        <v>4.55</v>
      </c>
      <c r="F83" t="s">
        <v>8</v>
      </c>
      <c r="G83" s="2"/>
      <c r="H83" s="2"/>
    </row>
    <row r="84" spans="2:8" x14ac:dyDescent="0.25">
      <c r="B84" t="s">
        <v>82</v>
      </c>
      <c r="C84" t="s">
        <v>179</v>
      </c>
      <c r="D84">
        <v>1.23</v>
      </c>
      <c r="E84">
        <v>4.55</v>
      </c>
      <c r="F84" t="s">
        <v>8</v>
      </c>
      <c r="G84" s="2"/>
      <c r="H84" s="2"/>
    </row>
    <row r="85" spans="2:8" x14ac:dyDescent="0.25">
      <c r="B85" t="s">
        <v>82</v>
      </c>
      <c r="C85" t="s">
        <v>179</v>
      </c>
      <c r="D85">
        <v>1.22</v>
      </c>
      <c r="E85">
        <v>4.4000000000000004</v>
      </c>
      <c r="F85" t="s">
        <v>8</v>
      </c>
      <c r="G85" s="2"/>
      <c r="H85" s="2"/>
    </row>
    <row r="86" spans="2:8" x14ac:dyDescent="0.25">
      <c r="B86" t="s">
        <v>82</v>
      </c>
      <c r="C86" t="s">
        <v>179</v>
      </c>
      <c r="D86">
        <v>1.22</v>
      </c>
      <c r="E86">
        <v>4.5</v>
      </c>
      <c r="F86" t="s">
        <v>8</v>
      </c>
      <c r="G86" s="2"/>
      <c r="H86" s="2"/>
    </row>
    <row r="87" spans="2:8" x14ac:dyDescent="0.25">
      <c r="B87" t="s">
        <v>82</v>
      </c>
      <c r="C87" t="s">
        <v>179</v>
      </c>
      <c r="D87">
        <v>1.22</v>
      </c>
      <c r="E87">
        <v>4.25</v>
      </c>
      <c r="F87" t="s">
        <v>8</v>
      </c>
      <c r="G87" s="2"/>
      <c r="H87" s="2"/>
    </row>
    <row r="88" spans="2:8" x14ac:dyDescent="0.25">
      <c r="B88" t="s">
        <v>82</v>
      </c>
      <c r="C88" t="s">
        <v>179</v>
      </c>
      <c r="D88">
        <v>1.21</v>
      </c>
      <c r="E88">
        <v>4.3499999999999996</v>
      </c>
      <c r="F88" t="s">
        <v>8</v>
      </c>
      <c r="G88" s="2"/>
      <c r="H88" s="2"/>
    </row>
    <row r="89" spans="2:8" x14ac:dyDescent="0.25">
      <c r="B89" t="s">
        <v>82</v>
      </c>
      <c r="C89" t="s">
        <v>179</v>
      </c>
      <c r="D89">
        <v>1.21</v>
      </c>
      <c r="E89">
        <v>4.3499999999999996</v>
      </c>
      <c r="F89" t="s">
        <v>8</v>
      </c>
      <c r="G89" s="2"/>
      <c r="H89" s="2"/>
    </row>
    <row r="90" spans="2:8" x14ac:dyDescent="0.25">
      <c r="B90" t="s">
        <v>82</v>
      </c>
      <c r="C90" t="s">
        <v>179</v>
      </c>
      <c r="D90">
        <v>1.21</v>
      </c>
      <c r="E90">
        <v>4.3499999999999996</v>
      </c>
      <c r="F90" t="s">
        <v>8</v>
      </c>
      <c r="G90" s="2"/>
      <c r="H90" s="2"/>
    </row>
    <row r="91" spans="2:8" x14ac:dyDescent="0.25">
      <c r="B91" t="s">
        <v>82</v>
      </c>
      <c r="C91" t="s">
        <v>179</v>
      </c>
      <c r="D91">
        <v>1.22</v>
      </c>
      <c r="E91">
        <v>4.4000000000000004</v>
      </c>
      <c r="F91" t="s">
        <v>8</v>
      </c>
      <c r="G91" s="2"/>
      <c r="H91" s="2"/>
    </row>
    <row r="92" spans="2:8" x14ac:dyDescent="0.25">
      <c r="B92" t="s">
        <v>82</v>
      </c>
      <c r="C92" t="s">
        <v>179</v>
      </c>
      <c r="D92">
        <v>1.22</v>
      </c>
      <c r="E92">
        <v>4.6500000000000004</v>
      </c>
      <c r="F92" t="s">
        <v>8</v>
      </c>
      <c r="G92" s="2"/>
      <c r="H92" s="2"/>
    </row>
    <row r="93" spans="2:8" x14ac:dyDescent="0.25">
      <c r="B93" t="s">
        <v>76</v>
      </c>
      <c r="C93" t="s">
        <v>77</v>
      </c>
      <c r="D93">
        <v>1.39</v>
      </c>
      <c r="E93">
        <v>3.1</v>
      </c>
      <c r="F93" t="s">
        <v>8</v>
      </c>
      <c r="G93" s="2"/>
      <c r="H93" s="2"/>
    </row>
    <row r="94" spans="2:8" x14ac:dyDescent="0.25">
      <c r="B94" t="s">
        <v>76</v>
      </c>
      <c r="C94" t="s">
        <v>77</v>
      </c>
      <c r="D94">
        <v>1.38</v>
      </c>
      <c r="E94">
        <v>3.15</v>
      </c>
      <c r="F94" t="s">
        <v>8</v>
      </c>
      <c r="G94" s="2"/>
      <c r="H94" s="2"/>
    </row>
    <row r="95" spans="2:8" x14ac:dyDescent="0.25">
      <c r="B95" t="s">
        <v>76</v>
      </c>
      <c r="C95" t="s">
        <v>77</v>
      </c>
      <c r="D95">
        <v>1.36</v>
      </c>
      <c r="E95">
        <v>3.25</v>
      </c>
      <c r="F95" t="s">
        <v>8</v>
      </c>
      <c r="G95" s="2"/>
      <c r="H95" s="2"/>
    </row>
    <row r="96" spans="2:8" x14ac:dyDescent="0.25">
      <c r="B96" t="s">
        <v>76</v>
      </c>
      <c r="C96" t="s">
        <v>77</v>
      </c>
      <c r="D96">
        <v>1.36</v>
      </c>
      <c r="E96">
        <v>3.25</v>
      </c>
      <c r="F96" t="s">
        <v>8</v>
      </c>
      <c r="G96" s="2"/>
      <c r="H96" s="2"/>
    </row>
    <row r="97" spans="2:8" x14ac:dyDescent="0.25">
      <c r="B97" t="s">
        <v>76</v>
      </c>
      <c r="C97" t="s">
        <v>77</v>
      </c>
      <c r="D97">
        <v>1.37</v>
      </c>
      <c r="E97">
        <v>3.15</v>
      </c>
      <c r="F97" t="s">
        <v>8</v>
      </c>
      <c r="G97" s="2"/>
      <c r="H97" s="2"/>
    </row>
    <row r="98" spans="2:8" x14ac:dyDescent="0.25">
      <c r="B98" t="s">
        <v>76</v>
      </c>
      <c r="C98" t="s">
        <v>77</v>
      </c>
      <c r="D98">
        <v>1.36</v>
      </c>
      <c r="E98">
        <v>3.3</v>
      </c>
      <c r="F98" t="s">
        <v>8</v>
      </c>
      <c r="G98" s="2"/>
      <c r="H98" s="2"/>
    </row>
    <row r="99" spans="2:8" x14ac:dyDescent="0.25">
      <c r="B99" t="s">
        <v>76</v>
      </c>
      <c r="C99" t="s">
        <v>77</v>
      </c>
      <c r="D99">
        <v>1.36</v>
      </c>
      <c r="E99">
        <v>3.3</v>
      </c>
      <c r="F99" t="s">
        <v>8</v>
      </c>
      <c r="G99" s="2"/>
      <c r="H99" s="2"/>
    </row>
    <row r="100" spans="2:8" x14ac:dyDescent="0.25">
      <c r="B100" t="s">
        <v>76</v>
      </c>
      <c r="C100" t="s">
        <v>77</v>
      </c>
      <c r="D100">
        <v>1.4</v>
      </c>
      <c r="E100">
        <v>3.1</v>
      </c>
      <c r="F100" t="s">
        <v>8</v>
      </c>
      <c r="G100" s="2"/>
      <c r="H100" s="2"/>
    </row>
    <row r="101" spans="2:8" x14ac:dyDescent="0.25">
      <c r="B101" t="s">
        <v>76</v>
      </c>
      <c r="C101" t="s">
        <v>77</v>
      </c>
      <c r="D101">
        <v>1.38</v>
      </c>
      <c r="E101">
        <v>3.1</v>
      </c>
      <c r="F101" t="s">
        <v>8</v>
      </c>
      <c r="G101" s="2"/>
      <c r="H101" s="2"/>
    </row>
    <row r="102" spans="2:8" x14ac:dyDescent="0.25">
      <c r="B102" t="s">
        <v>76</v>
      </c>
      <c r="C102" t="s">
        <v>77</v>
      </c>
      <c r="D102">
        <v>1.38</v>
      </c>
      <c r="E102">
        <v>3.1</v>
      </c>
      <c r="F102" t="s">
        <v>8</v>
      </c>
      <c r="G102" s="2"/>
      <c r="H102" s="2"/>
    </row>
    <row r="103" spans="2:8" x14ac:dyDescent="0.25">
      <c r="B103" t="s">
        <v>76</v>
      </c>
      <c r="C103" t="s">
        <v>77</v>
      </c>
      <c r="D103">
        <v>1.38</v>
      </c>
      <c r="E103">
        <v>3.1</v>
      </c>
      <c r="F103" t="s">
        <v>8</v>
      </c>
      <c r="G103" s="2"/>
      <c r="H103" s="2"/>
    </row>
    <row r="104" spans="2:8" x14ac:dyDescent="0.25">
      <c r="B104" t="s">
        <v>76</v>
      </c>
      <c r="C104" t="s">
        <v>77</v>
      </c>
      <c r="D104">
        <v>1.37</v>
      </c>
      <c r="E104">
        <v>3.15</v>
      </c>
      <c r="F104" t="s">
        <v>8</v>
      </c>
      <c r="G104" s="2"/>
      <c r="H104" s="2"/>
    </row>
    <row r="105" spans="2:8" x14ac:dyDescent="0.25">
      <c r="B105" t="s">
        <v>76</v>
      </c>
      <c r="C105" t="s">
        <v>77</v>
      </c>
      <c r="D105">
        <v>1.38</v>
      </c>
      <c r="E105">
        <v>3.1</v>
      </c>
      <c r="F105" t="s">
        <v>8</v>
      </c>
      <c r="G105" s="2"/>
      <c r="H105" s="2"/>
    </row>
    <row r="106" spans="2:8" x14ac:dyDescent="0.25">
      <c r="B106" t="s">
        <v>76</v>
      </c>
      <c r="C106" t="s">
        <v>77</v>
      </c>
      <c r="D106">
        <v>1.36</v>
      </c>
      <c r="E106">
        <v>3.2</v>
      </c>
      <c r="F106" t="s">
        <v>8</v>
      </c>
      <c r="G106" s="2"/>
      <c r="H106" s="2"/>
    </row>
    <row r="107" spans="2:8" x14ac:dyDescent="0.25">
      <c r="B107" t="s">
        <v>76</v>
      </c>
      <c r="C107" t="s">
        <v>77</v>
      </c>
      <c r="D107">
        <v>1.39</v>
      </c>
      <c r="E107">
        <v>3.18</v>
      </c>
      <c r="F107" t="s">
        <v>8</v>
      </c>
      <c r="G107" s="2"/>
      <c r="H107" s="2"/>
    </row>
    <row r="108" spans="2:8" x14ac:dyDescent="0.25">
      <c r="B108" t="s">
        <v>83</v>
      </c>
      <c r="C108" t="s">
        <v>77</v>
      </c>
      <c r="D108">
        <v>2.54</v>
      </c>
      <c r="E108">
        <v>1.54</v>
      </c>
      <c r="F108" t="s">
        <v>8</v>
      </c>
      <c r="G108" s="2"/>
      <c r="H108" s="2"/>
    </row>
    <row r="109" spans="2:8" x14ac:dyDescent="0.25">
      <c r="B109" t="s">
        <v>83</v>
      </c>
      <c r="C109" t="s">
        <v>77</v>
      </c>
      <c r="D109">
        <v>2.6</v>
      </c>
      <c r="E109">
        <v>1.52</v>
      </c>
      <c r="F109" t="s">
        <v>8</v>
      </c>
      <c r="G109" s="2"/>
      <c r="H109" s="2"/>
    </row>
    <row r="110" spans="2:8" x14ac:dyDescent="0.25">
      <c r="B110" t="s">
        <v>83</v>
      </c>
      <c r="C110" t="s">
        <v>77</v>
      </c>
      <c r="D110">
        <v>2.6</v>
      </c>
      <c r="E110">
        <v>1.53</v>
      </c>
      <c r="F110" t="s">
        <v>8</v>
      </c>
      <c r="G110" s="2"/>
      <c r="H110" s="2"/>
    </row>
    <row r="111" spans="2:8" x14ac:dyDescent="0.25">
      <c r="B111" t="s">
        <v>83</v>
      </c>
      <c r="C111" t="s">
        <v>77</v>
      </c>
      <c r="D111">
        <v>2.5499999999999998</v>
      </c>
      <c r="E111">
        <v>1.56</v>
      </c>
      <c r="F111" t="s">
        <v>8</v>
      </c>
      <c r="G111" s="2"/>
      <c r="H111" s="2"/>
    </row>
    <row r="112" spans="2:8" x14ac:dyDescent="0.25">
      <c r="B112" t="s">
        <v>83</v>
      </c>
      <c r="C112" t="s">
        <v>77</v>
      </c>
      <c r="D112">
        <v>2.58</v>
      </c>
      <c r="E112">
        <v>1.53</v>
      </c>
      <c r="F112" t="s">
        <v>8</v>
      </c>
      <c r="G112" s="2"/>
      <c r="H112" s="2"/>
    </row>
    <row r="113" spans="2:8" x14ac:dyDescent="0.25">
      <c r="B113" t="s">
        <v>83</v>
      </c>
      <c r="C113" t="s">
        <v>77</v>
      </c>
      <c r="D113">
        <v>2.65</v>
      </c>
      <c r="E113">
        <v>1.53</v>
      </c>
      <c r="F113" t="s">
        <v>8</v>
      </c>
      <c r="G113" s="2"/>
      <c r="H113" s="2"/>
    </row>
    <row r="114" spans="2:8" x14ac:dyDescent="0.25">
      <c r="B114" t="s">
        <v>83</v>
      </c>
      <c r="C114" t="s">
        <v>77</v>
      </c>
      <c r="D114">
        <v>2.65</v>
      </c>
      <c r="E114">
        <v>1.53</v>
      </c>
      <c r="F114" t="s">
        <v>8</v>
      </c>
      <c r="G114" s="2"/>
      <c r="H114" s="2"/>
    </row>
    <row r="115" spans="2:8" x14ac:dyDescent="0.25">
      <c r="B115" t="s">
        <v>83</v>
      </c>
      <c r="C115" t="s">
        <v>77</v>
      </c>
      <c r="D115">
        <v>2.5499999999999998</v>
      </c>
      <c r="E115">
        <v>1.56</v>
      </c>
      <c r="F115" t="s">
        <v>8</v>
      </c>
      <c r="G115" s="2"/>
      <c r="H115" s="2"/>
    </row>
    <row r="116" spans="2:8" x14ac:dyDescent="0.25">
      <c r="B116" t="s">
        <v>83</v>
      </c>
      <c r="C116" t="s">
        <v>77</v>
      </c>
      <c r="D116">
        <v>2.5</v>
      </c>
      <c r="E116">
        <v>1.54</v>
      </c>
      <c r="F116" t="s">
        <v>8</v>
      </c>
      <c r="G116" s="2"/>
      <c r="H116" s="2"/>
    </row>
    <row r="117" spans="2:8" x14ac:dyDescent="0.25">
      <c r="B117" t="s">
        <v>83</v>
      </c>
      <c r="C117" t="s">
        <v>77</v>
      </c>
      <c r="D117">
        <v>2.5</v>
      </c>
      <c r="E117">
        <v>1.54</v>
      </c>
      <c r="F117" t="s">
        <v>8</v>
      </c>
      <c r="G117" s="2"/>
      <c r="H117" s="2"/>
    </row>
    <row r="118" spans="2:8" x14ac:dyDescent="0.25">
      <c r="B118" t="s">
        <v>83</v>
      </c>
      <c r="C118" t="s">
        <v>77</v>
      </c>
      <c r="D118">
        <v>2.5</v>
      </c>
      <c r="E118">
        <v>1.54</v>
      </c>
      <c r="F118" t="s">
        <v>8</v>
      </c>
      <c r="G118" s="2"/>
      <c r="H118" s="2"/>
    </row>
    <row r="119" spans="2:8" x14ac:dyDescent="0.25">
      <c r="B119" t="s">
        <v>83</v>
      </c>
      <c r="C119" t="s">
        <v>77</v>
      </c>
      <c r="D119">
        <v>2.6</v>
      </c>
      <c r="E119">
        <v>1.54</v>
      </c>
      <c r="F119" t="s">
        <v>8</v>
      </c>
      <c r="G119" s="2"/>
      <c r="H119" s="2"/>
    </row>
    <row r="120" spans="2:8" x14ac:dyDescent="0.25">
      <c r="B120" t="s">
        <v>83</v>
      </c>
      <c r="C120" t="s">
        <v>77</v>
      </c>
      <c r="D120">
        <v>2.5</v>
      </c>
      <c r="E120">
        <v>1.56</v>
      </c>
      <c r="F120" t="s">
        <v>8</v>
      </c>
      <c r="G120" s="2"/>
      <c r="H120" s="2"/>
    </row>
    <row r="121" spans="2:8" x14ac:dyDescent="0.25">
      <c r="B121" t="s">
        <v>83</v>
      </c>
      <c r="C121" t="s">
        <v>77</v>
      </c>
      <c r="D121">
        <v>2.5499999999999998</v>
      </c>
      <c r="E121">
        <v>1.53</v>
      </c>
      <c r="F121" t="s">
        <v>8</v>
      </c>
      <c r="G121" s="2"/>
      <c r="H121" s="2"/>
    </row>
    <row r="122" spans="2:8" x14ac:dyDescent="0.25">
      <c r="B122" t="s">
        <v>83</v>
      </c>
      <c r="C122" t="s">
        <v>77</v>
      </c>
      <c r="D122">
        <v>2.58</v>
      </c>
      <c r="E122">
        <v>1.54</v>
      </c>
      <c r="F122" t="s">
        <v>8</v>
      </c>
      <c r="G122" s="2"/>
      <c r="H122" s="2"/>
    </row>
    <row r="123" spans="2:8" x14ac:dyDescent="0.25">
      <c r="B123" t="s">
        <v>79</v>
      </c>
      <c r="C123" t="s">
        <v>245</v>
      </c>
      <c r="D123">
        <v>2.88</v>
      </c>
      <c r="E123">
        <v>1.44</v>
      </c>
      <c r="F123" t="s">
        <v>8</v>
      </c>
      <c r="G123" s="2"/>
      <c r="H123" s="2"/>
    </row>
    <row r="124" spans="2:8" x14ac:dyDescent="0.25">
      <c r="B124" t="s">
        <v>79</v>
      </c>
      <c r="C124" t="s">
        <v>245</v>
      </c>
      <c r="D124">
        <v>2.95</v>
      </c>
      <c r="E124">
        <v>1.42</v>
      </c>
      <c r="F124" t="s">
        <v>8</v>
      </c>
      <c r="G124" s="2"/>
      <c r="H124" s="2"/>
    </row>
    <row r="125" spans="2:8" x14ac:dyDescent="0.25">
      <c r="B125" t="s">
        <v>79</v>
      </c>
      <c r="C125" t="s">
        <v>245</v>
      </c>
      <c r="D125">
        <v>3</v>
      </c>
      <c r="E125">
        <v>1.4</v>
      </c>
      <c r="F125" t="s">
        <v>8</v>
      </c>
      <c r="G125" s="2"/>
      <c r="H125" s="2"/>
    </row>
    <row r="126" spans="2:8" x14ac:dyDescent="0.25">
      <c r="B126" t="s">
        <v>79</v>
      </c>
      <c r="C126" t="s">
        <v>245</v>
      </c>
      <c r="D126">
        <v>2.95</v>
      </c>
      <c r="E126">
        <v>1.43</v>
      </c>
      <c r="F126" t="s">
        <v>8</v>
      </c>
      <c r="G126" s="2"/>
      <c r="H126" s="2"/>
    </row>
    <row r="127" spans="2:8" x14ac:dyDescent="0.25">
      <c r="B127" t="s">
        <v>79</v>
      </c>
      <c r="C127" t="s">
        <v>245</v>
      </c>
      <c r="D127">
        <v>3.05</v>
      </c>
      <c r="E127">
        <v>1.4</v>
      </c>
      <c r="F127" t="s">
        <v>8</v>
      </c>
      <c r="G127" s="2"/>
      <c r="H127" s="2"/>
    </row>
    <row r="128" spans="2:8" x14ac:dyDescent="0.25">
      <c r="B128" t="s">
        <v>79</v>
      </c>
      <c r="C128" t="s">
        <v>245</v>
      </c>
      <c r="D128">
        <v>3</v>
      </c>
      <c r="E128">
        <v>1.42</v>
      </c>
      <c r="F128" t="s">
        <v>8</v>
      </c>
      <c r="G128" s="2"/>
      <c r="H128" s="2"/>
    </row>
    <row r="129" spans="2:8" x14ac:dyDescent="0.25">
      <c r="B129" t="s">
        <v>79</v>
      </c>
      <c r="C129" t="s">
        <v>245</v>
      </c>
      <c r="D129">
        <v>3</v>
      </c>
      <c r="E129">
        <v>1.42</v>
      </c>
      <c r="F129" t="s">
        <v>8</v>
      </c>
      <c r="G129" s="2"/>
      <c r="H129" s="2"/>
    </row>
    <row r="130" spans="2:8" x14ac:dyDescent="0.25">
      <c r="B130" t="s">
        <v>79</v>
      </c>
      <c r="C130" t="s">
        <v>245</v>
      </c>
      <c r="D130">
        <v>2.95</v>
      </c>
      <c r="E130">
        <v>1.43</v>
      </c>
      <c r="F130" t="s">
        <v>8</v>
      </c>
      <c r="G130" s="2"/>
      <c r="H130" s="2"/>
    </row>
    <row r="131" spans="2:8" x14ac:dyDescent="0.25">
      <c r="B131" t="s">
        <v>79</v>
      </c>
      <c r="C131" t="s">
        <v>245</v>
      </c>
      <c r="D131">
        <v>3</v>
      </c>
      <c r="E131">
        <v>1.4</v>
      </c>
      <c r="F131" t="s">
        <v>8</v>
      </c>
      <c r="G131" s="2"/>
      <c r="H131" s="2"/>
    </row>
    <row r="132" spans="2:8" x14ac:dyDescent="0.25">
      <c r="B132" t="s">
        <v>79</v>
      </c>
      <c r="C132" t="s">
        <v>245</v>
      </c>
      <c r="D132">
        <v>3</v>
      </c>
      <c r="E132">
        <v>1.4</v>
      </c>
      <c r="F132" t="s">
        <v>8</v>
      </c>
      <c r="G132" s="2"/>
      <c r="H132" s="2"/>
    </row>
    <row r="133" spans="2:8" x14ac:dyDescent="0.25">
      <c r="B133" t="s">
        <v>79</v>
      </c>
      <c r="C133" t="s">
        <v>245</v>
      </c>
      <c r="D133">
        <v>3</v>
      </c>
      <c r="E133">
        <v>1.4</v>
      </c>
      <c r="F133" t="s">
        <v>8</v>
      </c>
      <c r="G133" s="2"/>
      <c r="H133" s="2"/>
    </row>
    <row r="134" spans="2:8" x14ac:dyDescent="0.25">
      <c r="B134" t="s">
        <v>79</v>
      </c>
      <c r="C134" t="s">
        <v>245</v>
      </c>
      <c r="D134">
        <v>3</v>
      </c>
      <c r="E134">
        <v>1.4</v>
      </c>
      <c r="F134" t="s">
        <v>8</v>
      </c>
      <c r="G134" s="2"/>
      <c r="H134" s="2"/>
    </row>
    <row r="135" spans="2:8" x14ac:dyDescent="0.25">
      <c r="B135" t="s">
        <v>79</v>
      </c>
      <c r="C135" t="s">
        <v>245</v>
      </c>
      <c r="D135">
        <v>3</v>
      </c>
      <c r="E135">
        <v>1.4</v>
      </c>
      <c r="F135" t="s">
        <v>8</v>
      </c>
      <c r="G135" s="2"/>
      <c r="H135" s="2"/>
    </row>
    <row r="136" spans="2:8" x14ac:dyDescent="0.25">
      <c r="B136" t="s">
        <v>79</v>
      </c>
      <c r="C136" t="s">
        <v>245</v>
      </c>
      <c r="D136">
        <v>3</v>
      </c>
      <c r="E136">
        <v>1.4</v>
      </c>
      <c r="F136" t="s">
        <v>8</v>
      </c>
      <c r="G136" s="2"/>
      <c r="H136" s="2"/>
    </row>
    <row r="137" spans="2:8" x14ac:dyDescent="0.25">
      <c r="B137" t="s">
        <v>79</v>
      </c>
      <c r="C137" t="s">
        <v>245</v>
      </c>
      <c r="D137">
        <v>3.03</v>
      </c>
      <c r="E137">
        <v>1.42</v>
      </c>
      <c r="F137" t="s">
        <v>8</v>
      </c>
      <c r="G137" s="2"/>
      <c r="H137" s="2"/>
    </row>
    <row r="138" spans="2:8" x14ac:dyDescent="0.25">
      <c r="B138" t="s">
        <v>86</v>
      </c>
      <c r="C138" t="s">
        <v>180</v>
      </c>
      <c r="D138">
        <v>2.2400000000000002</v>
      </c>
      <c r="E138">
        <v>1.68</v>
      </c>
      <c r="F138" t="s">
        <v>8</v>
      </c>
      <c r="G138" s="2"/>
      <c r="H138" s="2"/>
    </row>
    <row r="139" spans="2:8" x14ac:dyDescent="0.25">
      <c r="B139" t="s">
        <v>86</v>
      </c>
      <c r="C139" t="s">
        <v>180</v>
      </c>
      <c r="D139">
        <v>2.2999999999999998</v>
      </c>
      <c r="E139">
        <v>1.65</v>
      </c>
      <c r="F139" t="s">
        <v>8</v>
      </c>
      <c r="G139" s="2"/>
      <c r="H139" s="2"/>
    </row>
    <row r="140" spans="2:8" x14ac:dyDescent="0.25">
      <c r="B140" t="s">
        <v>86</v>
      </c>
      <c r="C140" t="s">
        <v>180</v>
      </c>
      <c r="D140">
        <v>2.2999999999999998</v>
      </c>
      <c r="E140">
        <v>1.67</v>
      </c>
      <c r="F140" t="s">
        <v>8</v>
      </c>
      <c r="G140" s="2"/>
      <c r="H140" s="2"/>
    </row>
    <row r="141" spans="2:8" x14ac:dyDescent="0.25">
      <c r="B141" t="s">
        <v>86</v>
      </c>
      <c r="C141" t="s">
        <v>180</v>
      </c>
      <c r="D141">
        <v>2.35</v>
      </c>
      <c r="E141">
        <v>1.65</v>
      </c>
      <c r="F141" t="s">
        <v>8</v>
      </c>
      <c r="G141" s="2"/>
      <c r="H141" s="2"/>
    </row>
    <row r="142" spans="2:8" x14ac:dyDescent="0.25">
      <c r="B142" t="s">
        <v>86</v>
      </c>
      <c r="C142" t="s">
        <v>180</v>
      </c>
      <c r="D142">
        <v>2.2200000000000002</v>
      </c>
      <c r="E142">
        <v>1.69</v>
      </c>
      <c r="F142" t="s">
        <v>8</v>
      </c>
      <c r="G142" s="2"/>
      <c r="H142" s="2"/>
    </row>
    <row r="143" spans="2:8" x14ac:dyDescent="0.25">
      <c r="B143" t="s">
        <v>86</v>
      </c>
      <c r="C143" t="s">
        <v>180</v>
      </c>
      <c r="D143">
        <v>2.35</v>
      </c>
      <c r="E143">
        <v>1.65</v>
      </c>
      <c r="F143" t="s">
        <v>8</v>
      </c>
      <c r="G143" s="2"/>
      <c r="H143" s="2"/>
    </row>
    <row r="144" spans="2:8" x14ac:dyDescent="0.25">
      <c r="B144" t="s">
        <v>86</v>
      </c>
      <c r="C144" t="s">
        <v>180</v>
      </c>
      <c r="D144">
        <v>2.35</v>
      </c>
      <c r="E144">
        <v>1.64</v>
      </c>
      <c r="F144" t="s">
        <v>8</v>
      </c>
      <c r="G144" s="2"/>
      <c r="H144" s="2"/>
    </row>
    <row r="145" spans="2:8" x14ac:dyDescent="0.25">
      <c r="B145" t="s">
        <v>86</v>
      </c>
      <c r="C145" t="s">
        <v>180</v>
      </c>
      <c r="D145">
        <v>2.35</v>
      </c>
      <c r="E145">
        <v>1.62</v>
      </c>
      <c r="F145" t="s">
        <v>8</v>
      </c>
      <c r="G145" s="2"/>
      <c r="H145" s="2"/>
    </row>
    <row r="146" spans="2:8" x14ac:dyDescent="0.25">
      <c r="B146" t="s">
        <v>86</v>
      </c>
      <c r="C146" t="s">
        <v>180</v>
      </c>
      <c r="D146">
        <v>2.2999999999999998</v>
      </c>
      <c r="E146">
        <v>1.65</v>
      </c>
      <c r="F146" t="s">
        <v>8</v>
      </c>
      <c r="G146" s="2"/>
      <c r="H146" s="2"/>
    </row>
    <row r="147" spans="2:8" x14ac:dyDescent="0.25">
      <c r="B147" t="s">
        <v>86</v>
      </c>
      <c r="C147" t="s">
        <v>180</v>
      </c>
      <c r="D147">
        <v>2.25</v>
      </c>
      <c r="E147">
        <v>1.67</v>
      </c>
      <c r="F147" t="s">
        <v>8</v>
      </c>
      <c r="G147" s="2"/>
      <c r="H147" s="2"/>
    </row>
    <row r="148" spans="2:8" x14ac:dyDescent="0.25">
      <c r="B148" t="s">
        <v>86</v>
      </c>
      <c r="C148" t="s">
        <v>180</v>
      </c>
      <c r="D148">
        <v>2.17</v>
      </c>
      <c r="E148">
        <v>1.7</v>
      </c>
      <c r="F148" t="s">
        <v>8</v>
      </c>
      <c r="G148" s="2"/>
      <c r="H148" s="2"/>
    </row>
    <row r="149" spans="2:8" x14ac:dyDescent="0.25">
      <c r="B149" t="s">
        <v>86</v>
      </c>
      <c r="C149" t="s">
        <v>180</v>
      </c>
      <c r="D149">
        <v>2.17</v>
      </c>
      <c r="E149">
        <v>1.7</v>
      </c>
      <c r="F149" t="s">
        <v>8</v>
      </c>
      <c r="G149" s="2"/>
      <c r="H149" s="2"/>
    </row>
    <row r="150" spans="2:8" x14ac:dyDescent="0.25">
      <c r="B150" t="s">
        <v>86</v>
      </c>
      <c r="C150" t="s">
        <v>180</v>
      </c>
      <c r="D150">
        <v>2.17</v>
      </c>
      <c r="E150">
        <v>1.7</v>
      </c>
      <c r="F150" t="s">
        <v>8</v>
      </c>
      <c r="G150" s="2"/>
      <c r="H150" s="2"/>
    </row>
    <row r="151" spans="2:8" x14ac:dyDescent="0.25">
      <c r="B151" t="s">
        <v>86</v>
      </c>
      <c r="C151" t="s">
        <v>180</v>
      </c>
      <c r="D151">
        <v>2.25</v>
      </c>
      <c r="E151">
        <v>1.67</v>
      </c>
      <c r="F151" t="s">
        <v>8</v>
      </c>
      <c r="G151" s="2"/>
      <c r="H151" s="2"/>
    </row>
    <row r="152" spans="2:8" x14ac:dyDescent="0.25">
      <c r="B152" t="s">
        <v>86</v>
      </c>
      <c r="C152" t="s">
        <v>180</v>
      </c>
      <c r="D152">
        <v>2.25</v>
      </c>
      <c r="E152">
        <v>1.69</v>
      </c>
      <c r="F152" t="s">
        <v>8</v>
      </c>
      <c r="G152" s="2"/>
      <c r="H152" s="2"/>
    </row>
    <row r="153" spans="2:8" x14ac:dyDescent="0.25">
      <c r="B153" t="s">
        <v>84</v>
      </c>
      <c r="C153" t="s">
        <v>180</v>
      </c>
      <c r="D153">
        <v>2.52</v>
      </c>
      <c r="E153">
        <v>1.56</v>
      </c>
      <c r="F153" t="s">
        <v>8</v>
      </c>
      <c r="G153" s="2"/>
      <c r="H153" s="2"/>
    </row>
    <row r="154" spans="2:8" x14ac:dyDescent="0.25">
      <c r="B154" t="s">
        <v>84</v>
      </c>
      <c r="C154" t="s">
        <v>180</v>
      </c>
      <c r="D154">
        <v>2.54</v>
      </c>
      <c r="E154">
        <v>1.54</v>
      </c>
      <c r="F154" t="s">
        <v>8</v>
      </c>
      <c r="G154" s="2"/>
      <c r="H154" s="2"/>
    </row>
    <row r="155" spans="2:8" x14ac:dyDescent="0.25">
      <c r="B155" t="s">
        <v>84</v>
      </c>
      <c r="C155" t="s">
        <v>180</v>
      </c>
      <c r="D155">
        <v>2.5499999999999998</v>
      </c>
      <c r="E155">
        <v>1.54</v>
      </c>
      <c r="F155" t="s">
        <v>8</v>
      </c>
      <c r="G155" s="2"/>
      <c r="H155" s="2"/>
    </row>
    <row r="156" spans="2:8" x14ac:dyDescent="0.25">
      <c r="B156" t="s">
        <v>84</v>
      </c>
      <c r="C156" t="s">
        <v>180</v>
      </c>
      <c r="D156">
        <v>2.5499999999999998</v>
      </c>
      <c r="E156">
        <v>1.56</v>
      </c>
      <c r="F156" t="s">
        <v>8</v>
      </c>
      <c r="G156" s="2"/>
      <c r="H156" s="2"/>
    </row>
    <row r="157" spans="2:8" x14ac:dyDescent="0.25">
      <c r="B157" t="s">
        <v>84</v>
      </c>
      <c r="C157" t="s">
        <v>180</v>
      </c>
      <c r="D157">
        <v>2.58</v>
      </c>
      <c r="E157">
        <v>1.53</v>
      </c>
      <c r="F157" t="s">
        <v>8</v>
      </c>
      <c r="G157" s="2"/>
      <c r="H157" s="2"/>
    </row>
    <row r="158" spans="2:8" x14ac:dyDescent="0.25">
      <c r="B158" t="s">
        <v>84</v>
      </c>
      <c r="C158" t="s">
        <v>180</v>
      </c>
      <c r="D158">
        <v>2.5499999999999998</v>
      </c>
      <c r="E158">
        <v>1.57</v>
      </c>
      <c r="F158" t="s">
        <v>8</v>
      </c>
      <c r="G158" s="2"/>
      <c r="H158" s="2"/>
    </row>
    <row r="159" spans="2:8" x14ac:dyDescent="0.25">
      <c r="B159" t="s">
        <v>84</v>
      </c>
      <c r="C159" t="s">
        <v>180</v>
      </c>
      <c r="D159">
        <v>2.5499999999999998</v>
      </c>
      <c r="E159">
        <v>1.57</v>
      </c>
      <c r="F159" t="s">
        <v>8</v>
      </c>
      <c r="G159" s="2"/>
      <c r="H159" s="2"/>
    </row>
    <row r="160" spans="2:8" x14ac:dyDescent="0.25">
      <c r="B160" t="s">
        <v>84</v>
      </c>
      <c r="C160" t="s">
        <v>180</v>
      </c>
      <c r="D160">
        <v>2.5</v>
      </c>
      <c r="E160">
        <v>1.57</v>
      </c>
      <c r="F160" t="s">
        <v>8</v>
      </c>
      <c r="G160" s="2"/>
      <c r="H160" s="2"/>
    </row>
    <row r="161" spans="2:8" x14ac:dyDescent="0.25">
      <c r="B161" t="s">
        <v>84</v>
      </c>
      <c r="C161" t="s">
        <v>180</v>
      </c>
      <c r="D161">
        <v>2.5499999999999998</v>
      </c>
      <c r="E161">
        <v>1.53</v>
      </c>
      <c r="F161" t="s">
        <v>8</v>
      </c>
      <c r="G161" s="2"/>
      <c r="H161" s="2"/>
    </row>
    <row r="162" spans="2:8" x14ac:dyDescent="0.25">
      <c r="B162" t="s">
        <v>84</v>
      </c>
      <c r="C162" t="s">
        <v>180</v>
      </c>
      <c r="D162">
        <v>2.5499999999999998</v>
      </c>
      <c r="E162">
        <v>1.53</v>
      </c>
      <c r="F162" t="s">
        <v>8</v>
      </c>
      <c r="G162" s="2"/>
      <c r="H162" s="2"/>
    </row>
    <row r="163" spans="2:8" x14ac:dyDescent="0.25">
      <c r="B163" t="s">
        <v>84</v>
      </c>
      <c r="C163" t="s">
        <v>180</v>
      </c>
      <c r="D163">
        <v>2.5499999999999998</v>
      </c>
      <c r="E163">
        <v>1.53</v>
      </c>
      <c r="F163" t="s">
        <v>8</v>
      </c>
      <c r="G163" s="2"/>
      <c r="H163" s="2"/>
    </row>
    <row r="164" spans="2:8" x14ac:dyDescent="0.25">
      <c r="B164" t="s">
        <v>84</v>
      </c>
      <c r="C164" t="s">
        <v>180</v>
      </c>
      <c r="D164">
        <v>2.65</v>
      </c>
      <c r="E164">
        <v>1.5</v>
      </c>
      <c r="F164" t="s">
        <v>8</v>
      </c>
      <c r="G164" s="2"/>
      <c r="H164" s="2"/>
    </row>
    <row r="165" spans="2:8" x14ac:dyDescent="0.25">
      <c r="B165" t="s">
        <v>84</v>
      </c>
      <c r="C165" t="s">
        <v>180</v>
      </c>
      <c r="D165">
        <v>2.5</v>
      </c>
      <c r="E165">
        <v>1.56</v>
      </c>
      <c r="F165" t="s">
        <v>8</v>
      </c>
      <c r="G165" s="2"/>
      <c r="H165" s="2"/>
    </row>
    <row r="166" spans="2:8" x14ac:dyDescent="0.25">
      <c r="B166" t="s">
        <v>84</v>
      </c>
      <c r="C166" t="s">
        <v>180</v>
      </c>
      <c r="D166">
        <v>2.4500000000000002</v>
      </c>
      <c r="E166">
        <v>1.57</v>
      </c>
      <c r="F166" t="s">
        <v>8</v>
      </c>
      <c r="G166" s="2"/>
      <c r="H166" s="2"/>
    </row>
    <row r="167" spans="2:8" x14ac:dyDescent="0.25">
      <c r="B167" t="s">
        <v>84</v>
      </c>
      <c r="C167" t="s">
        <v>180</v>
      </c>
      <c r="D167">
        <v>2.65</v>
      </c>
      <c r="E167">
        <v>1.51</v>
      </c>
      <c r="F167" t="s">
        <v>8</v>
      </c>
      <c r="G167" s="2"/>
      <c r="H167" s="2"/>
    </row>
    <row r="168" spans="2:8" x14ac:dyDescent="0.25">
      <c r="B168" t="s">
        <v>168</v>
      </c>
      <c r="C168" t="s">
        <v>169</v>
      </c>
      <c r="D168">
        <v>3.3</v>
      </c>
      <c r="E168">
        <v>1.36</v>
      </c>
      <c r="F168" t="s">
        <v>8</v>
      </c>
      <c r="G168" s="2"/>
      <c r="H168" s="2"/>
    </row>
    <row r="169" spans="2:8" x14ac:dyDescent="0.25">
      <c r="B169" t="s">
        <v>168</v>
      </c>
      <c r="C169" t="s">
        <v>169</v>
      </c>
      <c r="D169">
        <v>3.15</v>
      </c>
      <c r="E169">
        <v>1.38</v>
      </c>
      <c r="F169" t="s">
        <v>8</v>
      </c>
      <c r="G169" s="2"/>
      <c r="H169" s="2"/>
    </row>
    <row r="170" spans="2:8" x14ac:dyDescent="0.25">
      <c r="B170" t="s">
        <v>168</v>
      </c>
      <c r="C170" t="s">
        <v>169</v>
      </c>
      <c r="D170">
        <v>3.4</v>
      </c>
      <c r="E170">
        <v>1.33</v>
      </c>
      <c r="F170" t="s">
        <v>8</v>
      </c>
      <c r="G170" s="2"/>
      <c r="H170" s="2"/>
    </row>
    <row r="171" spans="2:8" x14ac:dyDescent="0.25">
      <c r="B171" t="s">
        <v>168</v>
      </c>
      <c r="C171" t="s">
        <v>169</v>
      </c>
      <c r="D171">
        <v>3.3</v>
      </c>
      <c r="E171">
        <v>1.36</v>
      </c>
      <c r="F171" t="s">
        <v>8</v>
      </c>
      <c r="G171" s="2"/>
      <c r="H171" s="2"/>
    </row>
    <row r="172" spans="2:8" x14ac:dyDescent="0.25">
      <c r="B172" t="s">
        <v>168</v>
      </c>
      <c r="C172" t="s">
        <v>169</v>
      </c>
      <c r="D172">
        <v>3.35</v>
      </c>
      <c r="E172">
        <v>1.34</v>
      </c>
      <c r="F172" t="s">
        <v>8</v>
      </c>
      <c r="G172" s="2"/>
      <c r="H172" s="2"/>
    </row>
    <row r="173" spans="2:8" x14ac:dyDescent="0.25">
      <c r="B173" t="s">
        <v>168</v>
      </c>
      <c r="C173" t="s">
        <v>169</v>
      </c>
      <c r="D173">
        <v>3.35</v>
      </c>
      <c r="E173">
        <v>1.36</v>
      </c>
      <c r="F173" t="s">
        <v>8</v>
      </c>
      <c r="G173" s="2"/>
      <c r="H173" s="2"/>
    </row>
    <row r="174" spans="2:8" x14ac:dyDescent="0.25">
      <c r="B174" t="s">
        <v>168</v>
      </c>
      <c r="C174" t="s">
        <v>169</v>
      </c>
      <c r="D174">
        <v>3.35</v>
      </c>
      <c r="E174">
        <v>1.36</v>
      </c>
      <c r="F174" t="s">
        <v>8</v>
      </c>
      <c r="G174" s="2"/>
      <c r="H174" s="2"/>
    </row>
    <row r="175" spans="2:8" x14ac:dyDescent="0.25">
      <c r="B175" t="s">
        <v>168</v>
      </c>
      <c r="C175" t="s">
        <v>169</v>
      </c>
      <c r="D175">
        <v>3.3</v>
      </c>
      <c r="E175">
        <v>1.36</v>
      </c>
      <c r="F175" t="s">
        <v>8</v>
      </c>
      <c r="G175" s="2"/>
      <c r="H175" s="2"/>
    </row>
    <row r="176" spans="2:8" x14ac:dyDescent="0.25">
      <c r="B176" t="s">
        <v>168</v>
      </c>
      <c r="C176" t="s">
        <v>169</v>
      </c>
      <c r="D176">
        <v>3.25</v>
      </c>
      <c r="E176">
        <v>1.33</v>
      </c>
      <c r="F176" t="s">
        <v>8</v>
      </c>
      <c r="G176" s="2"/>
      <c r="H176" s="2"/>
    </row>
    <row r="177" spans="2:8" x14ac:dyDescent="0.25">
      <c r="B177" t="s">
        <v>168</v>
      </c>
      <c r="C177" t="s">
        <v>169</v>
      </c>
      <c r="D177">
        <v>3.2</v>
      </c>
      <c r="E177">
        <v>1.36</v>
      </c>
      <c r="F177" t="s">
        <v>8</v>
      </c>
      <c r="G177" s="2"/>
      <c r="H177" s="2"/>
    </row>
    <row r="178" spans="2:8" x14ac:dyDescent="0.25">
      <c r="B178" t="s">
        <v>168</v>
      </c>
      <c r="C178" t="s">
        <v>169</v>
      </c>
      <c r="D178">
        <v>3.3</v>
      </c>
      <c r="E178">
        <v>1.34</v>
      </c>
      <c r="F178" t="s">
        <v>8</v>
      </c>
      <c r="G178" s="2"/>
      <c r="H178" s="2"/>
    </row>
    <row r="179" spans="2:8" x14ac:dyDescent="0.25">
      <c r="B179" t="s">
        <v>168</v>
      </c>
      <c r="C179" t="s">
        <v>169</v>
      </c>
      <c r="D179">
        <v>3.25</v>
      </c>
      <c r="E179">
        <v>1.33</v>
      </c>
      <c r="F179" t="s">
        <v>8</v>
      </c>
      <c r="G179" s="2"/>
      <c r="H179" s="2"/>
    </row>
    <row r="180" spans="2:8" x14ac:dyDescent="0.25">
      <c r="B180" t="s">
        <v>168</v>
      </c>
      <c r="C180" t="s">
        <v>169</v>
      </c>
      <c r="D180">
        <v>3.25</v>
      </c>
      <c r="E180">
        <v>1.33</v>
      </c>
      <c r="F180" t="s">
        <v>8</v>
      </c>
      <c r="G180" s="2"/>
      <c r="H180" s="2"/>
    </row>
    <row r="181" spans="2:8" x14ac:dyDescent="0.25">
      <c r="B181" t="s">
        <v>168</v>
      </c>
      <c r="C181" t="s">
        <v>169</v>
      </c>
      <c r="D181">
        <v>3.4</v>
      </c>
      <c r="E181">
        <v>1.33</v>
      </c>
      <c r="F181" t="s">
        <v>8</v>
      </c>
      <c r="G181" s="2"/>
      <c r="H181" s="2"/>
    </row>
    <row r="182" spans="2:8" x14ac:dyDescent="0.25">
      <c r="B182" t="s">
        <v>168</v>
      </c>
      <c r="C182" t="s">
        <v>169</v>
      </c>
      <c r="D182">
        <v>3.35</v>
      </c>
      <c r="E182">
        <v>1.36</v>
      </c>
      <c r="F182" t="s">
        <v>8</v>
      </c>
      <c r="G182" s="2"/>
      <c r="H182" s="2"/>
    </row>
    <row r="183" spans="2:8" x14ac:dyDescent="0.25">
      <c r="B183" t="s">
        <v>85</v>
      </c>
      <c r="C183" t="s">
        <v>181</v>
      </c>
      <c r="D183">
        <v>4</v>
      </c>
      <c r="E183">
        <v>1.27</v>
      </c>
      <c r="F183" t="s">
        <v>8</v>
      </c>
      <c r="G183" s="2"/>
      <c r="H183" s="2"/>
    </row>
    <row r="184" spans="2:8" x14ac:dyDescent="0.25">
      <c r="B184" t="s">
        <v>85</v>
      </c>
      <c r="C184" t="s">
        <v>181</v>
      </c>
      <c r="D184">
        <v>3.95</v>
      </c>
      <c r="E184">
        <v>1.27</v>
      </c>
      <c r="F184" t="s">
        <v>8</v>
      </c>
      <c r="G184" s="2"/>
      <c r="H184" s="2"/>
    </row>
    <row r="185" spans="2:8" x14ac:dyDescent="0.25">
      <c r="B185" t="s">
        <v>85</v>
      </c>
      <c r="C185" t="s">
        <v>181</v>
      </c>
      <c r="D185">
        <v>4</v>
      </c>
      <c r="E185">
        <v>1.25</v>
      </c>
      <c r="F185" t="s">
        <v>8</v>
      </c>
      <c r="G185" s="2"/>
      <c r="H185" s="2"/>
    </row>
    <row r="186" spans="2:8" x14ac:dyDescent="0.25">
      <c r="B186" t="s">
        <v>85</v>
      </c>
      <c r="C186" t="s">
        <v>181</v>
      </c>
      <c r="D186">
        <v>4.2</v>
      </c>
      <c r="E186">
        <v>1.25</v>
      </c>
      <c r="F186" t="s">
        <v>8</v>
      </c>
      <c r="G186" s="2"/>
      <c r="H186" s="2"/>
    </row>
    <row r="187" spans="2:8" x14ac:dyDescent="0.25">
      <c r="B187" t="s">
        <v>85</v>
      </c>
      <c r="C187" t="s">
        <v>181</v>
      </c>
      <c r="D187">
        <v>4.2</v>
      </c>
      <c r="E187">
        <v>1.24</v>
      </c>
      <c r="F187" t="s">
        <v>8</v>
      </c>
      <c r="G187" s="2"/>
      <c r="H187" s="2"/>
    </row>
    <row r="188" spans="2:8" x14ac:dyDescent="0.25">
      <c r="B188" t="s">
        <v>85</v>
      </c>
      <c r="C188" t="s">
        <v>181</v>
      </c>
      <c r="D188">
        <v>4.2</v>
      </c>
      <c r="E188">
        <v>1.25</v>
      </c>
      <c r="F188" t="s">
        <v>8</v>
      </c>
      <c r="G188" s="2"/>
      <c r="H188" s="2"/>
    </row>
    <row r="189" spans="2:8" x14ac:dyDescent="0.25">
      <c r="B189" t="s">
        <v>85</v>
      </c>
      <c r="C189" t="s">
        <v>181</v>
      </c>
      <c r="D189">
        <v>4.2</v>
      </c>
      <c r="E189">
        <v>1.25</v>
      </c>
      <c r="F189" t="s">
        <v>8</v>
      </c>
      <c r="G189" s="2"/>
      <c r="H189" s="2"/>
    </row>
    <row r="190" spans="2:8" x14ac:dyDescent="0.25">
      <c r="B190" t="s">
        <v>85</v>
      </c>
      <c r="C190" t="s">
        <v>181</v>
      </c>
      <c r="D190">
        <v>4.05</v>
      </c>
      <c r="E190">
        <v>1.24</v>
      </c>
      <c r="F190" t="s">
        <v>8</v>
      </c>
      <c r="G190" s="2"/>
      <c r="H190" s="2"/>
    </row>
    <row r="191" spans="2:8" x14ac:dyDescent="0.25">
      <c r="B191" t="s">
        <v>85</v>
      </c>
      <c r="C191" t="s">
        <v>181</v>
      </c>
      <c r="D191">
        <v>3.85</v>
      </c>
      <c r="E191">
        <v>1.25</v>
      </c>
      <c r="F191" t="s">
        <v>8</v>
      </c>
      <c r="G191" s="2"/>
      <c r="H191" s="2"/>
    </row>
    <row r="192" spans="2:8" x14ac:dyDescent="0.25">
      <c r="B192" t="s">
        <v>85</v>
      </c>
      <c r="C192" t="s">
        <v>181</v>
      </c>
      <c r="D192">
        <v>3.85</v>
      </c>
      <c r="E192">
        <v>1.25</v>
      </c>
      <c r="F192" t="s">
        <v>8</v>
      </c>
      <c r="G192" s="2"/>
      <c r="H192" s="2"/>
    </row>
    <row r="193" spans="2:8" x14ac:dyDescent="0.25">
      <c r="B193" t="s">
        <v>85</v>
      </c>
      <c r="C193" t="s">
        <v>181</v>
      </c>
      <c r="D193">
        <v>3.85</v>
      </c>
      <c r="E193">
        <v>1.25</v>
      </c>
      <c r="F193" t="s">
        <v>8</v>
      </c>
      <c r="G193" s="2"/>
      <c r="H193" s="2"/>
    </row>
    <row r="194" spans="2:8" x14ac:dyDescent="0.25">
      <c r="B194" t="s">
        <v>85</v>
      </c>
      <c r="C194" t="s">
        <v>181</v>
      </c>
      <c r="D194">
        <v>4</v>
      </c>
      <c r="E194">
        <v>1.27</v>
      </c>
      <c r="F194" t="s">
        <v>8</v>
      </c>
      <c r="G194" s="2"/>
      <c r="H194" s="2"/>
    </row>
    <row r="195" spans="2:8" x14ac:dyDescent="0.25">
      <c r="B195" t="s">
        <v>85</v>
      </c>
      <c r="C195" t="s">
        <v>181</v>
      </c>
      <c r="D195">
        <v>4</v>
      </c>
      <c r="E195">
        <v>1.25</v>
      </c>
      <c r="F195" t="s">
        <v>8</v>
      </c>
      <c r="G195" s="2"/>
      <c r="H195" s="2"/>
    </row>
    <row r="196" spans="2:8" x14ac:dyDescent="0.25">
      <c r="B196" t="s">
        <v>85</v>
      </c>
      <c r="C196" t="s">
        <v>181</v>
      </c>
      <c r="D196">
        <v>4.0999999999999996</v>
      </c>
      <c r="E196">
        <v>1.25</v>
      </c>
      <c r="F196" t="s">
        <v>8</v>
      </c>
      <c r="G196" s="2"/>
      <c r="H196" s="2"/>
    </row>
    <row r="197" spans="2:8" x14ac:dyDescent="0.25">
      <c r="B197" t="s">
        <v>85</v>
      </c>
      <c r="C197" t="s">
        <v>181</v>
      </c>
      <c r="D197">
        <v>4.1500000000000004</v>
      </c>
      <c r="E197">
        <v>1.26</v>
      </c>
      <c r="F197" t="s">
        <v>8</v>
      </c>
      <c r="G197" s="2"/>
      <c r="H197" s="2"/>
    </row>
    <row r="198" spans="2:8" x14ac:dyDescent="0.25">
      <c r="B198" t="s">
        <v>182</v>
      </c>
      <c r="C198" t="s">
        <v>183</v>
      </c>
      <c r="D198">
        <v>1.7</v>
      </c>
      <c r="E198">
        <v>2.16</v>
      </c>
      <c r="F198" t="s">
        <v>9</v>
      </c>
      <c r="G198" s="2"/>
      <c r="H198" s="2"/>
    </row>
    <row r="199" spans="2:8" x14ac:dyDescent="0.25">
      <c r="B199" t="s">
        <v>182</v>
      </c>
      <c r="C199" t="s">
        <v>183</v>
      </c>
      <c r="D199">
        <v>1.7</v>
      </c>
      <c r="E199">
        <v>2.16</v>
      </c>
      <c r="F199" t="s">
        <v>9</v>
      </c>
      <c r="G199" s="2"/>
      <c r="H199" s="2"/>
    </row>
    <row r="200" spans="2:8" x14ac:dyDescent="0.25">
      <c r="B200" t="s">
        <v>182</v>
      </c>
      <c r="C200" t="s">
        <v>183</v>
      </c>
      <c r="D200">
        <v>1.69</v>
      </c>
      <c r="E200">
        <v>2.2200000000000002</v>
      </c>
      <c r="F200" t="s">
        <v>9</v>
      </c>
      <c r="G200" s="2"/>
      <c r="H200" s="2"/>
    </row>
    <row r="201" spans="2:8" x14ac:dyDescent="0.25">
      <c r="B201" t="s">
        <v>182</v>
      </c>
      <c r="C201" t="s">
        <v>183</v>
      </c>
      <c r="D201">
        <v>1.68</v>
      </c>
      <c r="E201">
        <v>2.2400000000000002</v>
      </c>
      <c r="F201" t="s">
        <v>9</v>
      </c>
      <c r="G201" s="2"/>
      <c r="H201" s="2"/>
    </row>
    <row r="202" spans="2:8" x14ac:dyDescent="0.25">
      <c r="B202" t="s">
        <v>182</v>
      </c>
      <c r="C202" t="s">
        <v>183</v>
      </c>
      <c r="D202">
        <v>1.69</v>
      </c>
      <c r="E202">
        <v>2.15</v>
      </c>
      <c r="F202" t="s">
        <v>9</v>
      </c>
      <c r="G202" s="2"/>
      <c r="H202" s="2"/>
    </row>
    <row r="203" spans="2:8" x14ac:dyDescent="0.25">
      <c r="B203" t="s">
        <v>182</v>
      </c>
      <c r="C203" t="s">
        <v>183</v>
      </c>
      <c r="D203">
        <v>1.67</v>
      </c>
      <c r="E203">
        <v>2.2999999999999998</v>
      </c>
      <c r="F203" t="s">
        <v>9</v>
      </c>
      <c r="G203" s="2"/>
      <c r="H203" s="2"/>
    </row>
    <row r="204" spans="2:8" x14ac:dyDescent="0.25">
      <c r="B204" t="s">
        <v>182</v>
      </c>
      <c r="C204" t="s">
        <v>183</v>
      </c>
      <c r="D204">
        <v>1.67</v>
      </c>
      <c r="E204">
        <v>2.2999999999999998</v>
      </c>
      <c r="F204" t="s">
        <v>9</v>
      </c>
      <c r="G204" s="2"/>
      <c r="H204" s="2"/>
    </row>
    <row r="205" spans="2:8" x14ac:dyDescent="0.25">
      <c r="B205" t="s">
        <v>182</v>
      </c>
      <c r="C205" t="s">
        <v>183</v>
      </c>
      <c r="D205">
        <v>1.65</v>
      </c>
      <c r="E205">
        <v>2.2000000000000002</v>
      </c>
      <c r="F205" t="s">
        <v>9</v>
      </c>
      <c r="G205" s="2"/>
      <c r="H205" s="2"/>
    </row>
    <row r="206" spans="2:8" x14ac:dyDescent="0.25">
      <c r="B206" t="s">
        <v>182</v>
      </c>
      <c r="C206" t="s">
        <v>183</v>
      </c>
      <c r="D206">
        <v>1.71</v>
      </c>
      <c r="E206">
        <v>2.1800000000000002</v>
      </c>
      <c r="F206" t="s">
        <v>9</v>
      </c>
      <c r="G206" s="2"/>
      <c r="H206" s="2"/>
    </row>
    <row r="207" spans="2:8" x14ac:dyDescent="0.25">
      <c r="B207" t="s">
        <v>182</v>
      </c>
      <c r="C207" t="s">
        <v>183</v>
      </c>
      <c r="D207">
        <v>1.69</v>
      </c>
      <c r="E207">
        <v>2.25</v>
      </c>
      <c r="F207" t="s">
        <v>9</v>
      </c>
      <c r="G207" s="2"/>
      <c r="H207" s="2"/>
    </row>
    <row r="208" spans="2:8" x14ac:dyDescent="0.25">
      <c r="B208" t="s">
        <v>182</v>
      </c>
      <c r="C208" t="s">
        <v>183</v>
      </c>
      <c r="D208">
        <v>1.71</v>
      </c>
      <c r="E208">
        <v>2.15</v>
      </c>
      <c r="F208" t="s">
        <v>9</v>
      </c>
      <c r="G208" s="2"/>
      <c r="H208" s="2"/>
    </row>
    <row r="209" spans="2:8" x14ac:dyDescent="0.25">
      <c r="B209" t="s">
        <v>182</v>
      </c>
      <c r="C209" t="s">
        <v>183</v>
      </c>
      <c r="D209">
        <v>1.69</v>
      </c>
      <c r="E209">
        <v>2.23</v>
      </c>
      <c r="F209" t="s">
        <v>9</v>
      </c>
      <c r="G209" s="2"/>
      <c r="H209" s="2"/>
    </row>
    <row r="210" spans="2:8" x14ac:dyDescent="0.25">
      <c r="B210" t="s">
        <v>184</v>
      </c>
      <c r="C210" t="s">
        <v>185</v>
      </c>
      <c r="D210">
        <v>2.62</v>
      </c>
      <c r="E210">
        <v>1.53</v>
      </c>
      <c r="F210" t="s">
        <v>9</v>
      </c>
      <c r="G210" s="2"/>
      <c r="H210" s="2"/>
    </row>
    <row r="211" spans="2:8" x14ac:dyDescent="0.25">
      <c r="B211" t="s">
        <v>184</v>
      </c>
      <c r="C211" t="s">
        <v>185</v>
      </c>
      <c r="D211">
        <v>2.61</v>
      </c>
      <c r="E211">
        <v>1.51</v>
      </c>
      <c r="F211" t="s">
        <v>9</v>
      </c>
      <c r="G211" s="2"/>
      <c r="H211" s="2"/>
    </row>
    <row r="212" spans="2:8" x14ac:dyDescent="0.25">
      <c r="B212" t="s">
        <v>184</v>
      </c>
      <c r="C212" t="s">
        <v>185</v>
      </c>
      <c r="D212">
        <v>2.62</v>
      </c>
      <c r="E212">
        <v>1.54</v>
      </c>
      <c r="F212" t="s">
        <v>9</v>
      </c>
      <c r="G212" s="2"/>
      <c r="H212" s="2"/>
    </row>
    <row r="213" spans="2:8" x14ac:dyDescent="0.25">
      <c r="B213" t="s">
        <v>184</v>
      </c>
      <c r="C213" t="s">
        <v>185</v>
      </c>
      <c r="D213">
        <v>2.5499999999999998</v>
      </c>
      <c r="E213">
        <v>1.54</v>
      </c>
      <c r="F213" t="s">
        <v>9</v>
      </c>
      <c r="G213" s="2"/>
      <c r="H213" s="2"/>
    </row>
    <row r="214" spans="2:8" x14ac:dyDescent="0.25">
      <c r="B214" t="s">
        <v>184</v>
      </c>
      <c r="C214" t="s">
        <v>185</v>
      </c>
      <c r="D214">
        <v>2.63</v>
      </c>
      <c r="E214">
        <v>1.49</v>
      </c>
      <c r="F214" t="s">
        <v>9</v>
      </c>
      <c r="G214" s="2"/>
      <c r="H214" s="2"/>
    </row>
    <row r="215" spans="2:8" x14ac:dyDescent="0.25">
      <c r="B215" t="s">
        <v>184</v>
      </c>
      <c r="C215" t="s">
        <v>185</v>
      </c>
      <c r="D215">
        <v>2.63</v>
      </c>
      <c r="E215">
        <v>1.49</v>
      </c>
      <c r="F215" t="s">
        <v>9</v>
      </c>
      <c r="G215" s="2"/>
      <c r="H215" s="2"/>
    </row>
    <row r="216" spans="2:8" x14ac:dyDescent="0.25">
      <c r="B216" t="s">
        <v>184</v>
      </c>
      <c r="C216" t="s">
        <v>185</v>
      </c>
      <c r="D216">
        <v>2.6</v>
      </c>
      <c r="E216">
        <v>1.52</v>
      </c>
      <c r="F216" t="s">
        <v>9</v>
      </c>
      <c r="G216" s="2"/>
      <c r="H216" s="2"/>
    </row>
    <row r="217" spans="2:8" x14ac:dyDescent="0.25">
      <c r="B217" t="s">
        <v>184</v>
      </c>
      <c r="C217" t="s">
        <v>185</v>
      </c>
      <c r="D217">
        <v>2.62</v>
      </c>
      <c r="E217">
        <v>1.48</v>
      </c>
      <c r="F217" t="s">
        <v>9</v>
      </c>
      <c r="G217" s="2"/>
      <c r="H217" s="2"/>
    </row>
    <row r="218" spans="2:8" x14ac:dyDescent="0.25">
      <c r="B218" t="s">
        <v>184</v>
      </c>
      <c r="C218" t="s">
        <v>185</v>
      </c>
      <c r="D218">
        <v>2.6</v>
      </c>
      <c r="E218">
        <v>1.53</v>
      </c>
      <c r="F218" t="s">
        <v>9</v>
      </c>
      <c r="G218" s="2"/>
      <c r="H218" s="2"/>
    </row>
    <row r="219" spans="2:8" x14ac:dyDescent="0.25">
      <c r="B219" t="s">
        <v>184</v>
      </c>
      <c r="C219" t="s">
        <v>185</v>
      </c>
      <c r="D219">
        <v>2.6</v>
      </c>
      <c r="E219">
        <v>1.53</v>
      </c>
      <c r="F219" t="s">
        <v>9</v>
      </c>
      <c r="G219" s="2"/>
      <c r="H219" s="2"/>
    </row>
    <row r="220" spans="2:8" x14ac:dyDescent="0.25">
      <c r="B220" t="s">
        <v>184</v>
      </c>
      <c r="C220" t="s">
        <v>185</v>
      </c>
      <c r="D220">
        <v>2.5</v>
      </c>
      <c r="E220">
        <v>1.54</v>
      </c>
      <c r="F220" t="s">
        <v>9</v>
      </c>
      <c r="G220" s="2"/>
      <c r="H220" s="2"/>
    </row>
    <row r="221" spans="2:8" x14ac:dyDescent="0.25">
      <c r="B221" t="s">
        <v>184</v>
      </c>
      <c r="C221" t="s">
        <v>185</v>
      </c>
      <c r="D221">
        <v>2.6</v>
      </c>
      <c r="E221">
        <v>1.53</v>
      </c>
      <c r="F221" t="s">
        <v>9</v>
      </c>
      <c r="G221" s="2"/>
      <c r="H221" s="2"/>
    </row>
    <row r="222" spans="2:8" x14ac:dyDescent="0.25">
      <c r="B222" t="s">
        <v>186</v>
      </c>
      <c r="C222" t="s">
        <v>187</v>
      </c>
      <c r="D222">
        <v>4</v>
      </c>
      <c r="E222">
        <v>1.23</v>
      </c>
      <c r="F222" t="s">
        <v>9</v>
      </c>
      <c r="G222" s="2"/>
      <c r="H222" s="2"/>
    </row>
    <row r="223" spans="2:8" x14ac:dyDescent="0.25">
      <c r="B223" t="s">
        <v>186</v>
      </c>
      <c r="C223" t="s">
        <v>187</v>
      </c>
      <c r="D223">
        <v>4.25</v>
      </c>
      <c r="E223">
        <v>1.24</v>
      </c>
      <c r="F223" t="s">
        <v>9</v>
      </c>
      <c r="G223" s="2"/>
      <c r="H223" s="2"/>
    </row>
    <row r="224" spans="2:8" x14ac:dyDescent="0.25">
      <c r="B224" t="s">
        <v>186</v>
      </c>
      <c r="C224" t="s">
        <v>187</v>
      </c>
      <c r="D224">
        <v>4.25</v>
      </c>
      <c r="E224">
        <v>1.25</v>
      </c>
      <c r="F224" t="s">
        <v>9</v>
      </c>
      <c r="G224" s="2"/>
      <c r="H224" s="2"/>
    </row>
    <row r="225" spans="2:8" x14ac:dyDescent="0.25">
      <c r="B225" t="s">
        <v>186</v>
      </c>
      <c r="C225" t="s">
        <v>187</v>
      </c>
      <c r="D225">
        <v>4.25</v>
      </c>
      <c r="E225">
        <v>1.25</v>
      </c>
      <c r="F225" t="s">
        <v>9</v>
      </c>
      <c r="G225" s="2"/>
      <c r="H225" s="2"/>
    </row>
    <row r="226" spans="2:8" x14ac:dyDescent="0.25">
      <c r="B226" t="s">
        <v>186</v>
      </c>
      <c r="C226" t="s">
        <v>187</v>
      </c>
      <c r="D226">
        <v>4.2</v>
      </c>
      <c r="E226">
        <v>1.24</v>
      </c>
      <c r="F226" t="s">
        <v>9</v>
      </c>
      <c r="G226" s="2"/>
      <c r="H226" s="2"/>
    </row>
    <row r="227" spans="2:8" x14ac:dyDescent="0.25">
      <c r="B227" t="s">
        <v>186</v>
      </c>
      <c r="C227" t="s">
        <v>187</v>
      </c>
      <c r="D227">
        <v>4.2</v>
      </c>
      <c r="E227">
        <v>1.24</v>
      </c>
      <c r="F227" t="s">
        <v>9</v>
      </c>
      <c r="G227" s="2"/>
      <c r="H227" s="2"/>
    </row>
    <row r="228" spans="2:8" x14ac:dyDescent="0.25">
      <c r="B228" t="s">
        <v>186</v>
      </c>
      <c r="C228" t="s">
        <v>187</v>
      </c>
      <c r="D228">
        <v>4.4000000000000004</v>
      </c>
      <c r="E228">
        <v>1.22</v>
      </c>
      <c r="F228" t="s">
        <v>9</v>
      </c>
      <c r="G228" s="2"/>
      <c r="H228" s="2"/>
    </row>
    <row r="229" spans="2:8" x14ac:dyDescent="0.25">
      <c r="B229" t="s">
        <v>186</v>
      </c>
      <c r="C229" t="s">
        <v>187</v>
      </c>
      <c r="D229">
        <v>4.4000000000000004</v>
      </c>
      <c r="E229">
        <v>1.22</v>
      </c>
      <c r="F229" t="s">
        <v>9</v>
      </c>
      <c r="G229" s="2"/>
      <c r="H229" s="2"/>
    </row>
    <row r="230" spans="2:8" x14ac:dyDescent="0.25">
      <c r="B230" t="s">
        <v>186</v>
      </c>
      <c r="C230" t="s">
        <v>187</v>
      </c>
      <c r="D230">
        <v>4.1500000000000004</v>
      </c>
      <c r="E230">
        <v>1.24</v>
      </c>
      <c r="F230" t="s">
        <v>9</v>
      </c>
      <c r="G230" s="2"/>
      <c r="H230" s="2"/>
    </row>
    <row r="231" spans="2:8" x14ac:dyDescent="0.25">
      <c r="B231" t="s">
        <v>186</v>
      </c>
      <c r="C231" t="s">
        <v>187</v>
      </c>
      <c r="D231">
        <v>4.33</v>
      </c>
      <c r="E231">
        <v>1.22</v>
      </c>
      <c r="F231" t="s">
        <v>9</v>
      </c>
      <c r="G231" s="2"/>
      <c r="H231" s="2"/>
    </row>
    <row r="232" spans="2:8" x14ac:dyDescent="0.25">
      <c r="B232" t="s">
        <v>186</v>
      </c>
      <c r="C232" t="s">
        <v>187</v>
      </c>
      <c r="D232">
        <v>4.3</v>
      </c>
      <c r="E232">
        <v>1.24</v>
      </c>
      <c r="F232" t="s">
        <v>9</v>
      </c>
      <c r="G232" s="2"/>
      <c r="H232" s="2"/>
    </row>
    <row r="233" spans="2:8" x14ac:dyDescent="0.25">
      <c r="B233" t="s">
        <v>188</v>
      </c>
      <c r="C233" t="s">
        <v>189</v>
      </c>
      <c r="D233">
        <v>1.44</v>
      </c>
      <c r="E233">
        <v>2.95</v>
      </c>
      <c r="F233" t="s">
        <v>9</v>
      </c>
      <c r="G233" s="2"/>
      <c r="H233" s="2"/>
    </row>
    <row r="234" spans="2:8" x14ac:dyDescent="0.25">
      <c r="B234" t="s">
        <v>188</v>
      </c>
      <c r="C234" t="s">
        <v>189</v>
      </c>
      <c r="D234">
        <v>1.44</v>
      </c>
      <c r="E234">
        <v>2.95</v>
      </c>
      <c r="F234" t="s">
        <v>9</v>
      </c>
      <c r="G234" s="2"/>
      <c r="H234" s="2"/>
    </row>
    <row r="235" spans="2:8" x14ac:dyDescent="0.25">
      <c r="B235" t="s">
        <v>188</v>
      </c>
      <c r="C235" t="s">
        <v>189</v>
      </c>
      <c r="D235">
        <v>1.43</v>
      </c>
      <c r="E235">
        <v>2.9</v>
      </c>
      <c r="F235" t="s">
        <v>9</v>
      </c>
      <c r="G235" s="2"/>
      <c r="H235" s="2"/>
    </row>
    <row r="236" spans="2:8" x14ac:dyDescent="0.25">
      <c r="B236" t="s">
        <v>188</v>
      </c>
      <c r="C236" t="s">
        <v>189</v>
      </c>
      <c r="D236">
        <v>1.42</v>
      </c>
      <c r="E236">
        <v>2.95</v>
      </c>
      <c r="F236" t="s">
        <v>9</v>
      </c>
      <c r="G236" s="2"/>
      <c r="H236" s="2"/>
    </row>
    <row r="237" spans="2:8" x14ac:dyDescent="0.25">
      <c r="B237" t="s">
        <v>188</v>
      </c>
      <c r="C237" t="s">
        <v>189</v>
      </c>
      <c r="D237">
        <v>1.41</v>
      </c>
      <c r="E237">
        <v>2.86</v>
      </c>
      <c r="F237" t="s">
        <v>9</v>
      </c>
      <c r="G237" s="2"/>
      <c r="H237" s="2"/>
    </row>
    <row r="238" spans="2:8" x14ac:dyDescent="0.25">
      <c r="B238" t="s">
        <v>188</v>
      </c>
      <c r="C238" t="s">
        <v>189</v>
      </c>
      <c r="D238">
        <v>1.43</v>
      </c>
      <c r="E238">
        <v>2.9</v>
      </c>
      <c r="F238" t="s">
        <v>9</v>
      </c>
      <c r="G238" s="2"/>
      <c r="H238" s="2"/>
    </row>
    <row r="239" spans="2:8" x14ac:dyDescent="0.25">
      <c r="B239" t="s">
        <v>188</v>
      </c>
      <c r="C239" t="s">
        <v>189</v>
      </c>
      <c r="D239">
        <v>1.42</v>
      </c>
      <c r="E239">
        <v>2.95</v>
      </c>
      <c r="F239" t="s">
        <v>9</v>
      </c>
      <c r="G239" s="2"/>
      <c r="H239" s="2"/>
    </row>
    <row r="240" spans="2:8" x14ac:dyDescent="0.25">
      <c r="B240" t="s">
        <v>188</v>
      </c>
      <c r="C240" t="s">
        <v>189</v>
      </c>
      <c r="D240">
        <v>1.43</v>
      </c>
      <c r="E240">
        <v>2.85</v>
      </c>
      <c r="F240" t="s">
        <v>9</v>
      </c>
      <c r="G240" s="2"/>
      <c r="H240" s="2"/>
    </row>
    <row r="241" spans="2:8" x14ac:dyDescent="0.25">
      <c r="B241" t="s">
        <v>188</v>
      </c>
      <c r="C241" t="s">
        <v>189</v>
      </c>
      <c r="D241">
        <v>1.43</v>
      </c>
      <c r="E241">
        <v>2.85</v>
      </c>
      <c r="F241" t="s">
        <v>9</v>
      </c>
      <c r="G241" s="2"/>
      <c r="H241" s="2"/>
    </row>
    <row r="242" spans="2:8" x14ac:dyDescent="0.25">
      <c r="B242" t="s">
        <v>188</v>
      </c>
      <c r="C242" t="s">
        <v>189</v>
      </c>
      <c r="D242">
        <v>1.42</v>
      </c>
      <c r="E242">
        <v>2.9</v>
      </c>
      <c r="F242" t="s">
        <v>9</v>
      </c>
      <c r="G242" s="2"/>
      <c r="H242" s="2"/>
    </row>
    <row r="243" spans="2:8" x14ac:dyDescent="0.25">
      <c r="B243" t="s">
        <v>188</v>
      </c>
      <c r="C243" t="s">
        <v>189</v>
      </c>
      <c r="D243">
        <v>1.4</v>
      </c>
      <c r="E243">
        <v>3</v>
      </c>
      <c r="F243" t="s">
        <v>9</v>
      </c>
      <c r="G243" s="2"/>
      <c r="H243" s="2"/>
    </row>
    <row r="244" spans="2:8" x14ac:dyDescent="0.25">
      <c r="B244" t="s">
        <v>188</v>
      </c>
      <c r="C244" t="s">
        <v>189</v>
      </c>
      <c r="D244">
        <v>1.44</v>
      </c>
      <c r="E244">
        <v>2.92</v>
      </c>
      <c r="F244" t="s">
        <v>9</v>
      </c>
      <c r="G244" s="2"/>
      <c r="H244" s="2"/>
    </row>
    <row r="245" spans="2:8" x14ac:dyDescent="0.25">
      <c r="B245" t="s">
        <v>190</v>
      </c>
      <c r="C245" t="s">
        <v>191</v>
      </c>
      <c r="D245">
        <v>1.87</v>
      </c>
      <c r="E245">
        <v>1.95</v>
      </c>
      <c r="F245" t="s">
        <v>9</v>
      </c>
      <c r="G245" s="2"/>
      <c r="H245" s="2"/>
    </row>
    <row r="246" spans="2:8" x14ac:dyDescent="0.25">
      <c r="B246" t="s">
        <v>190</v>
      </c>
      <c r="C246" t="s">
        <v>191</v>
      </c>
      <c r="D246">
        <v>1.81</v>
      </c>
      <c r="E246">
        <v>2.0499999999999998</v>
      </c>
      <c r="F246" t="s">
        <v>9</v>
      </c>
      <c r="G246" s="2"/>
      <c r="H246" s="2"/>
    </row>
    <row r="247" spans="2:8" x14ac:dyDescent="0.25">
      <c r="B247" t="s">
        <v>190</v>
      </c>
      <c r="C247" t="s">
        <v>191</v>
      </c>
      <c r="D247">
        <v>1.87</v>
      </c>
      <c r="E247">
        <v>1.95</v>
      </c>
      <c r="F247" t="s">
        <v>9</v>
      </c>
      <c r="G247" s="2"/>
      <c r="H247" s="2"/>
    </row>
    <row r="248" spans="2:8" x14ac:dyDescent="0.25">
      <c r="B248" t="s">
        <v>190</v>
      </c>
      <c r="C248" t="s">
        <v>191</v>
      </c>
      <c r="D248">
        <v>1.83</v>
      </c>
      <c r="E248">
        <v>1.91</v>
      </c>
      <c r="F248" t="s">
        <v>9</v>
      </c>
      <c r="G248" s="2"/>
      <c r="H248" s="2"/>
    </row>
    <row r="249" spans="2:8" x14ac:dyDescent="0.25">
      <c r="B249" t="s">
        <v>190</v>
      </c>
      <c r="C249" t="s">
        <v>191</v>
      </c>
      <c r="D249">
        <v>1.76</v>
      </c>
      <c r="E249">
        <v>2.0699999999999998</v>
      </c>
      <c r="F249" t="s">
        <v>9</v>
      </c>
      <c r="G249" s="2"/>
      <c r="H249" s="2"/>
    </row>
    <row r="250" spans="2:8" x14ac:dyDescent="0.25">
      <c r="B250" t="s">
        <v>190</v>
      </c>
      <c r="C250" t="s">
        <v>191</v>
      </c>
      <c r="D250">
        <v>1.76</v>
      </c>
      <c r="E250">
        <v>2.0699999999999998</v>
      </c>
      <c r="F250" t="s">
        <v>9</v>
      </c>
      <c r="G250" s="2"/>
      <c r="H250" s="2"/>
    </row>
    <row r="251" spans="2:8" x14ac:dyDescent="0.25">
      <c r="B251" t="s">
        <v>190</v>
      </c>
      <c r="C251" t="s">
        <v>191</v>
      </c>
      <c r="D251">
        <v>1.82</v>
      </c>
      <c r="E251">
        <v>2.02</v>
      </c>
      <c r="F251" t="s">
        <v>9</v>
      </c>
      <c r="G251" s="2"/>
      <c r="H251" s="2"/>
    </row>
    <row r="252" spans="2:8" x14ac:dyDescent="0.25">
      <c r="B252" t="s">
        <v>190</v>
      </c>
      <c r="C252" t="s">
        <v>191</v>
      </c>
      <c r="D252">
        <v>1.8</v>
      </c>
      <c r="E252">
        <v>1.98</v>
      </c>
      <c r="F252" t="s">
        <v>9</v>
      </c>
      <c r="G252" s="2"/>
      <c r="H252" s="2"/>
    </row>
    <row r="253" spans="2:8" x14ac:dyDescent="0.25">
      <c r="B253" t="s">
        <v>190</v>
      </c>
      <c r="C253" t="s">
        <v>191</v>
      </c>
      <c r="D253">
        <v>1.8</v>
      </c>
      <c r="E253">
        <v>2.0499999999999998</v>
      </c>
      <c r="F253" t="s">
        <v>9</v>
      </c>
      <c r="G253" s="2"/>
      <c r="H253" s="2"/>
    </row>
    <row r="254" spans="2:8" x14ac:dyDescent="0.25">
      <c r="B254" t="s">
        <v>190</v>
      </c>
      <c r="C254" t="s">
        <v>191</v>
      </c>
      <c r="D254">
        <v>1.8</v>
      </c>
      <c r="E254">
        <v>2.0499999999999998</v>
      </c>
      <c r="F254" t="s">
        <v>9</v>
      </c>
      <c r="G254" s="2"/>
      <c r="H254" s="2"/>
    </row>
    <row r="255" spans="2:8" x14ac:dyDescent="0.25">
      <c r="B255" t="s">
        <v>190</v>
      </c>
      <c r="C255" t="s">
        <v>191</v>
      </c>
      <c r="D255">
        <v>1.83</v>
      </c>
      <c r="E255">
        <v>2</v>
      </c>
      <c r="F255" t="s">
        <v>9</v>
      </c>
      <c r="G255" s="2"/>
      <c r="H255" s="2"/>
    </row>
    <row r="256" spans="2:8" x14ac:dyDescent="0.25">
      <c r="B256" t="s">
        <v>192</v>
      </c>
      <c r="C256" t="s">
        <v>193</v>
      </c>
      <c r="D256">
        <v>2.9</v>
      </c>
      <c r="E256">
        <v>1.44</v>
      </c>
      <c r="F256" t="s">
        <v>9</v>
      </c>
      <c r="G256" s="2"/>
      <c r="H256" s="2"/>
    </row>
    <row r="257" spans="2:8" x14ac:dyDescent="0.25">
      <c r="B257" t="s">
        <v>192</v>
      </c>
      <c r="C257" t="s">
        <v>193</v>
      </c>
      <c r="D257">
        <v>2.85</v>
      </c>
      <c r="E257">
        <v>1.44</v>
      </c>
      <c r="F257" t="s">
        <v>9</v>
      </c>
      <c r="G257" s="2"/>
      <c r="H257" s="2"/>
    </row>
    <row r="258" spans="2:8" x14ac:dyDescent="0.25">
      <c r="B258" t="s">
        <v>192</v>
      </c>
      <c r="C258" t="s">
        <v>193</v>
      </c>
      <c r="D258">
        <v>2.9</v>
      </c>
      <c r="E258">
        <v>1.44</v>
      </c>
      <c r="F258" t="s">
        <v>9</v>
      </c>
      <c r="G258" s="2"/>
      <c r="H258" s="2"/>
    </row>
    <row r="259" spans="2:8" x14ac:dyDescent="0.25">
      <c r="B259" t="s">
        <v>192</v>
      </c>
      <c r="C259" t="s">
        <v>193</v>
      </c>
      <c r="D259">
        <v>2.85</v>
      </c>
      <c r="E259">
        <v>1.44</v>
      </c>
      <c r="F259" t="s">
        <v>9</v>
      </c>
      <c r="G259" s="2"/>
      <c r="H259" s="2"/>
    </row>
    <row r="260" spans="2:8" x14ac:dyDescent="0.25">
      <c r="B260" t="s">
        <v>192</v>
      </c>
      <c r="C260" t="s">
        <v>193</v>
      </c>
      <c r="D260">
        <v>2.8</v>
      </c>
      <c r="E260">
        <v>1.43</v>
      </c>
      <c r="F260" t="s">
        <v>9</v>
      </c>
      <c r="G260" s="2"/>
      <c r="H260" s="2"/>
    </row>
    <row r="261" spans="2:8" x14ac:dyDescent="0.25">
      <c r="B261" t="s">
        <v>192</v>
      </c>
      <c r="C261" t="s">
        <v>193</v>
      </c>
      <c r="D261">
        <v>2.8</v>
      </c>
      <c r="E261">
        <v>1.43</v>
      </c>
      <c r="F261" t="s">
        <v>9</v>
      </c>
      <c r="G261" s="2"/>
      <c r="H261" s="2"/>
    </row>
    <row r="262" spans="2:8" x14ac:dyDescent="0.25">
      <c r="B262" t="s">
        <v>192</v>
      </c>
      <c r="C262" t="s">
        <v>193</v>
      </c>
      <c r="D262">
        <v>2.8</v>
      </c>
      <c r="E262">
        <v>1.46</v>
      </c>
      <c r="F262" t="s">
        <v>9</v>
      </c>
      <c r="G262" s="2"/>
      <c r="H262" s="2"/>
    </row>
    <row r="263" spans="2:8" x14ac:dyDescent="0.25">
      <c r="B263" t="s">
        <v>192</v>
      </c>
      <c r="C263" t="s">
        <v>193</v>
      </c>
      <c r="D263">
        <v>2.86</v>
      </c>
      <c r="E263">
        <v>1.41</v>
      </c>
      <c r="F263" t="s">
        <v>9</v>
      </c>
      <c r="G263" s="2"/>
      <c r="H263" s="2"/>
    </row>
    <row r="264" spans="2:8" x14ac:dyDescent="0.25">
      <c r="B264" t="s">
        <v>192</v>
      </c>
      <c r="C264" t="s">
        <v>193</v>
      </c>
      <c r="D264">
        <v>2.9</v>
      </c>
      <c r="E264">
        <v>1.43</v>
      </c>
      <c r="F264" t="s">
        <v>9</v>
      </c>
      <c r="G264" s="2"/>
      <c r="H264" s="2"/>
    </row>
    <row r="265" spans="2:8" x14ac:dyDescent="0.25">
      <c r="B265" t="s">
        <v>192</v>
      </c>
      <c r="C265" t="s">
        <v>193</v>
      </c>
      <c r="D265">
        <v>3</v>
      </c>
      <c r="E265">
        <v>1.4</v>
      </c>
      <c r="F265" t="s">
        <v>9</v>
      </c>
      <c r="G265" s="2"/>
      <c r="H265" s="2"/>
    </row>
    <row r="266" spans="2:8" x14ac:dyDescent="0.25">
      <c r="B266" t="s">
        <v>192</v>
      </c>
      <c r="C266" t="s">
        <v>193</v>
      </c>
      <c r="D266">
        <v>2.85</v>
      </c>
      <c r="E266">
        <v>1.44</v>
      </c>
      <c r="F266" t="s">
        <v>9</v>
      </c>
      <c r="G266" s="2"/>
      <c r="H266" s="2"/>
    </row>
    <row r="267" spans="2:8" x14ac:dyDescent="0.25">
      <c r="B267" t="s">
        <v>192</v>
      </c>
      <c r="C267" t="s">
        <v>193</v>
      </c>
      <c r="D267">
        <v>2.88</v>
      </c>
      <c r="E267">
        <v>1.44</v>
      </c>
      <c r="F267" t="s">
        <v>9</v>
      </c>
      <c r="G267" s="2"/>
      <c r="H267" s="2"/>
    </row>
    <row r="268" spans="2:8" x14ac:dyDescent="0.25">
      <c r="B268" t="s">
        <v>194</v>
      </c>
      <c r="C268" t="s">
        <v>195</v>
      </c>
      <c r="D268">
        <v>1.67</v>
      </c>
      <c r="E268">
        <v>2.2999999999999998</v>
      </c>
      <c r="F268" t="s">
        <v>9</v>
      </c>
      <c r="G268" s="2"/>
      <c r="H268" s="2"/>
    </row>
    <row r="269" spans="2:8" x14ac:dyDescent="0.25">
      <c r="B269" t="s">
        <v>194</v>
      </c>
      <c r="C269" t="s">
        <v>195</v>
      </c>
      <c r="D269">
        <v>1.65</v>
      </c>
      <c r="E269">
        <v>2.2999999999999998</v>
      </c>
      <c r="F269" t="s">
        <v>9</v>
      </c>
      <c r="G269" s="2"/>
      <c r="H269" s="2"/>
    </row>
    <row r="270" spans="2:8" x14ac:dyDescent="0.25">
      <c r="B270" t="s">
        <v>194</v>
      </c>
      <c r="C270" t="s">
        <v>195</v>
      </c>
      <c r="D270">
        <v>1.67</v>
      </c>
      <c r="E270">
        <v>2.2999999999999998</v>
      </c>
      <c r="F270" t="s">
        <v>9</v>
      </c>
      <c r="G270" s="2"/>
      <c r="H270" s="2"/>
    </row>
    <row r="271" spans="2:8" x14ac:dyDescent="0.25">
      <c r="B271" t="s">
        <v>194</v>
      </c>
      <c r="C271" t="s">
        <v>195</v>
      </c>
      <c r="D271">
        <v>1.67</v>
      </c>
      <c r="E271">
        <v>2.2000000000000002</v>
      </c>
      <c r="F271" t="s">
        <v>9</v>
      </c>
      <c r="G271" s="2"/>
      <c r="H271" s="2"/>
    </row>
    <row r="272" spans="2:8" x14ac:dyDescent="0.25">
      <c r="B272" t="s">
        <v>194</v>
      </c>
      <c r="C272" t="s">
        <v>195</v>
      </c>
      <c r="D272">
        <v>1.63</v>
      </c>
      <c r="E272">
        <v>2.2799999999999998</v>
      </c>
      <c r="F272" t="s">
        <v>9</v>
      </c>
      <c r="G272" s="2"/>
      <c r="H272" s="2"/>
    </row>
    <row r="273" spans="2:8" x14ac:dyDescent="0.25">
      <c r="B273" t="s">
        <v>194</v>
      </c>
      <c r="C273" t="s">
        <v>195</v>
      </c>
      <c r="D273">
        <v>1.63</v>
      </c>
      <c r="E273">
        <v>2.2799999999999998</v>
      </c>
      <c r="F273" t="s">
        <v>9</v>
      </c>
      <c r="G273" s="2"/>
      <c r="H273" s="2"/>
    </row>
    <row r="274" spans="2:8" x14ac:dyDescent="0.25">
      <c r="B274" t="s">
        <v>194</v>
      </c>
      <c r="C274" t="s">
        <v>195</v>
      </c>
      <c r="D274">
        <v>1.65</v>
      </c>
      <c r="E274">
        <v>2.2999999999999998</v>
      </c>
      <c r="F274" t="s">
        <v>9</v>
      </c>
      <c r="G274" s="2"/>
      <c r="H274" s="2"/>
    </row>
    <row r="275" spans="2:8" x14ac:dyDescent="0.25">
      <c r="B275" t="s">
        <v>194</v>
      </c>
      <c r="C275" t="s">
        <v>195</v>
      </c>
      <c r="D275">
        <v>1.62</v>
      </c>
      <c r="E275">
        <v>2.2400000000000002</v>
      </c>
      <c r="F275" t="s">
        <v>9</v>
      </c>
      <c r="G275" s="2"/>
      <c r="H275" s="2"/>
    </row>
    <row r="276" spans="2:8" x14ac:dyDescent="0.25">
      <c r="B276" t="s">
        <v>194</v>
      </c>
      <c r="C276" t="s">
        <v>195</v>
      </c>
      <c r="D276">
        <v>1.62</v>
      </c>
      <c r="E276">
        <v>2.35</v>
      </c>
      <c r="F276" t="s">
        <v>9</v>
      </c>
      <c r="G276" s="2"/>
      <c r="H276" s="2"/>
    </row>
    <row r="277" spans="2:8" x14ac:dyDescent="0.25">
      <c r="B277" t="s">
        <v>194</v>
      </c>
      <c r="C277" t="s">
        <v>195</v>
      </c>
      <c r="D277">
        <v>1.62</v>
      </c>
      <c r="E277">
        <v>2.4</v>
      </c>
      <c r="F277" t="s">
        <v>9</v>
      </c>
      <c r="G277" s="2"/>
      <c r="H277" s="2"/>
    </row>
    <row r="278" spans="2:8" x14ac:dyDescent="0.25">
      <c r="B278" t="s">
        <v>194</v>
      </c>
      <c r="C278" t="s">
        <v>195</v>
      </c>
      <c r="D278">
        <v>1.61</v>
      </c>
      <c r="E278">
        <v>2.35</v>
      </c>
      <c r="F278" t="s">
        <v>9</v>
      </c>
      <c r="G278" s="2"/>
      <c r="H278" s="2"/>
    </row>
    <row r="279" spans="2:8" x14ac:dyDescent="0.25">
      <c r="B279" t="s">
        <v>194</v>
      </c>
      <c r="C279" t="s">
        <v>195</v>
      </c>
      <c r="D279">
        <v>1.62</v>
      </c>
      <c r="E279">
        <v>2.35</v>
      </c>
      <c r="F279" t="s">
        <v>9</v>
      </c>
      <c r="G279" s="2"/>
      <c r="H279" s="2"/>
    </row>
    <row r="280" spans="2:8" x14ac:dyDescent="0.25">
      <c r="B280" t="s">
        <v>196</v>
      </c>
      <c r="C280" t="s">
        <v>197</v>
      </c>
      <c r="D280">
        <v>3.5</v>
      </c>
      <c r="E280">
        <v>1.33</v>
      </c>
      <c r="F280" t="s">
        <v>9</v>
      </c>
      <c r="G280" s="2"/>
      <c r="H280" s="2"/>
    </row>
    <row r="281" spans="2:8" x14ac:dyDescent="0.25">
      <c r="B281" t="s">
        <v>196</v>
      </c>
      <c r="C281" t="s">
        <v>197</v>
      </c>
      <c r="D281">
        <v>3.5</v>
      </c>
      <c r="E281">
        <v>1.33</v>
      </c>
      <c r="F281" t="s">
        <v>9</v>
      </c>
      <c r="G281" s="2"/>
      <c r="H281" s="2"/>
    </row>
    <row r="282" spans="2:8" x14ac:dyDescent="0.25">
      <c r="B282" t="s">
        <v>196</v>
      </c>
      <c r="C282" t="s">
        <v>197</v>
      </c>
      <c r="D282">
        <v>3.4</v>
      </c>
      <c r="E282">
        <v>1.3</v>
      </c>
      <c r="F282" t="s">
        <v>9</v>
      </c>
      <c r="G282" s="2"/>
      <c r="H282" s="2"/>
    </row>
    <row r="283" spans="2:8" x14ac:dyDescent="0.25">
      <c r="B283" t="s">
        <v>196</v>
      </c>
      <c r="C283" t="s">
        <v>197</v>
      </c>
      <c r="D283">
        <v>3.55</v>
      </c>
      <c r="E283">
        <v>1.3</v>
      </c>
      <c r="F283" t="s">
        <v>9</v>
      </c>
      <c r="G283" s="2"/>
      <c r="H283" s="2"/>
    </row>
    <row r="284" spans="2:8" x14ac:dyDescent="0.25">
      <c r="B284" t="s">
        <v>196</v>
      </c>
      <c r="C284" t="s">
        <v>197</v>
      </c>
      <c r="D284">
        <v>3.55</v>
      </c>
      <c r="E284">
        <v>1.3</v>
      </c>
      <c r="F284" t="s">
        <v>9</v>
      </c>
      <c r="G284" s="2"/>
      <c r="H284" s="2"/>
    </row>
    <row r="285" spans="2:8" x14ac:dyDescent="0.25">
      <c r="B285" t="s">
        <v>196</v>
      </c>
      <c r="C285" t="s">
        <v>197</v>
      </c>
      <c r="D285">
        <v>3.6</v>
      </c>
      <c r="E285">
        <v>1.31</v>
      </c>
      <c r="F285" t="s">
        <v>9</v>
      </c>
      <c r="G285" s="2"/>
      <c r="H285" s="2"/>
    </row>
    <row r="286" spans="2:8" x14ac:dyDescent="0.25">
      <c r="B286" t="s">
        <v>196</v>
      </c>
      <c r="C286" t="s">
        <v>197</v>
      </c>
      <c r="D286">
        <v>3.5</v>
      </c>
      <c r="E286">
        <v>1.29</v>
      </c>
      <c r="F286" t="s">
        <v>9</v>
      </c>
      <c r="G286" s="2"/>
      <c r="H286" s="2"/>
    </row>
    <row r="287" spans="2:8" x14ac:dyDescent="0.25">
      <c r="B287" t="s">
        <v>196</v>
      </c>
      <c r="C287" t="s">
        <v>197</v>
      </c>
      <c r="D287">
        <v>3.5</v>
      </c>
      <c r="E287">
        <v>1.31</v>
      </c>
      <c r="F287" t="s">
        <v>9</v>
      </c>
      <c r="G287" s="2"/>
      <c r="H287" s="2"/>
    </row>
    <row r="288" spans="2:8" x14ac:dyDescent="0.25">
      <c r="B288" t="s">
        <v>196</v>
      </c>
      <c r="C288" t="s">
        <v>197</v>
      </c>
      <c r="D288">
        <v>3.5</v>
      </c>
      <c r="E288">
        <v>1.31</v>
      </c>
      <c r="F288" t="s">
        <v>9</v>
      </c>
      <c r="G288" s="2"/>
      <c r="H288" s="2"/>
    </row>
    <row r="289" spans="2:8" x14ac:dyDescent="0.25">
      <c r="B289" t="s">
        <v>196</v>
      </c>
      <c r="C289" t="s">
        <v>197</v>
      </c>
      <c r="D289">
        <v>3.6</v>
      </c>
      <c r="E289">
        <v>1.3</v>
      </c>
      <c r="F289" t="s">
        <v>9</v>
      </c>
      <c r="G289" s="2"/>
      <c r="H289" s="2"/>
    </row>
    <row r="290" spans="2:8" x14ac:dyDescent="0.25">
      <c r="B290" t="s">
        <v>196</v>
      </c>
      <c r="C290" t="s">
        <v>197</v>
      </c>
      <c r="D290">
        <v>3.6</v>
      </c>
      <c r="E290">
        <v>1.29</v>
      </c>
      <c r="F290" t="s">
        <v>9</v>
      </c>
      <c r="G290" s="2"/>
      <c r="H290" s="2"/>
    </row>
    <row r="291" spans="2:8" x14ac:dyDescent="0.25">
      <c r="B291" t="s">
        <v>196</v>
      </c>
      <c r="C291" t="s">
        <v>197</v>
      </c>
      <c r="D291">
        <v>3.52</v>
      </c>
      <c r="E291">
        <v>1.32</v>
      </c>
      <c r="F291" t="s">
        <v>9</v>
      </c>
      <c r="G291" s="2"/>
      <c r="H291" s="2"/>
    </row>
    <row r="292" spans="2:8" x14ac:dyDescent="0.25">
      <c r="B292" t="s">
        <v>198</v>
      </c>
      <c r="C292" t="s">
        <v>199</v>
      </c>
      <c r="D292">
        <v>3.15</v>
      </c>
      <c r="E292">
        <v>1.39</v>
      </c>
      <c r="F292" t="s">
        <v>9</v>
      </c>
      <c r="G292" s="2"/>
      <c r="H292" s="2"/>
    </row>
    <row r="293" spans="2:8" x14ac:dyDescent="0.25">
      <c r="B293" t="s">
        <v>198</v>
      </c>
      <c r="C293" t="s">
        <v>199</v>
      </c>
      <c r="D293">
        <v>3.1</v>
      </c>
      <c r="E293">
        <v>1.38</v>
      </c>
      <c r="F293" t="s">
        <v>9</v>
      </c>
      <c r="G293" s="2"/>
      <c r="H293" s="2"/>
    </row>
    <row r="294" spans="2:8" x14ac:dyDescent="0.25">
      <c r="B294" t="s">
        <v>198</v>
      </c>
      <c r="C294" t="s">
        <v>199</v>
      </c>
      <c r="D294">
        <v>3.15</v>
      </c>
      <c r="E294">
        <v>1.39</v>
      </c>
      <c r="F294" t="s">
        <v>9</v>
      </c>
      <c r="G294" s="2"/>
      <c r="H294" s="2"/>
    </row>
    <row r="295" spans="2:8" x14ac:dyDescent="0.25">
      <c r="B295" t="s">
        <v>198</v>
      </c>
      <c r="C295" t="s">
        <v>199</v>
      </c>
      <c r="D295">
        <v>3.1</v>
      </c>
      <c r="E295">
        <v>1.38</v>
      </c>
      <c r="F295" t="s">
        <v>9</v>
      </c>
      <c r="G295" s="2"/>
      <c r="H295" s="2"/>
    </row>
    <row r="296" spans="2:8" x14ac:dyDescent="0.25">
      <c r="B296" t="s">
        <v>198</v>
      </c>
      <c r="C296" t="s">
        <v>199</v>
      </c>
      <c r="D296">
        <v>3.2</v>
      </c>
      <c r="E296">
        <v>1.37</v>
      </c>
      <c r="F296" t="s">
        <v>9</v>
      </c>
      <c r="G296" s="2"/>
      <c r="H296" s="2"/>
    </row>
    <row r="297" spans="2:8" x14ac:dyDescent="0.25">
      <c r="B297" t="s">
        <v>198</v>
      </c>
      <c r="C297" t="s">
        <v>199</v>
      </c>
      <c r="D297">
        <v>3.1</v>
      </c>
      <c r="E297">
        <v>1.38</v>
      </c>
      <c r="F297" t="s">
        <v>9</v>
      </c>
      <c r="G297" s="2"/>
      <c r="H297" s="2"/>
    </row>
    <row r="298" spans="2:8" x14ac:dyDescent="0.25">
      <c r="B298" t="s">
        <v>198</v>
      </c>
      <c r="C298" t="s">
        <v>199</v>
      </c>
      <c r="D298">
        <v>3.05</v>
      </c>
      <c r="E298">
        <v>1.38</v>
      </c>
      <c r="F298" t="s">
        <v>9</v>
      </c>
      <c r="G298" s="2"/>
      <c r="H298" s="2"/>
    </row>
    <row r="299" spans="2:8" x14ac:dyDescent="0.25">
      <c r="B299" t="s">
        <v>198</v>
      </c>
      <c r="C299" t="s">
        <v>199</v>
      </c>
      <c r="D299">
        <v>3.05</v>
      </c>
      <c r="E299">
        <v>1.38</v>
      </c>
      <c r="F299" t="s">
        <v>9</v>
      </c>
      <c r="G299" s="2"/>
      <c r="H299" s="2"/>
    </row>
    <row r="300" spans="2:8" x14ac:dyDescent="0.25">
      <c r="B300" t="s">
        <v>198</v>
      </c>
      <c r="C300" t="s">
        <v>199</v>
      </c>
      <c r="D300">
        <v>3.15</v>
      </c>
      <c r="E300">
        <v>1.34</v>
      </c>
      <c r="F300" t="s">
        <v>9</v>
      </c>
      <c r="G300" s="2"/>
      <c r="H300" s="2"/>
    </row>
    <row r="301" spans="2:8" x14ac:dyDescent="0.25">
      <c r="B301" t="s">
        <v>198</v>
      </c>
      <c r="C301" t="s">
        <v>199</v>
      </c>
      <c r="D301">
        <v>3.1</v>
      </c>
      <c r="E301">
        <v>1.38</v>
      </c>
      <c r="F301" t="s">
        <v>9</v>
      </c>
      <c r="G301" s="2"/>
      <c r="H301" s="2"/>
    </row>
    <row r="302" spans="2:8" x14ac:dyDescent="0.25">
      <c r="B302" t="s">
        <v>198</v>
      </c>
      <c r="C302" t="s">
        <v>199</v>
      </c>
      <c r="D302">
        <v>3.15</v>
      </c>
      <c r="E302">
        <v>1.39</v>
      </c>
      <c r="F302" t="s">
        <v>9</v>
      </c>
      <c r="G302" s="2"/>
      <c r="H302" s="2"/>
    </row>
    <row r="303" spans="2:8" x14ac:dyDescent="0.25">
      <c r="B303" t="s">
        <v>200</v>
      </c>
      <c r="C303" t="s">
        <v>201</v>
      </c>
      <c r="D303">
        <v>2</v>
      </c>
      <c r="E303">
        <v>1.83</v>
      </c>
      <c r="F303" t="s">
        <v>9</v>
      </c>
      <c r="G303" s="2"/>
      <c r="H303" s="2"/>
    </row>
    <row r="304" spans="2:8" x14ac:dyDescent="0.25">
      <c r="B304" t="s">
        <v>200</v>
      </c>
      <c r="C304" t="s">
        <v>201</v>
      </c>
      <c r="D304">
        <v>2</v>
      </c>
      <c r="E304">
        <v>1.83</v>
      </c>
      <c r="F304" t="s">
        <v>9</v>
      </c>
      <c r="G304" s="2"/>
      <c r="H304" s="2"/>
    </row>
    <row r="305" spans="2:8" x14ac:dyDescent="0.25">
      <c r="B305" t="s">
        <v>200</v>
      </c>
      <c r="C305" t="s">
        <v>201</v>
      </c>
      <c r="D305">
        <v>2.02</v>
      </c>
      <c r="E305">
        <v>1.83</v>
      </c>
      <c r="F305" t="s">
        <v>9</v>
      </c>
      <c r="G305" s="2"/>
      <c r="H305" s="2"/>
    </row>
    <row r="306" spans="2:8" x14ac:dyDescent="0.25">
      <c r="B306" t="s">
        <v>200</v>
      </c>
      <c r="C306" t="s">
        <v>201</v>
      </c>
      <c r="D306">
        <v>2.0299999999999998</v>
      </c>
      <c r="E306">
        <v>1.82</v>
      </c>
      <c r="F306" t="s">
        <v>9</v>
      </c>
      <c r="G306" s="2"/>
      <c r="H306" s="2"/>
    </row>
    <row r="307" spans="2:8" x14ac:dyDescent="0.25">
      <c r="B307" t="s">
        <v>200</v>
      </c>
      <c r="C307" t="s">
        <v>201</v>
      </c>
      <c r="D307">
        <v>1.94</v>
      </c>
      <c r="E307">
        <v>1.83</v>
      </c>
      <c r="F307" t="s">
        <v>9</v>
      </c>
      <c r="G307" s="2"/>
      <c r="H307" s="2"/>
    </row>
    <row r="308" spans="2:8" x14ac:dyDescent="0.25">
      <c r="B308" t="s">
        <v>200</v>
      </c>
      <c r="C308" t="s">
        <v>201</v>
      </c>
      <c r="D308">
        <v>2.0499999999999998</v>
      </c>
      <c r="E308">
        <v>1.8</v>
      </c>
      <c r="F308" t="s">
        <v>9</v>
      </c>
      <c r="G308" s="2"/>
      <c r="H308" s="2"/>
    </row>
    <row r="309" spans="2:8" x14ac:dyDescent="0.25">
      <c r="B309" t="s">
        <v>200</v>
      </c>
      <c r="C309" t="s">
        <v>201</v>
      </c>
      <c r="D309">
        <v>2</v>
      </c>
      <c r="E309">
        <v>1.83</v>
      </c>
      <c r="F309" t="s">
        <v>9</v>
      </c>
      <c r="G309" s="2"/>
      <c r="H309" s="2"/>
    </row>
    <row r="310" spans="2:8" x14ac:dyDescent="0.25">
      <c r="B310" t="s">
        <v>200</v>
      </c>
      <c r="C310" t="s">
        <v>201</v>
      </c>
      <c r="D310">
        <v>1.93</v>
      </c>
      <c r="E310">
        <v>1.82</v>
      </c>
      <c r="F310" t="s">
        <v>9</v>
      </c>
      <c r="G310" s="2"/>
      <c r="H310" s="2"/>
    </row>
    <row r="311" spans="2:8" x14ac:dyDescent="0.25">
      <c r="B311" t="s">
        <v>200</v>
      </c>
      <c r="C311" t="s">
        <v>201</v>
      </c>
      <c r="D311">
        <v>2.0699999999999998</v>
      </c>
      <c r="E311">
        <v>1.76</v>
      </c>
      <c r="F311" t="s">
        <v>9</v>
      </c>
      <c r="G311" s="2"/>
      <c r="H311" s="2"/>
    </row>
    <row r="312" spans="2:8" x14ac:dyDescent="0.25">
      <c r="B312" t="s">
        <v>200</v>
      </c>
      <c r="C312" t="s">
        <v>201</v>
      </c>
      <c r="D312">
        <v>2.0699999999999998</v>
      </c>
      <c r="E312">
        <v>1.76</v>
      </c>
      <c r="F312" t="s">
        <v>9</v>
      </c>
      <c r="G312" s="2"/>
      <c r="H312" s="2"/>
    </row>
    <row r="313" spans="2:8" x14ac:dyDescent="0.25">
      <c r="B313" t="s">
        <v>200</v>
      </c>
      <c r="C313" t="s">
        <v>201</v>
      </c>
      <c r="D313">
        <v>2.0499999999999998</v>
      </c>
      <c r="E313">
        <v>1.8</v>
      </c>
      <c r="F313" t="s">
        <v>9</v>
      </c>
      <c r="G313" s="2"/>
      <c r="H313" s="2"/>
    </row>
    <row r="314" spans="2:8" x14ac:dyDescent="0.25">
      <c r="B314" t="s">
        <v>200</v>
      </c>
      <c r="C314" t="s">
        <v>201</v>
      </c>
      <c r="D314">
        <v>2</v>
      </c>
      <c r="E314">
        <v>1.83</v>
      </c>
      <c r="F314" t="s">
        <v>9</v>
      </c>
      <c r="G314" s="2"/>
      <c r="H314" s="2"/>
    </row>
    <row r="315" spans="2:8" x14ac:dyDescent="0.25">
      <c r="B315" t="s">
        <v>202</v>
      </c>
      <c r="C315" t="s">
        <v>203</v>
      </c>
      <c r="D315">
        <v>2.2000000000000002</v>
      </c>
      <c r="E315">
        <v>1.69</v>
      </c>
      <c r="F315" t="s">
        <v>9</v>
      </c>
      <c r="G315" s="2"/>
      <c r="H315" s="2"/>
    </row>
    <row r="316" spans="2:8" x14ac:dyDescent="0.25">
      <c r="B316" t="s">
        <v>202</v>
      </c>
      <c r="C316" t="s">
        <v>203</v>
      </c>
      <c r="D316">
        <v>2.2400000000000002</v>
      </c>
      <c r="E316">
        <v>1.68</v>
      </c>
      <c r="F316" t="s">
        <v>9</v>
      </c>
      <c r="G316" s="2"/>
      <c r="H316" s="2"/>
    </row>
    <row r="317" spans="2:8" x14ac:dyDescent="0.25">
      <c r="B317" t="s">
        <v>202</v>
      </c>
      <c r="C317" t="s">
        <v>203</v>
      </c>
      <c r="D317">
        <v>2.2200000000000002</v>
      </c>
      <c r="E317">
        <v>1.7</v>
      </c>
      <c r="F317" t="s">
        <v>9</v>
      </c>
      <c r="G317" s="2"/>
      <c r="H317" s="2"/>
    </row>
    <row r="318" spans="2:8" x14ac:dyDescent="0.25">
      <c r="B318" t="s">
        <v>202</v>
      </c>
      <c r="C318" t="s">
        <v>203</v>
      </c>
      <c r="D318">
        <v>2.2200000000000002</v>
      </c>
      <c r="E318">
        <v>1.7</v>
      </c>
      <c r="F318" t="s">
        <v>9</v>
      </c>
      <c r="G318" s="2"/>
      <c r="H318" s="2"/>
    </row>
    <row r="319" spans="2:8" x14ac:dyDescent="0.25">
      <c r="B319" t="s">
        <v>202</v>
      </c>
      <c r="C319" t="s">
        <v>203</v>
      </c>
      <c r="D319">
        <v>2.14</v>
      </c>
      <c r="E319">
        <v>1.68</v>
      </c>
      <c r="F319" t="s">
        <v>9</v>
      </c>
      <c r="G319" s="2"/>
      <c r="H319" s="2"/>
    </row>
    <row r="320" spans="2:8" x14ac:dyDescent="0.25">
      <c r="B320" t="s">
        <v>202</v>
      </c>
      <c r="C320" t="s">
        <v>203</v>
      </c>
      <c r="D320">
        <v>2.15</v>
      </c>
      <c r="E320">
        <v>1.69</v>
      </c>
      <c r="F320" t="s">
        <v>9</v>
      </c>
      <c r="G320" s="2"/>
      <c r="H320" s="2"/>
    </row>
    <row r="321" spans="2:8" x14ac:dyDescent="0.25">
      <c r="B321" t="s">
        <v>202</v>
      </c>
      <c r="C321" t="s">
        <v>203</v>
      </c>
      <c r="D321">
        <v>2.23</v>
      </c>
      <c r="E321">
        <v>1.69</v>
      </c>
      <c r="F321" t="s">
        <v>9</v>
      </c>
      <c r="G321" s="2"/>
      <c r="H321" s="2"/>
    </row>
    <row r="322" spans="2:8" x14ac:dyDescent="0.25">
      <c r="B322" t="s">
        <v>202</v>
      </c>
      <c r="C322" t="s">
        <v>203</v>
      </c>
      <c r="D322">
        <v>2.2000000000000002</v>
      </c>
      <c r="E322">
        <v>1.71</v>
      </c>
      <c r="F322" t="s">
        <v>9</v>
      </c>
      <c r="G322" s="2"/>
      <c r="H322" s="2"/>
    </row>
    <row r="323" spans="2:8" x14ac:dyDescent="0.25">
      <c r="B323" t="s">
        <v>202</v>
      </c>
      <c r="C323" t="s">
        <v>203</v>
      </c>
      <c r="D323">
        <v>2.1</v>
      </c>
      <c r="E323">
        <v>1.74</v>
      </c>
      <c r="F323" t="s">
        <v>9</v>
      </c>
      <c r="G323" s="2"/>
      <c r="H323" s="2"/>
    </row>
    <row r="324" spans="2:8" x14ac:dyDescent="0.25">
      <c r="B324" t="s">
        <v>202</v>
      </c>
      <c r="C324" t="s">
        <v>203</v>
      </c>
      <c r="D324">
        <v>2.1</v>
      </c>
      <c r="E324">
        <v>1.74</v>
      </c>
      <c r="F324" t="s">
        <v>9</v>
      </c>
      <c r="G324" s="2"/>
      <c r="H324" s="2"/>
    </row>
    <row r="325" spans="2:8" x14ac:dyDescent="0.25">
      <c r="B325" t="s">
        <v>202</v>
      </c>
      <c r="C325" t="s">
        <v>203</v>
      </c>
      <c r="D325">
        <v>2.2000000000000002</v>
      </c>
      <c r="E325">
        <v>1.71</v>
      </c>
      <c r="F325" t="s">
        <v>9</v>
      </c>
      <c r="G325" s="2"/>
      <c r="H325" s="2"/>
    </row>
    <row r="326" spans="2:8" x14ac:dyDescent="0.25">
      <c r="B326" t="s">
        <v>202</v>
      </c>
      <c r="C326" t="s">
        <v>203</v>
      </c>
      <c r="D326">
        <v>2.25</v>
      </c>
      <c r="E326">
        <v>1.67</v>
      </c>
      <c r="F326" t="s">
        <v>9</v>
      </c>
      <c r="G326" s="2"/>
      <c r="H326" s="2"/>
    </row>
    <row r="327" spans="2:8" x14ac:dyDescent="0.25">
      <c r="B327" t="s">
        <v>204</v>
      </c>
      <c r="C327" t="s">
        <v>244</v>
      </c>
      <c r="D327">
        <v>2.9</v>
      </c>
      <c r="E327">
        <v>1.44</v>
      </c>
      <c r="F327" t="s">
        <v>9</v>
      </c>
      <c r="G327" s="2"/>
      <c r="H327" s="2"/>
    </row>
    <row r="328" spans="2:8" x14ac:dyDescent="0.25">
      <c r="B328" t="s">
        <v>204</v>
      </c>
      <c r="C328" t="s">
        <v>244</v>
      </c>
      <c r="D328">
        <v>2.9</v>
      </c>
      <c r="E328">
        <v>1.44</v>
      </c>
      <c r="F328" t="s">
        <v>9</v>
      </c>
      <c r="G328" s="2"/>
      <c r="H328" s="2"/>
    </row>
    <row r="329" spans="2:8" x14ac:dyDescent="0.25">
      <c r="B329" t="s">
        <v>204</v>
      </c>
      <c r="C329" t="s">
        <v>244</v>
      </c>
      <c r="D329">
        <v>2.8</v>
      </c>
      <c r="E329">
        <v>1.46</v>
      </c>
      <c r="F329" t="s">
        <v>9</v>
      </c>
      <c r="G329" s="2"/>
      <c r="H329" s="2"/>
    </row>
    <row r="330" spans="2:8" x14ac:dyDescent="0.25">
      <c r="B330" t="s">
        <v>204</v>
      </c>
      <c r="C330" t="s">
        <v>244</v>
      </c>
      <c r="D330">
        <v>2.95</v>
      </c>
      <c r="E330">
        <v>1.4</v>
      </c>
      <c r="F330" t="s">
        <v>9</v>
      </c>
      <c r="G330" s="2"/>
      <c r="H330" s="2"/>
    </row>
    <row r="331" spans="2:8" x14ac:dyDescent="0.25">
      <c r="B331" t="s">
        <v>204</v>
      </c>
      <c r="C331" t="s">
        <v>244</v>
      </c>
      <c r="D331">
        <v>2.95</v>
      </c>
      <c r="E331">
        <v>1.4</v>
      </c>
      <c r="F331" t="s">
        <v>9</v>
      </c>
      <c r="G331" s="2"/>
      <c r="H331" s="2"/>
    </row>
    <row r="332" spans="2:8" x14ac:dyDescent="0.25">
      <c r="B332" t="s">
        <v>204</v>
      </c>
      <c r="C332" t="s">
        <v>244</v>
      </c>
      <c r="D332">
        <v>2.75</v>
      </c>
      <c r="E332">
        <v>1.48</v>
      </c>
      <c r="F332" t="s">
        <v>9</v>
      </c>
      <c r="G332" s="2"/>
      <c r="H332" s="2"/>
    </row>
    <row r="333" spans="2:8" x14ac:dyDescent="0.25">
      <c r="B333" t="s">
        <v>204</v>
      </c>
      <c r="C333" t="s">
        <v>244</v>
      </c>
      <c r="D333">
        <v>2.85</v>
      </c>
      <c r="E333">
        <v>1.44</v>
      </c>
      <c r="F333" t="s">
        <v>9</v>
      </c>
      <c r="G333" s="2"/>
      <c r="H333" s="2"/>
    </row>
    <row r="334" spans="2:8" x14ac:dyDescent="0.25">
      <c r="B334" t="s">
        <v>204</v>
      </c>
      <c r="C334" t="s">
        <v>244</v>
      </c>
      <c r="D334">
        <v>2.85</v>
      </c>
      <c r="E334">
        <v>1.44</v>
      </c>
      <c r="F334" t="s">
        <v>9</v>
      </c>
      <c r="G334" s="2"/>
      <c r="H334" s="2"/>
    </row>
    <row r="335" spans="2:8" x14ac:dyDescent="0.25">
      <c r="B335" t="s">
        <v>204</v>
      </c>
      <c r="C335" t="s">
        <v>244</v>
      </c>
      <c r="D335">
        <v>2.9</v>
      </c>
      <c r="E335">
        <v>1.4</v>
      </c>
      <c r="F335" t="s">
        <v>9</v>
      </c>
      <c r="G335" s="2"/>
      <c r="H335" s="2"/>
    </row>
    <row r="336" spans="2:8" x14ac:dyDescent="0.25">
      <c r="B336" t="s">
        <v>204</v>
      </c>
      <c r="C336" t="s">
        <v>244</v>
      </c>
      <c r="D336">
        <v>2.8</v>
      </c>
      <c r="E336">
        <v>1.47</v>
      </c>
      <c r="F336" t="s">
        <v>9</v>
      </c>
      <c r="G336" s="2"/>
      <c r="H336" s="2"/>
    </row>
    <row r="337" spans="2:8" x14ac:dyDescent="0.25">
      <c r="B337" t="s">
        <v>204</v>
      </c>
      <c r="C337" t="s">
        <v>244</v>
      </c>
      <c r="D337">
        <v>2.85</v>
      </c>
      <c r="E337">
        <v>1.44</v>
      </c>
      <c r="F337" t="s">
        <v>9</v>
      </c>
      <c r="G337" s="2"/>
      <c r="H337" s="2"/>
    </row>
    <row r="338" spans="2:8" x14ac:dyDescent="0.25">
      <c r="B338" t="s">
        <v>204</v>
      </c>
      <c r="C338" t="s">
        <v>244</v>
      </c>
      <c r="D338">
        <v>2.85</v>
      </c>
      <c r="E338">
        <v>1.44</v>
      </c>
      <c r="F338" t="s">
        <v>9</v>
      </c>
      <c r="G338" s="2"/>
      <c r="H338" s="2"/>
    </row>
    <row r="339" spans="2:8" x14ac:dyDescent="0.25">
      <c r="B339" t="s">
        <v>205</v>
      </c>
      <c r="C339" t="s">
        <v>206</v>
      </c>
      <c r="D339">
        <v>1.36</v>
      </c>
      <c r="E339">
        <v>3.35</v>
      </c>
      <c r="F339" t="s">
        <v>9</v>
      </c>
      <c r="G339" s="2"/>
      <c r="H339" s="2"/>
    </row>
    <row r="340" spans="2:8" x14ac:dyDescent="0.25">
      <c r="B340" t="s">
        <v>205</v>
      </c>
      <c r="C340" t="s">
        <v>206</v>
      </c>
      <c r="D340">
        <v>1.36</v>
      </c>
      <c r="E340">
        <v>3.35</v>
      </c>
      <c r="F340" t="s">
        <v>9</v>
      </c>
      <c r="G340" s="2"/>
      <c r="H340" s="2"/>
    </row>
    <row r="341" spans="2:8" x14ac:dyDescent="0.25">
      <c r="B341" t="s">
        <v>205</v>
      </c>
      <c r="C341" t="s">
        <v>206</v>
      </c>
      <c r="D341">
        <v>1.36</v>
      </c>
      <c r="E341">
        <v>3.25</v>
      </c>
      <c r="F341" t="s">
        <v>9</v>
      </c>
      <c r="G341" s="2"/>
      <c r="H341" s="2"/>
    </row>
    <row r="342" spans="2:8" x14ac:dyDescent="0.25">
      <c r="B342" t="s">
        <v>205</v>
      </c>
      <c r="C342" t="s">
        <v>206</v>
      </c>
      <c r="D342">
        <v>1.36</v>
      </c>
      <c r="E342">
        <v>3.2</v>
      </c>
      <c r="F342" t="s">
        <v>9</v>
      </c>
      <c r="G342" s="2"/>
      <c r="H342" s="2"/>
    </row>
    <row r="343" spans="2:8" x14ac:dyDescent="0.25">
      <c r="B343" t="s">
        <v>205</v>
      </c>
      <c r="C343" t="s">
        <v>206</v>
      </c>
      <c r="D343">
        <v>1.34</v>
      </c>
      <c r="E343">
        <v>3.15</v>
      </c>
      <c r="F343" t="s">
        <v>9</v>
      </c>
      <c r="G343" s="2"/>
      <c r="H343" s="2"/>
    </row>
    <row r="344" spans="2:8" x14ac:dyDescent="0.25">
      <c r="B344" t="s">
        <v>205</v>
      </c>
      <c r="C344" t="s">
        <v>206</v>
      </c>
      <c r="D344">
        <v>1.36</v>
      </c>
      <c r="E344">
        <v>3.2</v>
      </c>
      <c r="F344" t="s">
        <v>9</v>
      </c>
      <c r="G344" s="2"/>
      <c r="H344" s="2"/>
    </row>
    <row r="345" spans="2:8" x14ac:dyDescent="0.25">
      <c r="B345" t="s">
        <v>205</v>
      </c>
      <c r="C345" t="s">
        <v>206</v>
      </c>
      <c r="D345">
        <v>1.36</v>
      </c>
      <c r="E345">
        <v>3.3</v>
      </c>
      <c r="F345" t="s">
        <v>9</v>
      </c>
      <c r="G345" s="2"/>
      <c r="H345" s="2"/>
    </row>
    <row r="346" spans="2:8" x14ac:dyDescent="0.25">
      <c r="B346" t="s">
        <v>205</v>
      </c>
      <c r="C346" t="s">
        <v>206</v>
      </c>
      <c r="D346">
        <v>1.37</v>
      </c>
      <c r="E346">
        <v>3.2</v>
      </c>
      <c r="F346" t="s">
        <v>9</v>
      </c>
      <c r="G346" s="2"/>
      <c r="H346" s="2"/>
    </row>
    <row r="347" spans="2:8" x14ac:dyDescent="0.25">
      <c r="B347" t="s">
        <v>205</v>
      </c>
      <c r="C347" t="s">
        <v>206</v>
      </c>
      <c r="D347">
        <v>1.36</v>
      </c>
      <c r="E347">
        <v>3.15</v>
      </c>
      <c r="F347" t="s">
        <v>9</v>
      </c>
      <c r="G347" s="2"/>
      <c r="H347" s="2"/>
    </row>
    <row r="348" spans="2:8" x14ac:dyDescent="0.25">
      <c r="B348" t="s">
        <v>205</v>
      </c>
      <c r="C348" t="s">
        <v>206</v>
      </c>
      <c r="D348">
        <v>1.36</v>
      </c>
      <c r="E348">
        <v>3.15</v>
      </c>
      <c r="F348" t="s">
        <v>9</v>
      </c>
      <c r="G348" s="2"/>
      <c r="H348" s="2"/>
    </row>
    <row r="349" spans="2:8" x14ac:dyDescent="0.25">
      <c r="B349" t="s">
        <v>205</v>
      </c>
      <c r="C349" t="s">
        <v>206</v>
      </c>
      <c r="D349">
        <v>1.34</v>
      </c>
      <c r="E349">
        <v>3.35</v>
      </c>
      <c r="F349" t="s">
        <v>9</v>
      </c>
      <c r="G349" s="2"/>
      <c r="H349" s="2"/>
    </row>
    <row r="350" spans="2:8" x14ac:dyDescent="0.25">
      <c r="B350" t="s">
        <v>205</v>
      </c>
      <c r="C350" t="s">
        <v>206</v>
      </c>
      <c r="D350">
        <v>1.36</v>
      </c>
      <c r="E350">
        <v>3.2</v>
      </c>
      <c r="F350" t="s">
        <v>9</v>
      </c>
      <c r="G350" s="2"/>
      <c r="H350" s="2"/>
    </row>
    <row r="351" spans="2:8" x14ac:dyDescent="0.25">
      <c r="B351" t="s">
        <v>58</v>
      </c>
      <c r="C351" t="s">
        <v>55</v>
      </c>
      <c r="D351">
        <v>1.26</v>
      </c>
      <c r="E351">
        <v>4</v>
      </c>
      <c r="F351" t="s">
        <v>7</v>
      </c>
      <c r="G351" s="2"/>
      <c r="H351" s="2"/>
    </row>
    <row r="352" spans="2:8" x14ac:dyDescent="0.25">
      <c r="B352" t="s">
        <v>58</v>
      </c>
      <c r="C352" t="s">
        <v>55</v>
      </c>
      <c r="D352">
        <v>1.27</v>
      </c>
      <c r="E352">
        <v>3.9</v>
      </c>
      <c r="F352" t="s">
        <v>7</v>
      </c>
      <c r="G352" s="2"/>
      <c r="H352" s="2"/>
    </row>
    <row r="353" spans="2:8" x14ac:dyDescent="0.25">
      <c r="B353" t="s">
        <v>58</v>
      </c>
      <c r="C353" t="s">
        <v>55</v>
      </c>
      <c r="D353">
        <v>1.25</v>
      </c>
      <c r="E353">
        <v>4.0999999999999996</v>
      </c>
      <c r="F353" t="s">
        <v>7</v>
      </c>
      <c r="G353" s="2"/>
      <c r="H353" s="2"/>
    </row>
    <row r="354" spans="2:8" x14ac:dyDescent="0.25">
      <c r="B354" t="s">
        <v>58</v>
      </c>
      <c r="C354" t="s">
        <v>55</v>
      </c>
      <c r="D354">
        <v>1.23</v>
      </c>
      <c r="E354">
        <v>4.3</v>
      </c>
      <c r="F354" t="s">
        <v>7</v>
      </c>
      <c r="G354" s="2"/>
      <c r="H354" s="2"/>
    </row>
    <row r="355" spans="2:8" x14ac:dyDescent="0.25">
      <c r="B355" t="s">
        <v>58</v>
      </c>
      <c r="C355" t="s">
        <v>55</v>
      </c>
      <c r="D355">
        <v>1.23</v>
      </c>
      <c r="E355">
        <v>4.3</v>
      </c>
      <c r="F355" t="s">
        <v>7</v>
      </c>
      <c r="G355" s="2"/>
      <c r="H355" s="2"/>
    </row>
    <row r="356" spans="2:8" x14ac:dyDescent="0.25">
      <c r="B356" t="s">
        <v>58</v>
      </c>
      <c r="C356" t="s">
        <v>55</v>
      </c>
      <c r="D356">
        <v>1.26</v>
      </c>
      <c r="E356">
        <v>4.1500000000000004</v>
      </c>
      <c r="F356" t="s">
        <v>7</v>
      </c>
      <c r="G356" s="2"/>
      <c r="H356" s="2"/>
    </row>
    <row r="357" spans="2:8" x14ac:dyDescent="0.25">
      <c r="B357" t="s">
        <v>58</v>
      </c>
      <c r="C357" t="s">
        <v>55</v>
      </c>
      <c r="D357">
        <v>1.26</v>
      </c>
      <c r="E357">
        <v>4.1500000000000004</v>
      </c>
      <c r="F357" t="s">
        <v>7</v>
      </c>
      <c r="G357" s="2"/>
      <c r="H357" s="2"/>
    </row>
    <row r="358" spans="2:8" x14ac:dyDescent="0.25">
      <c r="B358" t="s">
        <v>58</v>
      </c>
      <c r="C358" t="s">
        <v>55</v>
      </c>
      <c r="D358">
        <v>1.25</v>
      </c>
      <c r="E358">
        <v>4.2</v>
      </c>
      <c r="F358" t="s">
        <v>7</v>
      </c>
      <c r="G358" s="2"/>
      <c r="H358" s="2"/>
    </row>
    <row r="359" spans="2:8" x14ac:dyDescent="0.25">
      <c r="B359" t="s">
        <v>58</v>
      </c>
      <c r="C359" t="s">
        <v>55</v>
      </c>
      <c r="D359">
        <v>1.25</v>
      </c>
      <c r="E359">
        <v>4.0999999999999996</v>
      </c>
      <c r="F359" t="s">
        <v>7</v>
      </c>
      <c r="G359" s="2"/>
      <c r="H359" s="2"/>
    </row>
    <row r="360" spans="2:8" x14ac:dyDescent="0.25">
      <c r="B360" t="s">
        <v>58</v>
      </c>
      <c r="C360" t="s">
        <v>55</v>
      </c>
      <c r="D360">
        <v>1.24</v>
      </c>
      <c r="E360">
        <v>4.05</v>
      </c>
      <c r="F360" t="s">
        <v>7</v>
      </c>
      <c r="G360" s="2"/>
      <c r="H360" s="2"/>
    </row>
    <row r="361" spans="2:8" x14ac:dyDescent="0.25">
      <c r="B361" t="s">
        <v>58</v>
      </c>
      <c r="C361" t="s">
        <v>55</v>
      </c>
      <c r="D361">
        <v>1.25</v>
      </c>
      <c r="E361">
        <v>4</v>
      </c>
      <c r="F361" t="s">
        <v>7</v>
      </c>
      <c r="G361" s="2"/>
      <c r="H361" s="2"/>
    </row>
    <row r="362" spans="2:8" x14ac:dyDescent="0.25">
      <c r="B362" t="s">
        <v>58</v>
      </c>
      <c r="C362" t="s">
        <v>55</v>
      </c>
      <c r="D362">
        <v>1.24</v>
      </c>
      <c r="E362">
        <v>4.1500000000000004</v>
      </c>
      <c r="F362" t="s">
        <v>7</v>
      </c>
      <c r="G362" s="2"/>
      <c r="H362" s="2"/>
    </row>
    <row r="363" spans="2:8" x14ac:dyDescent="0.25">
      <c r="B363" t="s">
        <v>58</v>
      </c>
      <c r="C363" t="s">
        <v>55</v>
      </c>
      <c r="D363">
        <v>1.25</v>
      </c>
      <c r="E363">
        <v>4.2</v>
      </c>
      <c r="F363" t="s">
        <v>7</v>
      </c>
      <c r="G363" s="2"/>
      <c r="H363" s="2"/>
    </row>
    <row r="364" spans="2:8" x14ac:dyDescent="0.25">
      <c r="B364" t="s">
        <v>58</v>
      </c>
      <c r="C364" t="s">
        <v>55</v>
      </c>
      <c r="D364">
        <v>1.25</v>
      </c>
      <c r="E364">
        <v>4</v>
      </c>
      <c r="F364" t="s">
        <v>7</v>
      </c>
      <c r="G364" s="2"/>
      <c r="H364" s="2"/>
    </row>
    <row r="365" spans="2:8" x14ac:dyDescent="0.25">
      <c r="B365" t="s">
        <v>173</v>
      </c>
      <c r="C365" t="s">
        <v>174</v>
      </c>
      <c r="D365">
        <v>1.28</v>
      </c>
      <c r="E365">
        <v>3.8</v>
      </c>
      <c r="F365" t="s">
        <v>7</v>
      </c>
      <c r="G365" s="2"/>
      <c r="H365" s="2"/>
    </row>
    <row r="366" spans="2:8" x14ac:dyDescent="0.25">
      <c r="B366" t="s">
        <v>173</v>
      </c>
      <c r="C366" t="s">
        <v>174</v>
      </c>
      <c r="D366">
        <v>1.28</v>
      </c>
      <c r="E366">
        <v>3.8</v>
      </c>
      <c r="F366" t="s">
        <v>7</v>
      </c>
      <c r="G366" s="2"/>
      <c r="H366" s="2"/>
    </row>
    <row r="367" spans="2:8" x14ac:dyDescent="0.25">
      <c r="B367" t="s">
        <v>173</v>
      </c>
      <c r="C367" t="s">
        <v>174</v>
      </c>
      <c r="D367">
        <v>1.26</v>
      </c>
      <c r="E367">
        <v>4</v>
      </c>
      <c r="F367" t="s">
        <v>7</v>
      </c>
      <c r="G367" s="2"/>
      <c r="H367" s="2"/>
    </row>
    <row r="368" spans="2:8" x14ac:dyDescent="0.25">
      <c r="B368" t="s">
        <v>173</v>
      </c>
      <c r="C368" t="s">
        <v>174</v>
      </c>
      <c r="D368">
        <v>1.27</v>
      </c>
      <c r="E368">
        <v>4.05</v>
      </c>
      <c r="F368" t="s">
        <v>7</v>
      </c>
      <c r="G368" s="2"/>
      <c r="H368" s="2"/>
    </row>
    <row r="369" spans="2:8" x14ac:dyDescent="0.25">
      <c r="B369" t="s">
        <v>173</v>
      </c>
      <c r="C369" t="s">
        <v>174</v>
      </c>
      <c r="D369">
        <v>1.27</v>
      </c>
      <c r="E369">
        <v>4.05</v>
      </c>
      <c r="F369" t="s">
        <v>7</v>
      </c>
      <c r="G369" s="2"/>
      <c r="H369" s="2"/>
    </row>
    <row r="370" spans="2:8" x14ac:dyDescent="0.25">
      <c r="B370" t="s">
        <v>173</v>
      </c>
      <c r="C370" t="s">
        <v>174</v>
      </c>
      <c r="D370">
        <v>1.25</v>
      </c>
      <c r="E370">
        <v>4</v>
      </c>
      <c r="F370" t="s">
        <v>7</v>
      </c>
      <c r="G370" s="2"/>
      <c r="H370" s="2"/>
    </row>
    <row r="371" spans="2:8" x14ac:dyDescent="0.25">
      <c r="B371" t="s">
        <v>173</v>
      </c>
      <c r="C371" t="s">
        <v>174</v>
      </c>
      <c r="D371">
        <v>1.27</v>
      </c>
      <c r="E371">
        <v>3.9</v>
      </c>
      <c r="F371" t="s">
        <v>7</v>
      </c>
      <c r="G371" s="2"/>
      <c r="H371" s="2"/>
    </row>
    <row r="372" spans="2:8" x14ac:dyDescent="0.25">
      <c r="B372" t="s">
        <v>173</v>
      </c>
      <c r="C372" t="s">
        <v>174</v>
      </c>
      <c r="D372">
        <v>1.26</v>
      </c>
      <c r="E372">
        <v>4</v>
      </c>
      <c r="F372" t="s">
        <v>7</v>
      </c>
      <c r="G372" s="2"/>
      <c r="H372" s="2"/>
    </row>
    <row r="373" spans="2:8" x14ac:dyDescent="0.25">
      <c r="B373" t="s">
        <v>173</v>
      </c>
      <c r="C373" t="s">
        <v>174</v>
      </c>
      <c r="D373">
        <v>1.26</v>
      </c>
      <c r="E373">
        <v>3.9</v>
      </c>
      <c r="F373" t="s">
        <v>7</v>
      </c>
      <c r="G373" s="2"/>
      <c r="H373" s="2"/>
    </row>
    <row r="374" spans="2:8" x14ac:dyDescent="0.25">
      <c r="B374" t="s">
        <v>173</v>
      </c>
      <c r="C374" t="s">
        <v>174</v>
      </c>
      <c r="D374">
        <v>1.28</v>
      </c>
      <c r="E374">
        <v>3.75</v>
      </c>
      <c r="F374" t="s">
        <v>7</v>
      </c>
      <c r="G374" s="2"/>
      <c r="H374" s="2"/>
    </row>
    <row r="375" spans="2:8" x14ac:dyDescent="0.25">
      <c r="B375" t="s">
        <v>173</v>
      </c>
      <c r="C375" t="s">
        <v>174</v>
      </c>
      <c r="D375">
        <v>1.28</v>
      </c>
      <c r="E375">
        <v>3.8</v>
      </c>
      <c r="F375" t="s">
        <v>7</v>
      </c>
      <c r="G375" s="2"/>
      <c r="H375" s="2"/>
    </row>
    <row r="376" spans="2:8" x14ac:dyDescent="0.25">
      <c r="B376" t="s">
        <v>173</v>
      </c>
      <c r="C376" t="s">
        <v>174</v>
      </c>
      <c r="D376">
        <v>1.28</v>
      </c>
      <c r="E376">
        <v>3.8</v>
      </c>
      <c r="F376" t="s">
        <v>7</v>
      </c>
      <c r="G376" s="2"/>
      <c r="H376" s="2"/>
    </row>
    <row r="377" spans="2:8" x14ac:dyDescent="0.25">
      <c r="B377" t="s">
        <v>173</v>
      </c>
      <c r="C377" t="s">
        <v>174</v>
      </c>
      <c r="D377">
        <v>1.27</v>
      </c>
      <c r="E377">
        <v>3.95</v>
      </c>
      <c r="F377" t="s">
        <v>7</v>
      </c>
      <c r="G377" s="2"/>
      <c r="H377" s="2"/>
    </row>
    <row r="378" spans="2:8" x14ac:dyDescent="0.25">
      <c r="B378" t="s">
        <v>173</v>
      </c>
      <c r="C378" t="s">
        <v>174</v>
      </c>
      <c r="D378">
        <v>1.27</v>
      </c>
      <c r="E378">
        <v>4</v>
      </c>
      <c r="F378" t="s">
        <v>7</v>
      </c>
      <c r="G378" s="2"/>
      <c r="H378" s="2"/>
    </row>
    <row r="379" spans="2:8" x14ac:dyDescent="0.25">
      <c r="B379" t="s">
        <v>72</v>
      </c>
      <c r="C379" t="s">
        <v>73</v>
      </c>
      <c r="D379">
        <v>3.35</v>
      </c>
      <c r="E379">
        <v>1.34</v>
      </c>
      <c r="F379" t="s">
        <v>7</v>
      </c>
      <c r="G379" s="2"/>
      <c r="H379" s="2"/>
    </row>
    <row r="380" spans="2:8" x14ac:dyDescent="0.25">
      <c r="B380" t="s">
        <v>72</v>
      </c>
      <c r="C380" t="s">
        <v>73</v>
      </c>
      <c r="D380">
        <v>3.4</v>
      </c>
      <c r="E380">
        <v>1.33</v>
      </c>
      <c r="F380" t="s">
        <v>7</v>
      </c>
      <c r="G380" s="2"/>
      <c r="H380" s="2"/>
    </row>
    <row r="381" spans="2:8" x14ac:dyDescent="0.25">
      <c r="B381" t="s">
        <v>72</v>
      </c>
      <c r="C381" t="s">
        <v>73</v>
      </c>
      <c r="D381">
        <v>3.4</v>
      </c>
      <c r="E381">
        <v>1.33</v>
      </c>
      <c r="F381" t="s">
        <v>7</v>
      </c>
      <c r="G381" s="2"/>
      <c r="H381" s="2"/>
    </row>
    <row r="382" spans="2:8" x14ac:dyDescent="0.25">
      <c r="B382" t="s">
        <v>72</v>
      </c>
      <c r="C382" t="s">
        <v>73</v>
      </c>
      <c r="D382">
        <v>3.5</v>
      </c>
      <c r="E382">
        <v>1.33</v>
      </c>
      <c r="F382" t="s">
        <v>7</v>
      </c>
      <c r="G382" s="2"/>
      <c r="H382" s="2"/>
    </row>
    <row r="383" spans="2:8" x14ac:dyDescent="0.25">
      <c r="B383" t="s">
        <v>72</v>
      </c>
      <c r="C383" t="s">
        <v>73</v>
      </c>
      <c r="D383">
        <v>3.5</v>
      </c>
      <c r="E383">
        <v>1.33</v>
      </c>
      <c r="F383" t="s">
        <v>7</v>
      </c>
      <c r="G383" s="2"/>
      <c r="H383" s="2"/>
    </row>
    <row r="384" spans="2:8" x14ac:dyDescent="0.25">
      <c r="B384" t="s">
        <v>72</v>
      </c>
      <c r="C384" t="s">
        <v>73</v>
      </c>
      <c r="D384">
        <v>3.45</v>
      </c>
      <c r="E384">
        <v>1.32</v>
      </c>
      <c r="F384" t="s">
        <v>7</v>
      </c>
      <c r="G384" s="2"/>
      <c r="H384" s="2"/>
    </row>
    <row r="385" spans="2:8" x14ac:dyDescent="0.25">
      <c r="B385" t="s">
        <v>72</v>
      </c>
      <c r="C385" t="s">
        <v>73</v>
      </c>
      <c r="D385">
        <v>3.45</v>
      </c>
      <c r="E385">
        <v>1.32</v>
      </c>
      <c r="F385" t="s">
        <v>7</v>
      </c>
      <c r="G385" s="2"/>
      <c r="H385" s="2"/>
    </row>
    <row r="386" spans="2:8" x14ac:dyDescent="0.25">
      <c r="B386" t="s">
        <v>72</v>
      </c>
      <c r="C386" t="s">
        <v>73</v>
      </c>
      <c r="D386">
        <v>3.5</v>
      </c>
      <c r="E386">
        <v>1.33</v>
      </c>
      <c r="F386" t="s">
        <v>7</v>
      </c>
      <c r="G386" s="2"/>
      <c r="H386" s="2"/>
    </row>
    <row r="387" spans="2:8" x14ac:dyDescent="0.25">
      <c r="B387" t="s">
        <v>72</v>
      </c>
      <c r="C387" t="s">
        <v>73</v>
      </c>
      <c r="D387">
        <v>3.55</v>
      </c>
      <c r="E387">
        <v>1.32</v>
      </c>
      <c r="F387" t="s">
        <v>7</v>
      </c>
      <c r="G387" s="2"/>
      <c r="H387" s="2"/>
    </row>
    <row r="388" spans="2:8" x14ac:dyDescent="0.25">
      <c r="B388" t="s">
        <v>72</v>
      </c>
      <c r="C388" t="s">
        <v>73</v>
      </c>
      <c r="D388">
        <v>3.45</v>
      </c>
      <c r="E388">
        <v>1.32</v>
      </c>
      <c r="F388" t="s">
        <v>7</v>
      </c>
      <c r="G388" s="2"/>
      <c r="H388" s="2"/>
    </row>
    <row r="389" spans="2:8" x14ac:dyDescent="0.25">
      <c r="B389" t="s">
        <v>72</v>
      </c>
      <c r="C389" t="s">
        <v>73</v>
      </c>
      <c r="D389">
        <v>3.5</v>
      </c>
      <c r="E389">
        <v>1.33</v>
      </c>
      <c r="F389" t="s">
        <v>7</v>
      </c>
      <c r="G389" s="2"/>
      <c r="H389" s="2"/>
    </row>
    <row r="390" spans="2:8" x14ac:dyDescent="0.25">
      <c r="B390" t="s">
        <v>72</v>
      </c>
      <c r="C390" t="s">
        <v>73</v>
      </c>
      <c r="D390">
        <v>3.4</v>
      </c>
      <c r="E390">
        <v>1.33</v>
      </c>
      <c r="F390" t="s">
        <v>7</v>
      </c>
      <c r="G390" s="2"/>
      <c r="H390" s="2"/>
    </row>
    <row r="391" spans="2:8" x14ac:dyDescent="0.25">
      <c r="B391" t="s">
        <v>72</v>
      </c>
      <c r="C391" t="s">
        <v>73</v>
      </c>
      <c r="D391">
        <v>3.4</v>
      </c>
      <c r="E391">
        <v>1.33</v>
      </c>
      <c r="F391" t="s">
        <v>7</v>
      </c>
      <c r="G391" s="2"/>
      <c r="H391" s="2"/>
    </row>
    <row r="392" spans="2:8" x14ac:dyDescent="0.25">
      <c r="B392" t="s">
        <v>72</v>
      </c>
      <c r="C392" t="s">
        <v>73</v>
      </c>
      <c r="D392">
        <v>3.5</v>
      </c>
      <c r="E392">
        <v>1.33</v>
      </c>
      <c r="F392" t="s">
        <v>7</v>
      </c>
      <c r="G392" s="2"/>
      <c r="H392" s="2"/>
    </row>
    <row r="393" spans="2:8" x14ac:dyDescent="0.25">
      <c r="B393" t="s">
        <v>208</v>
      </c>
      <c r="C393" t="s">
        <v>73</v>
      </c>
      <c r="D393">
        <v>5.4</v>
      </c>
      <c r="E393">
        <v>1.17</v>
      </c>
      <c r="F393" t="s">
        <v>7</v>
      </c>
      <c r="G393" s="2"/>
      <c r="H393" s="2"/>
    </row>
    <row r="394" spans="2:8" x14ac:dyDescent="0.25">
      <c r="B394" t="s">
        <v>208</v>
      </c>
      <c r="C394" t="s">
        <v>73</v>
      </c>
      <c r="D394">
        <v>5.6</v>
      </c>
      <c r="E394">
        <v>1.1499999999999999</v>
      </c>
      <c r="F394" t="s">
        <v>7</v>
      </c>
      <c r="G394" s="2"/>
      <c r="H394" s="2"/>
    </row>
    <row r="395" spans="2:8" x14ac:dyDescent="0.25">
      <c r="B395" t="s">
        <v>208</v>
      </c>
      <c r="C395" t="s">
        <v>73</v>
      </c>
      <c r="D395">
        <v>5.9</v>
      </c>
      <c r="E395">
        <v>1.1399999999999999</v>
      </c>
      <c r="F395" t="s">
        <v>7</v>
      </c>
      <c r="G395" s="2"/>
      <c r="H395" s="2"/>
    </row>
    <row r="396" spans="2:8" x14ac:dyDescent="0.25">
      <c r="B396" t="s">
        <v>208</v>
      </c>
      <c r="C396" t="s">
        <v>73</v>
      </c>
      <c r="D396">
        <v>6.3</v>
      </c>
      <c r="E396">
        <v>1.1399999999999999</v>
      </c>
      <c r="F396" t="s">
        <v>7</v>
      </c>
      <c r="G396" s="2"/>
      <c r="H396" s="2"/>
    </row>
    <row r="397" spans="2:8" x14ac:dyDescent="0.25">
      <c r="B397" t="s">
        <v>208</v>
      </c>
      <c r="C397" t="s">
        <v>73</v>
      </c>
      <c r="D397">
        <v>6.3</v>
      </c>
      <c r="E397">
        <v>1.1399999999999999</v>
      </c>
      <c r="F397" t="s">
        <v>7</v>
      </c>
      <c r="G397" s="2"/>
      <c r="H397" s="2"/>
    </row>
    <row r="398" spans="2:8" x14ac:dyDescent="0.25">
      <c r="B398" t="s">
        <v>208</v>
      </c>
      <c r="C398" t="s">
        <v>73</v>
      </c>
      <c r="D398">
        <v>5.3</v>
      </c>
      <c r="E398">
        <v>1.1599999999999999</v>
      </c>
      <c r="F398" t="s">
        <v>7</v>
      </c>
      <c r="G398" s="2"/>
      <c r="H398" s="2"/>
    </row>
    <row r="399" spans="2:8" x14ac:dyDescent="0.25">
      <c r="B399" t="s">
        <v>208</v>
      </c>
      <c r="C399" t="s">
        <v>73</v>
      </c>
      <c r="D399">
        <v>6</v>
      </c>
      <c r="E399">
        <v>1.1399999999999999</v>
      </c>
      <c r="F399" t="s">
        <v>7</v>
      </c>
      <c r="G399" s="2"/>
      <c r="H399" s="2"/>
    </row>
    <row r="400" spans="2:8" x14ac:dyDescent="0.25">
      <c r="B400" t="s">
        <v>208</v>
      </c>
      <c r="C400" t="s">
        <v>73</v>
      </c>
      <c r="D400">
        <v>5.5</v>
      </c>
      <c r="E400">
        <v>1.1499999999999999</v>
      </c>
      <c r="F400" t="s">
        <v>7</v>
      </c>
      <c r="G400" s="2"/>
      <c r="H400" s="2"/>
    </row>
    <row r="401" spans="2:8" x14ac:dyDescent="0.25">
      <c r="B401" t="s">
        <v>208</v>
      </c>
      <c r="C401" t="s">
        <v>73</v>
      </c>
      <c r="D401">
        <v>5.8</v>
      </c>
      <c r="E401">
        <v>1.1399999999999999</v>
      </c>
      <c r="F401" t="s">
        <v>7</v>
      </c>
      <c r="G401" s="2"/>
      <c r="H401" s="2"/>
    </row>
    <row r="402" spans="2:8" x14ac:dyDescent="0.25">
      <c r="B402" t="s">
        <v>208</v>
      </c>
      <c r="C402" t="s">
        <v>73</v>
      </c>
      <c r="D402">
        <v>5.75</v>
      </c>
      <c r="E402">
        <v>1.1399999999999999</v>
      </c>
      <c r="F402" t="s">
        <v>7</v>
      </c>
      <c r="G402" s="2"/>
      <c r="H402" s="2"/>
    </row>
    <row r="403" spans="2:8" x14ac:dyDescent="0.25">
      <c r="B403" t="s">
        <v>208</v>
      </c>
      <c r="C403" t="s">
        <v>73</v>
      </c>
      <c r="D403">
        <v>5.4</v>
      </c>
      <c r="E403">
        <v>1.1599999999999999</v>
      </c>
      <c r="F403" t="s">
        <v>7</v>
      </c>
      <c r="G403" s="2"/>
      <c r="H403" s="2"/>
    </row>
    <row r="404" spans="2:8" x14ac:dyDescent="0.25">
      <c r="B404" t="s">
        <v>208</v>
      </c>
      <c r="C404" t="s">
        <v>73</v>
      </c>
      <c r="D404">
        <v>5.4</v>
      </c>
      <c r="E404">
        <v>1.1599999999999999</v>
      </c>
      <c r="F404" t="s">
        <v>7</v>
      </c>
      <c r="G404" s="2"/>
      <c r="H404" s="2"/>
    </row>
    <row r="405" spans="2:8" x14ac:dyDescent="0.25">
      <c r="B405" t="s">
        <v>208</v>
      </c>
      <c r="C405" t="s">
        <v>73</v>
      </c>
      <c r="D405">
        <v>5.9</v>
      </c>
      <c r="E405">
        <v>1.1399999999999999</v>
      </c>
      <c r="F405" t="s">
        <v>7</v>
      </c>
      <c r="G405" s="2"/>
      <c r="H405" s="2"/>
    </row>
    <row r="406" spans="2:8" x14ac:dyDescent="0.25">
      <c r="B406" t="s">
        <v>208</v>
      </c>
      <c r="C406" t="s">
        <v>73</v>
      </c>
      <c r="D406">
        <v>6.2</v>
      </c>
      <c r="E406">
        <v>1.1399999999999999</v>
      </c>
      <c r="F406" t="s">
        <v>7</v>
      </c>
      <c r="G406" s="2"/>
      <c r="H406" s="2"/>
    </row>
    <row r="407" spans="2:8" x14ac:dyDescent="0.25">
      <c r="B407" t="s">
        <v>207</v>
      </c>
      <c r="C407" t="s">
        <v>175</v>
      </c>
      <c r="D407">
        <v>1.74</v>
      </c>
      <c r="E407">
        <v>2.14</v>
      </c>
      <c r="F407" t="s">
        <v>7</v>
      </c>
      <c r="G407" s="2"/>
      <c r="H407" s="2"/>
    </row>
    <row r="408" spans="2:8" x14ac:dyDescent="0.25">
      <c r="B408" t="s">
        <v>207</v>
      </c>
      <c r="C408" t="s">
        <v>175</v>
      </c>
      <c r="D408">
        <v>1.74</v>
      </c>
      <c r="E408">
        <v>2.15</v>
      </c>
      <c r="F408" t="s">
        <v>7</v>
      </c>
      <c r="G408" s="2"/>
      <c r="H408" s="2"/>
    </row>
    <row r="409" spans="2:8" x14ac:dyDescent="0.25">
      <c r="B409" t="s">
        <v>207</v>
      </c>
      <c r="C409" t="s">
        <v>175</v>
      </c>
      <c r="D409">
        <v>1.77</v>
      </c>
      <c r="E409">
        <v>2.1</v>
      </c>
      <c r="F409" t="s">
        <v>7</v>
      </c>
      <c r="G409" s="2"/>
      <c r="H409" s="2"/>
    </row>
    <row r="410" spans="2:8" x14ac:dyDescent="0.25">
      <c r="B410" t="s">
        <v>207</v>
      </c>
      <c r="C410" t="s">
        <v>175</v>
      </c>
      <c r="D410">
        <v>1.77</v>
      </c>
      <c r="E410">
        <v>2.1</v>
      </c>
      <c r="F410" t="s">
        <v>7</v>
      </c>
      <c r="G410" s="2"/>
      <c r="H410" s="2"/>
    </row>
    <row r="411" spans="2:8" x14ac:dyDescent="0.25">
      <c r="B411" t="s">
        <v>207</v>
      </c>
      <c r="C411" t="s">
        <v>175</v>
      </c>
      <c r="D411">
        <v>1.77</v>
      </c>
      <c r="E411">
        <v>2.1</v>
      </c>
      <c r="F411" t="s">
        <v>7</v>
      </c>
      <c r="G411" s="2"/>
      <c r="H411" s="2"/>
    </row>
    <row r="412" spans="2:8" x14ac:dyDescent="0.25">
      <c r="B412" t="s">
        <v>207</v>
      </c>
      <c r="C412" t="s">
        <v>175</v>
      </c>
      <c r="D412">
        <v>1.74</v>
      </c>
      <c r="E412">
        <v>2.15</v>
      </c>
      <c r="F412" t="s">
        <v>7</v>
      </c>
      <c r="G412" s="2"/>
      <c r="H412" s="2"/>
    </row>
    <row r="413" spans="2:8" x14ac:dyDescent="0.25">
      <c r="B413" t="s">
        <v>207</v>
      </c>
      <c r="C413" t="s">
        <v>175</v>
      </c>
      <c r="D413">
        <v>1.78</v>
      </c>
      <c r="E413">
        <v>2.06</v>
      </c>
      <c r="F413" t="s">
        <v>7</v>
      </c>
      <c r="G413" s="2"/>
      <c r="H413" s="2"/>
    </row>
    <row r="414" spans="2:8" x14ac:dyDescent="0.25">
      <c r="B414" t="s">
        <v>207</v>
      </c>
      <c r="C414" t="s">
        <v>175</v>
      </c>
      <c r="D414">
        <v>1.74</v>
      </c>
      <c r="E414">
        <v>2.1</v>
      </c>
      <c r="F414" t="s">
        <v>7</v>
      </c>
      <c r="G414" s="2"/>
      <c r="H414" s="2"/>
    </row>
    <row r="415" spans="2:8" x14ac:dyDescent="0.25">
      <c r="B415" t="s">
        <v>207</v>
      </c>
      <c r="C415" t="s">
        <v>175</v>
      </c>
      <c r="D415">
        <v>1.76</v>
      </c>
      <c r="E415">
        <v>2.06</v>
      </c>
      <c r="F415" t="s">
        <v>7</v>
      </c>
      <c r="G415" s="2"/>
      <c r="H415" s="2"/>
    </row>
    <row r="416" spans="2:8" x14ac:dyDescent="0.25">
      <c r="B416" t="s">
        <v>207</v>
      </c>
      <c r="C416" t="s">
        <v>175</v>
      </c>
      <c r="D416">
        <v>1.76</v>
      </c>
      <c r="E416">
        <v>2.06</v>
      </c>
      <c r="F416" t="s">
        <v>7</v>
      </c>
      <c r="G416" s="2"/>
      <c r="H416" s="2"/>
    </row>
    <row r="417" spans="2:8" x14ac:dyDescent="0.25">
      <c r="B417" t="s">
        <v>207</v>
      </c>
      <c r="C417" t="s">
        <v>175</v>
      </c>
      <c r="D417">
        <v>1.77</v>
      </c>
      <c r="E417">
        <v>2.1</v>
      </c>
      <c r="F417" t="s">
        <v>7</v>
      </c>
      <c r="G417" s="2"/>
      <c r="H417" s="2"/>
    </row>
    <row r="418" spans="2:8" x14ac:dyDescent="0.25">
      <c r="B418" t="s">
        <v>207</v>
      </c>
      <c r="C418" t="s">
        <v>175</v>
      </c>
      <c r="D418">
        <v>1.8</v>
      </c>
      <c r="E418">
        <v>2.0499999999999998</v>
      </c>
      <c r="F418" t="s">
        <v>7</v>
      </c>
      <c r="G418" s="2"/>
      <c r="H418" s="2"/>
    </row>
    <row r="419" spans="2:8" x14ac:dyDescent="0.25">
      <c r="B419" t="s">
        <v>207</v>
      </c>
      <c r="C419" t="s">
        <v>175</v>
      </c>
      <c r="D419">
        <v>1.77</v>
      </c>
      <c r="E419">
        <v>2.12</v>
      </c>
      <c r="F419" t="s">
        <v>7</v>
      </c>
      <c r="G419" s="2"/>
      <c r="H419" s="2"/>
    </row>
    <row r="420" spans="2:8" x14ac:dyDescent="0.25">
      <c r="B420" t="s">
        <v>207</v>
      </c>
      <c r="C420" t="s">
        <v>175</v>
      </c>
      <c r="D420">
        <v>1.74</v>
      </c>
      <c r="E420">
        <v>2.15</v>
      </c>
      <c r="F420" t="s">
        <v>7</v>
      </c>
      <c r="G420" s="2"/>
      <c r="H420" s="2"/>
    </row>
    <row r="421" spans="2:8" x14ac:dyDescent="0.25">
      <c r="B421" t="s">
        <v>56</v>
      </c>
      <c r="C421" t="s">
        <v>57</v>
      </c>
      <c r="D421">
        <v>2.8</v>
      </c>
      <c r="E421">
        <v>1.46</v>
      </c>
      <c r="F421" t="s">
        <v>7</v>
      </c>
      <c r="G421" s="2"/>
      <c r="H421" s="2"/>
    </row>
    <row r="422" spans="2:8" x14ac:dyDescent="0.25">
      <c r="B422" t="s">
        <v>56</v>
      </c>
      <c r="C422" t="s">
        <v>57</v>
      </c>
      <c r="D422">
        <v>2.8</v>
      </c>
      <c r="E422">
        <v>1.44</v>
      </c>
      <c r="F422" t="s">
        <v>7</v>
      </c>
      <c r="G422" s="2"/>
      <c r="H422" s="2"/>
    </row>
    <row r="423" spans="2:8" x14ac:dyDescent="0.25">
      <c r="B423" t="s">
        <v>56</v>
      </c>
      <c r="C423" t="s">
        <v>57</v>
      </c>
      <c r="D423">
        <v>2.8</v>
      </c>
      <c r="E423">
        <v>1.45</v>
      </c>
      <c r="F423" t="s">
        <v>7</v>
      </c>
      <c r="G423" s="2"/>
      <c r="H423" s="2"/>
    </row>
    <row r="424" spans="2:8" x14ac:dyDescent="0.25">
      <c r="B424" t="s">
        <v>56</v>
      </c>
      <c r="C424" t="s">
        <v>57</v>
      </c>
      <c r="D424">
        <v>2.8</v>
      </c>
      <c r="E424">
        <v>1.44</v>
      </c>
      <c r="F424" t="s">
        <v>7</v>
      </c>
      <c r="G424" s="2"/>
      <c r="H424" s="2"/>
    </row>
    <row r="425" spans="2:8" x14ac:dyDescent="0.25">
      <c r="B425" t="s">
        <v>56</v>
      </c>
      <c r="C425" t="s">
        <v>57</v>
      </c>
      <c r="D425">
        <v>2.8</v>
      </c>
      <c r="E425">
        <v>1.44</v>
      </c>
      <c r="F425" t="s">
        <v>7</v>
      </c>
      <c r="G425" s="2"/>
      <c r="H425" s="2"/>
    </row>
    <row r="426" spans="2:8" x14ac:dyDescent="0.25">
      <c r="B426" t="s">
        <v>56</v>
      </c>
      <c r="C426" t="s">
        <v>57</v>
      </c>
      <c r="D426">
        <v>2.8</v>
      </c>
      <c r="E426">
        <v>1.48</v>
      </c>
      <c r="F426" t="s">
        <v>7</v>
      </c>
      <c r="G426" s="2"/>
      <c r="H426" s="2"/>
    </row>
    <row r="427" spans="2:8" x14ac:dyDescent="0.25">
      <c r="B427" t="s">
        <v>56</v>
      </c>
      <c r="C427" t="s">
        <v>57</v>
      </c>
      <c r="D427">
        <v>2.8</v>
      </c>
      <c r="E427">
        <v>1.48</v>
      </c>
      <c r="F427" t="s">
        <v>7</v>
      </c>
      <c r="G427" s="2"/>
      <c r="H427" s="2"/>
    </row>
    <row r="428" spans="2:8" x14ac:dyDescent="0.25">
      <c r="B428" t="s">
        <v>56</v>
      </c>
      <c r="C428" t="s">
        <v>57</v>
      </c>
      <c r="D428">
        <v>2.8</v>
      </c>
      <c r="E428">
        <v>1.45</v>
      </c>
      <c r="F428" t="s">
        <v>7</v>
      </c>
      <c r="G428" s="2"/>
      <c r="H428" s="2"/>
    </row>
    <row r="429" spans="2:8" x14ac:dyDescent="0.25">
      <c r="B429" t="s">
        <v>56</v>
      </c>
      <c r="C429" t="s">
        <v>57</v>
      </c>
      <c r="D429">
        <v>2.8</v>
      </c>
      <c r="E429">
        <v>1.45</v>
      </c>
      <c r="F429" t="s">
        <v>7</v>
      </c>
      <c r="G429" s="2"/>
      <c r="H429" s="2"/>
    </row>
    <row r="430" spans="2:8" x14ac:dyDescent="0.25">
      <c r="B430" t="s">
        <v>56</v>
      </c>
      <c r="C430" t="s">
        <v>57</v>
      </c>
      <c r="D430">
        <v>2.8</v>
      </c>
      <c r="E430">
        <v>1.45</v>
      </c>
      <c r="F430" t="s">
        <v>7</v>
      </c>
      <c r="G430" s="2"/>
      <c r="H430" s="2"/>
    </row>
    <row r="431" spans="2:8" x14ac:dyDescent="0.25">
      <c r="B431" t="s">
        <v>56</v>
      </c>
      <c r="C431" t="s">
        <v>57</v>
      </c>
      <c r="D431">
        <v>2.8</v>
      </c>
      <c r="E431">
        <v>1.45</v>
      </c>
      <c r="F431" t="s">
        <v>7</v>
      </c>
      <c r="G431" s="2"/>
      <c r="H431" s="2"/>
    </row>
    <row r="432" spans="2:8" x14ac:dyDescent="0.25">
      <c r="B432" t="s">
        <v>56</v>
      </c>
      <c r="C432" t="s">
        <v>57</v>
      </c>
      <c r="D432">
        <v>2.8</v>
      </c>
      <c r="E432">
        <v>1.44</v>
      </c>
      <c r="F432" t="s">
        <v>7</v>
      </c>
      <c r="G432" s="2"/>
      <c r="H432" s="2"/>
    </row>
    <row r="433" spans="2:8" x14ac:dyDescent="0.25">
      <c r="B433" t="s">
        <v>56</v>
      </c>
      <c r="C433" t="s">
        <v>57</v>
      </c>
      <c r="D433">
        <v>2.85</v>
      </c>
      <c r="E433">
        <v>1.46</v>
      </c>
      <c r="F433" t="s">
        <v>7</v>
      </c>
      <c r="G433" s="2"/>
      <c r="H433" s="2"/>
    </row>
    <row r="434" spans="2:8" x14ac:dyDescent="0.25">
      <c r="B434" t="s">
        <v>56</v>
      </c>
      <c r="C434" t="s">
        <v>57</v>
      </c>
      <c r="D434">
        <v>2.8</v>
      </c>
      <c r="E434">
        <v>1.45</v>
      </c>
      <c r="F434" t="s">
        <v>7</v>
      </c>
      <c r="G434" s="2"/>
      <c r="H434" s="2"/>
    </row>
    <row r="435" spans="2:8" x14ac:dyDescent="0.25">
      <c r="B435" t="s">
        <v>176</v>
      </c>
      <c r="C435" t="s">
        <v>57</v>
      </c>
      <c r="D435">
        <v>2.54</v>
      </c>
      <c r="E435">
        <v>1.54</v>
      </c>
      <c r="F435" t="s">
        <v>7</v>
      </c>
      <c r="G435" s="2"/>
      <c r="H435" s="2"/>
    </row>
    <row r="436" spans="2:8" x14ac:dyDescent="0.25">
      <c r="B436" t="s">
        <v>176</v>
      </c>
      <c r="C436" t="s">
        <v>57</v>
      </c>
      <c r="D436">
        <v>2.5</v>
      </c>
      <c r="E436">
        <v>1.56</v>
      </c>
      <c r="F436" t="s">
        <v>7</v>
      </c>
      <c r="G436" s="2"/>
      <c r="H436" s="2"/>
    </row>
    <row r="437" spans="2:8" x14ac:dyDescent="0.25">
      <c r="B437" t="s">
        <v>176</v>
      </c>
      <c r="C437" t="s">
        <v>57</v>
      </c>
      <c r="D437">
        <v>2.5</v>
      </c>
      <c r="E437">
        <v>1.55</v>
      </c>
      <c r="F437" t="s">
        <v>7</v>
      </c>
      <c r="G437" s="2"/>
      <c r="H437" s="2"/>
    </row>
    <row r="438" spans="2:8" x14ac:dyDescent="0.25">
      <c r="B438" t="s">
        <v>176</v>
      </c>
      <c r="C438" t="s">
        <v>57</v>
      </c>
      <c r="D438">
        <v>2.5499999999999998</v>
      </c>
      <c r="E438">
        <v>1.57</v>
      </c>
      <c r="F438" t="s">
        <v>7</v>
      </c>
      <c r="G438" s="2"/>
      <c r="H438" s="2"/>
    </row>
    <row r="439" spans="2:8" x14ac:dyDescent="0.25">
      <c r="B439" t="s">
        <v>176</v>
      </c>
      <c r="C439" t="s">
        <v>57</v>
      </c>
      <c r="D439">
        <v>2.5499999999999998</v>
      </c>
      <c r="E439">
        <v>1.57</v>
      </c>
      <c r="F439" t="s">
        <v>7</v>
      </c>
      <c r="G439" s="2"/>
      <c r="H439" s="2"/>
    </row>
    <row r="440" spans="2:8" x14ac:dyDescent="0.25">
      <c r="B440" t="s">
        <v>176</v>
      </c>
      <c r="C440" t="s">
        <v>57</v>
      </c>
      <c r="D440">
        <v>2.6</v>
      </c>
      <c r="E440">
        <v>1.54</v>
      </c>
      <c r="F440" t="s">
        <v>7</v>
      </c>
      <c r="G440" s="2"/>
      <c r="H440" s="2"/>
    </row>
    <row r="441" spans="2:8" x14ac:dyDescent="0.25">
      <c r="B441" t="s">
        <v>176</v>
      </c>
      <c r="C441" t="s">
        <v>57</v>
      </c>
      <c r="D441">
        <v>2.7</v>
      </c>
      <c r="E441">
        <v>1.49</v>
      </c>
      <c r="F441" t="s">
        <v>7</v>
      </c>
      <c r="G441" s="2"/>
      <c r="H441" s="2"/>
    </row>
    <row r="442" spans="2:8" x14ac:dyDescent="0.25">
      <c r="B442" t="s">
        <v>176</v>
      </c>
      <c r="C442" t="s">
        <v>57</v>
      </c>
      <c r="D442">
        <v>2.5</v>
      </c>
      <c r="E442">
        <v>1.54</v>
      </c>
      <c r="F442" t="s">
        <v>7</v>
      </c>
      <c r="G442" s="2"/>
      <c r="H442" s="2"/>
    </row>
    <row r="443" spans="2:8" x14ac:dyDescent="0.25">
      <c r="B443" t="s">
        <v>176</v>
      </c>
      <c r="C443" t="s">
        <v>57</v>
      </c>
      <c r="D443">
        <v>2.6</v>
      </c>
      <c r="E443">
        <v>1.51</v>
      </c>
      <c r="F443" t="s">
        <v>7</v>
      </c>
      <c r="G443" s="2"/>
      <c r="H443" s="2"/>
    </row>
    <row r="444" spans="2:8" x14ac:dyDescent="0.25">
      <c r="B444" t="s">
        <v>176</v>
      </c>
      <c r="C444" t="s">
        <v>57</v>
      </c>
      <c r="D444">
        <v>2.6</v>
      </c>
      <c r="E444">
        <v>1.53</v>
      </c>
      <c r="F444" t="s">
        <v>7</v>
      </c>
      <c r="G444" s="2"/>
      <c r="H444" s="2"/>
    </row>
    <row r="445" spans="2:8" x14ac:dyDescent="0.25">
      <c r="B445" t="s">
        <v>176</v>
      </c>
      <c r="C445" t="s">
        <v>57</v>
      </c>
      <c r="D445">
        <v>2.4500000000000002</v>
      </c>
      <c r="E445">
        <v>1.55</v>
      </c>
      <c r="F445" t="s">
        <v>7</v>
      </c>
      <c r="G445" s="2"/>
      <c r="H445" s="2"/>
    </row>
    <row r="446" spans="2:8" x14ac:dyDescent="0.25">
      <c r="B446" t="s">
        <v>176</v>
      </c>
      <c r="C446" t="s">
        <v>57</v>
      </c>
      <c r="D446">
        <v>2.4500000000000002</v>
      </c>
      <c r="E446">
        <v>1.55</v>
      </c>
      <c r="F446" t="s">
        <v>7</v>
      </c>
      <c r="G446" s="2"/>
      <c r="H446" s="2"/>
    </row>
    <row r="447" spans="2:8" x14ac:dyDescent="0.25">
      <c r="B447" t="s">
        <v>176</v>
      </c>
      <c r="C447" t="s">
        <v>57</v>
      </c>
      <c r="D447">
        <v>2.65</v>
      </c>
      <c r="E447">
        <v>1.51</v>
      </c>
      <c r="F447" t="s">
        <v>7</v>
      </c>
      <c r="G447" s="2"/>
      <c r="H447" s="2"/>
    </row>
    <row r="448" spans="2:8" x14ac:dyDescent="0.25">
      <c r="B448" t="s">
        <v>176</v>
      </c>
      <c r="C448" t="s">
        <v>57</v>
      </c>
      <c r="D448">
        <v>2.5299999999999998</v>
      </c>
      <c r="E448">
        <v>1.56</v>
      </c>
      <c r="F448" t="s">
        <v>7</v>
      </c>
      <c r="G448" s="2"/>
      <c r="H448" s="2"/>
    </row>
    <row r="449" spans="2:8" x14ac:dyDescent="0.25">
      <c r="B449" t="s">
        <v>209</v>
      </c>
      <c r="C449" t="s">
        <v>57</v>
      </c>
      <c r="D449">
        <v>3.1</v>
      </c>
      <c r="E449">
        <v>1.39</v>
      </c>
      <c r="F449" t="s">
        <v>7</v>
      </c>
      <c r="G449" s="2"/>
      <c r="H449" s="2"/>
    </row>
    <row r="450" spans="2:8" x14ac:dyDescent="0.25">
      <c r="B450" t="s">
        <v>209</v>
      </c>
      <c r="C450" t="s">
        <v>57</v>
      </c>
      <c r="D450">
        <v>3.1</v>
      </c>
      <c r="E450">
        <v>1.38</v>
      </c>
      <c r="F450" t="s">
        <v>7</v>
      </c>
      <c r="G450" s="2"/>
      <c r="H450" s="2"/>
    </row>
    <row r="451" spans="2:8" x14ac:dyDescent="0.25">
      <c r="B451" t="s">
        <v>209</v>
      </c>
      <c r="C451" t="s">
        <v>57</v>
      </c>
      <c r="D451">
        <v>3.02</v>
      </c>
      <c r="E451">
        <v>1.4</v>
      </c>
      <c r="F451" t="s">
        <v>7</v>
      </c>
      <c r="G451" s="2"/>
      <c r="H451" s="2"/>
    </row>
    <row r="452" spans="2:8" x14ac:dyDescent="0.25">
      <c r="B452" t="s">
        <v>209</v>
      </c>
      <c r="C452" t="s">
        <v>57</v>
      </c>
      <c r="D452">
        <v>3.25</v>
      </c>
      <c r="E452">
        <v>1.38</v>
      </c>
      <c r="F452" t="s">
        <v>7</v>
      </c>
      <c r="G452" s="2"/>
      <c r="H452" s="2"/>
    </row>
    <row r="453" spans="2:8" x14ac:dyDescent="0.25">
      <c r="B453" t="s">
        <v>209</v>
      </c>
      <c r="C453" t="s">
        <v>57</v>
      </c>
      <c r="D453">
        <v>3.25</v>
      </c>
      <c r="E453">
        <v>1.38</v>
      </c>
      <c r="F453" t="s">
        <v>7</v>
      </c>
      <c r="G453" s="2"/>
      <c r="H453" s="2"/>
    </row>
    <row r="454" spans="2:8" x14ac:dyDescent="0.25">
      <c r="B454" t="s">
        <v>209</v>
      </c>
      <c r="C454" t="s">
        <v>57</v>
      </c>
      <c r="D454">
        <v>3.15</v>
      </c>
      <c r="E454">
        <v>1.38</v>
      </c>
      <c r="F454" t="s">
        <v>7</v>
      </c>
      <c r="G454" s="2"/>
      <c r="H454" s="2"/>
    </row>
    <row r="455" spans="2:8" x14ac:dyDescent="0.25">
      <c r="B455" t="s">
        <v>209</v>
      </c>
      <c r="C455" t="s">
        <v>57</v>
      </c>
      <c r="D455">
        <v>3</v>
      </c>
      <c r="E455">
        <v>1.4</v>
      </c>
      <c r="F455" t="s">
        <v>7</v>
      </c>
      <c r="G455" s="2"/>
      <c r="H455" s="2"/>
    </row>
    <row r="456" spans="2:8" x14ac:dyDescent="0.25">
      <c r="B456" t="s">
        <v>209</v>
      </c>
      <c r="C456" t="s">
        <v>57</v>
      </c>
      <c r="D456">
        <v>3.1</v>
      </c>
      <c r="E456">
        <v>1.36</v>
      </c>
      <c r="F456" t="s">
        <v>7</v>
      </c>
      <c r="G456" s="2"/>
      <c r="H456" s="2"/>
    </row>
    <row r="457" spans="2:8" x14ac:dyDescent="0.25">
      <c r="B457" t="s">
        <v>209</v>
      </c>
      <c r="C457" t="s">
        <v>57</v>
      </c>
      <c r="D457">
        <v>3.15</v>
      </c>
      <c r="E457">
        <v>1.37</v>
      </c>
      <c r="F457" t="s">
        <v>7</v>
      </c>
      <c r="G457" s="2"/>
      <c r="H457" s="2"/>
    </row>
    <row r="458" spans="2:8" x14ac:dyDescent="0.25">
      <c r="B458" t="s">
        <v>209</v>
      </c>
      <c r="C458" t="s">
        <v>57</v>
      </c>
      <c r="D458">
        <v>3.1</v>
      </c>
      <c r="E458">
        <v>1.38</v>
      </c>
      <c r="F458" t="s">
        <v>7</v>
      </c>
      <c r="G458" s="2"/>
      <c r="H458" s="2"/>
    </row>
    <row r="459" spans="2:8" x14ac:dyDescent="0.25">
      <c r="B459" t="s">
        <v>209</v>
      </c>
      <c r="C459" t="s">
        <v>57</v>
      </c>
      <c r="D459">
        <v>2.9</v>
      </c>
      <c r="E459">
        <v>1.4</v>
      </c>
      <c r="F459" t="s">
        <v>7</v>
      </c>
      <c r="G459" s="2"/>
      <c r="H459" s="2"/>
    </row>
    <row r="460" spans="2:8" x14ac:dyDescent="0.25">
      <c r="B460" t="s">
        <v>209</v>
      </c>
      <c r="C460" t="s">
        <v>57</v>
      </c>
      <c r="D460">
        <v>2.9</v>
      </c>
      <c r="E460">
        <v>1.4</v>
      </c>
      <c r="F460" t="s">
        <v>7</v>
      </c>
      <c r="G460" s="2"/>
      <c r="H460" s="2"/>
    </row>
    <row r="461" spans="2:8" x14ac:dyDescent="0.25">
      <c r="B461" t="s">
        <v>209</v>
      </c>
      <c r="C461" t="s">
        <v>57</v>
      </c>
      <c r="D461">
        <v>3.15</v>
      </c>
      <c r="E461">
        <v>1.38</v>
      </c>
      <c r="F461" t="s">
        <v>7</v>
      </c>
      <c r="G461" s="2"/>
      <c r="H461" s="2"/>
    </row>
    <row r="462" spans="2:8" x14ac:dyDescent="0.25">
      <c r="B462" t="s">
        <v>209</v>
      </c>
      <c r="C462" t="s">
        <v>57</v>
      </c>
      <c r="D462">
        <v>3.1</v>
      </c>
      <c r="E462">
        <v>1.4</v>
      </c>
      <c r="F462" t="s">
        <v>7</v>
      </c>
      <c r="G462" s="2"/>
      <c r="H462" s="2"/>
    </row>
    <row r="463" spans="2:8" x14ac:dyDescent="0.25">
      <c r="B463" t="s">
        <v>87</v>
      </c>
      <c r="C463" t="s">
        <v>74</v>
      </c>
      <c r="D463">
        <v>1.74</v>
      </c>
      <c r="E463">
        <v>2.14</v>
      </c>
      <c r="F463" t="s">
        <v>7</v>
      </c>
      <c r="G463" s="2"/>
      <c r="H463" s="2"/>
    </row>
    <row r="464" spans="2:8" x14ac:dyDescent="0.25">
      <c r="B464" t="s">
        <v>87</v>
      </c>
      <c r="C464" t="s">
        <v>74</v>
      </c>
      <c r="D464">
        <v>1.76</v>
      </c>
      <c r="E464">
        <v>2.11</v>
      </c>
      <c r="F464" t="s">
        <v>7</v>
      </c>
      <c r="G464" s="2"/>
      <c r="H464" s="2"/>
    </row>
    <row r="465" spans="2:8" x14ac:dyDescent="0.25">
      <c r="B465" t="s">
        <v>87</v>
      </c>
      <c r="C465" t="s">
        <v>74</v>
      </c>
      <c r="D465">
        <v>1.76</v>
      </c>
      <c r="E465">
        <v>2.11</v>
      </c>
      <c r="F465" t="s">
        <v>7</v>
      </c>
      <c r="G465" s="2"/>
      <c r="H465" s="2"/>
    </row>
    <row r="466" spans="2:8" x14ac:dyDescent="0.25">
      <c r="B466" t="s">
        <v>87</v>
      </c>
      <c r="C466" t="s">
        <v>74</v>
      </c>
      <c r="D466">
        <v>1.74</v>
      </c>
      <c r="E466">
        <v>2.15</v>
      </c>
      <c r="F466" t="s">
        <v>7</v>
      </c>
      <c r="G466" s="2"/>
      <c r="H466" s="2"/>
    </row>
    <row r="467" spans="2:8" x14ac:dyDescent="0.25">
      <c r="B467" t="s">
        <v>87</v>
      </c>
      <c r="C467" t="s">
        <v>74</v>
      </c>
      <c r="D467">
        <v>1.72</v>
      </c>
      <c r="E467">
        <v>2.15</v>
      </c>
      <c r="F467" t="s">
        <v>7</v>
      </c>
      <c r="G467" s="2"/>
      <c r="H467" s="2"/>
    </row>
    <row r="468" spans="2:8" x14ac:dyDescent="0.25">
      <c r="B468" t="s">
        <v>87</v>
      </c>
      <c r="C468" t="s">
        <v>74</v>
      </c>
      <c r="D468">
        <v>1.75</v>
      </c>
      <c r="E468">
        <v>2.1</v>
      </c>
      <c r="F468" t="s">
        <v>7</v>
      </c>
      <c r="G468" s="2"/>
      <c r="H468" s="2"/>
    </row>
    <row r="469" spans="2:8" x14ac:dyDescent="0.25">
      <c r="B469" t="s">
        <v>87</v>
      </c>
      <c r="C469" t="s">
        <v>74</v>
      </c>
      <c r="D469">
        <v>1.75</v>
      </c>
      <c r="E469">
        <v>2.1</v>
      </c>
      <c r="F469" t="s">
        <v>7</v>
      </c>
      <c r="G469" s="2"/>
      <c r="H469" s="2"/>
    </row>
    <row r="470" spans="2:8" x14ac:dyDescent="0.25">
      <c r="B470" t="s">
        <v>87</v>
      </c>
      <c r="C470" t="s">
        <v>74</v>
      </c>
      <c r="D470">
        <v>1.74</v>
      </c>
      <c r="E470">
        <v>2.15</v>
      </c>
      <c r="F470" t="s">
        <v>7</v>
      </c>
      <c r="G470" s="2"/>
      <c r="H470" s="2"/>
    </row>
    <row r="471" spans="2:8" x14ac:dyDescent="0.25">
      <c r="B471" t="s">
        <v>87</v>
      </c>
      <c r="C471" t="s">
        <v>74</v>
      </c>
      <c r="D471">
        <v>1.74</v>
      </c>
      <c r="E471">
        <v>2.15</v>
      </c>
      <c r="F471" t="s">
        <v>7</v>
      </c>
      <c r="G471" s="2"/>
      <c r="H471" s="2"/>
    </row>
    <row r="472" spans="2:8" x14ac:dyDescent="0.25">
      <c r="B472" t="s">
        <v>87</v>
      </c>
      <c r="C472" t="s">
        <v>74</v>
      </c>
      <c r="D472">
        <v>1.74</v>
      </c>
      <c r="E472">
        <v>2.15</v>
      </c>
      <c r="F472" t="s">
        <v>7</v>
      </c>
      <c r="G472" s="2"/>
      <c r="H472" s="2"/>
    </row>
    <row r="473" spans="2:8" x14ac:dyDescent="0.25">
      <c r="B473" t="s">
        <v>87</v>
      </c>
      <c r="C473" t="s">
        <v>74</v>
      </c>
      <c r="D473">
        <v>1.77</v>
      </c>
      <c r="E473">
        <v>2.1</v>
      </c>
      <c r="F473" t="s">
        <v>7</v>
      </c>
      <c r="G473" s="2"/>
      <c r="H473" s="2"/>
    </row>
    <row r="474" spans="2:8" x14ac:dyDescent="0.25">
      <c r="B474" t="s">
        <v>87</v>
      </c>
      <c r="C474" t="s">
        <v>74</v>
      </c>
      <c r="D474">
        <v>1.74</v>
      </c>
      <c r="E474">
        <v>2.15</v>
      </c>
      <c r="F474" t="s">
        <v>7</v>
      </c>
      <c r="G474" s="2"/>
      <c r="H474" s="2"/>
    </row>
    <row r="475" spans="2:8" x14ac:dyDescent="0.25">
      <c r="B475" t="s">
        <v>87</v>
      </c>
      <c r="C475" t="s">
        <v>74</v>
      </c>
      <c r="D475">
        <v>1.74</v>
      </c>
      <c r="E475">
        <v>2.15</v>
      </c>
      <c r="F475" t="s">
        <v>7</v>
      </c>
      <c r="G475" s="2"/>
      <c r="H475" s="2"/>
    </row>
    <row r="476" spans="2:8" x14ac:dyDescent="0.25">
      <c r="B476" t="s">
        <v>87</v>
      </c>
      <c r="C476" t="s">
        <v>74</v>
      </c>
      <c r="D476">
        <v>1.71</v>
      </c>
      <c r="E476">
        <v>2.2000000000000002</v>
      </c>
      <c r="F476" t="s">
        <v>7</v>
      </c>
      <c r="G476" s="2"/>
      <c r="H476" s="2"/>
    </row>
    <row r="477" spans="2:8" x14ac:dyDescent="0.25">
      <c r="B477" t="s">
        <v>177</v>
      </c>
      <c r="C477" t="s">
        <v>243</v>
      </c>
      <c r="D477">
        <v>12</v>
      </c>
      <c r="E477">
        <v>1.05</v>
      </c>
      <c r="F477" t="s">
        <v>7</v>
      </c>
      <c r="G477" s="2"/>
      <c r="H477" s="2"/>
    </row>
    <row r="478" spans="2:8" x14ac:dyDescent="0.25">
      <c r="B478" t="s">
        <v>177</v>
      </c>
      <c r="C478" t="s">
        <v>243</v>
      </c>
      <c r="D478">
        <v>13.5</v>
      </c>
      <c r="E478">
        <v>1.04</v>
      </c>
      <c r="F478" t="s">
        <v>7</v>
      </c>
      <c r="G478" s="2"/>
      <c r="H478" s="2"/>
    </row>
    <row r="479" spans="2:8" x14ac:dyDescent="0.25">
      <c r="B479" t="s">
        <v>177</v>
      </c>
      <c r="C479" t="s">
        <v>243</v>
      </c>
      <c r="D479">
        <v>15</v>
      </c>
      <c r="E479">
        <v>1.02</v>
      </c>
      <c r="F479" t="s">
        <v>7</v>
      </c>
      <c r="G479" s="2"/>
      <c r="H479" s="2"/>
    </row>
    <row r="480" spans="2:8" x14ac:dyDescent="0.25">
      <c r="B480" t="s">
        <v>177</v>
      </c>
      <c r="C480" t="s">
        <v>243</v>
      </c>
      <c r="D480">
        <v>15</v>
      </c>
      <c r="E480">
        <v>1.02</v>
      </c>
      <c r="F480" t="s">
        <v>7</v>
      </c>
      <c r="G480" s="2"/>
      <c r="H480" s="2"/>
    </row>
    <row r="481" spans="2:8" x14ac:dyDescent="0.25">
      <c r="B481" t="s">
        <v>177</v>
      </c>
      <c r="C481" t="s">
        <v>243</v>
      </c>
      <c r="D481">
        <v>15</v>
      </c>
      <c r="E481">
        <v>1.02</v>
      </c>
      <c r="F481" t="s">
        <v>7</v>
      </c>
      <c r="G481" s="2"/>
      <c r="H481" s="2"/>
    </row>
    <row r="482" spans="2:8" x14ac:dyDescent="0.25">
      <c r="B482" t="s">
        <v>177</v>
      </c>
      <c r="C482" t="s">
        <v>243</v>
      </c>
      <c r="D482">
        <v>13</v>
      </c>
      <c r="E482">
        <v>1.03</v>
      </c>
      <c r="F482" t="s">
        <v>7</v>
      </c>
      <c r="G482" s="2"/>
      <c r="H482" s="2"/>
    </row>
    <row r="483" spans="2:8" x14ac:dyDescent="0.25">
      <c r="B483" t="s">
        <v>177</v>
      </c>
      <c r="C483" t="s">
        <v>243</v>
      </c>
      <c r="D483">
        <v>13</v>
      </c>
      <c r="E483">
        <v>1.03</v>
      </c>
      <c r="F483" t="s">
        <v>7</v>
      </c>
      <c r="G483" s="2"/>
      <c r="H483" s="2"/>
    </row>
    <row r="484" spans="2:8" x14ac:dyDescent="0.25">
      <c r="B484" t="s">
        <v>177</v>
      </c>
      <c r="C484" t="s">
        <v>243</v>
      </c>
      <c r="D484">
        <v>13</v>
      </c>
      <c r="E484">
        <v>1.03</v>
      </c>
      <c r="F484" t="s">
        <v>7</v>
      </c>
      <c r="G484" s="2"/>
      <c r="H484" s="2"/>
    </row>
    <row r="485" spans="2:8" x14ac:dyDescent="0.25">
      <c r="B485" t="s">
        <v>177</v>
      </c>
      <c r="C485" t="s">
        <v>243</v>
      </c>
      <c r="D485">
        <v>11.5</v>
      </c>
      <c r="E485">
        <v>1.04</v>
      </c>
      <c r="F485" t="s">
        <v>7</v>
      </c>
      <c r="G485" s="2"/>
      <c r="H485" s="2"/>
    </row>
    <row r="486" spans="2:8" x14ac:dyDescent="0.25">
      <c r="B486" t="s">
        <v>177</v>
      </c>
      <c r="C486" t="s">
        <v>243</v>
      </c>
      <c r="D486">
        <v>13.3</v>
      </c>
      <c r="E486">
        <v>1.03</v>
      </c>
      <c r="F486" t="s">
        <v>7</v>
      </c>
      <c r="G486" s="2"/>
      <c r="H486" s="2"/>
    </row>
    <row r="487" spans="2:8" x14ac:dyDescent="0.25">
      <c r="B487" t="s">
        <v>177</v>
      </c>
      <c r="C487" t="s">
        <v>243</v>
      </c>
      <c r="D487">
        <v>12</v>
      </c>
      <c r="E487">
        <v>1.04</v>
      </c>
      <c r="F487" t="s">
        <v>7</v>
      </c>
      <c r="G487" s="2"/>
      <c r="H487" s="2"/>
    </row>
    <row r="488" spans="2:8" x14ac:dyDescent="0.25">
      <c r="B488" t="s">
        <v>177</v>
      </c>
      <c r="C488" t="s">
        <v>243</v>
      </c>
      <c r="D488">
        <v>14.5</v>
      </c>
      <c r="E488">
        <v>1.03</v>
      </c>
      <c r="F488" t="s">
        <v>7</v>
      </c>
      <c r="G488" s="2"/>
      <c r="H488" s="2"/>
    </row>
    <row r="489" spans="2:8" x14ac:dyDescent="0.25">
      <c r="B489"/>
      <c r="G489" s="2"/>
      <c r="H489" s="2"/>
    </row>
    <row r="490" spans="2:8" x14ac:dyDescent="0.25">
      <c r="B490"/>
      <c r="G490" s="2"/>
      <c r="H490" s="2"/>
    </row>
    <row r="491" spans="2:8" x14ac:dyDescent="0.25">
      <c r="B491"/>
      <c r="G491" s="2"/>
      <c r="H491" s="2"/>
    </row>
    <row r="492" spans="2:8" x14ac:dyDescent="0.25">
      <c r="B492"/>
      <c r="G492" s="2"/>
      <c r="H492" s="2"/>
    </row>
    <row r="493" spans="2:8" x14ac:dyDescent="0.25">
      <c r="B493"/>
      <c r="G493" s="2"/>
      <c r="H493" s="2"/>
    </row>
    <row r="494" spans="2:8" x14ac:dyDescent="0.25">
      <c r="B494"/>
      <c r="G494" s="2"/>
      <c r="H494" s="2"/>
    </row>
    <row r="495" spans="2:8" x14ac:dyDescent="0.25">
      <c r="B495"/>
      <c r="G495" s="2"/>
      <c r="H495" s="2"/>
    </row>
    <row r="496" spans="2:8" x14ac:dyDescent="0.25">
      <c r="B496"/>
      <c r="G496" s="2"/>
      <c r="H496" s="2"/>
    </row>
    <row r="497" spans="2:8" x14ac:dyDescent="0.25">
      <c r="B497"/>
      <c r="G497" s="2"/>
      <c r="H497" s="2"/>
    </row>
    <row r="498" spans="2:8" x14ac:dyDescent="0.25">
      <c r="B498"/>
      <c r="G498" s="2"/>
      <c r="H498" s="2"/>
    </row>
    <row r="499" spans="2:8" x14ac:dyDescent="0.25">
      <c r="B499"/>
      <c r="G499" s="2"/>
      <c r="H499" s="2"/>
    </row>
    <row r="500" spans="2:8" x14ac:dyDescent="0.25">
      <c r="B500"/>
      <c r="G500" s="2"/>
      <c r="H500" s="2"/>
    </row>
    <row r="501" spans="2:8" x14ac:dyDescent="0.25">
      <c r="B501"/>
      <c r="G501" s="2"/>
      <c r="H501" s="2"/>
    </row>
    <row r="502" spans="2:8" x14ac:dyDescent="0.25">
      <c r="B502"/>
      <c r="G502" s="2"/>
      <c r="H502" s="2"/>
    </row>
    <row r="503" spans="2:8" x14ac:dyDescent="0.25">
      <c r="B503"/>
      <c r="G503" s="2"/>
      <c r="H503" s="2"/>
    </row>
    <row r="504" spans="2:8" x14ac:dyDescent="0.25">
      <c r="B504"/>
      <c r="G504" s="2"/>
      <c r="H504" s="2"/>
    </row>
    <row r="505" spans="2:8" x14ac:dyDescent="0.25">
      <c r="B505"/>
      <c r="G505" s="2"/>
      <c r="H505" s="2"/>
    </row>
    <row r="506" spans="2:8" x14ac:dyDescent="0.25">
      <c r="B506"/>
      <c r="G506" s="2"/>
      <c r="H506" s="2"/>
    </row>
    <row r="507" spans="2:8" x14ac:dyDescent="0.25">
      <c r="B507"/>
      <c r="G507" s="2"/>
      <c r="H507" s="2"/>
    </row>
    <row r="508" spans="2:8" x14ac:dyDescent="0.25">
      <c r="B508"/>
      <c r="G508" s="2"/>
      <c r="H508" s="2"/>
    </row>
    <row r="509" spans="2:8" x14ac:dyDescent="0.25">
      <c r="B509"/>
      <c r="G509" s="2"/>
      <c r="H509" s="2"/>
    </row>
    <row r="510" spans="2:8" x14ac:dyDescent="0.25">
      <c r="B510"/>
      <c r="G510" s="2"/>
      <c r="H510" s="2"/>
    </row>
    <row r="511" spans="2:8" x14ac:dyDescent="0.25">
      <c r="B511"/>
      <c r="G511" s="2"/>
      <c r="H511" s="2"/>
    </row>
    <row r="512" spans="2:8" x14ac:dyDescent="0.25">
      <c r="B512"/>
      <c r="G512" s="2"/>
      <c r="H512" s="2"/>
    </row>
    <row r="513" spans="2:8" x14ac:dyDescent="0.25">
      <c r="B513"/>
      <c r="G513" s="2"/>
      <c r="H513" s="2"/>
    </row>
    <row r="514" spans="2:8" x14ac:dyDescent="0.25">
      <c r="B514"/>
      <c r="G514" s="2"/>
      <c r="H514" s="2"/>
    </row>
    <row r="515" spans="2:8" x14ac:dyDescent="0.25">
      <c r="B515"/>
      <c r="G515" s="2"/>
      <c r="H515" s="2"/>
    </row>
    <row r="516" spans="2:8" x14ac:dyDescent="0.25">
      <c r="B516"/>
      <c r="G516" s="2"/>
      <c r="H516" s="2"/>
    </row>
    <row r="517" spans="2:8" x14ac:dyDescent="0.25">
      <c r="B517"/>
      <c r="G517" s="2"/>
      <c r="H517" s="2"/>
    </row>
    <row r="518" spans="2:8" x14ac:dyDescent="0.25">
      <c r="B518"/>
      <c r="G518" s="2"/>
      <c r="H518" s="2"/>
    </row>
    <row r="519" spans="2:8" x14ac:dyDescent="0.25">
      <c r="B519"/>
      <c r="G519" s="2"/>
      <c r="H519" s="2"/>
    </row>
    <row r="520" spans="2:8" x14ac:dyDescent="0.25">
      <c r="B520"/>
      <c r="G520" s="2"/>
      <c r="H520" s="2"/>
    </row>
    <row r="521" spans="2:8" x14ac:dyDescent="0.25">
      <c r="B521"/>
      <c r="G521" s="2"/>
      <c r="H521" s="2"/>
    </row>
    <row r="522" spans="2:8" x14ac:dyDescent="0.25">
      <c r="B522"/>
      <c r="G522" s="2"/>
      <c r="H522" s="2"/>
    </row>
    <row r="523" spans="2:8" x14ac:dyDescent="0.25">
      <c r="B523"/>
      <c r="G523" s="2"/>
      <c r="H523" s="2"/>
    </row>
    <row r="524" spans="2:8" x14ac:dyDescent="0.25">
      <c r="B524"/>
      <c r="G524" s="2"/>
      <c r="H524" s="2"/>
    </row>
    <row r="525" spans="2:8" x14ac:dyDescent="0.25">
      <c r="B525"/>
      <c r="G525" s="2"/>
      <c r="H525" s="2"/>
    </row>
    <row r="526" spans="2:8" x14ac:dyDescent="0.25">
      <c r="B526"/>
      <c r="G526" s="2"/>
      <c r="H526" s="2"/>
    </row>
    <row r="527" spans="2:8" x14ac:dyDescent="0.25">
      <c r="B527"/>
      <c r="G527" s="2"/>
      <c r="H527" s="2"/>
    </row>
    <row r="528" spans="2:8" x14ac:dyDescent="0.25">
      <c r="B528"/>
      <c r="G528" s="2"/>
      <c r="H528" s="2"/>
    </row>
    <row r="529" spans="2:8" x14ac:dyDescent="0.25">
      <c r="B529"/>
      <c r="G529" s="2"/>
      <c r="H529" s="2"/>
    </row>
    <row r="530" spans="2:8" x14ac:dyDescent="0.25">
      <c r="B530"/>
      <c r="G530" s="2"/>
      <c r="H530" s="2"/>
    </row>
    <row r="531" spans="2:8" x14ac:dyDescent="0.25">
      <c r="B531"/>
      <c r="G531" s="2"/>
      <c r="H531" s="2"/>
    </row>
    <row r="532" spans="2:8" x14ac:dyDescent="0.25">
      <c r="B532"/>
      <c r="G532" s="2"/>
      <c r="H532" s="2"/>
    </row>
    <row r="533" spans="2:8" x14ac:dyDescent="0.25">
      <c r="B533"/>
      <c r="G533" s="2"/>
      <c r="H533" s="2"/>
    </row>
    <row r="534" spans="2:8" x14ac:dyDescent="0.25">
      <c r="B534"/>
      <c r="G534" s="2"/>
      <c r="H534" s="2"/>
    </row>
    <row r="535" spans="2:8" x14ac:dyDescent="0.25">
      <c r="B535"/>
      <c r="G535" s="2"/>
      <c r="H535" s="2"/>
    </row>
    <row r="536" spans="2:8" x14ac:dyDescent="0.25">
      <c r="B536"/>
      <c r="G536" s="2"/>
      <c r="H536" s="2"/>
    </row>
    <row r="537" spans="2:8" x14ac:dyDescent="0.25">
      <c r="B537"/>
      <c r="G537" s="2"/>
      <c r="H537" s="2"/>
    </row>
    <row r="538" spans="2:8" x14ac:dyDescent="0.25">
      <c r="B538"/>
      <c r="G538" s="2"/>
      <c r="H538" s="2"/>
    </row>
    <row r="539" spans="2:8" x14ac:dyDescent="0.25">
      <c r="B539"/>
      <c r="G539" s="2"/>
      <c r="H539" s="2"/>
    </row>
    <row r="540" spans="2:8" x14ac:dyDescent="0.25">
      <c r="B540"/>
      <c r="G540" s="2"/>
      <c r="H540" s="2"/>
    </row>
    <row r="541" spans="2:8" x14ac:dyDescent="0.25">
      <c r="B541"/>
      <c r="G541" s="2"/>
      <c r="H541" s="2"/>
    </row>
    <row r="542" spans="2:8" x14ac:dyDescent="0.25">
      <c r="B542"/>
      <c r="G542" s="2"/>
      <c r="H542" s="2"/>
    </row>
    <row r="543" spans="2:8" x14ac:dyDescent="0.25">
      <c r="B543"/>
      <c r="G543" s="2"/>
      <c r="H543" s="2"/>
    </row>
    <row r="544" spans="2:8" x14ac:dyDescent="0.25">
      <c r="B544"/>
      <c r="G544" s="2"/>
      <c r="H544" s="2"/>
    </row>
    <row r="545" spans="2:8" x14ac:dyDescent="0.25">
      <c r="B545"/>
      <c r="G545" s="2"/>
      <c r="H545" s="2"/>
    </row>
    <row r="546" spans="2:8" x14ac:dyDescent="0.25">
      <c r="B546"/>
      <c r="G546" s="2"/>
      <c r="H546" s="2"/>
    </row>
    <row r="547" spans="2:8" x14ac:dyDescent="0.25">
      <c r="B547"/>
      <c r="G547" s="2"/>
      <c r="H547" s="2"/>
    </row>
    <row r="548" spans="2:8" x14ac:dyDescent="0.25">
      <c r="B548"/>
      <c r="G548" s="2"/>
      <c r="H548" s="2"/>
    </row>
    <row r="549" spans="2:8" x14ac:dyDescent="0.25">
      <c r="B549"/>
      <c r="G549" s="2"/>
      <c r="H549" s="2"/>
    </row>
    <row r="550" spans="2:8" x14ac:dyDescent="0.25">
      <c r="B550"/>
      <c r="G550" s="2"/>
      <c r="H550" s="2"/>
    </row>
    <row r="551" spans="2:8" x14ac:dyDescent="0.25">
      <c r="B551"/>
      <c r="G551" s="2"/>
      <c r="H551" s="2"/>
    </row>
    <row r="552" spans="2:8" x14ac:dyDescent="0.25">
      <c r="B552"/>
      <c r="G552" s="2"/>
      <c r="H552" s="2"/>
    </row>
    <row r="553" spans="2:8" x14ac:dyDescent="0.25">
      <c r="B553"/>
      <c r="G553" s="2"/>
      <c r="H553" s="2"/>
    </row>
    <row r="554" spans="2:8" x14ac:dyDescent="0.25">
      <c r="B554"/>
      <c r="G554" s="2"/>
      <c r="H554" s="2"/>
    </row>
    <row r="555" spans="2:8" x14ac:dyDescent="0.25">
      <c r="B555"/>
      <c r="G555" s="2"/>
      <c r="H555" s="2"/>
    </row>
    <row r="556" spans="2:8" x14ac:dyDescent="0.25">
      <c r="B556"/>
      <c r="G556" s="2"/>
      <c r="H556" s="2"/>
    </row>
    <row r="557" spans="2:8" x14ac:dyDescent="0.25">
      <c r="B557"/>
      <c r="G557" s="2"/>
      <c r="H557" s="2"/>
    </row>
    <row r="558" spans="2:8" x14ac:dyDescent="0.25">
      <c r="B558"/>
      <c r="G558" s="2"/>
      <c r="H558" s="2"/>
    </row>
    <row r="559" spans="2:8" x14ac:dyDescent="0.25">
      <c r="B559"/>
      <c r="G559" s="2"/>
      <c r="H559" s="2"/>
    </row>
    <row r="560" spans="2:8" x14ac:dyDescent="0.25">
      <c r="B560"/>
      <c r="G560" s="2"/>
      <c r="H560" s="2"/>
    </row>
    <row r="561" spans="2:8" x14ac:dyDescent="0.25">
      <c r="B561"/>
      <c r="G561" s="2"/>
      <c r="H561" s="2"/>
    </row>
    <row r="562" spans="2:8" x14ac:dyDescent="0.25">
      <c r="B562"/>
      <c r="G562" s="2"/>
      <c r="H562" s="2"/>
    </row>
    <row r="563" spans="2:8" x14ac:dyDescent="0.25">
      <c r="B563"/>
      <c r="G563" s="2"/>
      <c r="H563" s="2"/>
    </row>
    <row r="564" spans="2:8" x14ac:dyDescent="0.25">
      <c r="B564"/>
      <c r="G564" s="2"/>
      <c r="H564" s="2"/>
    </row>
    <row r="565" spans="2:8" x14ac:dyDescent="0.25">
      <c r="B565"/>
      <c r="G565" s="2"/>
      <c r="H565" s="2"/>
    </row>
    <row r="566" spans="2:8" x14ac:dyDescent="0.25">
      <c r="B566"/>
      <c r="G566" s="2"/>
      <c r="H566" s="2"/>
    </row>
    <row r="567" spans="2:8" x14ac:dyDescent="0.25">
      <c r="B567"/>
      <c r="G567" s="2"/>
      <c r="H567" s="2"/>
    </row>
    <row r="568" spans="2:8" x14ac:dyDescent="0.25">
      <c r="B568"/>
      <c r="G568" s="2"/>
      <c r="H568" s="2"/>
    </row>
    <row r="569" spans="2:8" x14ac:dyDescent="0.25">
      <c r="B569"/>
      <c r="G569" s="2"/>
      <c r="H569" s="2"/>
    </row>
    <row r="570" spans="2:8" x14ac:dyDescent="0.25">
      <c r="B570"/>
      <c r="G570" s="2"/>
      <c r="H570" s="2"/>
    </row>
    <row r="571" spans="2:8" x14ac:dyDescent="0.25">
      <c r="B571"/>
      <c r="G571" s="2"/>
      <c r="H571" s="2"/>
    </row>
    <row r="572" spans="2:8" x14ac:dyDescent="0.25">
      <c r="B572"/>
      <c r="G572" s="2"/>
      <c r="H572" s="2"/>
    </row>
    <row r="573" spans="2:8" x14ac:dyDescent="0.25">
      <c r="B573"/>
      <c r="G573" s="2"/>
      <c r="H573" s="2"/>
    </row>
    <row r="574" spans="2:8" x14ac:dyDescent="0.25">
      <c r="B574"/>
      <c r="G574" s="2"/>
      <c r="H574" s="2"/>
    </row>
    <row r="575" spans="2:8" x14ac:dyDescent="0.25">
      <c r="B575"/>
      <c r="G575" s="2"/>
      <c r="H575" s="2"/>
    </row>
    <row r="576" spans="2:8" x14ac:dyDescent="0.25">
      <c r="B576"/>
      <c r="G576" s="2"/>
      <c r="H576" s="2"/>
    </row>
    <row r="577" spans="2:8" x14ac:dyDescent="0.25">
      <c r="B577"/>
      <c r="G577" s="2"/>
      <c r="H577" s="2"/>
    </row>
    <row r="578" spans="2:8" x14ac:dyDescent="0.25">
      <c r="B578"/>
      <c r="G578" s="2"/>
      <c r="H578" s="2"/>
    </row>
    <row r="579" spans="2:8" x14ac:dyDescent="0.25">
      <c r="B579"/>
      <c r="G579" s="2"/>
      <c r="H579" s="2"/>
    </row>
    <row r="580" spans="2:8" x14ac:dyDescent="0.25">
      <c r="B580"/>
      <c r="G580" s="2"/>
      <c r="H580" s="2"/>
    </row>
    <row r="581" spans="2:8" x14ac:dyDescent="0.25">
      <c r="B581"/>
      <c r="G581" s="2"/>
      <c r="H581" s="2"/>
    </row>
    <row r="582" spans="2:8" x14ac:dyDescent="0.25">
      <c r="B582"/>
      <c r="G582" s="2"/>
      <c r="H582" s="2"/>
    </row>
    <row r="583" spans="2:8" x14ac:dyDescent="0.25">
      <c r="B583"/>
      <c r="G583" s="2"/>
      <c r="H583" s="2"/>
    </row>
    <row r="584" spans="2:8" x14ac:dyDescent="0.25">
      <c r="B584"/>
      <c r="G584" s="2"/>
      <c r="H584" s="2"/>
    </row>
    <row r="585" spans="2:8" x14ac:dyDescent="0.25">
      <c r="B585"/>
      <c r="G585" s="2"/>
      <c r="H585" s="2"/>
    </row>
    <row r="586" spans="2:8" x14ac:dyDescent="0.25">
      <c r="B586"/>
      <c r="G586" s="2"/>
      <c r="H586" s="2"/>
    </row>
    <row r="587" spans="2:8" x14ac:dyDescent="0.25">
      <c r="B587"/>
      <c r="G587" s="2"/>
      <c r="H587" s="2"/>
    </row>
    <row r="588" spans="2:8" x14ac:dyDescent="0.25">
      <c r="B588"/>
      <c r="G588" s="2"/>
      <c r="H588" s="2"/>
    </row>
    <row r="589" spans="2:8" x14ac:dyDescent="0.25">
      <c r="B589"/>
      <c r="G589" s="2"/>
      <c r="H589" s="2"/>
    </row>
    <row r="590" spans="2:8" x14ac:dyDescent="0.25">
      <c r="B590"/>
      <c r="G590" s="2"/>
      <c r="H590" s="2"/>
    </row>
    <row r="591" spans="2:8" x14ac:dyDescent="0.25">
      <c r="B591"/>
      <c r="G591" s="2"/>
      <c r="H591" s="2"/>
    </row>
    <row r="592" spans="2:8" x14ac:dyDescent="0.25">
      <c r="B592"/>
      <c r="G592" s="2"/>
      <c r="H592" s="2"/>
    </row>
    <row r="593" spans="2:8" x14ac:dyDescent="0.25">
      <c r="B593"/>
      <c r="G593" s="2"/>
      <c r="H593" s="2"/>
    </row>
    <row r="594" spans="2:8" x14ac:dyDescent="0.25">
      <c r="B594"/>
      <c r="G594" s="2"/>
      <c r="H594" s="2"/>
    </row>
    <row r="595" spans="2:8" x14ac:dyDescent="0.25">
      <c r="B595"/>
      <c r="G595" s="2"/>
      <c r="H595" s="2"/>
    </row>
    <row r="596" spans="2:8" x14ac:dyDescent="0.25">
      <c r="B596"/>
      <c r="G596" s="2"/>
      <c r="H596" s="2"/>
    </row>
    <row r="597" spans="2:8" x14ac:dyDescent="0.25">
      <c r="B597"/>
      <c r="G597" s="2"/>
      <c r="H597" s="2"/>
    </row>
    <row r="598" spans="2:8" x14ac:dyDescent="0.25">
      <c r="B598"/>
      <c r="G598" s="2"/>
      <c r="H598" s="2"/>
    </row>
    <row r="599" spans="2:8" x14ac:dyDescent="0.25">
      <c r="B599"/>
      <c r="G599" s="2"/>
      <c r="H599" s="2"/>
    </row>
    <row r="600" spans="2:8" x14ac:dyDescent="0.25">
      <c r="B600"/>
      <c r="G600" s="2"/>
      <c r="H600" s="2"/>
    </row>
    <row r="601" spans="2:8" x14ac:dyDescent="0.25">
      <c r="B601"/>
      <c r="G601" s="2"/>
      <c r="H601" s="2"/>
    </row>
    <row r="602" spans="2:8" x14ac:dyDescent="0.25">
      <c r="B602"/>
      <c r="G602" s="2"/>
      <c r="H602" s="2"/>
    </row>
    <row r="603" spans="2:8" x14ac:dyDescent="0.25">
      <c r="B603"/>
      <c r="G603" s="2"/>
      <c r="H603" s="2"/>
    </row>
    <row r="604" spans="2:8" x14ac:dyDescent="0.25">
      <c r="B604"/>
      <c r="G604" s="2"/>
      <c r="H604" s="2"/>
    </row>
    <row r="605" spans="2:8" x14ac:dyDescent="0.25">
      <c r="B605"/>
      <c r="G605" s="2"/>
      <c r="H605" s="2"/>
    </row>
    <row r="606" spans="2:8" x14ac:dyDescent="0.25">
      <c r="B606"/>
      <c r="G606" s="2"/>
      <c r="H606" s="2"/>
    </row>
    <row r="607" spans="2:8" x14ac:dyDescent="0.25">
      <c r="B607"/>
      <c r="G607" s="2"/>
      <c r="H607" s="2"/>
    </row>
    <row r="608" spans="2:8" x14ac:dyDescent="0.25">
      <c r="B608"/>
      <c r="G608" s="2"/>
      <c r="H608" s="2"/>
    </row>
    <row r="609" spans="2:8" x14ac:dyDescent="0.25">
      <c r="B609"/>
      <c r="G609" s="2"/>
      <c r="H609" s="2"/>
    </row>
    <row r="610" spans="2:8" x14ac:dyDescent="0.25">
      <c r="B610"/>
      <c r="G610" s="2"/>
      <c r="H610" s="2"/>
    </row>
    <row r="611" spans="2:8" x14ac:dyDescent="0.25">
      <c r="B611"/>
      <c r="G611" s="2"/>
      <c r="H611" s="2"/>
    </row>
    <row r="612" spans="2:8" x14ac:dyDescent="0.25">
      <c r="B612"/>
      <c r="G612" s="2"/>
      <c r="H612" s="2"/>
    </row>
    <row r="613" spans="2:8" x14ac:dyDescent="0.25">
      <c r="B613"/>
      <c r="G613" s="2"/>
      <c r="H613" s="2"/>
    </row>
    <row r="614" spans="2:8" x14ac:dyDescent="0.25">
      <c r="B614"/>
      <c r="G614" s="2"/>
      <c r="H614" s="2"/>
    </row>
    <row r="615" spans="2:8" x14ac:dyDescent="0.25">
      <c r="B615"/>
      <c r="G615" s="2"/>
      <c r="H615" s="2"/>
    </row>
    <row r="616" spans="2:8" x14ac:dyDescent="0.25">
      <c r="B616"/>
      <c r="G616" s="2"/>
      <c r="H616" s="2"/>
    </row>
    <row r="617" spans="2:8" x14ac:dyDescent="0.25">
      <c r="B617"/>
      <c r="G617" s="2"/>
      <c r="H617" s="2"/>
    </row>
    <row r="618" spans="2:8" x14ac:dyDescent="0.25">
      <c r="B618"/>
      <c r="G618" s="2"/>
      <c r="H618" s="2"/>
    </row>
    <row r="619" spans="2:8" x14ac:dyDescent="0.25">
      <c r="B619"/>
      <c r="G619" s="2"/>
      <c r="H619" s="2"/>
    </row>
    <row r="620" spans="2:8" x14ac:dyDescent="0.25">
      <c r="B620"/>
      <c r="G620" s="2"/>
      <c r="H620" s="2"/>
    </row>
    <row r="621" spans="2:8" x14ac:dyDescent="0.25">
      <c r="B621"/>
      <c r="G621" s="2"/>
      <c r="H621" s="2"/>
    </row>
    <row r="622" spans="2:8" x14ac:dyDescent="0.25">
      <c r="B622"/>
      <c r="G622" s="2"/>
      <c r="H622" s="2"/>
    </row>
    <row r="623" spans="2:8" x14ac:dyDescent="0.25">
      <c r="B623"/>
      <c r="G623" s="2"/>
      <c r="H623" s="2"/>
    </row>
    <row r="624" spans="2:8" x14ac:dyDescent="0.25">
      <c r="B624"/>
      <c r="G624" s="2"/>
      <c r="H624" s="2"/>
    </row>
    <row r="625" spans="2:8" x14ac:dyDescent="0.25">
      <c r="B625"/>
      <c r="G625" s="2"/>
      <c r="H625" s="2"/>
    </row>
    <row r="626" spans="2:8" x14ac:dyDescent="0.25">
      <c r="B626"/>
      <c r="G626" s="2"/>
      <c r="H626" s="2"/>
    </row>
    <row r="627" spans="2:8" x14ac:dyDescent="0.25">
      <c r="B627"/>
      <c r="G627" s="2"/>
      <c r="H627" s="2"/>
    </row>
    <row r="628" spans="2:8" x14ac:dyDescent="0.25">
      <c r="B628"/>
      <c r="G628" s="2"/>
      <c r="H628" s="2"/>
    </row>
    <row r="629" spans="2:8" x14ac:dyDescent="0.25">
      <c r="B629"/>
      <c r="G629" s="2"/>
      <c r="H629" s="2"/>
    </row>
    <row r="630" spans="2:8" x14ac:dyDescent="0.25">
      <c r="B630"/>
      <c r="G630" s="2"/>
      <c r="H630" s="2"/>
    </row>
    <row r="631" spans="2:8" x14ac:dyDescent="0.25">
      <c r="B631"/>
      <c r="G631" s="2"/>
      <c r="H631" s="2"/>
    </row>
    <row r="632" spans="2:8" x14ac:dyDescent="0.25">
      <c r="B632"/>
      <c r="G632" s="2"/>
      <c r="H632" s="2"/>
    </row>
    <row r="633" spans="2:8" x14ac:dyDescent="0.25">
      <c r="B633"/>
      <c r="G633" s="2"/>
      <c r="H633" s="2"/>
    </row>
    <row r="634" spans="2:8" x14ac:dyDescent="0.25">
      <c r="B634"/>
      <c r="G634" s="2"/>
      <c r="H634" s="2"/>
    </row>
    <row r="635" spans="2:8" x14ac:dyDescent="0.25">
      <c r="B635"/>
      <c r="G635" s="2"/>
      <c r="H635" s="2"/>
    </row>
    <row r="636" spans="2:8" x14ac:dyDescent="0.25">
      <c r="B636"/>
      <c r="G636" s="2"/>
      <c r="H636" s="2"/>
    </row>
    <row r="637" spans="2:8" x14ac:dyDescent="0.25">
      <c r="B637"/>
      <c r="G637" s="2"/>
      <c r="H637" s="2"/>
    </row>
    <row r="638" spans="2:8" x14ac:dyDescent="0.25">
      <c r="B638"/>
      <c r="G638" s="2"/>
      <c r="H638" s="2"/>
    </row>
    <row r="639" spans="2:8" x14ac:dyDescent="0.25">
      <c r="B639"/>
      <c r="G639" s="2"/>
      <c r="H639" s="2"/>
    </row>
    <row r="640" spans="2:8" x14ac:dyDescent="0.25">
      <c r="B640"/>
      <c r="G640" s="2"/>
      <c r="H640" s="2"/>
    </row>
    <row r="641" spans="2:8" x14ac:dyDescent="0.25">
      <c r="B641"/>
      <c r="G641" s="2"/>
      <c r="H641" s="2"/>
    </row>
    <row r="642" spans="2:8" x14ac:dyDescent="0.25">
      <c r="B642"/>
      <c r="G642" s="2"/>
      <c r="H642" s="2"/>
    </row>
    <row r="643" spans="2:8" x14ac:dyDescent="0.25">
      <c r="B643"/>
      <c r="G643" s="2"/>
      <c r="H643" s="2"/>
    </row>
    <row r="644" spans="2:8" x14ac:dyDescent="0.25">
      <c r="B644"/>
      <c r="G644" s="2"/>
      <c r="H644" s="2"/>
    </row>
    <row r="645" spans="2:8" x14ac:dyDescent="0.25">
      <c r="B645"/>
      <c r="G645" s="2"/>
      <c r="H645" s="2"/>
    </row>
    <row r="646" spans="2:8" x14ac:dyDescent="0.25">
      <c r="B646"/>
      <c r="G646" s="2"/>
      <c r="H646" s="2"/>
    </row>
    <row r="647" spans="2:8" x14ac:dyDescent="0.25">
      <c r="B647"/>
      <c r="G647" s="2"/>
      <c r="H647" s="2"/>
    </row>
    <row r="648" spans="2:8" x14ac:dyDescent="0.25">
      <c r="B648"/>
      <c r="G648" s="2"/>
      <c r="H648" s="2"/>
    </row>
    <row r="649" spans="2:8" x14ac:dyDescent="0.25">
      <c r="B649"/>
      <c r="G649" s="2"/>
      <c r="H649" s="2"/>
    </row>
    <row r="650" spans="2:8" x14ac:dyDescent="0.25">
      <c r="B650"/>
      <c r="G650" s="2"/>
      <c r="H650" s="2"/>
    </row>
    <row r="651" spans="2:8" x14ac:dyDescent="0.25">
      <c r="B651"/>
      <c r="G651" s="2"/>
      <c r="H651" s="2"/>
    </row>
    <row r="652" spans="2:8" x14ac:dyDescent="0.25">
      <c r="B652"/>
      <c r="G652" s="2"/>
      <c r="H652" s="2"/>
    </row>
    <row r="653" spans="2:8" x14ac:dyDescent="0.25">
      <c r="B653"/>
      <c r="G653" s="2"/>
      <c r="H653" s="2"/>
    </row>
    <row r="654" spans="2:8" x14ac:dyDescent="0.25">
      <c r="B654"/>
      <c r="G654" s="2"/>
      <c r="H654" s="2"/>
    </row>
    <row r="655" spans="2:8" x14ac:dyDescent="0.25">
      <c r="B655"/>
      <c r="G655" s="2"/>
      <c r="H655" s="2"/>
    </row>
    <row r="656" spans="2:8" x14ac:dyDescent="0.25">
      <c r="B656"/>
      <c r="G656" s="2"/>
      <c r="H656" s="2"/>
    </row>
    <row r="657" spans="2:8" x14ac:dyDescent="0.25">
      <c r="B657"/>
      <c r="G657" s="2"/>
      <c r="H657" s="2"/>
    </row>
    <row r="658" spans="2:8" x14ac:dyDescent="0.25">
      <c r="B658"/>
      <c r="G658" s="2"/>
      <c r="H658" s="2"/>
    </row>
    <row r="659" spans="2:8" x14ac:dyDescent="0.25">
      <c r="B659"/>
      <c r="G659" s="2"/>
      <c r="H659" s="2"/>
    </row>
    <row r="660" spans="2:8" x14ac:dyDescent="0.25">
      <c r="B660"/>
      <c r="G660" s="2"/>
      <c r="H660" s="2"/>
    </row>
    <row r="661" spans="2:8" x14ac:dyDescent="0.25">
      <c r="B661"/>
      <c r="G661" s="2"/>
      <c r="H661" s="2"/>
    </row>
    <row r="662" spans="2:8" x14ac:dyDescent="0.25">
      <c r="B662"/>
      <c r="G662" s="2"/>
      <c r="H662" s="2"/>
    </row>
    <row r="663" spans="2:8" x14ac:dyDescent="0.25">
      <c r="B663"/>
      <c r="G663" s="2"/>
      <c r="H663" s="2"/>
    </row>
    <row r="664" spans="2:8" x14ac:dyDescent="0.25">
      <c r="B664"/>
      <c r="G664" s="2"/>
      <c r="H664" s="2"/>
    </row>
    <row r="665" spans="2:8" x14ac:dyDescent="0.25">
      <c r="B665"/>
      <c r="G665" s="2"/>
      <c r="H665" s="2"/>
    </row>
    <row r="666" spans="2:8" x14ac:dyDescent="0.25">
      <c r="B666"/>
      <c r="G666" s="2"/>
      <c r="H666" s="2"/>
    </row>
    <row r="667" spans="2:8" x14ac:dyDescent="0.25">
      <c r="B667"/>
      <c r="G667" s="2"/>
      <c r="H667" s="2"/>
    </row>
    <row r="668" spans="2:8" x14ac:dyDescent="0.25">
      <c r="B668"/>
      <c r="G668" s="2"/>
      <c r="H668" s="2"/>
    </row>
    <row r="669" spans="2:8" x14ac:dyDescent="0.25">
      <c r="B669"/>
      <c r="G669" s="2"/>
      <c r="H669" s="2"/>
    </row>
    <row r="670" spans="2:8" x14ac:dyDescent="0.25">
      <c r="B670"/>
      <c r="G670" s="2"/>
      <c r="H670" s="2"/>
    </row>
    <row r="671" spans="2:8" x14ac:dyDescent="0.25">
      <c r="B671"/>
      <c r="G671" s="2"/>
      <c r="H671" s="2"/>
    </row>
    <row r="672" spans="2:8" x14ac:dyDescent="0.25">
      <c r="B672"/>
      <c r="G672" s="2"/>
      <c r="H672" s="2"/>
    </row>
    <row r="673" spans="2:10" x14ac:dyDescent="0.25">
      <c r="B673"/>
      <c r="G673" s="2"/>
      <c r="H673" s="2"/>
    </row>
    <row r="674" spans="2:10" x14ac:dyDescent="0.25">
      <c r="B674"/>
      <c r="G674" s="2"/>
      <c r="H674" s="2"/>
    </row>
    <row r="675" spans="2:10" x14ac:dyDescent="0.25">
      <c r="B675"/>
      <c r="G675" s="2"/>
      <c r="H675" s="2"/>
    </row>
    <row r="676" spans="2:10" x14ac:dyDescent="0.25">
      <c r="B676"/>
      <c r="G676" s="2"/>
      <c r="H676" s="2"/>
    </row>
    <row r="677" spans="2:10" x14ac:dyDescent="0.25">
      <c r="B677"/>
      <c r="G677" s="2"/>
      <c r="H677" s="2"/>
    </row>
    <row r="678" spans="2:10" x14ac:dyDescent="0.25">
      <c r="B678"/>
      <c r="G678" s="2"/>
      <c r="H678" s="2"/>
    </row>
    <row r="679" spans="2:10" x14ac:dyDescent="0.25">
      <c r="B679"/>
      <c r="G679" s="2"/>
      <c r="H679" s="2"/>
    </row>
    <row r="680" spans="2:10" x14ac:dyDescent="0.25">
      <c r="B680"/>
      <c r="G680" s="2"/>
      <c r="H680" s="2"/>
    </row>
    <row r="681" spans="2:10" x14ac:dyDescent="0.25">
      <c r="B681"/>
      <c r="G681" s="2"/>
      <c r="H681" s="2"/>
    </row>
    <row r="682" spans="2:10" x14ac:dyDescent="0.25">
      <c r="B682"/>
      <c r="G682" s="2"/>
      <c r="H682" s="2"/>
    </row>
    <row r="683" spans="2:10" x14ac:dyDescent="0.25">
      <c r="B683"/>
      <c r="G683" s="2"/>
      <c r="H683" s="2"/>
      <c r="I683" t="e">
        <f>AVERAGE(F683:F695)</f>
        <v>#DIV/0!</v>
      </c>
      <c r="J683" t="e">
        <f>AVERAGE(G683:G695)</f>
        <v>#DIV/0!</v>
      </c>
    </row>
    <row r="684" spans="2:10" x14ac:dyDescent="0.25">
      <c r="B684"/>
      <c r="G684" s="2"/>
      <c r="H684" s="2"/>
      <c r="I684" t="e">
        <f>1/I683</f>
        <v>#DIV/0!</v>
      </c>
      <c r="J684" t="e">
        <f>1/J683</f>
        <v>#DIV/0!</v>
      </c>
    </row>
    <row r="685" spans="2:10" x14ac:dyDescent="0.25">
      <c r="B685"/>
      <c r="G685" s="2"/>
      <c r="H685" s="2"/>
      <c r="I685" t="e">
        <f>0.512-I684</f>
        <v>#DIV/0!</v>
      </c>
      <c r="J685" t="e">
        <f>0.512-J684</f>
        <v>#DIV/0!</v>
      </c>
    </row>
    <row r="686" spans="2:10" x14ac:dyDescent="0.25">
      <c r="B686"/>
      <c r="G686" s="2"/>
      <c r="H686" s="2"/>
    </row>
    <row r="687" spans="2:10" x14ac:dyDescent="0.25">
      <c r="B687"/>
      <c r="G687" s="2"/>
      <c r="H687" s="2"/>
    </row>
    <row r="688" spans="2:10" x14ac:dyDescent="0.25">
      <c r="B688"/>
      <c r="G688" s="2"/>
      <c r="H688" s="2"/>
    </row>
    <row r="689" spans="2:8" x14ac:dyDescent="0.25">
      <c r="B689"/>
      <c r="G689" s="2"/>
      <c r="H689" s="2"/>
    </row>
    <row r="690" spans="2:8" x14ac:dyDescent="0.25">
      <c r="B690"/>
      <c r="G690" s="2"/>
      <c r="H690" s="2"/>
    </row>
    <row r="691" spans="2:8" x14ac:dyDescent="0.25">
      <c r="B691"/>
      <c r="G691" s="2"/>
      <c r="H691" s="2"/>
    </row>
    <row r="692" spans="2:8" x14ac:dyDescent="0.25">
      <c r="B692"/>
      <c r="G692" s="2"/>
      <c r="H692" s="2"/>
    </row>
    <row r="693" spans="2:8" x14ac:dyDescent="0.25">
      <c r="B693"/>
      <c r="G693" s="2"/>
      <c r="H693" s="2"/>
    </row>
    <row r="694" spans="2:8" x14ac:dyDescent="0.25">
      <c r="B694"/>
      <c r="G694" s="2"/>
      <c r="H694" s="2"/>
    </row>
    <row r="695" spans="2:8" x14ac:dyDescent="0.25">
      <c r="B695"/>
      <c r="G695" s="2"/>
      <c r="H695" s="2"/>
    </row>
    <row r="696" spans="2:8" x14ac:dyDescent="0.25">
      <c r="B696"/>
      <c r="G696" s="2"/>
      <c r="H696" s="2"/>
    </row>
    <row r="697" spans="2:8" x14ac:dyDescent="0.25">
      <c r="B697"/>
      <c r="G697" s="2"/>
      <c r="H697" s="2"/>
    </row>
    <row r="698" spans="2:8" x14ac:dyDescent="0.25">
      <c r="B698"/>
      <c r="G698" s="2"/>
      <c r="H698" s="2"/>
    </row>
    <row r="699" spans="2:8" x14ac:dyDescent="0.25">
      <c r="B699"/>
      <c r="G699" s="2"/>
      <c r="H699" s="2"/>
    </row>
    <row r="700" spans="2:8" x14ac:dyDescent="0.25">
      <c r="B700"/>
      <c r="G700" s="2"/>
      <c r="H700" s="2"/>
    </row>
    <row r="701" spans="2:8" x14ac:dyDescent="0.25">
      <c r="B701"/>
      <c r="G701" s="2"/>
      <c r="H701" s="2"/>
    </row>
    <row r="702" spans="2:8" x14ac:dyDescent="0.25">
      <c r="B702"/>
      <c r="G702" s="2"/>
      <c r="H702" s="2"/>
    </row>
    <row r="703" spans="2:8" x14ac:dyDescent="0.25">
      <c r="B703"/>
      <c r="G703" s="2"/>
      <c r="H703" s="2"/>
    </row>
    <row r="704" spans="2:8" x14ac:dyDescent="0.25">
      <c r="B704"/>
      <c r="G704" s="2"/>
      <c r="H704" s="2"/>
    </row>
    <row r="705" spans="2:8" x14ac:dyDescent="0.25">
      <c r="B705"/>
      <c r="G705" s="2"/>
      <c r="H705" s="2"/>
    </row>
    <row r="706" spans="2:8" x14ac:dyDescent="0.25">
      <c r="B706"/>
      <c r="G706" s="2"/>
      <c r="H706" s="2"/>
    </row>
    <row r="707" spans="2:8" x14ac:dyDescent="0.25">
      <c r="B707"/>
      <c r="G707" s="2"/>
      <c r="H707" s="2"/>
    </row>
    <row r="708" spans="2:8" x14ac:dyDescent="0.25">
      <c r="B708"/>
      <c r="G708" s="2"/>
      <c r="H708" s="2"/>
    </row>
    <row r="709" spans="2:8" x14ac:dyDescent="0.25">
      <c r="B709"/>
      <c r="G709" s="2"/>
      <c r="H709" s="2"/>
    </row>
    <row r="710" spans="2:8" x14ac:dyDescent="0.25">
      <c r="B710"/>
      <c r="G710" s="2"/>
      <c r="H710" s="2"/>
    </row>
    <row r="711" spans="2:8" x14ac:dyDescent="0.25">
      <c r="B711"/>
      <c r="G711" s="2"/>
      <c r="H711" s="2"/>
    </row>
    <row r="712" spans="2:8" x14ac:dyDescent="0.25">
      <c r="B712"/>
      <c r="G712" s="2"/>
      <c r="H712" s="2"/>
    </row>
    <row r="713" spans="2:8" x14ac:dyDescent="0.25">
      <c r="B713"/>
      <c r="G713" s="2"/>
      <c r="H713" s="2"/>
    </row>
    <row r="714" spans="2:8" x14ac:dyDescent="0.25">
      <c r="B714"/>
      <c r="G714" s="2"/>
      <c r="H714" s="2"/>
    </row>
    <row r="715" spans="2:8" x14ac:dyDescent="0.25">
      <c r="B715"/>
      <c r="G715" s="2"/>
      <c r="H715" s="2"/>
    </row>
    <row r="716" spans="2:8" x14ac:dyDescent="0.25">
      <c r="B716"/>
      <c r="G716" s="2"/>
      <c r="H716" s="2"/>
    </row>
    <row r="717" spans="2:8" x14ac:dyDescent="0.25">
      <c r="B717"/>
      <c r="G717" s="2"/>
      <c r="H717" s="2"/>
    </row>
    <row r="718" spans="2:8" x14ac:dyDescent="0.25">
      <c r="B718"/>
      <c r="G718" s="2"/>
      <c r="H718" s="2"/>
    </row>
    <row r="719" spans="2:8" x14ac:dyDescent="0.25">
      <c r="B719"/>
      <c r="G719" s="2"/>
      <c r="H719" s="2"/>
    </row>
    <row r="720" spans="2:8" x14ac:dyDescent="0.25">
      <c r="B720"/>
      <c r="G720" s="2"/>
      <c r="H720" s="2"/>
    </row>
    <row r="721" spans="2:8" x14ac:dyDescent="0.25">
      <c r="B721"/>
      <c r="G721" s="2"/>
      <c r="H721" s="2"/>
    </row>
    <row r="722" spans="2:8" x14ac:dyDescent="0.25">
      <c r="B722"/>
      <c r="G722" s="2"/>
      <c r="H722" s="2"/>
    </row>
    <row r="723" spans="2:8" x14ac:dyDescent="0.25">
      <c r="B723"/>
      <c r="G723" s="2"/>
      <c r="H723" s="2"/>
    </row>
    <row r="724" spans="2:8" x14ac:dyDescent="0.25">
      <c r="B724"/>
      <c r="G724" s="2"/>
      <c r="H724" s="2"/>
    </row>
    <row r="725" spans="2:8" x14ac:dyDescent="0.25">
      <c r="B725"/>
      <c r="G725" s="2"/>
      <c r="H725" s="2"/>
    </row>
    <row r="726" spans="2:8" x14ac:dyDescent="0.25">
      <c r="B726"/>
      <c r="G726" s="2"/>
      <c r="H726" s="2"/>
    </row>
    <row r="727" spans="2:8" x14ac:dyDescent="0.25">
      <c r="B727"/>
      <c r="G727" s="2"/>
      <c r="H727" s="2"/>
    </row>
    <row r="728" spans="2:8" x14ac:dyDescent="0.25">
      <c r="B728"/>
      <c r="G728" s="2"/>
      <c r="H728" s="2"/>
    </row>
    <row r="729" spans="2:8" x14ac:dyDescent="0.25">
      <c r="B729"/>
      <c r="G729" s="2"/>
      <c r="H729" s="2"/>
    </row>
    <row r="730" spans="2:8" x14ac:dyDescent="0.25">
      <c r="B730"/>
      <c r="G730" s="2"/>
      <c r="H730" s="2"/>
    </row>
    <row r="731" spans="2:8" x14ac:dyDescent="0.25">
      <c r="B731"/>
      <c r="G731" s="2"/>
      <c r="H731" s="2"/>
    </row>
    <row r="732" spans="2:8" x14ac:dyDescent="0.25">
      <c r="B732"/>
      <c r="G732" s="2"/>
      <c r="H732" s="2"/>
    </row>
    <row r="733" spans="2:8" x14ac:dyDescent="0.25">
      <c r="B733"/>
      <c r="G733" s="2"/>
      <c r="H733" s="2"/>
    </row>
    <row r="734" spans="2:8" x14ac:dyDescent="0.25">
      <c r="B734"/>
      <c r="G734" s="2"/>
      <c r="H734" s="2"/>
    </row>
    <row r="735" spans="2:8" x14ac:dyDescent="0.25">
      <c r="B735"/>
      <c r="G735" s="2"/>
      <c r="H735" s="2"/>
    </row>
    <row r="736" spans="2:8" x14ac:dyDescent="0.25">
      <c r="B736"/>
      <c r="G736" s="2"/>
      <c r="H736" s="2"/>
    </row>
    <row r="737" spans="2:8" x14ac:dyDescent="0.25">
      <c r="B737"/>
      <c r="G737" s="2"/>
      <c r="H737" s="2"/>
    </row>
    <row r="738" spans="2:8" x14ac:dyDescent="0.25">
      <c r="B738"/>
      <c r="G738" s="2"/>
      <c r="H738" s="2"/>
    </row>
    <row r="739" spans="2:8" x14ac:dyDescent="0.25">
      <c r="B739"/>
      <c r="G739" s="2"/>
      <c r="H739" s="2"/>
    </row>
    <row r="740" spans="2:8" x14ac:dyDescent="0.25">
      <c r="B740"/>
      <c r="G740" s="2"/>
      <c r="H740" s="2"/>
    </row>
    <row r="741" spans="2:8" x14ac:dyDescent="0.25">
      <c r="B741"/>
      <c r="G741" s="2"/>
      <c r="H741" s="2"/>
    </row>
    <row r="742" spans="2:8" x14ac:dyDescent="0.25">
      <c r="B742"/>
      <c r="G742" s="2"/>
      <c r="H742" s="2"/>
    </row>
    <row r="743" spans="2:8" x14ac:dyDescent="0.25">
      <c r="B743"/>
      <c r="G743" s="2"/>
      <c r="H743" s="2"/>
    </row>
    <row r="744" spans="2:8" x14ac:dyDescent="0.25">
      <c r="B744"/>
      <c r="G744" s="2"/>
      <c r="H744" s="2"/>
    </row>
    <row r="745" spans="2:8" x14ac:dyDescent="0.25">
      <c r="B745"/>
      <c r="G745" s="2"/>
      <c r="H745" s="2"/>
    </row>
    <row r="746" spans="2:8" x14ac:dyDescent="0.25">
      <c r="B746"/>
      <c r="G746" s="2"/>
      <c r="H746" s="2"/>
    </row>
    <row r="747" spans="2:8" x14ac:dyDescent="0.25">
      <c r="B747"/>
      <c r="G747" s="2"/>
      <c r="H747" s="2"/>
    </row>
    <row r="748" spans="2:8" x14ac:dyDescent="0.25">
      <c r="B748"/>
      <c r="G748" s="2"/>
      <c r="H748" s="2"/>
    </row>
    <row r="749" spans="2:8" x14ac:dyDescent="0.25">
      <c r="B749"/>
      <c r="G749" s="2"/>
      <c r="H749" s="2"/>
    </row>
    <row r="750" spans="2:8" x14ac:dyDescent="0.25">
      <c r="B750"/>
      <c r="G750" s="2"/>
      <c r="H750" s="2"/>
    </row>
    <row r="751" spans="2:8" x14ac:dyDescent="0.25">
      <c r="B751"/>
      <c r="G751" s="2"/>
      <c r="H751" s="2"/>
    </row>
    <row r="752" spans="2:8" x14ac:dyDescent="0.25">
      <c r="B752"/>
      <c r="G752" s="2"/>
      <c r="H752" s="2"/>
    </row>
    <row r="753" spans="2:8" x14ac:dyDescent="0.25">
      <c r="B753"/>
      <c r="G753" s="2"/>
      <c r="H753" s="2"/>
    </row>
    <row r="754" spans="2:8" x14ac:dyDescent="0.25">
      <c r="B754"/>
      <c r="G754" s="2"/>
      <c r="H754" s="2"/>
    </row>
    <row r="755" spans="2:8" x14ac:dyDescent="0.25">
      <c r="B755"/>
      <c r="G755" s="2"/>
      <c r="H755" s="2"/>
    </row>
    <row r="756" spans="2:8" x14ac:dyDescent="0.25">
      <c r="B756"/>
      <c r="G756" s="2"/>
      <c r="H756" s="2"/>
    </row>
    <row r="757" spans="2:8" x14ac:dyDescent="0.25">
      <c r="B757"/>
      <c r="G757" s="2"/>
      <c r="H757" s="2"/>
    </row>
    <row r="758" spans="2:8" x14ac:dyDescent="0.25">
      <c r="B758"/>
      <c r="G758" s="2"/>
      <c r="H758" s="2"/>
    </row>
    <row r="759" spans="2:8" x14ac:dyDescent="0.25">
      <c r="B759"/>
      <c r="G759" s="2"/>
      <c r="H759" s="2"/>
    </row>
    <row r="760" spans="2:8" x14ac:dyDescent="0.25">
      <c r="B760"/>
      <c r="G760" s="2"/>
      <c r="H760" s="2"/>
    </row>
    <row r="761" spans="2:8" x14ac:dyDescent="0.25">
      <c r="B761"/>
      <c r="G761" s="2"/>
      <c r="H761" s="2"/>
    </row>
    <row r="762" spans="2:8" x14ac:dyDescent="0.25">
      <c r="B762"/>
      <c r="G762" s="2"/>
      <c r="H762" s="2"/>
    </row>
    <row r="763" spans="2:8" x14ac:dyDescent="0.25">
      <c r="B763"/>
      <c r="G763" s="2"/>
      <c r="H763" s="2"/>
    </row>
    <row r="764" spans="2:8" x14ac:dyDescent="0.25">
      <c r="B764"/>
      <c r="G764" s="2"/>
      <c r="H764" s="2"/>
    </row>
    <row r="765" spans="2:8" x14ac:dyDescent="0.25">
      <c r="B765"/>
      <c r="G765" s="2"/>
      <c r="H765" s="2"/>
    </row>
    <row r="766" spans="2:8" x14ac:dyDescent="0.25">
      <c r="B766"/>
      <c r="G766" s="2"/>
      <c r="H766" s="2"/>
    </row>
    <row r="767" spans="2:8" x14ac:dyDescent="0.25">
      <c r="B767"/>
      <c r="G767" s="2"/>
      <c r="H767" s="2"/>
    </row>
    <row r="768" spans="2:8" x14ac:dyDescent="0.25">
      <c r="B768"/>
      <c r="G768" s="2"/>
      <c r="H768" s="2"/>
    </row>
    <row r="769" spans="2:8" x14ac:dyDescent="0.25">
      <c r="B769"/>
      <c r="G769" s="2"/>
      <c r="H769" s="2"/>
    </row>
    <row r="770" spans="2:8" x14ac:dyDescent="0.25">
      <c r="B770"/>
      <c r="G770" s="2"/>
      <c r="H770" s="2"/>
    </row>
    <row r="771" spans="2:8" x14ac:dyDescent="0.25">
      <c r="B771"/>
      <c r="G771" s="2"/>
      <c r="H771" s="2"/>
    </row>
    <row r="772" spans="2:8" x14ac:dyDescent="0.25">
      <c r="B772"/>
      <c r="G772" s="2"/>
      <c r="H772" s="2"/>
    </row>
    <row r="773" spans="2:8" x14ac:dyDescent="0.25">
      <c r="B773"/>
      <c r="G773" s="2"/>
      <c r="H773" s="2"/>
    </row>
    <row r="774" spans="2:8" x14ac:dyDescent="0.25">
      <c r="B774"/>
      <c r="G774" s="2"/>
      <c r="H774" s="2"/>
    </row>
    <row r="775" spans="2:8" x14ac:dyDescent="0.25">
      <c r="B775"/>
      <c r="G775" s="2"/>
      <c r="H775" s="2"/>
    </row>
    <row r="776" spans="2:8" x14ac:dyDescent="0.25">
      <c r="B776"/>
      <c r="G776" s="2"/>
      <c r="H776" s="2"/>
    </row>
    <row r="777" spans="2:8" x14ac:dyDescent="0.25">
      <c r="B777"/>
      <c r="G777" s="2"/>
      <c r="H777" s="2"/>
    </row>
    <row r="778" spans="2:8" x14ac:dyDescent="0.25">
      <c r="B778"/>
      <c r="G778" s="2"/>
      <c r="H778" s="2"/>
    </row>
    <row r="779" spans="2:8" x14ac:dyDescent="0.25">
      <c r="B779"/>
      <c r="G779" s="2"/>
      <c r="H779" s="2"/>
    </row>
    <row r="780" spans="2:8" x14ac:dyDescent="0.25">
      <c r="B780"/>
      <c r="G780" s="2"/>
      <c r="H780" s="2"/>
    </row>
    <row r="781" spans="2:8" x14ac:dyDescent="0.25">
      <c r="B781"/>
      <c r="G781" s="2"/>
      <c r="H781" s="2"/>
    </row>
    <row r="782" spans="2:8" x14ac:dyDescent="0.25">
      <c r="B782"/>
      <c r="G782" s="2"/>
      <c r="H782" s="2"/>
    </row>
    <row r="783" spans="2:8" x14ac:dyDescent="0.25">
      <c r="B783"/>
      <c r="G783" s="2"/>
      <c r="H783" s="2"/>
    </row>
    <row r="784" spans="2:8" x14ac:dyDescent="0.25">
      <c r="B784"/>
      <c r="G784" s="2"/>
      <c r="H784" s="2"/>
    </row>
    <row r="785" spans="2:8" x14ac:dyDescent="0.25">
      <c r="B785"/>
      <c r="G785" s="2"/>
      <c r="H785" s="2"/>
    </row>
    <row r="786" spans="2:8" x14ac:dyDescent="0.25">
      <c r="B786"/>
      <c r="G786" s="2"/>
      <c r="H786" s="2"/>
    </row>
    <row r="787" spans="2:8" x14ac:dyDescent="0.25">
      <c r="B787"/>
      <c r="G787" s="2"/>
      <c r="H787" s="2"/>
    </row>
    <row r="788" spans="2:8" x14ac:dyDescent="0.25">
      <c r="B788"/>
      <c r="G788" s="2"/>
      <c r="H788" s="2"/>
    </row>
    <row r="789" spans="2:8" x14ac:dyDescent="0.25">
      <c r="B789"/>
      <c r="G789" s="2"/>
      <c r="H789" s="2"/>
    </row>
    <row r="790" spans="2:8" x14ac:dyDescent="0.25">
      <c r="B790"/>
      <c r="G790" s="2"/>
      <c r="H790" s="2"/>
    </row>
    <row r="791" spans="2:8" x14ac:dyDescent="0.25">
      <c r="B791"/>
      <c r="G791" s="2"/>
      <c r="H791" s="2"/>
    </row>
    <row r="792" spans="2:8" x14ac:dyDescent="0.25">
      <c r="B792"/>
      <c r="G792" s="2"/>
      <c r="H792" s="2"/>
    </row>
    <row r="793" spans="2:8" x14ac:dyDescent="0.25">
      <c r="B793"/>
      <c r="G793" s="2"/>
      <c r="H793" s="2"/>
    </row>
    <row r="794" spans="2:8" x14ac:dyDescent="0.25">
      <c r="B794"/>
      <c r="G794" s="2"/>
      <c r="H794" s="2"/>
    </row>
    <row r="795" spans="2:8" x14ac:dyDescent="0.25">
      <c r="B795"/>
      <c r="G795" s="2"/>
      <c r="H795" s="2"/>
    </row>
    <row r="796" spans="2:8" x14ac:dyDescent="0.25">
      <c r="B796"/>
      <c r="G796" s="2"/>
      <c r="H796" s="2"/>
    </row>
    <row r="797" spans="2:8" x14ac:dyDescent="0.25">
      <c r="B797"/>
      <c r="G797" s="2"/>
      <c r="H797" s="2"/>
    </row>
    <row r="798" spans="2:8" x14ac:dyDescent="0.25">
      <c r="B798"/>
      <c r="G798" s="2"/>
      <c r="H798" s="2"/>
    </row>
    <row r="799" spans="2:8" x14ac:dyDescent="0.25">
      <c r="B799"/>
      <c r="G799" s="2"/>
      <c r="H799" s="2"/>
    </row>
    <row r="800" spans="2:8" x14ac:dyDescent="0.25">
      <c r="B800"/>
      <c r="G800" s="2"/>
      <c r="H800" s="2"/>
    </row>
    <row r="801" spans="2:8" x14ac:dyDescent="0.25">
      <c r="B801"/>
      <c r="G801" s="2"/>
      <c r="H801" s="2"/>
    </row>
    <row r="802" spans="2:8" x14ac:dyDescent="0.25">
      <c r="B802"/>
      <c r="G802" s="2"/>
      <c r="H802" s="2"/>
    </row>
    <row r="803" spans="2:8" x14ac:dyDescent="0.25">
      <c r="B803"/>
      <c r="G803" s="2"/>
      <c r="H803" s="2"/>
    </row>
    <row r="804" spans="2:8" x14ac:dyDescent="0.25">
      <c r="B804"/>
      <c r="G804" s="2"/>
      <c r="H804" s="2"/>
    </row>
    <row r="805" spans="2:8" x14ac:dyDescent="0.25">
      <c r="B805"/>
      <c r="G805" s="2"/>
      <c r="H805" s="2"/>
    </row>
    <row r="806" spans="2:8" x14ac:dyDescent="0.25">
      <c r="B806"/>
      <c r="G806" s="2"/>
      <c r="H806" s="2"/>
    </row>
    <row r="807" spans="2:8" x14ac:dyDescent="0.25">
      <c r="B807"/>
      <c r="G807" s="2"/>
      <c r="H807" s="2"/>
    </row>
    <row r="808" spans="2:8" x14ac:dyDescent="0.25">
      <c r="B808"/>
      <c r="G808" s="2"/>
      <c r="H808" s="2"/>
    </row>
    <row r="809" spans="2:8" x14ac:dyDescent="0.25">
      <c r="B809"/>
      <c r="G809" s="2"/>
      <c r="H809" s="2"/>
    </row>
    <row r="810" spans="2:8" x14ac:dyDescent="0.25">
      <c r="B810"/>
      <c r="G810" s="2"/>
      <c r="H810" s="2"/>
    </row>
    <row r="811" spans="2:8" x14ac:dyDescent="0.25">
      <c r="B811"/>
      <c r="G811" s="2"/>
      <c r="H811" s="2"/>
    </row>
    <row r="812" spans="2:8" x14ac:dyDescent="0.25">
      <c r="B812"/>
      <c r="G812" s="2"/>
      <c r="H812" s="2"/>
    </row>
    <row r="813" spans="2:8" x14ac:dyDescent="0.25">
      <c r="B813"/>
      <c r="G813" s="2"/>
      <c r="H813" s="2"/>
    </row>
    <row r="814" spans="2:8" x14ac:dyDescent="0.25">
      <c r="B814"/>
      <c r="G814" s="2"/>
      <c r="H814" s="2"/>
    </row>
    <row r="815" spans="2:8" x14ac:dyDescent="0.25">
      <c r="B815"/>
      <c r="G815" s="2"/>
      <c r="H815" s="2"/>
    </row>
    <row r="816" spans="2:8" x14ac:dyDescent="0.25">
      <c r="B816"/>
      <c r="G816" s="2"/>
      <c r="H816" s="2"/>
    </row>
    <row r="817" spans="2:8" x14ac:dyDescent="0.25">
      <c r="B817"/>
      <c r="G817" s="2"/>
      <c r="H817" s="2"/>
    </row>
    <row r="818" spans="2:8" x14ac:dyDescent="0.25">
      <c r="B818"/>
      <c r="G818" s="2"/>
      <c r="H818" s="2"/>
    </row>
    <row r="819" spans="2:8" x14ac:dyDescent="0.25">
      <c r="B819"/>
      <c r="G819" s="2"/>
      <c r="H819" s="2"/>
    </row>
    <row r="820" spans="2:8" x14ac:dyDescent="0.25">
      <c r="B820"/>
      <c r="G820" s="2"/>
      <c r="H820" s="2"/>
    </row>
    <row r="821" spans="2:8" x14ac:dyDescent="0.25">
      <c r="B821"/>
      <c r="G821" s="2"/>
      <c r="H821" s="2"/>
    </row>
    <row r="822" spans="2:8" x14ac:dyDescent="0.25">
      <c r="B822"/>
      <c r="G822" s="2"/>
      <c r="H822" s="2"/>
    </row>
    <row r="823" spans="2:8" x14ac:dyDescent="0.25">
      <c r="B823"/>
      <c r="G823" s="2"/>
      <c r="H823" s="2"/>
    </row>
    <row r="824" spans="2:8" x14ac:dyDescent="0.25">
      <c r="B824"/>
      <c r="G824" s="2"/>
      <c r="H824" s="2"/>
    </row>
    <row r="825" spans="2:8" x14ac:dyDescent="0.25">
      <c r="B825"/>
      <c r="G825" s="2"/>
      <c r="H825" s="2"/>
    </row>
    <row r="826" spans="2:8" x14ac:dyDescent="0.25">
      <c r="B826"/>
      <c r="G826" s="2"/>
      <c r="H826" s="2"/>
    </row>
    <row r="827" spans="2:8" x14ac:dyDescent="0.25">
      <c r="B827"/>
      <c r="G827" s="2"/>
      <c r="H827" s="2"/>
    </row>
    <row r="828" spans="2:8" x14ac:dyDescent="0.25">
      <c r="B828"/>
      <c r="G828" s="2"/>
      <c r="H828" s="2"/>
    </row>
    <row r="829" spans="2:8" x14ac:dyDescent="0.25">
      <c r="B829"/>
      <c r="G829" s="2"/>
      <c r="H829" s="2"/>
    </row>
    <row r="830" spans="2:8" x14ac:dyDescent="0.25">
      <c r="B830"/>
      <c r="G830" s="2"/>
      <c r="H830" s="2"/>
    </row>
    <row r="831" spans="2:8" x14ac:dyDescent="0.25">
      <c r="B831"/>
      <c r="G831" s="2"/>
      <c r="H831" s="2"/>
    </row>
    <row r="832" spans="2:8" x14ac:dyDescent="0.25">
      <c r="B832"/>
      <c r="G832" s="2"/>
      <c r="H832" s="2"/>
    </row>
    <row r="833" spans="2:8" x14ac:dyDescent="0.25">
      <c r="B833"/>
      <c r="G833" s="2"/>
      <c r="H833" s="2"/>
    </row>
    <row r="834" spans="2:8" x14ac:dyDescent="0.25">
      <c r="B834"/>
      <c r="G834" s="2"/>
      <c r="H834" s="2"/>
    </row>
    <row r="835" spans="2:8" x14ac:dyDescent="0.25">
      <c r="B835"/>
      <c r="G835" s="2"/>
      <c r="H835" s="2"/>
    </row>
    <row r="836" spans="2:8" x14ac:dyDescent="0.25">
      <c r="B836"/>
      <c r="G836" s="2"/>
      <c r="H836" s="2"/>
    </row>
    <row r="837" spans="2:8" x14ac:dyDescent="0.25">
      <c r="B837"/>
      <c r="G837" s="2"/>
      <c r="H837" s="2"/>
    </row>
    <row r="838" spans="2:8" x14ac:dyDescent="0.25">
      <c r="B838"/>
      <c r="G838" s="2"/>
      <c r="H838" s="2"/>
    </row>
    <row r="839" spans="2:8" x14ac:dyDescent="0.25">
      <c r="B839"/>
      <c r="G839" s="2"/>
      <c r="H839" s="2"/>
    </row>
    <row r="840" spans="2:8" x14ac:dyDescent="0.25">
      <c r="B840"/>
      <c r="G840" s="2"/>
      <c r="H840" s="2"/>
    </row>
    <row r="841" spans="2:8" x14ac:dyDescent="0.25">
      <c r="B841"/>
      <c r="G841" s="2"/>
      <c r="H841" s="2"/>
    </row>
    <row r="842" spans="2:8" x14ac:dyDescent="0.25">
      <c r="B842"/>
      <c r="G842" s="2"/>
      <c r="H842" s="2"/>
    </row>
    <row r="843" spans="2:8" x14ac:dyDescent="0.25">
      <c r="B843"/>
      <c r="G843" s="2"/>
      <c r="H843" s="2"/>
    </row>
    <row r="844" spans="2:8" x14ac:dyDescent="0.25">
      <c r="B844"/>
      <c r="G844" s="2"/>
      <c r="H844" s="2"/>
    </row>
    <row r="845" spans="2:8" x14ac:dyDescent="0.25">
      <c r="B845"/>
      <c r="G845" s="2"/>
      <c r="H845" s="2"/>
    </row>
    <row r="846" spans="2:8" x14ac:dyDescent="0.25">
      <c r="B846"/>
      <c r="G846" s="2"/>
      <c r="H846" s="2"/>
    </row>
    <row r="847" spans="2:8" x14ac:dyDescent="0.25">
      <c r="B847"/>
      <c r="G847" s="2"/>
      <c r="H847" s="2"/>
    </row>
    <row r="848" spans="2:8" x14ac:dyDescent="0.25">
      <c r="B848"/>
      <c r="G848" s="2"/>
      <c r="H848" s="2"/>
    </row>
    <row r="849" spans="2:8" x14ac:dyDescent="0.25">
      <c r="B849"/>
      <c r="G849" s="2"/>
      <c r="H849" s="2"/>
    </row>
    <row r="850" spans="2:8" x14ac:dyDescent="0.25">
      <c r="B850"/>
      <c r="G850" s="2"/>
      <c r="H850" s="2"/>
    </row>
    <row r="851" spans="2:8" x14ac:dyDescent="0.25">
      <c r="B851"/>
      <c r="G851" s="2"/>
      <c r="H851" s="2"/>
    </row>
    <row r="852" spans="2:8" x14ac:dyDescent="0.25">
      <c r="B852"/>
      <c r="G852" s="2"/>
      <c r="H852" s="2"/>
    </row>
    <row r="853" spans="2:8" x14ac:dyDescent="0.25">
      <c r="B853"/>
      <c r="G853" s="2"/>
      <c r="H853" s="2"/>
    </row>
    <row r="854" spans="2:8" x14ac:dyDescent="0.25">
      <c r="B854"/>
      <c r="G854" s="2"/>
      <c r="H854" s="2"/>
    </row>
    <row r="855" spans="2:8" x14ac:dyDescent="0.25">
      <c r="B855"/>
      <c r="G855" s="2"/>
      <c r="H855" s="2"/>
    </row>
    <row r="856" spans="2:8" x14ac:dyDescent="0.25">
      <c r="B856"/>
      <c r="G856" s="2"/>
      <c r="H856" s="2"/>
    </row>
    <row r="857" spans="2:8" x14ac:dyDescent="0.25">
      <c r="B857"/>
      <c r="G857" s="2"/>
      <c r="H857" s="2"/>
    </row>
    <row r="858" spans="2:8" x14ac:dyDescent="0.25">
      <c r="B858"/>
      <c r="G858" s="2"/>
      <c r="H858" s="2"/>
    </row>
    <row r="859" spans="2:8" x14ac:dyDescent="0.25">
      <c r="B859"/>
      <c r="G859" s="2"/>
      <c r="H859" s="2"/>
    </row>
    <row r="860" spans="2:8" x14ac:dyDescent="0.25">
      <c r="B860"/>
      <c r="G860" s="2"/>
      <c r="H860" s="2"/>
    </row>
    <row r="861" spans="2:8" x14ac:dyDescent="0.25">
      <c r="B861"/>
      <c r="G861" s="2"/>
      <c r="H861" s="2"/>
    </row>
    <row r="862" spans="2:8" x14ac:dyDescent="0.25">
      <c r="B862"/>
      <c r="G862" s="2"/>
      <c r="H862" s="2"/>
    </row>
    <row r="863" spans="2:8" x14ac:dyDescent="0.25">
      <c r="B863"/>
      <c r="G863" s="2"/>
      <c r="H863" s="2"/>
    </row>
    <row r="864" spans="2:8" x14ac:dyDescent="0.25">
      <c r="B864"/>
      <c r="G864" s="2"/>
      <c r="H864" s="2"/>
    </row>
    <row r="865" spans="2:8" x14ac:dyDescent="0.25">
      <c r="B865"/>
      <c r="G865" s="2"/>
      <c r="H865" s="2"/>
    </row>
    <row r="866" spans="2:8" x14ac:dyDescent="0.25">
      <c r="B866"/>
      <c r="G866" s="2"/>
      <c r="H866" s="2"/>
    </row>
    <row r="867" spans="2:8" x14ac:dyDescent="0.25">
      <c r="B867"/>
      <c r="G867" s="2"/>
      <c r="H867" s="2"/>
    </row>
    <row r="868" spans="2:8" x14ac:dyDescent="0.25">
      <c r="B868"/>
      <c r="G868" s="2"/>
      <c r="H868" s="2"/>
    </row>
    <row r="869" spans="2:8" x14ac:dyDescent="0.25">
      <c r="B869"/>
      <c r="G869" s="2"/>
      <c r="H869" s="2"/>
    </row>
    <row r="870" spans="2:8" x14ac:dyDescent="0.25">
      <c r="B870"/>
      <c r="G870" s="2"/>
      <c r="H870" s="2"/>
    </row>
    <row r="871" spans="2:8" x14ac:dyDescent="0.25">
      <c r="B871"/>
      <c r="G871" s="2"/>
      <c r="H871" s="2"/>
    </row>
    <row r="872" spans="2:8" x14ac:dyDescent="0.25">
      <c r="B872"/>
      <c r="G872" s="2"/>
      <c r="H872" s="2"/>
    </row>
    <row r="873" spans="2:8" x14ac:dyDescent="0.25">
      <c r="B873"/>
      <c r="G873" s="2"/>
      <c r="H873" s="2"/>
    </row>
    <row r="874" spans="2:8" x14ac:dyDescent="0.25">
      <c r="B874"/>
      <c r="G874" s="2"/>
      <c r="H874" s="2"/>
    </row>
    <row r="875" spans="2:8" x14ac:dyDescent="0.25">
      <c r="B875"/>
      <c r="G875" s="2"/>
      <c r="H875" s="2"/>
    </row>
    <row r="876" spans="2:8" x14ac:dyDescent="0.25">
      <c r="B876"/>
      <c r="G876" s="2"/>
      <c r="H876" s="2"/>
    </row>
    <row r="877" spans="2:8" x14ac:dyDescent="0.25">
      <c r="B877"/>
      <c r="G877" s="2"/>
      <c r="H877" s="2"/>
    </row>
    <row r="878" spans="2:8" x14ac:dyDescent="0.25">
      <c r="B878"/>
      <c r="G878" s="2"/>
      <c r="H878" s="2"/>
    </row>
    <row r="879" spans="2:8" x14ac:dyDescent="0.25">
      <c r="B879"/>
      <c r="G879" s="2"/>
      <c r="H879" s="2"/>
    </row>
    <row r="880" spans="2:8" x14ac:dyDescent="0.25">
      <c r="B880"/>
      <c r="G880" s="2"/>
      <c r="H880" s="2"/>
    </row>
    <row r="881" spans="2:8" x14ac:dyDescent="0.25">
      <c r="B881"/>
      <c r="G881" s="2"/>
      <c r="H881" s="2"/>
    </row>
    <row r="882" spans="2:8" x14ac:dyDescent="0.25">
      <c r="B882"/>
      <c r="G882" s="2"/>
      <c r="H882" s="2"/>
    </row>
    <row r="883" spans="2:8" x14ac:dyDescent="0.25">
      <c r="B883"/>
      <c r="G883" s="2"/>
      <c r="H883" s="2"/>
    </row>
    <row r="884" spans="2:8" x14ac:dyDescent="0.25">
      <c r="B884"/>
      <c r="G884" s="2"/>
      <c r="H884" s="2"/>
    </row>
    <row r="885" spans="2:8" x14ac:dyDescent="0.25">
      <c r="B885"/>
      <c r="G885" s="2"/>
      <c r="H885" s="2"/>
    </row>
    <row r="886" spans="2:8" x14ac:dyDescent="0.25">
      <c r="B886"/>
      <c r="G886" s="2"/>
      <c r="H886" s="2"/>
    </row>
    <row r="887" spans="2:8" x14ac:dyDescent="0.25">
      <c r="B887"/>
      <c r="G887" s="2"/>
      <c r="H887" s="2"/>
    </row>
    <row r="888" spans="2:8" x14ac:dyDescent="0.25">
      <c r="B888"/>
      <c r="G888" s="2"/>
      <c r="H888" s="2"/>
    </row>
    <row r="889" spans="2:8" x14ac:dyDescent="0.25">
      <c r="B889"/>
      <c r="G889" s="2"/>
      <c r="H889" s="2"/>
    </row>
    <row r="890" spans="2:8" x14ac:dyDescent="0.25">
      <c r="B890"/>
      <c r="G890" s="2"/>
      <c r="H890" s="2"/>
    </row>
    <row r="891" spans="2:8" x14ac:dyDescent="0.25">
      <c r="B891"/>
      <c r="G891" s="2"/>
      <c r="H891" s="2"/>
    </row>
    <row r="892" spans="2:8" x14ac:dyDescent="0.25">
      <c r="B892"/>
      <c r="G892" s="2"/>
      <c r="H892" s="2"/>
    </row>
    <row r="893" spans="2:8" x14ac:dyDescent="0.25">
      <c r="B893"/>
      <c r="G893" s="2"/>
      <c r="H893" s="2"/>
    </row>
    <row r="894" spans="2:8" x14ac:dyDescent="0.25">
      <c r="B894"/>
      <c r="G894" s="2"/>
      <c r="H894" s="2"/>
    </row>
    <row r="895" spans="2:8" x14ac:dyDescent="0.25">
      <c r="B895"/>
      <c r="G895" s="2"/>
      <c r="H895" s="2"/>
    </row>
    <row r="896" spans="2:8" x14ac:dyDescent="0.25">
      <c r="B896"/>
      <c r="G896" s="2"/>
      <c r="H896" s="2"/>
    </row>
    <row r="897" spans="2:8" x14ac:dyDescent="0.25">
      <c r="B897"/>
      <c r="G897" s="2"/>
      <c r="H897" s="2"/>
    </row>
    <row r="898" spans="2:8" x14ac:dyDescent="0.25">
      <c r="B898"/>
      <c r="G898" s="2"/>
      <c r="H898" s="2"/>
    </row>
    <row r="899" spans="2:8" x14ac:dyDescent="0.25">
      <c r="B899"/>
      <c r="G899" s="2"/>
      <c r="H899" s="2"/>
    </row>
    <row r="900" spans="2:8" x14ac:dyDescent="0.25">
      <c r="B900"/>
      <c r="G900" s="2"/>
      <c r="H900" s="2"/>
    </row>
    <row r="901" spans="2:8" x14ac:dyDescent="0.25">
      <c r="B901"/>
      <c r="G901" s="2"/>
      <c r="H901" s="2"/>
    </row>
    <row r="902" spans="2:8" x14ac:dyDescent="0.25">
      <c r="B902"/>
      <c r="G902" s="2"/>
      <c r="H902" s="2"/>
    </row>
    <row r="903" spans="2:8" x14ac:dyDescent="0.25">
      <c r="B903"/>
      <c r="G903" s="2"/>
      <c r="H903" s="2"/>
    </row>
    <row r="904" spans="2:8" x14ac:dyDescent="0.25">
      <c r="B904"/>
      <c r="G904" s="2"/>
      <c r="H904" s="2"/>
    </row>
    <row r="905" spans="2:8" x14ac:dyDescent="0.25">
      <c r="B905"/>
      <c r="G905" s="2"/>
      <c r="H905" s="2"/>
    </row>
    <row r="906" spans="2:8" x14ac:dyDescent="0.25">
      <c r="B906"/>
      <c r="G906" s="2"/>
      <c r="H906" s="2"/>
    </row>
    <row r="907" spans="2:8" x14ac:dyDescent="0.25">
      <c r="B907"/>
      <c r="G907" s="2"/>
      <c r="H907" s="2"/>
    </row>
    <row r="908" spans="2:8" x14ac:dyDescent="0.25">
      <c r="B908"/>
      <c r="G908" s="2"/>
      <c r="H908" s="2"/>
    </row>
    <row r="909" spans="2:8" x14ac:dyDescent="0.25">
      <c r="B909"/>
      <c r="G909" s="2"/>
      <c r="H909" s="2"/>
    </row>
    <row r="910" spans="2:8" x14ac:dyDescent="0.25">
      <c r="B910"/>
      <c r="G910" s="2"/>
      <c r="H910" s="2"/>
    </row>
    <row r="911" spans="2:8" x14ac:dyDescent="0.25">
      <c r="B911"/>
      <c r="G911" s="2"/>
      <c r="H911" s="2"/>
    </row>
    <row r="912" spans="2:8" x14ac:dyDescent="0.25">
      <c r="B912"/>
      <c r="G912" s="2"/>
      <c r="H912" s="2"/>
    </row>
    <row r="913" spans="2:8" x14ac:dyDescent="0.25">
      <c r="B913"/>
      <c r="G913" s="2"/>
      <c r="H913" s="2"/>
    </row>
    <row r="914" spans="2:8" x14ac:dyDescent="0.25">
      <c r="B914"/>
      <c r="G914" s="2"/>
      <c r="H914" s="2"/>
    </row>
    <row r="915" spans="2:8" x14ac:dyDescent="0.25">
      <c r="B915"/>
      <c r="G915" s="2"/>
      <c r="H915" s="2"/>
    </row>
    <row r="916" spans="2:8" x14ac:dyDescent="0.25">
      <c r="B916"/>
      <c r="G916" s="2"/>
      <c r="H916" s="2"/>
    </row>
    <row r="917" spans="2:8" x14ac:dyDescent="0.25">
      <c r="B917"/>
      <c r="G917" s="2"/>
      <c r="H917" s="2"/>
    </row>
    <row r="918" spans="2:8" x14ac:dyDescent="0.25">
      <c r="B918"/>
      <c r="G918" s="2"/>
      <c r="H918" s="2"/>
    </row>
    <row r="919" spans="2:8" x14ac:dyDescent="0.25">
      <c r="B919"/>
      <c r="G919" s="2"/>
      <c r="H919" s="2"/>
    </row>
    <row r="920" spans="2:8" x14ac:dyDescent="0.25">
      <c r="B920"/>
      <c r="G920" s="2"/>
      <c r="H920" s="2"/>
    </row>
    <row r="921" spans="2:8" x14ac:dyDescent="0.25">
      <c r="B921"/>
      <c r="G921" s="2"/>
      <c r="H921" s="2"/>
    </row>
    <row r="922" spans="2:8" x14ac:dyDescent="0.25">
      <c r="B922"/>
      <c r="G922" s="2"/>
      <c r="H922" s="2"/>
    </row>
    <row r="923" spans="2:8" x14ac:dyDescent="0.25">
      <c r="B923"/>
      <c r="G923" s="2"/>
      <c r="H923" s="2"/>
    </row>
    <row r="924" spans="2:8" x14ac:dyDescent="0.25">
      <c r="B924"/>
      <c r="G924" s="2"/>
      <c r="H924" s="2"/>
    </row>
    <row r="925" spans="2:8" x14ac:dyDescent="0.25">
      <c r="B925"/>
      <c r="G925" s="2"/>
      <c r="H925" s="2"/>
    </row>
    <row r="926" spans="2:8" x14ac:dyDescent="0.25">
      <c r="B926"/>
      <c r="G926" s="2"/>
      <c r="H926" s="2"/>
    </row>
    <row r="927" spans="2:8" x14ac:dyDescent="0.25">
      <c r="B927"/>
      <c r="G927" s="2"/>
      <c r="H927" s="2"/>
    </row>
    <row r="928" spans="2:8" x14ac:dyDescent="0.25">
      <c r="B928"/>
      <c r="G928" s="2"/>
      <c r="H928" s="2"/>
    </row>
    <row r="929" spans="2:8" x14ac:dyDescent="0.25">
      <c r="B929"/>
      <c r="G929" s="2"/>
      <c r="H929" s="2"/>
    </row>
    <row r="930" spans="2:8" x14ac:dyDescent="0.25">
      <c r="B930"/>
      <c r="G930" s="2"/>
      <c r="H930" s="2"/>
    </row>
    <row r="931" spans="2:8" x14ac:dyDescent="0.25">
      <c r="B931"/>
      <c r="G931" s="2"/>
      <c r="H931" s="2"/>
    </row>
    <row r="932" spans="2:8" x14ac:dyDescent="0.25">
      <c r="B932"/>
      <c r="G932" s="2"/>
      <c r="H932" s="2"/>
    </row>
    <row r="933" spans="2:8" x14ac:dyDescent="0.25">
      <c r="B933"/>
      <c r="G933" s="2"/>
      <c r="H933" s="2"/>
    </row>
    <row r="934" spans="2:8" x14ac:dyDescent="0.25">
      <c r="B934"/>
      <c r="G934" s="2"/>
      <c r="H934" s="2"/>
    </row>
    <row r="935" spans="2:8" x14ac:dyDescent="0.25">
      <c r="B935"/>
      <c r="G935" s="2"/>
      <c r="H935" s="2"/>
    </row>
    <row r="936" spans="2:8" x14ac:dyDescent="0.25">
      <c r="B936"/>
      <c r="G936" s="2"/>
      <c r="H936" s="2"/>
    </row>
    <row r="937" spans="2:8" x14ac:dyDescent="0.25">
      <c r="B937"/>
      <c r="G937" s="2"/>
      <c r="H937" s="2"/>
    </row>
    <row r="938" spans="2:8" x14ac:dyDescent="0.25">
      <c r="B938"/>
      <c r="G938" s="2"/>
      <c r="H938" s="2"/>
    </row>
    <row r="939" spans="2:8" x14ac:dyDescent="0.25">
      <c r="B939"/>
      <c r="G939" s="2"/>
      <c r="H939" s="2"/>
    </row>
    <row r="940" spans="2:8" x14ac:dyDescent="0.25">
      <c r="B940"/>
      <c r="G940" s="2"/>
      <c r="H940" s="2"/>
    </row>
    <row r="941" spans="2:8" x14ac:dyDescent="0.25">
      <c r="B941"/>
      <c r="G941" s="2"/>
      <c r="H941" s="2"/>
    </row>
    <row r="942" spans="2:8" x14ac:dyDescent="0.25">
      <c r="B942"/>
      <c r="G942" s="2"/>
      <c r="H942" s="2"/>
    </row>
    <row r="943" spans="2:8" x14ac:dyDescent="0.25">
      <c r="B943"/>
      <c r="G943" s="2"/>
      <c r="H943" s="2"/>
    </row>
    <row r="944" spans="2:8" x14ac:dyDescent="0.25">
      <c r="B944"/>
      <c r="G944" s="2"/>
      <c r="H944" s="2"/>
    </row>
    <row r="945" spans="2:8" x14ac:dyDescent="0.25">
      <c r="B945"/>
      <c r="G945" s="2"/>
      <c r="H945" s="2"/>
    </row>
    <row r="946" spans="2:8" x14ac:dyDescent="0.25">
      <c r="B946"/>
      <c r="G946" s="2"/>
      <c r="H946" s="2"/>
    </row>
    <row r="947" spans="2:8" x14ac:dyDescent="0.25">
      <c r="B947"/>
      <c r="G947" s="2"/>
      <c r="H947" s="2"/>
    </row>
    <row r="948" spans="2:8" x14ac:dyDescent="0.25">
      <c r="B948"/>
      <c r="G948" s="2"/>
      <c r="H948" s="2"/>
    </row>
    <row r="949" spans="2:8" x14ac:dyDescent="0.25">
      <c r="B949"/>
      <c r="G949" s="2"/>
      <c r="H949" s="2"/>
    </row>
    <row r="950" spans="2:8" x14ac:dyDescent="0.25">
      <c r="B950"/>
      <c r="G950" s="2"/>
      <c r="H950" s="2"/>
    </row>
    <row r="951" spans="2:8" x14ac:dyDescent="0.25">
      <c r="B951"/>
      <c r="G951" s="2"/>
      <c r="H951" s="2"/>
    </row>
    <row r="952" spans="2:8" x14ac:dyDescent="0.25">
      <c r="B952"/>
      <c r="G952" s="2"/>
      <c r="H952" s="2"/>
    </row>
    <row r="953" spans="2:8" x14ac:dyDescent="0.25">
      <c r="B953"/>
      <c r="G953" s="2"/>
      <c r="H953" s="2"/>
    </row>
    <row r="954" spans="2:8" x14ac:dyDescent="0.25">
      <c r="B954"/>
      <c r="G954" s="2"/>
      <c r="H954" s="2"/>
    </row>
    <row r="955" spans="2:8" x14ac:dyDescent="0.25">
      <c r="B955"/>
      <c r="G955" s="2"/>
      <c r="H955" s="2"/>
    </row>
    <row r="956" spans="2:8" x14ac:dyDescent="0.25">
      <c r="B956"/>
      <c r="G956" s="2"/>
      <c r="H956" s="2"/>
    </row>
    <row r="957" spans="2:8" x14ac:dyDescent="0.25">
      <c r="B957"/>
      <c r="G957" s="2"/>
      <c r="H957" s="2"/>
    </row>
    <row r="958" spans="2:8" x14ac:dyDescent="0.25">
      <c r="B958"/>
      <c r="G958" s="2"/>
      <c r="H958" s="2"/>
    </row>
    <row r="959" spans="2:8" x14ac:dyDescent="0.25">
      <c r="B959"/>
      <c r="G959" s="2"/>
      <c r="H959" s="2"/>
    </row>
    <row r="960" spans="2:8" x14ac:dyDescent="0.25">
      <c r="B960"/>
      <c r="G960" s="2"/>
      <c r="H960" s="2"/>
    </row>
    <row r="961" spans="2:8" x14ac:dyDescent="0.25">
      <c r="B961"/>
      <c r="G961" s="2"/>
      <c r="H961" s="2"/>
    </row>
    <row r="962" spans="2:8" x14ac:dyDescent="0.25">
      <c r="B962"/>
      <c r="G962" s="2"/>
      <c r="H962" s="2"/>
    </row>
    <row r="963" spans="2:8" x14ac:dyDescent="0.25">
      <c r="B963"/>
      <c r="G963" s="2"/>
      <c r="H963" s="2"/>
    </row>
    <row r="964" spans="2:8" x14ac:dyDescent="0.25">
      <c r="B964"/>
      <c r="G964" s="2"/>
      <c r="H964" s="2"/>
    </row>
    <row r="965" spans="2:8" x14ac:dyDescent="0.25">
      <c r="B965"/>
      <c r="G965" s="2"/>
      <c r="H965" s="2"/>
    </row>
    <row r="966" spans="2:8" x14ac:dyDescent="0.25">
      <c r="B966"/>
      <c r="G966" s="2"/>
      <c r="H966" s="2"/>
    </row>
    <row r="967" spans="2:8" x14ac:dyDescent="0.25">
      <c r="B967"/>
      <c r="G967" s="2"/>
      <c r="H967" s="2"/>
    </row>
    <row r="968" spans="2:8" x14ac:dyDescent="0.25">
      <c r="B968"/>
      <c r="G968" s="2"/>
      <c r="H968" s="2"/>
    </row>
    <row r="969" spans="2:8" x14ac:dyDescent="0.25">
      <c r="B969"/>
      <c r="G969" s="2"/>
      <c r="H969" s="2"/>
    </row>
    <row r="970" spans="2:8" x14ac:dyDescent="0.25">
      <c r="B970"/>
      <c r="G970" s="2"/>
      <c r="H970" s="2"/>
    </row>
    <row r="971" spans="2:8" x14ac:dyDescent="0.25">
      <c r="B971"/>
      <c r="G971" s="2"/>
      <c r="H971" s="2"/>
    </row>
    <row r="972" spans="2:8" x14ac:dyDescent="0.25">
      <c r="B972"/>
      <c r="G972" s="2"/>
      <c r="H972" s="2"/>
    </row>
    <row r="973" spans="2:8" x14ac:dyDescent="0.25">
      <c r="B973"/>
      <c r="G973" s="2"/>
      <c r="H973" s="2"/>
    </row>
    <row r="974" spans="2:8" x14ac:dyDescent="0.25">
      <c r="B974"/>
      <c r="G974" s="2"/>
      <c r="H974" s="2"/>
    </row>
    <row r="975" spans="2:8" x14ac:dyDescent="0.25">
      <c r="B975"/>
      <c r="G975" s="2"/>
      <c r="H975" s="2"/>
    </row>
    <row r="976" spans="2:8" x14ac:dyDescent="0.25">
      <c r="B976"/>
      <c r="G976" s="2"/>
      <c r="H976" s="2"/>
    </row>
    <row r="977" spans="2:8" x14ac:dyDescent="0.25">
      <c r="B977"/>
      <c r="G977" s="2"/>
      <c r="H977" s="2"/>
    </row>
    <row r="978" spans="2:8" x14ac:dyDescent="0.25">
      <c r="B978"/>
      <c r="G978" s="2"/>
      <c r="H978" s="2"/>
    </row>
    <row r="979" spans="2:8" x14ac:dyDescent="0.25">
      <c r="B979"/>
      <c r="G979" s="2"/>
      <c r="H979" s="2"/>
    </row>
    <row r="980" spans="2:8" x14ac:dyDescent="0.25">
      <c r="B980"/>
      <c r="G980" s="2"/>
      <c r="H980" s="2"/>
    </row>
    <row r="981" spans="2:8" x14ac:dyDescent="0.25">
      <c r="B981"/>
      <c r="G981" s="2"/>
      <c r="H981" s="2"/>
    </row>
    <row r="982" spans="2:8" x14ac:dyDescent="0.25">
      <c r="B982"/>
      <c r="G982" s="2"/>
      <c r="H982" s="2"/>
    </row>
    <row r="983" spans="2:8" x14ac:dyDescent="0.25">
      <c r="B983"/>
      <c r="G983" s="2"/>
      <c r="H983" s="2"/>
    </row>
    <row r="984" spans="2:8" x14ac:dyDescent="0.25">
      <c r="B984"/>
      <c r="G984" s="2"/>
      <c r="H984" s="2"/>
    </row>
    <row r="985" spans="2:8" x14ac:dyDescent="0.25">
      <c r="B985"/>
      <c r="G985" s="2"/>
      <c r="H985" s="2"/>
    </row>
    <row r="986" spans="2:8" x14ac:dyDescent="0.25">
      <c r="B986"/>
      <c r="G986" s="2"/>
      <c r="H986" s="2"/>
    </row>
    <row r="987" spans="2:8" x14ac:dyDescent="0.25">
      <c r="B987"/>
      <c r="G987" s="2"/>
      <c r="H987" s="2"/>
    </row>
    <row r="988" spans="2:8" x14ac:dyDescent="0.25">
      <c r="B988"/>
      <c r="G988" s="2"/>
      <c r="H988" s="2"/>
    </row>
    <row r="989" spans="2:8" x14ac:dyDescent="0.25">
      <c r="B989"/>
      <c r="G989" s="2"/>
      <c r="H989" s="2"/>
    </row>
    <row r="990" spans="2:8" x14ac:dyDescent="0.25">
      <c r="B990"/>
      <c r="G990" s="2"/>
      <c r="H990" s="2"/>
    </row>
    <row r="991" spans="2:8" x14ac:dyDescent="0.25">
      <c r="B991"/>
      <c r="G991" s="2"/>
      <c r="H991" s="2"/>
    </row>
    <row r="992" spans="2:8" x14ac:dyDescent="0.25">
      <c r="B992"/>
      <c r="G992" s="2"/>
      <c r="H992" s="2"/>
    </row>
    <row r="993" spans="2:8" x14ac:dyDescent="0.25">
      <c r="B993"/>
      <c r="G993" s="2"/>
      <c r="H993" s="2"/>
    </row>
    <row r="994" spans="2:8" x14ac:dyDescent="0.25">
      <c r="B994"/>
      <c r="G994" s="2"/>
      <c r="H994" s="2"/>
    </row>
    <row r="995" spans="2:8" x14ac:dyDescent="0.25">
      <c r="B995"/>
      <c r="G995" s="2"/>
      <c r="H995" s="2"/>
    </row>
    <row r="996" spans="2:8" x14ac:dyDescent="0.25">
      <c r="B996"/>
      <c r="G996" s="2"/>
      <c r="H996" s="2"/>
    </row>
    <row r="997" spans="2:8" x14ac:dyDescent="0.25">
      <c r="B997"/>
      <c r="G997" s="2"/>
      <c r="H997" s="2"/>
    </row>
    <row r="998" spans="2:8" x14ac:dyDescent="0.25">
      <c r="B998"/>
      <c r="G998" s="2"/>
      <c r="H998" s="2"/>
    </row>
    <row r="999" spans="2:8" x14ac:dyDescent="0.25">
      <c r="B999"/>
      <c r="G999" s="2"/>
      <c r="H999" s="2"/>
    </row>
    <row r="1000" spans="2:8" x14ac:dyDescent="0.25">
      <c r="B1000"/>
      <c r="G1000" s="2"/>
      <c r="H1000" s="2"/>
    </row>
    <row r="1001" spans="2:8" x14ac:dyDescent="0.25">
      <c r="B1001"/>
      <c r="G1001" s="2"/>
      <c r="H1001" s="2"/>
    </row>
    <row r="1002" spans="2:8" x14ac:dyDescent="0.25">
      <c r="B1002"/>
      <c r="G1002" s="2"/>
      <c r="H1002" s="2"/>
    </row>
    <row r="1003" spans="2:8" x14ac:dyDescent="0.25">
      <c r="B1003"/>
      <c r="G1003" s="2"/>
      <c r="H1003" s="2"/>
    </row>
    <row r="1004" spans="2:8" x14ac:dyDescent="0.25">
      <c r="B1004"/>
      <c r="G1004" s="2"/>
      <c r="H1004" s="2"/>
    </row>
    <row r="1005" spans="2:8" x14ac:dyDescent="0.25">
      <c r="B1005"/>
      <c r="G1005" s="2"/>
      <c r="H1005" s="2"/>
    </row>
    <row r="1006" spans="2:8" x14ac:dyDescent="0.25">
      <c r="B1006"/>
      <c r="G1006" s="2"/>
      <c r="H1006" s="2"/>
    </row>
    <row r="1007" spans="2:8" x14ac:dyDescent="0.25">
      <c r="B1007"/>
      <c r="G1007" s="2"/>
      <c r="H1007" s="2"/>
    </row>
    <row r="1008" spans="2:8" x14ac:dyDescent="0.25">
      <c r="B1008"/>
      <c r="G1008" s="2"/>
      <c r="H1008" s="2"/>
    </row>
    <row r="1009" spans="2:8" x14ac:dyDescent="0.25">
      <c r="B1009"/>
      <c r="G1009" s="2"/>
      <c r="H1009" s="2"/>
    </row>
    <row r="1010" spans="2:8" x14ac:dyDescent="0.25">
      <c r="B1010"/>
      <c r="G1010" s="2"/>
      <c r="H1010" s="2"/>
    </row>
    <row r="1011" spans="2:8" x14ac:dyDescent="0.25">
      <c r="B1011"/>
      <c r="G1011" s="2"/>
      <c r="H1011" s="2"/>
    </row>
    <row r="1012" spans="2:8" x14ac:dyDescent="0.25">
      <c r="B1012"/>
      <c r="G1012" s="2"/>
      <c r="H1012" s="2"/>
    </row>
    <row r="1013" spans="2:8" x14ac:dyDescent="0.25">
      <c r="B1013"/>
      <c r="G1013" s="2"/>
      <c r="H1013" s="2"/>
    </row>
    <row r="1014" spans="2:8" x14ac:dyDescent="0.25">
      <c r="B1014"/>
      <c r="G1014" s="2"/>
      <c r="H1014" s="2"/>
    </row>
    <row r="1015" spans="2:8" x14ac:dyDescent="0.25">
      <c r="B1015"/>
      <c r="G1015" s="2"/>
      <c r="H1015" s="2"/>
    </row>
    <row r="1016" spans="2:8" x14ac:dyDescent="0.25">
      <c r="B1016"/>
      <c r="G1016" s="2"/>
      <c r="H1016" s="2"/>
    </row>
    <row r="1017" spans="2:8" x14ac:dyDescent="0.25">
      <c r="B1017"/>
      <c r="G1017" s="2"/>
      <c r="H1017" s="2"/>
    </row>
    <row r="1018" spans="2:8" x14ac:dyDescent="0.25">
      <c r="B1018"/>
      <c r="G1018" s="2"/>
      <c r="H1018" s="2"/>
    </row>
    <row r="1019" spans="2:8" x14ac:dyDescent="0.25">
      <c r="B1019"/>
      <c r="G1019" s="2"/>
      <c r="H1019" s="2"/>
    </row>
    <row r="1020" spans="2:8" x14ac:dyDescent="0.25">
      <c r="B1020"/>
      <c r="G1020" s="2"/>
      <c r="H1020" s="2"/>
    </row>
    <row r="1021" spans="2:8" x14ac:dyDescent="0.25">
      <c r="B1021"/>
      <c r="G1021" s="2"/>
      <c r="H1021" s="2"/>
    </row>
    <row r="1022" spans="2:8" x14ac:dyDescent="0.25">
      <c r="B1022"/>
      <c r="G1022" s="2"/>
      <c r="H1022" s="2"/>
    </row>
    <row r="1023" spans="2:8" x14ac:dyDescent="0.25">
      <c r="B1023"/>
      <c r="G1023" s="2"/>
      <c r="H1023" s="2"/>
    </row>
    <row r="1024" spans="2:8" x14ac:dyDescent="0.25">
      <c r="B1024"/>
      <c r="G1024" s="2"/>
      <c r="H1024" s="2"/>
    </row>
    <row r="1025" spans="2:8" x14ac:dyDescent="0.25">
      <c r="B1025"/>
      <c r="G1025" s="2"/>
      <c r="H1025" s="2"/>
    </row>
    <row r="1026" spans="2:8" x14ac:dyDescent="0.25">
      <c r="B1026"/>
      <c r="G1026" s="2"/>
      <c r="H1026" s="2"/>
    </row>
    <row r="1027" spans="2:8" x14ac:dyDescent="0.25">
      <c r="B1027"/>
      <c r="G1027" s="2"/>
      <c r="H1027" s="2"/>
    </row>
    <row r="1028" spans="2:8" x14ac:dyDescent="0.25">
      <c r="B1028"/>
      <c r="G1028" s="2"/>
      <c r="H1028" s="2"/>
    </row>
    <row r="1029" spans="2:8" x14ac:dyDescent="0.25">
      <c r="B1029"/>
      <c r="G1029" s="2"/>
      <c r="H1029" s="2"/>
    </row>
    <row r="1030" spans="2:8" x14ac:dyDescent="0.25">
      <c r="B1030"/>
      <c r="G1030" s="2"/>
      <c r="H1030" s="2"/>
    </row>
    <row r="1031" spans="2:8" x14ac:dyDescent="0.25">
      <c r="B1031"/>
      <c r="G1031" s="2"/>
      <c r="H1031" s="2"/>
    </row>
    <row r="1032" spans="2:8" x14ac:dyDescent="0.25">
      <c r="B1032"/>
      <c r="G1032" s="2"/>
      <c r="H1032" s="2"/>
    </row>
    <row r="1033" spans="2:8" x14ac:dyDescent="0.25">
      <c r="B1033"/>
      <c r="G1033" s="2"/>
      <c r="H1033" s="2"/>
    </row>
    <row r="1034" spans="2:8" x14ac:dyDescent="0.25">
      <c r="B1034"/>
      <c r="G1034" s="2"/>
      <c r="H1034" s="2"/>
    </row>
    <row r="1035" spans="2:8" x14ac:dyDescent="0.25">
      <c r="B1035"/>
      <c r="G1035" s="2"/>
      <c r="H1035" s="2"/>
    </row>
    <row r="1036" spans="2:8" x14ac:dyDescent="0.25">
      <c r="B1036"/>
      <c r="G1036" s="2"/>
      <c r="H1036" s="2"/>
    </row>
    <row r="1037" spans="2:8" x14ac:dyDescent="0.25">
      <c r="B1037"/>
      <c r="G1037" s="2"/>
      <c r="H1037" s="2"/>
    </row>
    <row r="1038" spans="2:8" x14ac:dyDescent="0.25">
      <c r="B1038"/>
      <c r="G1038" s="2"/>
      <c r="H1038" s="2"/>
    </row>
    <row r="1039" spans="2:8" x14ac:dyDescent="0.25">
      <c r="B1039"/>
      <c r="G1039" s="2"/>
      <c r="H1039" s="2"/>
    </row>
    <row r="1040" spans="2:8" x14ac:dyDescent="0.25">
      <c r="B1040"/>
      <c r="G1040" s="2"/>
      <c r="H1040" s="2"/>
    </row>
    <row r="1041" spans="2:8" x14ac:dyDescent="0.25">
      <c r="B1041"/>
      <c r="G1041" s="2"/>
      <c r="H1041" s="2"/>
    </row>
    <row r="1042" spans="2:8" x14ac:dyDescent="0.25">
      <c r="B1042"/>
      <c r="G1042" s="2"/>
      <c r="H1042" s="2"/>
    </row>
    <row r="1043" spans="2:8" x14ac:dyDescent="0.25">
      <c r="B1043"/>
      <c r="G1043" s="2"/>
      <c r="H1043" s="2"/>
    </row>
    <row r="1044" spans="2:8" x14ac:dyDescent="0.25">
      <c r="B1044"/>
      <c r="G1044" s="2"/>
      <c r="H1044" s="2"/>
    </row>
    <row r="1045" spans="2:8" x14ac:dyDescent="0.25">
      <c r="B1045"/>
      <c r="G1045" s="2"/>
      <c r="H1045" s="2"/>
    </row>
    <row r="1046" spans="2:8" x14ac:dyDescent="0.25">
      <c r="B1046"/>
      <c r="G1046" s="2"/>
      <c r="H1046" s="2"/>
    </row>
    <row r="1047" spans="2:8" x14ac:dyDescent="0.25">
      <c r="B1047"/>
      <c r="G1047" s="2"/>
      <c r="H1047" s="2"/>
    </row>
    <row r="1048" spans="2:8" x14ac:dyDescent="0.25">
      <c r="B1048"/>
      <c r="G1048" s="2"/>
      <c r="H1048" s="2"/>
    </row>
    <row r="1049" spans="2:8" x14ac:dyDescent="0.25">
      <c r="B1049"/>
      <c r="G1049" s="2"/>
      <c r="H1049" s="2"/>
    </row>
    <row r="1050" spans="2:8" x14ac:dyDescent="0.25">
      <c r="B1050"/>
      <c r="G1050" s="2"/>
      <c r="H1050" s="2"/>
    </row>
    <row r="1051" spans="2:8" x14ac:dyDescent="0.25">
      <c r="B1051"/>
      <c r="G1051" s="2"/>
      <c r="H1051" s="2"/>
    </row>
    <row r="1052" spans="2:8" x14ac:dyDescent="0.25">
      <c r="B1052"/>
      <c r="G1052" s="2"/>
      <c r="H1052" s="2"/>
    </row>
    <row r="1053" spans="2:8" x14ac:dyDescent="0.25">
      <c r="B1053"/>
      <c r="G1053" s="2"/>
      <c r="H1053" s="2"/>
    </row>
    <row r="1054" spans="2:8" x14ac:dyDescent="0.25">
      <c r="B1054"/>
      <c r="G1054" s="2"/>
      <c r="H1054" s="2"/>
    </row>
    <row r="1055" spans="2:8" x14ac:dyDescent="0.25">
      <c r="B1055"/>
      <c r="G1055" s="2"/>
      <c r="H1055" s="2"/>
    </row>
    <row r="1056" spans="2:8" x14ac:dyDescent="0.25">
      <c r="B1056"/>
      <c r="G1056" s="2"/>
      <c r="H1056" s="2"/>
    </row>
    <row r="1057" spans="2:8" x14ac:dyDescent="0.25">
      <c r="B1057"/>
      <c r="G1057" s="2"/>
      <c r="H1057" s="2"/>
    </row>
    <row r="1058" spans="2:8" x14ac:dyDescent="0.25">
      <c r="B1058"/>
      <c r="G1058" s="2"/>
      <c r="H1058" s="2"/>
    </row>
    <row r="1059" spans="2:8" x14ac:dyDescent="0.25">
      <c r="B1059"/>
      <c r="G1059" s="2"/>
      <c r="H1059" s="2"/>
    </row>
    <row r="1060" spans="2:8" x14ac:dyDescent="0.25">
      <c r="B1060"/>
      <c r="G1060" s="2"/>
      <c r="H1060" s="2"/>
    </row>
    <row r="1061" spans="2:8" x14ac:dyDescent="0.25">
      <c r="B1061"/>
      <c r="G1061" s="2"/>
      <c r="H1061" s="2"/>
    </row>
    <row r="1062" spans="2:8" x14ac:dyDescent="0.25">
      <c r="B1062"/>
      <c r="G1062" s="2"/>
      <c r="H1062" s="2"/>
    </row>
    <row r="1063" spans="2:8" x14ac:dyDescent="0.25">
      <c r="B1063"/>
      <c r="G1063" s="2"/>
      <c r="H1063" s="2"/>
    </row>
    <row r="1064" spans="2:8" x14ac:dyDescent="0.25">
      <c r="B1064"/>
      <c r="G1064" s="2"/>
      <c r="H1064" s="2"/>
    </row>
    <row r="1065" spans="2:8" x14ac:dyDescent="0.25">
      <c r="B1065"/>
      <c r="G1065" s="2"/>
      <c r="H1065" s="2"/>
    </row>
    <row r="1066" spans="2:8" x14ac:dyDescent="0.25">
      <c r="B1066"/>
      <c r="G1066" s="2"/>
      <c r="H1066" s="2"/>
    </row>
    <row r="1067" spans="2:8" x14ac:dyDescent="0.25">
      <c r="B1067"/>
      <c r="G1067" s="2"/>
      <c r="H1067" s="2"/>
    </row>
    <row r="1068" spans="2:8" x14ac:dyDescent="0.25">
      <c r="B1068"/>
      <c r="G1068" s="2"/>
      <c r="H1068" s="2"/>
    </row>
    <row r="1069" spans="2:8" x14ac:dyDescent="0.25">
      <c r="B1069"/>
      <c r="G1069" s="2"/>
      <c r="H1069" s="2"/>
    </row>
    <row r="1070" spans="2:8" x14ac:dyDescent="0.25">
      <c r="B1070"/>
      <c r="G1070" s="2"/>
      <c r="H1070" s="2"/>
    </row>
    <row r="1071" spans="2:8" x14ac:dyDescent="0.25">
      <c r="B1071"/>
      <c r="G1071" s="2"/>
      <c r="H1071" s="2"/>
    </row>
    <row r="1072" spans="2:8" x14ac:dyDescent="0.25">
      <c r="B1072"/>
      <c r="G1072" s="2"/>
      <c r="H1072" s="2"/>
    </row>
    <row r="1073" spans="2:8" x14ac:dyDescent="0.25">
      <c r="B1073"/>
      <c r="G1073" s="2"/>
      <c r="H1073" s="2"/>
    </row>
    <row r="1074" spans="2:8" x14ac:dyDescent="0.25">
      <c r="B1074"/>
      <c r="G1074" s="2"/>
      <c r="H1074" s="2"/>
    </row>
    <row r="1075" spans="2:8" x14ac:dyDescent="0.25">
      <c r="B1075"/>
      <c r="G1075" s="2"/>
      <c r="H1075" s="2"/>
    </row>
    <row r="1076" spans="2:8" x14ac:dyDescent="0.25">
      <c r="B1076"/>
      <c r="G1076" s="2"/>
      <c r="H1076" s="2"/>
    </row>
    <row r="1077" spans="2:8" x14ac:dyDescent="0.25">
      <c r="B1077"/>
      <c r="G1077" s="2"/>
      <c r="H1077" s="2"/>
    </row>
    <row r="1078" spans="2:8" x14ac:dyDescent="0.25">
      <c r="B1078"/>
      <c r="G1078" s="2"/>
      <c r="H1078" s="2"/>
    </row>
    <row r="1079" spans="2:8" x14ac:dyDescent="0.25">
      <c r="B1079"/>
      <c r="G1079" s="2"/>
      <c r="H1079" s="2"/>
    </row>
    <row r="1080" spans="2:8" x14ac:dyDescent="0.25">
      <c r="B1080"/>
      <c r="G1080" s="2"/>
      <c r="H1080" s="2"/>
    </row>
    <row r="1081" spans="2:8" x14ac:dyDescent="0.25">
      <c r="B1081"/>
      <c r="G1081" s="2"/>
      <c r="H1081" s="2"/>
    </row>
    <row r="1082" spans="2:8" x14ac:dyDescent="0.25">
      <c r="B1082"/>
      <c r="G1082" s="2"/>
      <c r="H1082" s="2"/>
    </row>
    <row r="1083" spans="2:8" x14ac:dyDescent="0.25">
      <c r="B1083"/>
      <c r="G1083" s="2"/>
      <c r="H1083" s="2"/>
    </row>
    <row r="1084" spans="2:8" x14ac:dyDescent="0.25">
      <c r="B1084"/>
      <c r="G1084" s="2"/>
      <c r="H1084" s="2"/>
    </row>
    <row r="1085" spans="2:8" x14ac:dyDescent="0.25">
      <c r="B1085"/>
      <c r="G1085" s="2"/>
      <c r="H1085" s="2"/>
    </row>
    <row r="1086" spans="2:8" x14ac:dyDescent="0.25">
      <c r="B1086"/>
      <c r="G1086" s="2"/>
      <c r="H1086" s="2"/>
    </row>
    <row r="1087" spans="2:8" x14ac:dyDescent="0.25">
      <c r="B1087"/>
      <c r="G1087" s="2"/>
      <c r="H1087" s="2"/>
    </row>
    <row r="1088" spans="2:8" x14ac:dyDescent="0.25">
      <c r="B1088"/>
      <c r="G1088" s="2"/>
      <c r="H1088" s="2"/>
    </row>
    <row r="1089" spans="2:8" x14ac:dyDescent="0.25">
      <c r="B1089"/>
      <c r="G1089" s="2"/>
      <c r="H1089" s="2"/>
    </row>
    <row r="1090" spans="2:8" x14ac:dyDescent="0.25">
      <c r="B1090"/>
      <c r="G1090" s="2"/>
      <c r="H1090" s="2"/>
    </row>
    <row r="1091" spans="2:8" x14ac:dyDescent="0.25">
      <c r="B1091"/>
      <c r="G1091" s="2"/>
      <c r="H1091" s="2"/>
    </row>
    <row r="1092" spans="2:8" x14ac:dyDescent="0.25">
      <c r="B1092"/>
      <c r="G1092" s="2"/>
      <c r="H1092" s="2"/>
    </row>
    <row r="1093" spans="2:8" x14ac:dyDescent="0.25">
      <c r="B1093"/>
      <c r="G1093" s="2"/>
      <c r="H1093" s="2"/>
    </row>
    <row r="1094" spans="2:8" x14ac:dyDescent="0.25">
      <c r="B1094"/>
      <c r="G1094" s="2"/>
      <c r="H1094" s="2"/>
    </row>
    <row r="1095" spans="2:8" x14ac:dyDescent="0.25">
      <c r="B1095"/>
      <c r="G1095" s="2"/>
      <c r="H1095" s="2"/>
    </row>
    <row r="1096" spans="2:8" x14ac:dyDescent="0.25">
      <c r="B1096"/>
      <c r="G1096" s="2"/>
      <c r="H1096" s="2"/>
    </row>
    <row r="1097" spans="2:8" x14ac:dyDescent="0.25">
      <c r="B1097"/>
      <c r="G1097" s="2"/>
      <c r="H1097" s="2"/>
    </row>
    <row r="1098" spans="2:8" x14ac:dyDescent="0.25">
      <c r="B1098"/>
      <c r="G1098" s="2"/>
      <c r="H1098" s="2"/>
    </row>
    <row r="1099" spans="2:8" x14ac:dyDescent="0.25">
      <c r="B1099"/>
      <c r="G1099" s="2"/>
      <c r="H1099" s="2"/>
    </row>
    <row r="1100" spans="2:8" x14ac:dyDescent="0.25">
      <c r="B1100"/>
      <c r="G1100" s="2"/>
      <c r="H1100" s="2"/>
    </row>
    <row r="1101" spans="2:8" x14ac:dyDescent="0.25">
      <c r="B1101"/>
      <c r="G1101" s="2"/>
      <c r="H1101" s="2"/>
    </row>
    <row r="1102" spans="2:8" x14ac:dyDescent="0.25">
      <c r="B1102"/>
      <c r="G1102" s="2"/>
      <c r="H1102" s="2"/>
    </row>
    <row r="1103" spans="2:8" x14ac:dyDescent="0.25">
      <c r="B1103"/>
      <c r="G1103" s="2"/>
      <c r="H1103" s="2"/>
    </row>
    <row r="1104" spans="2:8" x14ac:dyDescent="0.25">
      <c r="B1104"/>
      <c r="G1104" s="2"/>
      <c r="H1104" s="2"/>
    </row>
    <row r="1105" spans="2:8" x14ac:dyDescent="0.25">
      <c r="B1105"/>
      <c r="G1105" s="2"/>
      <c r="H1105" s="2"/>
    </row>
    <row r="1106" spans="2:8" x14ac:dyDescent="0.25">
      <c r="B1106"/>
      <c r="G1106" s="2"/>
      <c r="H1106" s="2"/>
    </row>
    <row r="1107" spans="2:8" x14ac:dyDescent="0.25">
      <c r="B1107"/>
      <c r="G1107" s="2"/>
      <c r="H1107" s="2"/>
    </row>
    <row r="1108" spans="2:8" x14ac:dyDescent="0.25">
      <c r="B1108"/>
      <c r="G1108" s="2"/>
      <c r="H1108" s="2"/>
    </row>
    <row r="1109" spans="2:8" x14ac:dyDescent="0.25">
      <c r="B1109"/>
      <c r="G1109" s="2"/>
      <c r="H1109" s="2"/>
    </row>
    <row r="1110" spans="2:8" x14ac:dyDescent="0.25">
      <c r="B1110"/>
      <c r="G1110" s="2"/>
      <c r="H1110" s="2"/>
    </row>
    <row r="1111" spans="2:8" x14ac:dyDescent="0.25">
      <c r="B1111"/>
      <c r="G1111" s="2"/>
      <c r="H1111" s="2"/>
    </row>
    <row r="1112" spans="2:8" x14ac:dyDescent="0.25">
      <c r="B1112"/>
      <c r="G1112" s="2"/>
      <c r="H1112" s="2"/>
    </row>
    <row r="1113" spans="2:8" x14ac:dyDescent="0.25">
      <c r="B1113"/>
      <c r="G1113" s="2"/>
      <c r="H1113" s="2"/>
    </row>
    <row r="1114" spans="2:8" x14ac:dyDescent="0.25">
      <c r="B1114"/>
      <c r="G1114" s="2"/>
      <c r="H1114" s="2"/>
    </row>
    <row r="1115" spans="2:8" x14ac:dyDescent="0.25">
      <c r="B1115"/>
      <c r="G1115" s="2"/>
      <c r="H1115" s="2"/>
    </row>
    <row r="1116" spans="2:8" x14ac:dyDescent="0.25">
      <c r="B1116"/>
      <c r="G1116" s="2"/>
      <c r="H1116" s="2"/>
    </row>
    <row r="1117" spans="2:8" x14ac:dyDescent="0.25">
      <c r="B1117"/>
      <c r="G1117" s="2"/>
      <c r="H1117" s="2"/>
    </row>
    <row r="1118" spans="2:8" x14ac:dyDescent="0.25">
      <c r="B1118"/>
      <c r="G1118" s="2"/>
      <c r="H1118" s="2"/>
    </row>
    <row r="1119" spans="2:8" x14ac:dyDescent="0.25">
      <c r="B1119"/>
      <c r="G1119" s="2"/>
      <c r="H1119" s="2"/>
    </row>
    <row r="1120" spans="2:8" x14ac:dyDescent="0.25">
      <c r="B1120"/>
      <c r="G1120" t="e">
        <f>AVERAGE(E1117:E1120)</f>
        <v>#DIV/0!</v>
      </c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</sheetData>
  <sortState xmlns:xlrd2="http://schemas.microsoft.com/office/spreadsheetml/2017/richdata2" ref="B484">
    <sortCondition ref="B48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10</xdr:col>
                    <xdr:colOff>47625</xdr:colOff>
                    <xdr:row>3</xdr:row>
                    <xdr:rowOff>95250</xdr:rowOff>
                  </from>
                  <to>
                    <xdr:col>10</xdr:col>
                    <xdr:colOff>914400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22" activePane="bottomLeft"/>
      <selection activeCell="A2" sqref="A2"/>
      <selection pane="bottomLeft" activeCell="D33" sqref="D33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 t="s">
        <v>42</v>
      </c>
    </row>
    <row r="3" spans="1:1" x14ac:dyDescent="0.25">
      <c r="A3" t="str">
        <f>currentData!E8&amp;","</f>
        <v>70,</v>
      </c>
    </row>
    <row r="4" spans="1:1" x14ac:dyDescent="0.25">
      <c r="A4" t="str">
        <f>currentData!E9&amp;","</f>
        <v>136,</v>
      </c>
    </row>
    <row r="5" spans="1:1" x14ac:dyDescent="0.25">
      <c r="A5" t="str">
        <f>currentData!E10&amp;","</f>
        <v>179,</v>
      </c>
    </row>
    <row r="6" spans="1:1" x14ac:dyDescent="0.25">
      <c r="A6" t="str">
        <f>currentData!E11&amp;","</f>
        <v>26,</v>
      </c>
    </row>
    <row r="7" spans="1:1" x14ac:dyDescent="0.25">
      <c r="A7" t="str">
        <f>currentData!E12&amp;","</f>
        <v>174,</v>
      </c>
    </row>
    <row r="8" spans="1:1" x14ac:dyDescent="0.25">
      <c r="A8" t="str">
        <f>currentData!E13&amp;","</f>
        <v>88,</v>
      </c>
    </row>
    <row r="9" spans="1:1" x14ac:dyDescent="0.25">
      <c r="A9" t="str">
        <f>currentData!E14&amp;","</f>
        <v>240,</v>
      </c>
    </row>
    <row r="10" spans="1:1" x14ac:dyDescent="0.25">
      <c r="A10" t="str">
        <f>currentData!E15&amp;","</f>
        <v>202,</v>
      </c>
    </row>
    <row r="11" spans="1:1" x14ac:dyDescent="0.25">
      <c r="A11" t="str">
        <f>currentData!E16&amp;","</f>
        <v>27,</v>
      </c>
    </row>
    <row r="12" spans="1:1" x14ac:dyDescent="0.25">
      <c r="A12" t="str">
        <f>currentData!E17&amp;","</f>
        <v>65,</v>
      </c>
    </row>
    <row r="13" spans="1:1" x14ac:dyDescent="0.25">
      <c r="A13" t="str">
        <f>currentData!E18&amp;","</f>
        <v>173,</v>
      </c>
    </row>
    <row r="14" spans="1:1" x14ac:dyDescent="0.25">
      <c r="A14" t="str">
        <f>currentData!E19&amp;","</f>
        <v>213,</v>
      </c>
    </row>
    <row r="15" spans="1:1" x14ac:dyDescent="0.25">
      <c r="A15" t="str">
        <f>currentData!E20&amp;","</f>
        <v>265,</v>
      </c>
    </row>
    <row r="16" spans="1:1" x14ac:dyDescent="0.25">
      <c r="A16" t="str">
        <f>currentData!E21&amp;","</f>
        <v>10,</v>
      </c>
    </row>
    <row r="17" spans="1:1" x14ac:dyDescent="0.25">
      <c r="A17" t="str">
        <f>currentData!E22&amp;","</f>
        <v>10,</v>
      </c>
    </row>
    <row r="18" spans="1:1" x14ac:dyDescent="0.25">
      <c r="A18" t="str">
        <f>currentData!E23&amp;","</f>
        <v>46,</v>
      </c>
    </row>
    <row r="19" spans="1:1" x14ac:dyDescent="0.25">
      <c r="A19" t="str">
        <f>currentData!E24&amp;","</f>
        <v>128,</v>
      </c>
    </row>
    <row r="20" spans="1:1" x14ac:dyDescent="0.25">
      <c r="A20" t="str">
        <f>currentData!E25&amp;","</f>
        <v>165,</v>
      </c>
    </row>
    <row r="21" spans="1:1" x14ac:dyDescent="0.25">
      <c r="A21" t="str">
        <f>currentData!E26&amp;","</f>
        <v>10,</v>
      </c>
    </row>
    <row r="22" spans="1:1" x14ac:dyDescent="0.25">
      <c r="A22" t="str">
        <f>currentData!E27&amp;","</f>
        <v>52,</v>
      </c>
    </row>
    <row r="23" spans="1:1" x14ac:dyDescent="0.25">
      <c r="A23" t="str">
        <f>currentData!E28&amp;","</f>
        <v>55,</v>
      </c>
    </row>
    <row r="24" spans="1:1" x14ac:dyDescent="0.25">
      <c r="A24" t="str">
        <f>currentData!E29&amp;","</f>
        <v>20,</v>
      </c>
    </row>
    <row r="25" spans="1:1" x14ac:dyDescent="0.25">
      <c r="A25" t="str">
        <f>currentData!E30&amp;","</f>
        <v>297,</v>
      </c>
    </row>
    <row r="26" spans="1:1" x14ac:dyDescent="0.25">
      <c r="A26" t="str">
        <f>currentData!E31&amp;","</f>
        <v>78,</v>
      </c>
    </row>
    <row r="27" spans="1:1" x14ac:dyDescent="0.25">
      <c r="A27" t="str">
        <f>currentData!E32&amp;","</f>
        <v>145,</v>
      </c>
    </row>
    <row r="28" spans="1:1" x14ac:dyDescent="0.25">
      <c r="A28" t="str">
        <f>currentData!E33&amp;","</f>
        <v>194,</v>
      </c>
    </row>
    <row r="29" spans="1:1" x14ac:dyDescent="0.25">
      <c r="A29" t="str">
        <f>currentData!E34&amp;","</f>
        <v>205,</v>
      </c>
    </row>
    <row r="30" spans="1:1" x14ac:dyDescent="0.25">
      <c r="A30" t="str">
        <f>currentData!E35&amp;","</f>
        <v>55,</v>
      </c>
    </row>
    <row r="31" spans="1:1" x14ac:dyDescent="0.25">
      <c r="A31" t="str">
        <f>currentData!E36&amp;","</f>
        <v>79,</v>
      </c>
    </row>
    <row r="32" spans="1:1" x14ac:dyDescent="0.25">
      <c r="A32" t="str">
        <f>currentData!E37&amp;","</f>
        <v>127,</v>
      </c>
    </row>
    <row r="33" spans="1:1" x14ac:dyDescent="0.25">
      <c r="A33" t="str">
        <f>currentData!E38&amp;","</f>
        <v>219,</v>
      </c>
    </row>
    <row r="34" spans="1:1" x14ac:dyDescent="0.25">
      <c r="A34" t="str">
        <f>currentData!E39&amp;"]"</f>
        <v>275]</v>
      </c>
    </row>
    <row r="35" spans="1:1" x14ac:dyDescent="0.25">
      <c r="A35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3300" topLeftCell="A79" activePane="bottomLeft"/>
      <selection activeCell="G4" sqref="G4"/>
      <selection pane="bottomLeft" activeCell="A93" sqref="A93"/>
    </sheetView>
  </sheetViews>
  <sheetFormatPr defaultRowHeight="15" x14ac:dyDescent="0.25"/>
  <cols>
    <col min="1" max="1" width="17" customWidth="1"/>
  </cols>
  <sheetData>
    <row r="1" spans="1:1" x14ac:dyDescent="0.25">
      <c r="A1" t="s">
        <v>3</v>
      </c>
    </row>
    <row r="2" spans="1:1" x14ac:dyDescent="0.25">
      <c r="A2" t="s">
        <v>24</v>
      </c>
    </row>
    <row r="3" spans="1:1" x14ac:dyDescent="0.25">
      <c r="A3" t="str">
        <f>oldData!B5&amp;","</f>
        <v>2,</v>
      </c>
    </row>
    <row r="4" spans="1:1" x14ac:dyDescent="0.25">
      <c r="A4" t="str">
        <f>oldData!B6&amp;","</f>
        <v>1,</v>
      </c>
    </row>
    <row r="5" spans="1:1" x14ac:dyDescent="0.25">
      <c r="A5" t="str">
        <f>oldData!B7&amp;","</f>
        <v>0,</v>
      </c>
    </row>
    <row r="6" spans="1:1" x14ac:dyDescent="0.25">
      <c r="A6" t="str">
        <f>oldData!B8&amp;","</f>
        <v>0,</v>
      </c>
    </row>
    <row r="7" spans="1:1" x14ac:dyDescent="0.25">
      <c r="A7" t="str">
        <f>oldData!B9&amp;","</f>
        <v>0,</v>
      </c>
    </row>
    <row r="8" spans="1:1" x14ac:dyDescent="0.25">
      <c r="A8" t="str">
        <f>oldData!B10&amp;","</f>
        <v>1,</v>
      </c>
    </row>
    <row r="9" spans="1:1" x14ac:dyDescent="0.25">
      <c r="A9" t="str">
        <f>oldData!B11&amp;","</f>
        <v>0,</v>
      </c>
    </row>
    <row r="10" spans="1:1" x14ac:dyDescent="0.25">
      <c r="A10" t="str">
        <f>oldData!B12&amp;","</f>
        <v>0,</v>
      </c>
    </row>
    <row r="11" spans="1:1" x14ac:dyDescent="0.25">
      <c r="A11" t="str">
        <f>oldData!B13&amp;","</f>
        <v>0,</v>
      </c>
    </row>
    <row r="12" spans="1:1" x14ac:dyDescent="0.25">
      <c r="A12" t="str">
        <f>oldData!B14&amp;","</f>
        <v>0,</v>
      </c>
    </row>
    <row r="13" spans="1:1" x14ac:dyDescent="0.25">
      <c r="A13" t="str">
        <f>oldData!B15&amp;","</f>
        <v>0,</v>
      </c>
    </row>
    <row r="14" spans="1:1" x14ac:dyDescent="0.25">
      <c r="A14" t="str">
        <f>oldData!B16&amp;","</f>
        <v>1,</v>
      </c>
    </row>
    <row r="15" spans="1:1" x14ac:dyDescent="0.25">
      <c r="A15" t="str">
        <f>oldData!B17&amp;","</f>
        <v>0,</v>
      </c>
    </row>
    <row r="16" spans="1:1" x14ac:dyDescent="0.25">
      <c r="A16" t="str">
        <f>oldData!B18&amp;","</f>
        <v>0,</v>
      </c>
    </row>
    <row r="17" spans="1:1" x14ac:dyDescent="0.25">
      <c r="A17" t="str">
        <f>oldData!B19&amp;","</f>
        <v>0,</v>
      </c>
    </row>
    <row r="18" spans="1:1" x14ac:dyDescent="0.25">
      <c r="A18" t="str">
        <f>oldData!B20&amp;","</f>
        <v>0,</v>
      </c>
    </row>
    <row r="19" spans="1:1" x14ac:dyDescent="0.25">
      <c r="A19" t="str">
        <f>oldData!B21&amp;","</f>
        <v>0,</v>
      </c>
    </row>
    <row r="20" spans="1:1" x14ac:dyDescent="0.25">
      <c r="A20" t="str">
        <f>oldData!B22&amp;","</f>
        <v>1,</v>
      </c>
    </row>
    <row r="21" spans="1:1" x14ac:dyDescent="0.25">
      <c r="A21" t="str">
        <f>oldData!B23&amp;","</f>
        <v>1,</v>
      </c>
    </row>
    <row r="22" spans="1:1" x14ac:dyDescent="0.25">
      <c r="A22" t="str">
        <f>oldData!B24&amp;","</f>
        <v>1,</v>
      </c>
    </row>
    <row r="23" spans="1:1" x14ac:dyDescent="0.25">
      <c r="A23" t="str">
        <f>oldData!B25&amp;","</f>
        <v>0,</v>
      </c>
    </row>
    <row r="24" spans="1:1" x14ac:dyDescent="0.25">
      <c r="A24" t="str">
        <f>oldData!B26&amp;","</f>
        <v>0,</v>
      </c>
    </row>
    <row r="25" spans="1:1" x14ac:dyDescent="0.25">
      <c r="A25" t="str">
        <f>oldData!B27&amp;","</f>
        <v>0,</v>
      </c>
    </row>
    <row r="26" spans="1:1" x14ac:dyDescent="0.25">
      <c r="A26" t="str">
        <f>oldData!B28&amp;","</f>
        <v>0,</v>
      </c>
    </row>
    <row r="27" spans="1:1" x14ac:dyDescent="0.25">
      <c r="A27" t="str">
        <f>oldData!B29&amp;","</f>
        <v>0,</v>
      </c>
    </row>
    <row r="28" spans="1:1" x14ac:dyDescent="0.25">
      <c r="A28" t="str">
        <f>oldData!B30&amp;","</f>
        <v>0,</v>
      </c>
    </row>
    <row r="29" spans="1:1" x14ac:dyDescent="0.25">
      <c r="A29" t="str">
        <f>oldData!B31&amp;","</f>
        <v>0,</v>
      </c>
    </row>
    <row r="30" spans="1:1" x14ac:dyDescent="0.25">
      <c r="A30" t="str">
        <f>oldData!B32&amp;","</f>
        <v>0,</v>
      </c>
    </row>
    <row r="31" spans="1:1" x14ac:dyDescent="0.25">
      <c r="A31" t="str">
        <f>oldData!B33&amp;","</f>
        <v>0,</v>
      </c>
    </row>
    <row r="32" spans="1:1" x14ac:dyDescent="0.25">
      <c r="A32" t="str">
        <f>oldData!B34&amp;","</f>
        <v>0,</v>
      </c>
    </row>
    <row r="33" spans="1:1" x14ac:dyDescent="0.25">
      <c r="A33" t="str">
        <f>oldData!B35&amp;","</f>
        <v>0,</v>
      </c>
    </row>
    <row r="34" spans="1:1" x14ac:dyDescent="0.25">
      <c r="A34" t="str">
        <f>oldData!B36&amp;"],"</f>
        <v>1],</v>
      </c>
    </row>
    <row r="35" spans="1:1" x14ac:dyDescent="0.25">
      <c r="A35" t="s">
        <v>26</v>
      </c>
    </row>
    <row r="36" spans="1:1" x14ac:dyDescent="0.25">
      <c r="A36" t="str">
        <f>""""&amp;currentData!$C8&amp;""""&amp;","</f>
        <v>"MMA:Horth:Hardy",</v>
      </c>
    </row>
    <row r="37" spans="1:1" x14ac:dyDescent="0.25">
      <c r="A37" t="str">
        <f>""""&amp;currentData!$C9&amp;""""&amp;","</f>
        <v>"MMA:Turman:Gooden",</v>
      </c>
    </row>
    <row r="38" spans="1:1" x14ac:dyDescent="0.25">
      <c r="A38" t="str">
        <f>""""&amp;currentData!$C10&amp;""""&amp;","</f>
        <v>"MMA:Costa:Jr.",</v>
      </c>
    </row>
    <row r="39" spans="1:1" x14ac:dyDescent="0.25">
      <c r="A39" t="str">
        <f>""""&amp;currentData!$C11&amp;""""&amp;","</f>
        <v>"MMA:Klose:Solecki",</v>
      </c>
    </row>
    <row r="40" spans="1:1" x14ac:dyDescent="0.25">
      <c r="A40" t="str">
        <f>""""&amp;currentData!$C12&amp;""""&amp;","</f>
        <v>"MMA:Reese:Brundage",</v>
      </c>
    </row>
    <row r="41" spans="1:1" x14ac:dyDescent="0.25">
      <c r="A41" t="str">
        <f>""""&amp;currentData!$C13&amp;""""&amp;","</f>
        <v>"MMA:Avila:Tate",</v>
      </c>
    </row>
    <row r="42" spans="1:1" x14ac:dyDescent="0.25">
      <c r="A42" t="str">
        <f>""""&amp;currentData!$C14&amp;""""&amp;","</f>
        <v>"MMA:Silva:Guida",</v>
      </c>
    </row>
    <row r="43" spans="1:1" x14ac:dyDescent="0.25">
      <c r="A43" t="str">
        <f>""""&amp;currentData!$C15&amp;""""&amp;","</f>
        <v>"MMA:Soriano:Stoltzfus",</v>
      </c>
    </row>
    <row r="44" spans="1:1" x14ac:dyDescent="0.25">
      <c r="A44" t="str">
        <f>""""&amp;currentData!$C16&amp;""""&amp;","</f>
        <v>"MMA:Brady:Gastelum",</v>
      </c>
    </row>
    <row r="45" spans="1:1" x14ac:dyDescent="0.25">
      <c r="A45" t="str">
        <f>""""&amp;currentData!$C17&amp;""""&amp;","</f>
        <v>"MMA:Font:Figueiredo",</v>
      </c>
    </row>
    <row r="46" spans="1:1" x14ac:dyDescent="0.25">
      <c r="A46" t="str">
        <f>""""&amp;currentData!$C18&amp;""""&amp;","</f>
        <v>"MMA:Turner:Green",</v>
      </c>
    </row>
    <row r="47" spans="1:1" x14ac:dyDescent="0.25">
      <c r="A47" t="str">
        <f>""""&amp;currentData!$C19&amp;""""&amp;","</f>
        <v>"MMA:Tsarukyan:Dariush",</v>
      </c>
    </row>
    <row r="48" spans="1:1" x14ac:dyDescent="0.25">
      <c r="A48" t="str">
        <f>""""&amp;currentData!$C20&amp;""""&amp;","</f>
        <v>"NCAAF:Oregon:Washington",</v>
      </c>
    </row>
    <row r="49" spans="1:1" x14ac:dyDescent="0.25">
      <c r="A49" t="str">
        <f>""""&amp;currentData!$C21&amp;""""&amp;","</f>
        <v>"NCAAF:Oregon-7.5:Washington+7.5",</v>
      </c>
    </row>
    <row r="50" spans="1:1" x14ac:dyDescent="0.25">
      <c r="A50" t="str">
        <f>""""&amp;currentData!$C22&amp;""""&amp;","</f>
        <v>"NCAAF:Texas-12.5:OklahomaSt+12.5",</v>
      </c>
    </row>
    <row r="51" spans="1:1" x14ac:dyDescent="0.25">
      <c r="A51" t="str">
        <f>""""&amp;currentData!$C23&amp;""""&amp;","</f>
        <v>"NCAAF:BoiseState:UNLV",</v>
      </c>
    </row>
    <row r="52" spans="1:1" x14ac:dyDescent="0.25">
      <c r="A52" t="str">
        <f>""""&amp;currentData!$C24&amp;""""&amp;","</f>
        <v>"NCAAF:Tulane:SMU",</v>
      </c>
    </row>
    <row r="53" spans="1:1" x14ac:dyDescent="0.25">
      <c r="A53" t="str">
        <f>""""&amp;currentData!$C25&amp;""""&amp;","</f>
        <v>"NCAAF:Georgia:Alabama",</v>
      </c>
    </row>
    <row r="54" spans="1:1" x14ac:dyDescent="0.25">
      <c r="A54" t="str">
        <f>""""&amp;currentData!$C26&amp;""""&amp;","</f>
        <v>"NCAAF:Michigan-20.5:Iowa+20.5",</v>
      </c>
    </row>
    <row r="55" spans="1:1" x14ac:dyDescent="0.25">
      <c r="A55" t="str">
        <f>""""&amp;currentData!$C27&amp;""""&amp;","</f>
        <v>"NCAAF:FloridaState:Louisville",</v>
      </c>
    </row>
    <row r="56" spans="1:1" x14ac:dyDescent="0.25">
      <c r="A56" t="str">
        <f>""""&amp;currentData!$C28&amp;""""&amp;","</f>
        <v>"NFL:Texans:Broncos",</v>
      </c>
    </row>
    <row r="57" spans="1:1" x14ac:dyDescent="0.25">
      <c r="A57" t="str">
        <f>""""&amp;currentData!$C29&amp;""""&amp;","</f>
        <v>"NFL:Colts:Titans",</v>
      </c>
    </row>
    <row r="58" spans="1:1" x14ac:dyDescent="0.25">
      <c r="A58" t="str">
        <f>""""&amp;currentData!$C30&amp;""""&amp;","</f>
        <v>"NFL:Dolphins:Commanders",</v>
      </c>
    </row>
    <row r="59" spans="1:1" x14ac:dyDescent="0.25">
      <c r="A59" t="str">
        <f>""""&amp;currentData!$C31&amp;""""&amp;","</f>
        <v>"NFL:Falcons:Jets",</v>
      </c>
    </row>
    <row r="60" spans="1:1" x14ac:dyDescent="0.25">
      <c r="A60" t="str">
        <f>""""&amp;currentData!$C32&amp;""""&amp;","</f>
        <v>"NFL:Lions:Saints",</v>
      </c>
    </row>
    <row r="61" spans="1:1" x14ac:dyDescent="0.25">
      <c r="A61" t="str">
        <f>""""&amp;currentData!$C33&amp;""""&amp;","</f>
        <v>"NFL:Steelers:Cardinals",</v>
      </c>
    </row>
    <row r="62" spans="1:1" x14ac:dyDescent="0.25">
      <c r="A62" t="str">
        <f>""""&amp;currentData!$C34&amp;""""&amp;","</f>
        <v>"NFL:Chargers:Patriots",</v>
      </c>
    </row>
    <row r="63" spans="1:1" x14ac:dyDescent="0.25">
      <c r="A63" t="str">
        <f>""""&amp;currentData!$C35&amp;""""&amp;","</f>
        <v>"NFL:Buccaneers:Panthers",</v>
      </c>
    </row>
    <row r="64" spans="1:1" x14ac:dyDescent="0.25">
      <c r="A64" t="str">
        <f>""""&amp;currentData!$C36&amp;""""&amp;","</f>
        <v>"NFL:49ers:Eagles",</v>
      </c>
    </row>
    <row r="65" spans="1:1" x14ac:dyDescent="0.25">
      <c r="A65" t="str">
        <f>""""&amp;currentData!$C37&amp;""""&amp;","</f>
        <v>"NFL:Rams:Browns",</v>
      </c>
    </row>
    <row r="66" spans="1:1" x14ac:dyDescent="0.25">
      <c r="A66" t="str">
        <f>""""&amp;currentData!$C38&amp;""""&amp;","</f>
        <v>"NFL:Chiefs:Packers",</v>
      </c>
    </row>
    <row r="67" spans="1:1" x14ac:dyDescent="0.25">
      <c r="A67" t="str">
        <f>""""&amp;currentData!$C39&amp;""""&amp;"],"</f>
        <v>"NFL:Jaguars:Bengals"],</v>
      </c>
    </row>
    <row r="68" spans="1:1" x14ac:dyDescent="0.25">
      <c r="A68" t="s">
        <v>25</v>
      </c>
    </row>
    <row r="69" spans="1:1" x14ac:dyDescent="0.25">
      <c r="A69" t="str">
        <f>currentData!D8&amp;","</f>
        <v>1701550800,</v>
      </c>
    </row>
    <row r="70" spans="1:1" x14ac:dyDescent="0.25">
      <c r="A70" t="str">
        <f>currentData!D9&amp;","</f>
        <v>1701551700,</v>
      </c>
    </row>
    <row r="71" spans="1:1" x14ac:dyDescent="0.25">
      <c r="A71" t="str">
        <f>currentData!D10&amp;","</f>
        <v>1701552600,</v>
      </c>
    </row>
    <row r="72" spans="1:1" x14ac:dyDescent="0.25">
      <c r="A72" t="str">
        <f>currentData!D11&amp;","</f>
        <v>1701553500,</v>
      </c>
    </row>
    <row r="73" spans="1:1" x14ac:dyDescent="0.25">
      <c r="A73" t="str">
        <f>currentData!D12&amp;","</f>
        <v>1701554400,</v>
      </c>
    </row>
    <row r="74" spans="1:1" x14ac:dyDescent="0.25">
      <c r="A74" t="str">
        <f>currentData!D13&amp;","</f>
        <v>1701555300,</v>
      </c>
    </row>
    <row r="75" spans="1:1" x14ac:dyDescent="0.25">
      <c r="A75" t="str">
        <f>currentData!D14&amp;","</f>
        <v>1701556200,</v>
      </c>
    </row>
    <row r="76" spans="1:1" x14ac:dyDescent="0.25">
      <c r="A76" t="str">
        <f>currentData!D15&amp;","</f>
        <v>1701561600,</v>
      </c>
    </row>
    <row r="77" spans="1:1" x14ac:dyDescent="0.25">
      <c r="A77" t="str">
        <f>currentData!D16&amp;","</f>
        <v>1701562500,</v>
      </c>
    </row>
    <row r="78" spans="1:1" x14ac:dyDescent="0.25">
      <c r="A78" t="str">
        <f>currentData!D17&amp;","</f>
        <v>1701563400,</v>
      </c>
    </row>
    <row r="79" spans="1:1" x14ac:dyDescent="0.25">
      <c r="A79" t="str">
        <f>currentData!D18&amp;","</f>
        <v>1701564300,</v>
      </c>
    </row>
    <row r="80" spans="1:1" x14ac:dyDescent="0.25">
      <c r="A80" t="str">
        <f>currentData!D19&amp;","</f>
        <v>1701565200,</v>
      </c>
    </row>
    <row r="81" spans="1:1" x14ac:dyDescent="0.25">
      <c r="A81" t="str">
        <f>currentData!D20&amp;","</f>
        <v>1701478800,</v>
      </c>
    </row>
    <row r="82" spans="1:1" x14ac:dyDescent="0.25">
      <c r="A82" t="str">
        <f>currentData!D21&amp;","</f>
        <v>1701478800,</v>
      </c>
    </row>
    <row r="83" spans="1:1" x14ac:dyDescent="0.25">
      <c r="A83" t="str">
        <f>currentData!D22&amp;","</f>
        <v>1701536400,</v>
      </c>
    </row>
    <row r="84" spans="1:1" x14ac:dyDescent="0.25">
      <c r="A84" t="str">
        <f>currentData!D23&amp;","</f>
        <v>1701547200,</v>
      </c>
    </row>
    <row r="85" spans="1:1" x14ac:dyDescent="0.25">
      <c r="A85" t="str">
        <f>currentData!D24&amp;","</f>
        <v>1701550800,</v>
      </c>
    </row>
    <row r="86" spans="1:1" x14ac:dyDescent="0.25">
      <c r="A86" t="str">
        <f>currentData!D25&amp;","</f>
        <v>1701550800,</v>
      </c>
    </row>
    <row r="87" spans="1:1" x14ac:dyDescent="0.25">
      <c r="A87" t="str">
        <f>currentData!D26&amp;","</f>
        <v>1701565200,</v>
      </c>
    </row>
    <row r="88" spans="1:1" x14ac:dyDescent="0.25">
      <c r="A88" t="str">
        <f>currentData!D27&amp;","</f>
        <v>1701565199,</v>
      </c>
    </row>
    <row r="89" spans="1:1" x14ac:dyDescent="0.25">
      <c r="A89" t="str">
        <f>currentData!D28&amp;","</f>
        <v>1701626460,</v>
      </c>
    </row>
    <row r="90" spans="1:1" x14ac:dyDescent="0.25">
      <c r="A90" t="str">
        <f>currentData!D29&amp;","</f>
        <v>1701626400,</v>
      </c>
    </row>
    <row r="91" spans="1:1" x14ac:dyDescent="0.25">
      <c r="A91" t="str">
        <f>currentData!D30&amp;","</f>
        <v>1701626400,</v>
      </c>
    </row>
    <row r="92" spans="1:1" x14ac:dyDescent="0.25">
      <c r="A92" t="str">
        <f>currentData!D31&amp;","</f>
        <v>1701626400,</v>
      </c>
    </row>
    <row r="93" spans="1:1" x14ac:dyDescent="0.25">
      <c r="A93" t="str">
        <f>currentData!D32&amp;","</f>
        <v>1701626400,</v>
      </c>
    </row>
    <row r="94" spans="1:1" x14ac:dyDescent="0.25">
      <c r="A94" t="str">
        <f>currentData!D33&amp;","</f>
        <v>1701626400,</v>
      </c>
    </row>
    <row r="95" spans="1:1" x14ac:dyDescent="0.25">
      <c r="A95" t="str">
        <f>currentData!D34&amp;","</f>
        <v>1701626460,</v>
      </c>
    </row>
    <row r="96" spans="1:1" x14ac:dyDescent="0.25">
      <c r="A96" t="str">
        <f>currentData!D35&amp;","</f>
        <v>1701637560,</v>
      </c>
    </row>
    <row r="97" spans="1:1" x14ac:dyDescent="0.25">
      <c r="A97" t="str">
        <f>currentData!D36&amp;","</f>
        <v>1701638699,</v>
      </c>
    </row>
    <row r="98" spans="1:1" x14ac:dyDescent="0.25">
      <c r="A98" t="str">
        <f>currentData!D37&amp;","</f>
        <v>1701638699,</v>
      </c>
    </row>
    <row r="99" spans="1:1" x14ac:dyDescent="0.25">
      <c r="A99" t="str">
        <f>currentData!D38&amp;","</f>
        <v>1701652860,</v>
      </c>
    </row>
    <row r="100" spans="1:1" x14ac:dyDescent="0.25">
      <c r="A100" s="8" t="str">
        <f>currentData!D39&amp;"]"</f>
        <v>1701738900]</v>
      </c>
    </row>
    <row r="101" spans="1:1" x14ac:dyDescent="0.25">
      <c r="A101" t="s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45C9AB-21A1-451E-84D7-61FAFD2C9A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oldData</vt:lpstr>
      <vt:lpstr>currentData</vt:lpstr>
      <vt:lpstr>adjNames</vt:lpstr>
      <vt:lpstr>oddscsv</vt:lpstr>
      <vt:lpstr>settleRefreshcsv</vt:lpstr>
      <vt:lpstr>currentData!Print_Area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2023-11-23T22:16:21Z</cp:lastPrinted>
  <dcterms:created xsi:type="dcterms:W3CDTF">2021-08-18T18:19:25Z</dcterms:created>
  <dcterms:modified xsi:type="dcterms:W3CDTF">2023-11-29T18:37:07Z</dcterms:modified>
</cp:coreProperties>
</file>