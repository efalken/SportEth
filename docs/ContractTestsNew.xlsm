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2F120847-9CD7-4E98-A26D-BC5856201D7B}" xr6:coauthVersionLast="47" xr6:coauthVersionMax="47" xr10:uidLastSave="{00000000-0000-0000-0000-000000000000}"/>
  <bookViews>
    <workbookView xWindow="30540" yWindow="1500" windowWidth="23715" windowHeight="13650" tabRatio="763" xr2:uid="{00000000-000D-0000-FFFF-FFFF00000000}"/>
  </bookViews>
  <sheets>
    <sheet name="test10betLimits" sheetId="34" r:id="rId1"/>
    <sheet name="test1BasicMargining" sheetId="1" r:id="rId2"/>
    <sheet name="test2BasicMargining" sheetId="27" r:id="rId3"/>
    <sheet name="test3oddsChange" sheetId="15" r:id="rId4"/>
    <sheet name="test4Redemptions" sheetId="24" r:id="rId5"/>
    <sheet name="Test5BigBet" sheetId="14" r:id="rId6"/>
    <sheet name="test6OracleVoting" sheetId="18" r:id="rId7"/>
    <sheet name="test7LPRevenue" sheetId="20" r:id="rId8"/>
    <sheet name="Sheet1" sheetId="35" r:id="rId9"/>
    <sheet name="test8OracleRevenue" sheetId="29" r:id="rId10"/>
    <sheet name="test9sequence" sheetId="33" r:id="rId11"/>
    <sheet name="test10bitDecoding" sheetId="28" r:id="rId12"/>
  </sheets>
  <definedNames>
    <definedName name="_xlnm.Print_Area" localSheetId="0">test10betLimits!$O$36:$P$41</definedName>
    <definedName name="_xlnm.Print_Area" localSheetId="1">test1BasicMargining!$O$36:$P$41</definedName>
    <definedName name="_xlnm.Print_Area" localSheetId="2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34" l="1"/>
  <c r="L24" i="34" l="1"/>
  <c r="L22" i="34"/>
  <c r="L20" i="34"/>
  <c r="L14" i="34"/>
  <c r="L13" i="34"/>
  <c r="L12" i="34"/>
  <c r="R12" i="34" s="1"/>
  <c r="I12" i="34"/>
  <c r="W11" i="34"/>
  <c r="W12" i="34" s="1"/>
  <c r="W13" i="34" s="1"/>
  <c r="W14" i="34" s="1"/>
  <c r="P11" i="34"/>
  <c r="P12" i="34" s="1"/>
  <c r="P13" i="34" s="1"/>
  <c r="P14" i="34" s="1"/>
  <c r="O11" i="34"/>
  <c r="T11" i="34" s="1"/>
  <c r="L11" i="34"/>
  <c r="Q11" i="34" s="1"/>
  <c r="S11" i="34" s="1"/>
  <c r="U11" i="34" s="1"/>
  <c r="V11" i="34" s="1"/>
  <c r="T4" i="34"/>
  <c r="L7" i="34"/>
  <c r="M7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6" i="34"/>
  <c r="P5" i="34"/>
  <c r="P6" i="34" s="1"/>
  <c r="P7" i="34" s="1"/>
  <c r="I5" i="34"/>
  <c r="L5" i="34" s="1"/>
  <c r="R5" i="34" s="1"/>
  <c r="F5" i="34"/>
  <c r="W4" i="34"/>
  <c r="W5" i="34" s="1"/>
  <c r="W6" i="34" s="1"/>
  <c r="W7" i="34" s="1"/>
  <c r="P4" i="34"/>
  <c r="O4" i="34"/>
  <c r="O5" i="34" s="1"/>
  <c r="O6" i="34" s="1"/>
  <c r="O7" i="34" s="1"/>
  <c r="L4" i="34"/>
  <c r="N4" i="34" s="1"/>
  <c r="F4" i="34"/>
  <c r="Z3" i="34"/>
  <c r="S30" i="1"/>
  <c r="W31" i="1"/>
  <c r="Z3" i="1"/>
  <c r="AB77" i="29"/>
  <c r="N14" i="29"/>
  <c r="AB9" i="29" s="1"/>
  <c r="AB8" i="29"/>
  <c r="E28" i="20"/>
  <c r="E27" i="20"/>
  <c r="D28" i="20"/>
  <c r="D27" i="20"/>
  <c r="C24" i="20"/>
  <c r="D24" i="20" s="1"/>
  <c r="H18" i="20"/>
  <c r="H17" i="20"/>
  <c r="G18" i="20"/>
  <c r="G17" i="20"/>
  <c r="D18" i="20"/>
  <c r="E18" i="20" s="1"/>
  <c r="E17" i="20"/>
  <c r="D17" i="20"/>
  <c r="G5" i="33"/>
  <c r="AA8" i="29"/>
  <c r="AB7" i="29"/>
  <c r="N12" i="29"/>
  <c r="N10" i="29"/>
  <c r="N8" i="29"/>
  <c r="O14" i="29"/>
  <c r="O12" i="29"/>
  <c r="O10" i="29"/>
  <c r="O8" i="29"/>
  <c r="O6" i="29"/>
  <c r="AA9" i="29"/>
  <c r="AA7" i="29"/>
  <c r="N6" i="29"/>
  <c r="AD10" i="29"/>
  <c r="I3" i="29"/>
  <c r="H3" i="29"/>
  <c r="H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K8" i="15"/>
  <c r="K7" i="15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T12" i="34" l="1"/>
  <c r="R13" i="34"/>
  <c r="M11" i="34"/>
  <c r="M12" i="34"/>
  <c r="M14" i="34"/>
  <c r="N11" i="34"/>
  <c r="N12" i="34"/>
  <c r="N13" i="34"/>
  <c r="N14" i="34"/>
  <c r="M13" i="34"/>
  <c r="O12" i="34"/>
  <c r="O13" i="34" s="1"/>
  <c r="O14" i="34" s="1"/>
  <c r="Q12" i="34"/>
  <c r="S12" i="34" s="1"/>
  <c r="N7" i="34"/>
  <c r="N5" i="34"/>
  <c r="M5" i="34"/>
  <c r="M6" i="34"/>
  <c r="Q4" i="34"/>
  <c r="S4" i="34" s="1"/>
  <c r="U4" i="34" s="1"/>
  <c r="N6" i="34"/>
  <c r="M4" i="34"/>
  <c r="E24" i="20"/>
  <c r="D22" i="20"/>
  <c r="D27" i="29"/>
  <c r="D26" i="29"/>
  <c r="H71" i="29"/>
  <c r="P39" i="29"/>
  <c r="AA39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R42" i="29"/>
  <c r="R44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U12" i="34" l="1"/>
  <c r="V12" i="34" s="1"/>
  <c r="T13" i="34"/>
  <c r="Q13" i="34"/>
  <c r="S13" i="34" s="1"/>
  <c r="R14" i="34"/>
  <c r="T14" i="34" s="1"/>
  <c r="T5" i="34"/>
  <c r="Q5" i="34"/>
  <c r="Q6" i="34" s="1"/>
  <c r="V4" i="34"/>
  <c r="N63" i="29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J5" i="15"/>
  <c r="J4" i="15"/>
  <c r="K11" i="15" s="1"/>
  <c r="N77" i="29"/>
  <c r="H78" i="29"/>
  <c r="N78" i="29"/>
  <c r="V78" i="29" s="1"/>
  <c r="N79" i="29"/>
  <c r="U79" i="29" s="1"/>
  <c r="H80" i="29"/>
  <c r="N80" i="29"/>
  <c r="U80" i="29" s="1"/>
  <c r="N81" i="29"/>
  <c r="U81" i="29" s="1"/>
  <c r="H82" i="29"/>
  <c r="N82" i="29"/>
  <c r="U82" i="29" s="1"/>
  <c r="N83" i="29"/>
  <c r="U83" i="29" s="1"/>
  <c r="H84" i="29"/>
  <c r="N84" i="29"/>
  <c r="U84" i="29" s="1"/>
  <c r="N85" i="29"/>
  <c r="W85" i="29" s="1"/>
  <c r="H86" i="29"/>
  <c r="N86" i="29"/>
  <c r="W86" i="29" s="1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D33" i="20"/>
  <c r="E33" i="20"/>
  <c r="C31" i="20"/>
  <c r="C34" i="20" s="1"/>
  <c r="E20" i="20"/>
  <c r="E25" i="20" s="1"/>
  <c r="F24" i="20" s="1"/>
  <c r="D20" i="20"/>
  <c r="D25" i="20" s="1"/>
  <c r="U13" i="34" l="1"/>
  <c r="V13" i="34" s="1"/>
  <c r="Q14" i="34"/>
  <c r="S14" i="34" s="1"/>
  <c r="U14" i="34" s="1"/>
  <c r="S6" i="34"/>
  <c r="R6" i="34"/>
  <c r="R7" i="34" s="1"/>
  <c r="T7" i="34" s="1"/>
  <c r="Q7" i="34"/>
  <c r="S7" i="34" s="1"/>
  <c r="S5" i="34"/>
  <c r="G24" i="20"/>
  <c r="F21" i="20"/>
  <c r="H24" i="20"/>
  <c r="I24" i="20" s="1"/>
  <c r="J24" i="20" s="1"/>
  <c r="D21" i="20"/>
  <c r="V64" i="29"/>
  <c r="V70" i="29"/>
  <c r="S86" i="29"/>
  <c r="R78" i="29"/>
  <c r="V26" i="29"/>
  <c r="N67" i="29"/>
  <c r="N68" i="29" s="1"/>
  <c r="R67" i="29"/>
  <c r="AA65" i="29"/>
  <c r="V54" i="29"/>
  <c r="O71" i="29"/>
  <c r="AA66" i="29" s="1"/>
  <c r="N37" i="29"/>
  <c r="N38" i="29" s="1"/>
  <c r="V57" i="29"/>
  <c r="V68" i="29"/>
  <c r="R69" i="29"/>
  <c r="V65" i="29"/>
  <c r="O65" i="29"/>
  <c r="V71" i="29"/>
  <c r="V67" i="29"/>
  <c r="O67" i="29"/>
  <c r="V66" i="29"/>
  <c r="V69" i="29"/>
  <c r="W79" i="29"/>
  <c r="N52" i="29"/>
  <c r="N53" i="29" s="1"/>
  <c r="U78" i="29"/>
  <c r="Q78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O78" i="29"/>
  <c r="O79" i="29" s="1"/>
  <c r="U42" i="29"/>
  <c r="X81" i="29"/>
  <c r="U39" i="29"/>
  <c r="Q39" i="29" s="1"/>
  <c r="V52" i="29"/>
  <c r="T41" i="29"/>
  <c r="P41" i="29" s="1"/>
  <c r="R54" i="29" s="1"/>
  <c r="T42" i="29"/>
  <c r="U41" i="29"/>
  <c r="Q41" i="29" s="1"/>
  <c r="R41" i="29" s="1"/>
  <c r="X78" i="29"/>
  <c r="T78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V85" i="29"/>
  <c r="U85" i="29"/>
  <c r="S39" i="29"/>
  <c r="O39" i="29" s="1"/>
  <c r="W78" i="29"/>
  <c r="S78" i="29" s="1"/>
  <c r="V86" i="29"/>
  <c r="R86" i="29" s="1"/>
  <c r="T43" i="29"/>
  <c r="P43" i="29" s="1"/>
  <c r="R56" i="29" s="1"/>
  <c r="S37" i="29"/>
  <c r="O37" i="29" s="1"/>
  <c r="U86" i="29"/>
  <c r="Q86" i="29" s="1"/>
  <c r="Q80" i="29"/>
  <c r="Q84" i="29"/>
  <c r="Q82" i="29"/>
  <c r="X80" i="29"/>
  <c r="T80" i="29" s="1"/>
  <c r="X82" i="29"/>
  <c r="T82" i="29" s="1"/>
  <c r="W80" i="29"/>
  <c r="S80" i="29" s="1"/>
  <c r="X84" i="29"/>
  <c r="T84" i="29" s="1"/>
  <c r="W82" i="29"/>
  <c r="S82" i="29" s="1"/>
  <c r="V80" i="29"/>
  <c r="R80" i="29" s="1"/>
  <c r="X79" i="29"/>
  <c r="W84" i="29"/>
  <c r="S84" i="29" s="1"/>
  <c r="V82" i="29"/>
  <c r="R82" i="29" s="1"/>
  <c r="V84" i="29"/>
  <c r="R84" i="29" s="1"/>
  <c r="X83" i="29"/>
  <c r="W81" i="29"/>
  <c r="V79" i="29"/>
  <c r="W83" i="29"/>
  <c r="V81" i="29"/>
  <c r="V83" i="29"/>
  <c r="X86" i="29"/>
  <c r="T86" i="29" s="1"/>
  <c r="X85" i="29"/>
  <c r="Q37" i="29"/>
  <c r="O41" i="29"/>
  <c r="Q43" i="29"/>
  <c r="R43" i="29" s="1"/>
  <c r="S38" i="29"/>
  <c r="T38" i="29"/>
  <c r="T44" i="29"/>
  <c r="S44" i="29"/>
  <c r="E21" i="20"/>
  <c r="E22" i="20"/>
  <c r="V14" i="34" l="1"/>
  <c r="U5" i="34"/>
  <c r="V5" i="34" s="1"/>
  <c r="T6" i="34"/>
  <c r="U6" i="34" s="1"/>
  <c r="U7" i="34"/>
  <c r="AB83" i="29"/>
  <c r="AB80" i="29"/>
  <c r="AB82" i="29"/>
  <c r="AB78" i="29"/>
  <c r="AB79" i="29"/>
  <c r="AB81" i="29"/>
  <c r="V42" i="29"/>
  <c r="N69" i="29"/>
  <c r="N70" i="29" s="1"/>
  <c r="N39" i="29"/>
  <c r="N41" i="29" s="1"/>
  <c r="N43" i="29" s="1"/>
  <c r="AA25" i="29"/>
  <c r="V43" i="29"/>
  <c r="N54" i="29"/>
  <c r="O58" i="29"/>
  <c r="AA53" i="29" s="1"/>
  <c r="Y81" i="29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4" i="29" s="1"/>
  <c r="AA55" i="29" s="1"/>
  <c r="V41" i="29"/>
  <c r="V40" i="29"/>
  <c r="O80" i="29"/>
  <c r="Y85" i="29"/>
  <c r="N55" i="29"/>
  <c r="N56" i="29"/>
  <c r="Y83" i="29"/>
  <c r="Y78" i="29"/>
  <c r="V44" i="29"/>
  <c r="V37" i="29"/>
  <c r="Y79" i="29"/>
  <c r="Y82" i="29"/>
  <c r="Y84" i="29"/>
  <c r="Y80" i="29"/>
  <c r="Y86" i="29"/>
  <c r="P45" i="29"/>
  <c r="Q45" i="29"/>
  <c r="V38" i="29"/>
  <c r="N22" i="24"/>
  <c r="K6" i="24"/>
  <c r="K11" i="24"/>
  <c r="K5" i="24"/>
  <c r="K4" i="24"/>
  <c r="K12" i="24"/>
  <c r="N27" i="27"/>
  <c r="N26" i="27"/>
  <c r="N25" i="27"/>
  <c r="N20" i="27"/>
  <c r="N19" i="27"/>
  <c r="N18" i="27"/>
  <c r="N13" i="27"/>
  <c r="N11" i="27"/>
  <c r="N6" i="27"/>
  <c r="N5" i="27"/>
  <c r="N4" i="27"/>
  <c r="N12" i="27"/>
  <c r="L26" i="1"/>
  <c r="L25" i="1"/>
  <c r="L20" i="1"/>
  <c r="L18" i="1"/>
  <c r="L13" i="1"/>
  <c r="L6" i="1"/>
  <c r="L4" i="1"/>
  <c r="R4" i="1" s="1"/>
  <c r="L11" i="1"/>
  <c r="L27" i="1"/>
  <c r="L19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V6" i="34" l="1"/>
  <c r="V7" i="34" s="1"/>
  <c r="AB84" i="29"/>
  <c r="N71" i="29"/>
  <c r="N72" i="29" s="1"/>
  <c r="N40" i="29"/>
  <c r="AA68" i="29"/>
  <c r="R45" i="29"/>
  <c r="AA41" i="29"/>
  <c r="AA42" i="29" s="1"/>
  <c r="N28" i="29"/>
  <c r="N29" i="29"/>
  <c r="O81" i="29"/>
  <c r="O82" i="29"/>
  <c r="N57" i="29"/>
  <c r="N58" i="29"/>
  <c r="N59" i="29" s="1"/>
  <c r="L12" i="1"/>
  <c r="L14" i="1"/>
  <c r="N42" i="29"/>
  <c r="M14" i="14"/>
  <c r="N30" i="29" l="1"/>
  <c r="O84" i="29"/>
  <c r="O83" i="29"/>
  <c r="N44" i="29"/>
  <c r="N45" i="29"/>
  <c r="N46" i="29" s="1"/>
  <c r="L18" i="14"/>
  <c r="M18" i="14" s="1"/>
  <c r="O85" i="29" l="1"/>
  <c r="O86" i="29"/>
  <c r="F2" i="20"/>
  <c r="O87" i="29" l="1"/>
  <c r="K9" i="14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F20" i="20"/>
  <c r="C2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F25" i="20" l="1"/>
  <c r="S12" i="29"/>
  <c r="V13" i="29"/>
  <c r="F22" i="20"/>
  <c r="Z29" i="27"/>
  <c r="V25" i="27"/>
  <c r="S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F26" i="20" l="1"/>
  <c r="V9" i="29"/>
  <c r="V11" i="29"/>
  <c r="D30" i="20"/>
  <c r="F28" i="20"/>
  <c r="G28" i="20" s="1"/>
  <c r="D32" i="20"/>
  <c r="V8" i="29"/>
  <c r="V10" i="29"/>
  <c r="V7" i="29"/>
  <c r="V6" i="29"/>
  <c r="V12" i="29"/>
  <c r="V14" i="29"/>
  <c r="U41" i="27"/>
  <c r="W25" i="27"/>
  <c r="AC5" i="27"/>
  <c r="AC29" i="27" s="1"/>
  <c r="AB18" i="27"/>
  <c r="AB29" i="27" s="1"/>
  <c r="N9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F32" i="20" l="1"/>
  <c r="F27" i="20"/>
  <c r="E30" i="20"/>
  <c r="G25" i="20"/>
  <c r="G21" i="20"/>
  <c r="G22" i="20"/>
  <c r="E32" i="20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G27" i="20" l="1"/>
  <c r="H19" i="20"/>
  <c r="I19" i="20" s="1"/>
  <c r="H20" i="20"/>
  <c r="J19" i="20"/>
  <c r="F31" i="20"/>
  <c r="F34" i="20" s="1"/>
  <c r="F30" i="20"/>
  <c r="H28" i="20"/>
  <c r="G32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0" i="20"/>
  <c r="I23" i="20" s="1"/>
  <c r="N40" i="27"/>
  <c r="U40" i="27" s="1"/>
  <c r="X19" i="27"/>
  <c r="X20" i="27" s="1"/>
  <c r="I28" i="20" l="1"/>
  <c r="J28" i="20" s="1"/>
  <c r="I29" i="20"/>
  <c r="J29" i="20" s="1"/>
  <c r="J21" i="20"/>
  <c r="J22" i="20"/>
  <c r="J25" i="20"/>
  <c r="I22" i="20"/>
  <c r="I21" i="20"/>
  <c r="I25" i="20"/>
  <c r="H31" i="20"/>
  <c r="H34" i="20" s="1"/>
  <c r="I27" i="20"/>
  <c r="J27" i="20" s="1"/>
  <c r="H30" i="20"/>
  <c r="J23" i="20"/>
  <c r="N41" i="27"/>
  <c r="X25" i="27"/>
  <c r="X26" i="27" s="1"/>
  <c r="X27" i="27" s="1"/>
  <c r="T37" i="27" s="1"/>
  <c r="X21" i="27"/>
  <c r="L12" i="24"/>
  <c r="L11" i="24"/>
  <c r="I33" i="20" l="1"/>
  <c r="J33" i="20"/>
  <c r="I31" i="20"/>
  <c r="I30" i="20"/>
  <c r="I32" i="20"/>
  <c r="J32" i="20"/>
  <c r="N12" i="24"/>
  <c r="O12" i="24" s="1"/>
  <c r="O15" i="24"/>
  <c r="N11" i="24"/>
  <c r="J31" i="20" l="1"/>
  <c r="J34" i="20" s="1"/>
  <c r="J30" i="20"/>
  <c r="O11" i="24"/>
  <c r="N27" i="24"/>
  <c r="N28" i="24" s="1"/>
  <c r="N24" i="24"/>
  <c r="O16" i="24"/>
  <c r="T4" i="1"/>
  <c r="K13" i="15" l="1"/>
  <c r="K12" i="15"/>
  <c r="N26" i="24"/>
  <c r="M6" i="1"/>
  <c r="N6" i="1"/>
  <c r="N4" i="1"/>
  <c r="M4" i="1"/>
  <c r="Q4" i="1"/>
  <c r="S4" i="1" s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W4" i="1"/>
  <c r="W5" i="1" s="1"/>
  <c r="W6" i="1" s="1"/>
  <c r="N5" i="1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6" i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U7" i="1" l="1"/>
  <c r="V6" i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N13" i="29" l="1"/>
  <c r="Q14" i="29" l="1"/>
  <c r="P14" i="29"/>
  <c r="N15" i="29" l="1"/>
  <c r="AA10" i="29" l="1"/>
  <c r="AA12" i="29"/>
  <c r="D31" i="20"/>
  <c r="D34" i="20" s="1"/>
  <c r="E31" i="20"/>
  <c r="E34" i="20" s="1"/>
</calcChain>
</file>

<file path=xl/sharedStrings.xml><?xml version="1.0" encoding="utf-8"?>
<sst xmlns="http://schemas.openxmlformats.org/spreadsheetml/2006/main" count="952" uniqueCount="296">
  <si>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</si>
  <si>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</si>
  <si>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</si>
  <si>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</si>
  <si>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</si>
  <si>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</si>
  <si>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</si>
  <si>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</si>
  <si>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</si>
  <si>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</si>
  <si>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</si>
  <si>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</si>
  <si>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</si>
  <si>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</si>
  <si>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</si>
  <si>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</si>
  <si>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</si>
  <si>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</si>
  <si>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</si>
  <si>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</si>
  <si>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</si>
  <si>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</si>
  <si>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</si>
  <si>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</si>
  <si>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</si>
  <si>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</si>
  <si>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</si>
  <si>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</si>
  <si>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</si>
  <si>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</si>
  <si>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</si>
  <si>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</si>
  <si>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</si>
  <si>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</si>
  <si>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</si>
  <si>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</si>
  <si>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</si>
  <si>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</si>
  <si>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</si>
  <si>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</si>
  <si>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</si>
  <si>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</si>
  <si>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</si>
  <si>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</si>
  <si>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</si>
  <si>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</si>
  <si>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</si>
  <si>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</si>
  <si>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</si>
  <si>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</si>
  <si>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</si>
  <si>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</si>
  <si>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</si>
  <si>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</si>
  <si>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</si>
  <si>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</si>
  <si>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</si>
  <si>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</si>
  <si>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</si>
  <si>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</si>
  <si>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</si>
  <si>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</si>
  <si>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</si>
  <si>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</si>
  <si>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</si>
  <si>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</si>
  <si>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</si>
  <si>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</si>
  <si>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</si>
  <si>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</si>
  <si>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</si>
  <si>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</si>
  <si>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</si>
  <si>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</si>
  <si>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</si>
  <si>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</si>
  <si>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</si>
  <si>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</si>
  <si>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</si>
  <si>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</si>
  <si>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</si>
  <si>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</si>
  <si>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</si>
  <si>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</si>
  <si>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</si>
  <si>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</si>
  <si>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</si>
  <si>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</si>
  <si>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</si>
  <si>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</si>
  <si>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</si>
  <si>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</si>
  <si>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</si>
  <si>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</si>
  <si>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</si>
  <si>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</si>
  <si>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</si>
  <si>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</si>
  <si>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</si>
  <si>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</si>
  <si>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</si>
  <si>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</si>
  <si>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</si>
  <si>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</si>
  <si>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</si>
  <si>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</si>
  <si>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</si>
  <si>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</si>
  <si>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</si>
  <si>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</si>
  <si>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</si>
  <si>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</si>
  <si>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</si>
  <si>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</si>
  <si>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</si>
  <si>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</si>
  <si>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</si>
  <si>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</si>
  <si>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</si>
  <si>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</si>
  <si>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</si>
  <si>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</si>
  <si>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</si>
  <si>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</si>
  <si>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</si>
  <si>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</si>
  <si>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</si>
  <si>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</si>
  <si>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</si>
  <si>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</si>
  <si>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</si>
  <si>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</si>
  <si>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</si>
  <si>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</si>
  <si>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</si>
  <si>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</si>
  <si>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</si>
  <si>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</si>
  <si>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</si>
  <si>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</si>
  <si>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</si>
  <si>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</si>
  <si>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</si>
  <si>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</si>
  <si>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</si>
  <si>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</si>
  <si>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</si>
  <si>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</si>
  <si>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</si>
  <si>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</si>
  <si>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</si>
  <si>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</si>
  <si>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</si>
  <si>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</si>
  <si>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</si>
  <si>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</si>
  <si>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</si>
  <si>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</si>
  <si>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</si>
  <si>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</si>
  <si>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</si>
  <si>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</si>
  <si>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</si>
  <si>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</si>
  <si>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</si>
  <si>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</si>
  <si>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</si>
  <si>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</si>
  <si>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</si>
  <si>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</si>
  <si>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</si>
  <si>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</si>
  <si>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</si>
  <si>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</si>
  <si>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</si>
  <si>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</si>
  <si>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</si>
  <si>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</si>
  <si>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</si>
  <si>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</si>
  <si>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</si>
  <si>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</si>
  <si>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</si>
  <si>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</si>
  <si>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</si>
  <si>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</si>
  <si>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</si>
  <si>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</si>
  <si>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</si>
  <si>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</si>
  <si>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</si>
  <si>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</si>
  <si>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</si>
  <si>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</si>
  <si>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</si>
  <si>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</si>
  <si>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</si>
  <si>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</si>
  <si>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</si>
  <si>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</si>
  <si>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</si>
  <si>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</si>
  <si>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</si>
  <si>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</si>
  <si>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</si>
  <si>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</si>
  <si>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</si>
  <si>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</si>
  <si>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</si>
  <si>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</si>
  <si>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</si>
  <si>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</si>
  <si>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</si>
  <si>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</si>
  <si>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</si>
  <si>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</si>
  <si>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</si>
  <si>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</si>
  <si>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</si>
  <si>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</si>
  <si>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</si>
  <si>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</si>
  <si>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</si>
  <si>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Acct4</t>
  </si>
  <si>
    <t>Account4</t>
  </si>
  <si>
    <t>feeData[0]</t>
  </si>
  <si>
    <t>feeData[1]</t>
  </si>
  <si>
    <t>Acct2votes 50% of time</t>
  </si>
  <si>
    <t>Acct4 gets LP rewards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</si>
  <si>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</si>
  <si>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</si>
  <si>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</si>
  <si>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</si>
  <si>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</si>
  <si>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</si>
  <si>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</si>
  <si>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</si>
  <si>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</si>
  <si>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</si>
  <si>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</si>
  <si>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</si>
  <si>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</si>
  <si>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</si>
  <si>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</si>
  <si>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</si>
  <si>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</si>
  <si>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</si>
  <si>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</si>
  <si>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</si>
  <si>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</si>
  <si>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</si>
  <si>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</si>
  <si>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</si>
  <si>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</si>
  <si>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</si>
  <si>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</si>
  <si>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</si>
  <si>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</si>
  <si>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</si>
  <si>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</si>
  <si>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</si>
  <si>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</si>
  <si>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</si>
  <si>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account1 votes 4 times over 3 epochs</t>
  </si>
  <si>
    <t>2/3 the time</t>
  </si>
  <si>
    <t>D</t>
  </si>
  <si>
    <t>E</t>
  </si>
  <si>
    <t>Total</t>
  </si>
  <si>
    <t>Acct4 claims LP Rewards</t>
  </si>
  <si>
    <t>F</t>
  </si>
  <si>
    <t>OracleRev(0.1avax)</t>
  </si>
  <si>
    <t>account2 votes 2 times over 3 epochs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</si>
  <si>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</si>
  <si>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</si>
  <si>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</si>
  <si>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</si>
  <si>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</si>
  <si>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</si>
  <si>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</si>
  <si>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</si>
  <si>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</si>
  <si>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EOA</t>
  </si>
  <si>
    <t>bet&gt;max automatically warn</t>
  </si>
  <si>
    <t>FundBettor</t>
  </si>
  <si>
    <t>wd Bettor</t>
  </si>
  <si>
    <t>fundBook</t>
  </si>
  <si>
    <t>LP withdraw epoch add</t>
  </si>
  <si>
    <t>hour</t>
  </si>
  <si>
    <t>settle after 2days after start</t>
  </si>
  <si>
    <t>wd after start time</t>
  </si>
  <si>
    <t>Token</t>
  </si>
  <si>
    <t>0x6Be4f484DFF9Da50cb9B51d1790e9b2299937Dc6</t>
  </si>
  <si>
    <t>Betting</t>
  </si>
  <si>
    <t>0xD0fECdB3dBF65edEfCcDaA12f57ACf33fA8b342b</t>
  </si>
  <si>
    <t>Oracle</t>
  </si>
  <si>
    <t>0xFd07265de0D1e39f79A720D6CB82B1f5Df5B976F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</si>
</sst>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###0.0000;[Red]###0.0000"/>
    <numFmt numFmtId="185" formatCode="###0.00000;[Red]###0.00000"/>
    <numFmt numFmtId="186" formatCode="###0.000000;[Red]###0.000000"/>
    <numFmt numFmtId="187" formatCode="[$-409]m/d/yy\ h:mm\ AM/PM;@"/>
    <numFmt numFmtId="188" formatCode="0.00E+00;[Red]0.00E+00"/>
    <numFmt numFmtId="189" formatCode="m/d/yy"/>
    <numFmt numFmtId="190" formatCode="0.0000E+00;[Red]0.0000E+00"/>
    <numFmt numFmtId="191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CCCCCC"/>
      <name val="Consolas"/>
      <family val="3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  <font>
      <sz val="10"/>
      <color rgb="FF232629"/>
      <name val="Cascadia Mono"/>
      <family val="3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6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4" fontId="1" fillId="0" borderId="0" xfId="0" applyNumberFormat="1" applyFont="1"/>
    <xf numFmtId="185" fontId="1" fillId="0" borderId="0" xfId="0" applyNumberFormat="1" applyFont="1"/>
    <xf numFmtId="186" fontId="1" fillId="0" borderId="0" xfId="0" applyNumberFormat="1" applyFont="1"/>
    <xf numFmtId="169" fontId="5" fillId="3" borderId="0" xfId="3" applyNumberFormat="1"/>
    <xf numFmtId="11" fontId="13" fillId="0" borderId="0" xfId="0" applyNumberFormat="1" applyFont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3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7" fontId="0" fillId="0" borderId="0" xfId="0" applyNumberFormat="1" applyAlignment="1">
      <alignment horizontal="right"/>
    </xf>
    <xf numFmtId="0" fontId="14" fillId="0" borderId="0" xfId="0" applyFont="1"/>
    <xf numFmtId="187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8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67" fontId="4" fillId="2" borderId="10" xfId="2" applyNumberFormat="1" applyBorder="1"/>
    <xf numFmtId="167" fontId="4" fillId="2" borderId="0" xfId="2" applyNumberFormat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83" fontId="1" fillId="10" borderId="6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71" fontId="1" fillId="10" borderId="0" xfId="0" applyNumberFormat="1" applyFont="1" applyFill="1"/>
    <xf numFmtId="183" fontId="0" fillId="10" borderId="0" xfId="0" applyNumberFormat="1" applyFill="1"/>
    <xf numFmtId="165" fontId="0" fillId="10" borderId="0" xfId="0" applyNumberFormat="1" applyFill="1"/>
    <xf numFmtId="170" fontId="1" fillId="10" borderId="5" xfId="0" applyNumberFormat="1" applyFont="1" applyFill="1" applyBorder="1"/>
    <xf numFmtId="170" fontId="1" fillId="10" borderId="1" xfId="0" applyNumberFormat="1" applyFont="1" applyFill="1" applyBorder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71" fontId="1" fillId="11" borderId="0" xfId="0" applyNumberFormat="1" applyFont="1" applyFill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71" fontId="1" fillId="12" borderId="0" xfId="0" applyNumberFormat="1" applyFont="1" applyFill="1"/>
    <xf numFmtId="167" fontId="0" fillId="12" borderId="0" xfId="0" applyNumberFormat="1" applyFill="1"/>
    <xf numFmtId="165" fontId="0" fillId="12" borderId="0" xfId="0" applyNumberFormat="1" applyFill="1"/>
    <xf numFmtId="167" fontId="1" fillId="10" borderId="11" xfId="0" applyNumberFormat="1" applyFont="1" applyFill="1" applyBorder="1"/>
    <xf numFmtId="188" fontId="1" fillId="0" borderId="0" xfId="0" applyNumberFormat="1" applyFont="1"/>
    <xf numFmtId="165" fontId="1" fillId="5" borderId="0" xfId="0" applyNumberFormat="1" applyFont="1" applyFill="1"/>
    <xf numFmtId="167" fontId="1" fillId="5" borderId="0" xfId="0" applyNumberFormat="1" applyFont="1" applyFill="1"/>
    <xf numFmtId="166" fontId="1" fillId="5" borderId="0" xfId="0" applyNumberFormat="1" applyFont="1" applyFill="1"/>
    <xf numFmtId="0" fontId="1" fillId="5" borderId="0" xfId="0" applyFont="1" applyFill="1"/>
    <xf numFmtId="0" fontId="1" fillId="5" borderId="0" xfId="0" applyFont="1" applyFill="1" applyAlignment="1">
      <alignment horizontal="right"/>
    </xf>
    <xf numFmtId="0" fontId="1" fillId="5" borderId="1" xfId="0" applyFont="1" applyFill="1" applyBorder="1" applyAlignment="1">
      <alignment horizontal="right"/>
    </xf>
    <xf numFmtId="165" fontId="8" fillId="5" borderId="7" xfId="3" applyNumberFormat="1" applyFont="1" applyFill="1" applyBorder="1"/>
    <xf numFmtId="165" fontId="1" fillId="5" borderId="7" xfId="0" applyNumberFormat="1" applyFont="1" applyFill="1" applyBorder="1"/>
    <xf numFmtId="165" fontId="1" fillId="5" borderId="8" xfId="0" applyNumberFormat="1" applyFont="1" applyFill="1" applyBorder="1"/>
    <xf numFmtId="183" fontId="1" fillId="5" borderId="2" xfId="0" applyNumberFormat="1" applyFont="1" applyFill="1" applyBorder="1"/>
    <xf numFmtId="183" fontId="1" fillId="5" borderId="7" xfId="0" applyNumberFormat="1" applyFont="1" applyFill="1" applyBorder="1"/>
    <xf numFmtId="0" fontId="0" fillId="5" borderId="1" xfId="0" applyFill="1" applyBorder="1"/>
    <xf numFmtId="0" fontId="0" fillId="5" borderId="7" xfId="0" applyFill="1" applyBorder="1"/>
    <xf numFmtId="0" fontId="0" fillId="5" borderId="2" xfId="0" applyFill="1" applyBorder="1"/>
    <xf numFmtId="165" fontId="1" fillId="5" borderId="1" xfId="0" applyNumberFormat="1" applyFont="1" applyFill="1" applyBorder="1"/>
    <xf numFmtId="179" fontId="1" fillId="5" borderId="2" xfId="0" applyNumberFormat="1" applyFont="1" applyFill="1" applyBorder="1"/>
    <xf numFmtId="170" fontId="1" fillId="5" borderId="0" xfId="0" applyNumberFormat="1" applyFont="1" applyFill="1"/>
    <xf numFmtId="0" fontId="1" fillId="5" borderId="5" xfId="0" applyFont="1" applyFill="1" applyBorder="1" applyAlignment="1">
      <alignment horizontal="right"/>
    </xf>
    <xf numFmtId="165" fontId="8" fillId="5" borderId="8" xfId="3" applyNumberFormat="1" applyFont="1" applyFill="1" applyBorder="1"/>
    <xf numFmtId="183" fontId="1" fillId="5" borderId="6" xfId="0" applyNumberFormat="1" applyFont="1" applyFill="1" applyBorder="1"/>
    <xf numFmtId="183" fontId="1" fillId="5" borderId="8" xfId="0" applyNumberFormat="1" applyFont="1" applyFill="1" applyBorder="1"/>
    <xf numFmtId="167" fontId="1" fillId="5" borderId="5" xfId="0" applyNumberFormat="1" applyFont="1" applyFill="1" applyBorder="1"/>
    <xf numFmtId="167" fontId="1" fillId="5" borderId="8" xfId="0" applyNumberFormat="1" applyFont="1" applyFill="1" applyBorder="1"/>
    <xf numFmtId="167" fontId="1" fillId="5" borderId="6" xfId="0" applyNumberFormat="1" applyFont="1" applyFill="1" applyBorder="1"/>
    <xf numFmtId="173" fontId="1" fillId="5" borderId="0" xfId="0" applyNumberFormat="1" applyFont="1" applyFill="1"/>
    <xf numFmtId="173" fontId="0" fillId="5" borderId="0" xfId="0" applyNumberFormat="1" applyFill="1"/>
    <xf numFmtId="165" fontId="1" fillId="5" borderId="3" xfId="0" applyNumberFormat="1" applyFont="1" applyFill="1" applyBorder="1"/>
    <xf numFmtId="179" fontId="1" fillId="5" borderId="4" xfId="0" applyNumberFormat="1" applyFont="1" applyFill="1" applyBorder="1"/>
    <xf numFmtId="167" fontId="1" fillId="5" borderId="1" xfId="0" applyNumberFormat="1" applyFont="1" applyFill="1" applyBorder="1"/>
    <xf numFmtId="167" fontId="1" fillId="5" borderId="7" xfId="0" applyNumberFormat="1" applyFont="1" applyFill="1" applyBorder="1"/>
    <xf numFmtId="167" fontId="1" fillId="5" borderId="2" xfId="0" applyNumberFormat="1" applyFont="1" applyFill="1" applyBorder="1"/>
    <xf numFmtId="179" fontId="1" fillId="5" borderId="6" xfId="0" applyNumberFormat="1" applyFont="1" applyFill="1" applyBorder="1"/>
    <xf numFmtId="183" fontId="1" fillId="5" borderId="0" xfId="0" applyNumberFormat="1" applyFont="1" applyFill="1"/>
    <xf numFmtId="165" fontId="1" fillId="5" borderId="5" xfId="0" applyNumberFormat="1" applyFont="1" applyFill="1" applyBorder="1"/>
    <xf numFmtId="165" fontId="4" fillId="5" borderId="8" xfId="2" applyNumberFormat="1" applyFill="1" applyBorder="1"/>
    <xf numFmtId="183" fontId="4" fillId="5" borderId="6" xfId="2" applyNumberFormat="1" applyFill="1" applyBorder="1"/>
    <xf numFmtId="183" fontId="4" fillId="5" borderId="8" xfId="2" applyNumberFormat="1" applyFill="1" applyBorder="1"/>
    <xf numFmtId="167" fontId="4" fillId="5" borderId="5" xfId="2" applyNumberFormat="1" applyFill="1" applyBorder="1"/>
    <xf numFmtId="167" fontId="4" fillId="5" borderId="8" xfId="2" applyNumberFormat="1" applyFill="1" applyBorder="1"/>
    <xf numFmtId="167" fontId="4" fillId="5" borderId="6" xfId="2" applyNumberFormat="1" applyFill="1" applyBorder="1"/>
    <xf numFmtId="179" fontId="4" fillId="5" borderId="6" xfId="2" applyNumberFormat="1" applyFill="1" applyBorder="1"/>
    <xf numFmtId="179" fontId="1" fillId="5" borderId="0" xfId="0" applyNumberFormat="1" applyFont="1" applyFill="1"/>
    <xf numFmtId="183" fontId="4" fillId="5" borderId="2" xfId="2" applyNumberFormat="1" applyFill="1" applyBorder="1"/>
    <xf numFmtId="183" fontId="4" fillId="5" borderId="7" xfId="2" applyNumberFormat="1" applyFill="1" applyBorder="1"/>
    <xf numFmtId="167" fontId="4" fillId="5" borderId="1" xfId="2" applyNumberFormat="1" applyFill="1" applyBorder="1"/>
    <xf numFmtId="167" fontId="4" fillId="5" borderId="7" xfId="2" applyNumberFormat="1" applyFill="1" applyBorder="1"/>
    <xf numFmtId="167" fontId="4" fillId="5" borderId="2" xfId="2" applyNumberFormat="1" applyFill="1" applyBorder="1"/>
    <xf numFmtId="179" fontId="4" fillId="5" borderId="2" xfId="2" applyNumberFormat="1" applyFill="1" applyBorder="1"/>
    <xf numFmtId="169" fontId="0" fillId="7" borderId="0" xfId="0" applyNumberFormat="1" applyFill="1"/>
    <xf numFmtId="170" fontId="11" fillId="7" borderId="2" xfId="2" applyNumberFormat="1" applyFont="1" applyFill="1" applyBorder="1"/>
    <xf numFmtId="170" fontId="11" fillId="7" borderId="4" xfId="2" applyNumberFormat="1" applyFont="1" applyFill="1" applyBorder="1"/>
    <xf numFmtId="170" fontId="11" fillId="7" borderId="4" xfId="4" applyNumberFormat="1" applyFont="1" applyFill="1" applyBorder="1"/>
    <xf numFmtId="170" fontId="11" fillId="7" borderId="6" xfId="4" applyNumberFormat="1" applyFont="1" applyFill="1" applyBorder="1"/>
    <xf numFmtId="170" fontId="15" fillId="7" borderId="0" xfId="0" applyNumberFormat="1" applyFont="1" applyFill="1"/>
    <xf numFmtId="0" fontId="16" fillId="0" borderId="0" xfId="0" applyFont="1" applyAlignment="1">
      <alignment vertical="center"/>
    </xf>
    <xf numFmtId="167" fontId="1" fillId="0" borderId="0" xfId="0" quotePrefix="1" applyNumberFormat="1" applyFont="1"/>
    <xf numFmtId="189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7" fontId="4" fillId="2" borderId="11" xfId="2" applyNumberFormat="1" applyBorder="1"/>
    <xf numFmtId="169" fontId="7" fillId="2" borderId="5" xfId="2" applyNumberFormat="1" applyFont="1" applyBorder="1"/>
    <xf numFmtId="169" fontId="7" fillId="2" borderId="1" xfId="2" applyNumberFormat="1" applyFont="1" applyBorder="1"/>
    <xf numFmtId="167" fontId="7" fillId="2" borderId="0" xfId="2" applyNumberFormat="1" applyFont="1"/>
    <xf numFmtId="190" fontId="1" fillId="0" borderId="8" xfId="0" applyNumberFormat="1" applyFont="1" applyBorder="1"/>
    <xf numFmtId="191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10" borderId="9" xfId="0" applyNumberFormat="1" applyFont="1" applyFill="1" applyBorder="1"/>
    <xf numFmtId="167" fontId="1" fillId="10" borderId="10" xfId="0" applyNumberFormat="1" applyFont="1" applyFill="1" applyBorder="1"/>
    <xf numFmtId="167" fontId="1" fillId="11" borderId="9" xfId="0" applyNumberFormat="1" applyFont="1" applyFill="1" applyBorder="1"/>
    <xf numFmtId="167" fontId="1" fillId="11" borderId="11" xfId="0" applyNumberFormat="1" applyFont="1" applyFill="1" applyBorder="1"/>
    <xf numFmtId="167" fontId="1" fillId="11" borderId="10" xfId="0" applyNumberFormat="1" applyFont="1" applyFill="1" applyBorder="1"/>
    <xf numFmtId="167" fontId="1" fillId="12" borderId="0" xfId="0" applyNumberFormat="1" applyFont="1" applyFill="1" applyAlignment="1">
      <alignment horizontal="right"/>
    </xf>
    <xf numFmtId="167" fontId="1" fillId="12" borderId="9" xfId="0" applyNumberFormat="1" applyFont="1" applyFill="1" applyBorder="1"/>
    <xf numFmtId="167" fontId="1" fillId="12" borderId="11" xfId="0" applyNumberFormat="1" applyFont="1" applyFill="1" applyBorder="1"/>
    <xf numFmtId="167" fontId="1" fillId="12" borderId="10" xfId="0" applyNumberFormat="1" applyFont="1" applyFill="1" applyBorder="1"/>
    <xf numFmtId="0" fontId="17" fillId="0" borderId="0" xfId="0" applyFont="1"/>
    <xf numFmtId="0" fontId="1" fillId="0" borderId="0" xfId="0" applyFont="1" applyAlignment="1">
      <alignment horizontal="center"/>
    </xf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dimension ref="B1:Z48"/>
  <sheetViews>
    <sheetView tabSelected="1" topLeftCell="D1" zoomScale="75" zoomScaleNormal="75" workbookViewId="0">
      <selection activeCell="D14" sqref="D14:F16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v>0</v>
      </c>
      <c r="S4" s="4">
        <f ca="1">Q4-P4</f>
        <v>999</v>
      </c>
      <c r="T4" s="4">
        <f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N6" ca="1" si="1">INT($L5*J5/1000)</f>
        <v>0</v>
      </c>
      <c r="N5" s="35">
        <f ca="1">INT($L5*K5/1000)</f>
        <v>1824</v>
      </c>
      <c r="O5">
        <f t="shared" ref="O5:P7" si="2">J5+O4</f>
        <v>1000</v>
      </c>
      <c r="P5">
        <f t="shared" si="2"/>
        <v>2000</v>
      </c>
      <c r="Q5">
        <f ca="1">INT(J5*L5/1000)+Q4</f>
        <v>999</v>
      </c>
      <c r="R5">
        <f ca="1">INT(K5*L5/1000)+R4</f>
        <v>1824</v>
      </c>
      <c r="S5" s="4">
        <f ca="1">Q5-P5</f>
        <v>-1001</v>
      </c>
      <c r="T5" s="4">
        <f ca="1">R5-O5</f>
        <v>824</v>
      </c>
      <c r="U5" s="1">
        <f t="shared" ref="U5:U6" ca="1" si="3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>INT(1000000/(D6))</f>
        <v>2000</v>
      </c>
      <c r="G6">
        <v>2</v>
      </c>
      <c r="H6">
        <v>1</v>
      </c>
      <c r="I6">
        <v>0</v>
      </c>
      <c r="J6" s="34">
        <v>7009</v>
      </c>
      <c r="K6" s="35">
        <v>0</v>
      </c>
      <c r="L6">
        <f ca="1">MOD(OFFSET(IF(J6&gt;0,D$4,F$4),I6,0),10000)</f>
        <v>999</v>
      </c>
      <c r="M6" s="34">
        <f t="shared" ca="1" si="1"/>
        <v>7001</v>
      </c>
      <c r="N6" s="35">
        <f t="shared" ca="1" si="1"/>
        <v>0</v>
      </c>
      <c r="O6">
        <f t="shared" si="2"/>
        <v>8009</v>
      </c>
      <c r="P6" s="23">
        <f t="shared" si="2"/>
        <v>2000</v>
      </c>
      <c r="Q6">
        <f ca="1">INT(J6*L6/1000)+Q5</f>
        <v>8000</v>
      </c>
      <c r="R6">
        <f ca="1">INT(K6*L6/1000)+R5</f>
        <v>1824</v>
      </c>
      <c r="S6" s="4">
        <f ca="1">Q6-P6</f>
        <v>6000</v>
      </c>
      <c r="T6" s="4">
        <f ca="1">R6-O6</f>
        <v>-6185</v>
      </c>
      <c r="U6" s="1">
        <f t="shared" ca="1" si="3"/>
        <v>6000</v>
      </c>
      <c r="V6" s="1">
        <f ca="1">V5+(U6-U5)</f>
        <v>6000</v>
      </c>
      <c r="W6" s="1">
        <f>SUM(J6:K6)+W5</f>
        <v>10009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G7">
        <v>3</v>
      </c>
      <c r="H7">
        <v>1</v>
      </c>
      <c r="I7">
        <v>0</v>
      </c>
      <c r="J7" s="34">
        <v>0</v>
      </c>
      <c r="K7" s="35">
        <v>10000</v>
      </c>
      <c r="L7">
        <f ca="1">MOD(OFFSET(IF(J7&gt;0,D$4,F$4),I7,0),10000)</f>
        <v>912</v>
      </c>
      <c r="M7" s="34">
        <f t="shared" ref="M7" ca="1" si="4">INT($L7*J7/1000)</f>
        <v>0</v>
      </c>
      <c r="N7" s="35">
        <f t="shared" ref="N7" ca="1" si="5">INT($L7*K7/1000)</f>
        <v>9120</v>
      </c>
      <c r="O7">
        <f t="shared" si="2"/>
        <v>8009</v>
      </c>
      <c r="P7" s="23">
        <f t="shared" si="2"/>
        <v>12000</v>
      </c>
      <c r="Q7">
        <f ca="1">INT(J7*L7/1000)+Q6</f>
        <v>8000</v>
      </c>
      <c r="R7">
        <f ca="1">INT(K7*L7/1000)+R6</f>
        <v>10944</v>
      </c>
      <c r="S7" s="4">
        <f ca="1">Q7-P7</f>
        <v>-4000</v>
      </c>
      <c r="T7" s="4">
        <f ca="1">R7-O7</f>
        <v>2935</v>
      </c>
      <c r="U7" s="1">
        <f t="shared" ref="U7" ca="1" si="6">MAX(0,S7:T7)</f>
        <v>2935</v>
      </c>
      <c r="V7" s="1">
        <f ca="1">V6+(U7-U6)</f>
        <v>2935</v>
      </c>
      <c r="W7" s="1">
        <f>SUM(J7:K7)+W6</f>
        <v>20009</v>
      </c>
      <c r="X7" s="34">
        <v>1000</v>
      </c>
      <c r="Y7" s="35">
        <v>0</v>
      </c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4"/>
      <c r="T8" s="4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J10" s="25"/>
      <c r="U10" s="17"/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0</v>
      </c>
      <c r="J11" s="34">
        <v>1000</v>
      </c>
      <c r="K11" s="35">
        <v>0</v>
      </c>
      <c r="L11">
        <f ca="1">MOD(OFFSET(IF(J11&gt;0,D$4,F$4),I11,0),10000)</f>
        <v>999</v>
      </c>
      <c r="M11" s="34">
        <f ca="1">INT($L11*J11/1000)</f>
        <v>999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INT(J11*$L11/1000)</f>
        <v>999</v>
      </c>
      <c r="R11">
        <v>0</v>
      </c>
      <c r="S11" s="4">
        <f ca="1">Q11-P11</f>
        <v>999</v>
      </c>
      <c r="T11" s="4">
        <f>R11-O11</f>
        <v>-1000</v>
      </c>
      <c r="U11" s="1">
        <f ca="1">MAX(0,S11:T11)</f>
        <v>999</v>
      </c>
      <c r="V11" s="1">
        <f ca="1">U11</f>
        <v>999</v>
      </c>
      <c r="W11" s="1">
        <f>SUM(J11:K11)</f>
        <v>1000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f>I11</f>
        <v>0</v>
      </c>
      <c r="J12" s="34">
        <v>0</v>
      </c>
      <c r="K12" s="36">
        <v>2000</v>
      </c>
      <c r="L12">
        <f ca="1">MOD(OFFSET(IF(J12&gt;0,D$4,F$4),I12,0),10000)</f>
        <v>912</v>
      </c>
      <c r="M12" s="34">
        <f t="shared" ref="M12:M14" ca="1" si="7">INT($L12*J12/1000)</f>
        <v>0</v>
      </c>
      <c r="N12" s="35">
        <f ca="1">INT($L12*K12/1000)</f>
        <v>1824</v>
      </c>
      <c r="O12">
        <f t="shared" ref="O12:P14" si="8">J12+O11</f>
        <v>1000</v>
      </c>
      <c r="P12">
        <f t="shared" si="8"/>
        <v>2000</v>
      </c>
      <c r="Q12">
        <f ca="1">INT(J12*L12/1000)+Q11</f>
        <v>999</v>
      </c>
      <c r="R12">
        <f ca="1">INT(K12*L12/1000)+R11</f>
        <v>1824</v>
      </c>
      <c r="S12" s="4">
        <f ca="1">Q12-P12</f>
        <v>-1001</v>
      </c>
      <c r="T12" s="4">
        <f ca="1">R12-O12</f>
        <v>824</v>
      </c>
      <c r="U12" s="1">
        <f t="shared" ref="U12:U14" ca="1" si="9">MAX(0,S12:T12)</f>
        <v>824</v>
      </c>
      <c r="V12" s="1">
        <f ca="1">V11+(U12-U11)</f>
        <v>824</v>
      </c>
      <c r="W12" s="1">
        <f>SUM(J12:K12)+W11</f>
        <v>3000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0</v>
      </c>
      <c r="J13" s="34">
        <v>0</v>
      </c>
      <c r="K13" s="35">
        <v>5675</v>
      </c>
      <c r="L13">
        <f ca="1">MOD(OFFSET(IF(J13&gt;0,D$4,F$4),I13,0),10000)</f>
        <v>912</v>
      </c>
      <c r="M13" s="34">
        <f t="shared" ca="1" si="7"/>
        <v>0</v>
      </c>
      <c r="N13" s="35">
        <f t="shared" ref="N13:N14" ca="1" si="10">INT($L13*K13/1000)</f>
        <v>5175</v>
      </c>
      <c r="O13">
        <f t="shared" si="8"/>
        <v>1000</v>
      </c>
      <c r="P13" s="23">
        <f t="shared" si="8"/>
        <v>7675</v>
      </c>
      <c r="Q13">
        <f ca="1">INT(J13*L13/1000)+Q12</f>
        <v>999</v>
      </c>
      <c r="R13">
        <f ca="1">INT(K13*L13/1000)+R12</f>
        <v>6999</v>
      </c>
      <c r="S13" s="4">
        <f ca="1">Q13-P13</f>
        <v>-6676</v>
      </c>
      <c r="T13" s="4">
        <f ca="1">R13-O13</f>
        <v>5999</v>
      </c>
      <c r="U13" s="1">
        <f t="shared" ca="1" si="9"/>
        <v>5999</v>
      </c>
      <c r="V13" s="1">
        <f ca="1">V12+(U13-U12)</f>
        <v>5999</v>
      </c>
      <c r="W13" s="1">
        <f>SUM(J13:K13)+W12</f>
        <v>8675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500</v>
      </c>
      <c r="E14" s="5">
        <v>1621266400</v>
      </c>
      <c r="F14">
        <f t="shared" si="0"/>
        <v>1789</v>
      </c>
      <c r="G14">
        <v>3</v>
      </c>
      <c r="H14">
        <v>1</v>
      </c>
      <c r="I14">
        <v>0</v>
      </c>
      <c r="J14" s="34">
        <v>0</v>
      </c>
      <c r="K14" s="35">
        <v>10000</v>
      </c>
      <c r="L14">
        <f ca="1">MOD(OFFSET(IF(J14&gt;0,D$4,F$4),I14,0),10000)</f>
        <v>912</v>
      </c>
      <c r="M14" s="34">
        <f t="shared" ca="1" si="7"/>
        <v>0</v>
      </c>
      <c r="N14" s="35">
        <f t="shared" ca="1" si="10"/>
        <v>9120</v>
      </c>
      <c r="O14">
        <f t="shared" si="8"/>
        <v>1000</v>
      </c>
      <c r="P14" s="23">
        <f t="shared" si="8"/>
        <v>17675</v>
      </c>
      <c r="Q14">
        <f ca="1">INT(J14*L14/1000)+Q13</f>
        <v>999</v>
      </c>
      <c r="R14">
        <f ca="1">INT(K14*L14/1000)+R13</f>
        <v>16119</v>
      </c>
      <c r="S14" s="4">
        <f ca="1">Q14-P14</f>
        <v>-16676</v>
      </c>
      <c r="T14" s="4">
        <f ca="1">R14-O14</f>
        <v>15119</v>
      </c>
      <c r="U14" s="1">
        <f t="shared" ca="1" si="9"/>
        <v>15119</v>
      </c>
      <c r="V14" s="1">
        <f ca="1">V13+(U14-U13)</f>
        <v>15119</v>
      </c>
      <c r="W14" s="1">
        <f>SUM(J14:K14)+W13</f>
        <v>18675</v>
      </c>
      <c r="X14" s="34">
        <v>1000</v>
      </c>
      <c r="Y14" s="35">
        <v>0</v>
      </c>
    </row>
    <row r="15" spans="2:26" x14ac:dyDescent="0.25">
      <c r="B15">
        <v>11</v>
      </c>
      <c r="C15" t="s">
        <v>12</v>
      </c>
      <c r="D15">
        <v>600</v>
      </c>
      <c r="E15" s="5">
        <v>1621266400</v>
      </c>
      <c r="F15">
        <f t="shared" si="0"/>
        <v>1505</v>
      </c>
      <c r="S15" s="25"/>
    </row>
    <row r="16" spans="2:26" x14ac:dyDescent="0.25">
      <c r="B16">
        <v>12</v>
      </c>
      <c r="C16" t="s">
        <v>13</v>
      </c>
      <c r="D16">
        <v>700</v>
      </c>
      <c r="E16" s="5">
        <v>1621266400</v>
      </c>
      <c r="F16">
        <f t="shared" si="0"/>
        <v>1297</v>
      </c>
    </row>
    <row r="17" spans="2:17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L17" s="2" t="s">
        <v>76</v>
      </c>
    </row>
    <row r="18" spans="2:17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K18" s="2" t="s">
        <v>281</v>
      </c>
      <c r="L18" s="11">
        <v>19.7</v>
      </c>
      <c r="N18" t="s">
        <v>282</v>
      </c>
      <c r="Q18" t="s">
        <v>286</v>
      </c>
    </row>
    <row r="19" spans="2:17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K19" s="12" t="s">
        <v>171</v>
      </c>
      <c r="L19">
        <v>0.59</v>
      </c>
      <c r="Q19" t="s">
        <v>287</v>
      </c>
    </row>
    <row r="20" spans="2:17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K20" s="12"/>
      <c r="L20" s="11">
        <f>L18-L19</f>
        <v>19.11</v>
      </c>
      <c r="Q20" t="s">
        <v>288</v>
      </c>
    </row>
    <row r="21" spans="2:17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K21" s="12" t="s">
        <v>283</v>
      </c>
      <c r="L21">
        <v>1.1000000000000001</v>
      </c>
      <c r="Q21" t="s">
        <v>289</v>
      </c>
    </row>
    <row r="22" spans="2:17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K22" s="12"/>
      <c r="L22" s="11">
        <f>L20+L21</f>
        <v>20.21</v>
      </c>
    </row>
    <row r="23" spans="2:17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K23" s="12" t="s">
        <v>284</v>
      </c>
      <c r="L23">
        <v>1.2</v>
      </c>
    </row>
    <row r="24" spans="2:17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K24" s="12"/>
      <c r="L24" s="11">
        <f>L22-L23</f>
        <v>19.010000000000002</v>
      </c>
    </row>
    <row r="25" spans="2:17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K25" s="12" t="s">
        <v>285</v>
      </c>
      <c r="L25">
        <v>1.2</v>
      </c>
    </row>
    <row r="26" spans="2:17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K26" s="12"/>
    </row>
    <row r="27" spans="2:17" x14ac:dyDescent="0.25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</row>
    <row r="28" spans="2:17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</row>
    <row r="29" spans="2:17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</row>
    <row r="30" spans="2:17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</row>
    <row r="31" spans="2:17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</row>
    <row r="32" spans="2:17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</row>
    <row r="33" spans="2:21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</row>
    <row r="34" spans="2:21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</row>
    <row r="35" spans="2:21" x14ac:dyDescent="0.25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</row>
    <row r="37" spans="2:21" x14ac:dyDescent="0.25">
      <c r="C37" s="61"/>
    </row>
    <row r="39" spans="2:21" x14ac:dyDescent="0.25">
      <c r="C39" s="2"/>
      <c r="D39" s="2"/>
      <c r="E39" s="116"/>
    </row>
    <row r="40" spans="2:21" x14ac:dyDescent="0.25">
      <c r="B40" s="1"/>
      <c r="C40" s="1"/>
      <c r="D40" s="2"/>
      <c r="E40" s="115"/>
    </row>
    <row r="41" spans="2:21" x14ac:dyDescent="0.25">
      <c r="B41" s="1"/>
      <c r="C41" s="1"/>
      <c r="D41" s="10"/>
      <c r="E41" s="115"/>
    </row>
    <row r="42" spans="2:21" ht="16.5" x14ac:dyDescent="0.3">
      <c r="B42" s="1"/>
      <c r="D42" s="117"/>
      <c r="E42" s="118"/>
    </row>
    <row r="43" spans="2:21" x14ac:dyDescent="0.25">
      <c r="B43" s="1"/>
      <c r="C43" s="1">
        <v>1690588800</v>
      </c>
      <c r="E43" s="118"/>
    </row>
    <row r="44" spans="2:21" x14ac:dyDescent="0.25">
      <c r="B44" s="1"/>
      <c r="C44" s="1"/>
      <c r="E44" s="118"/>
    </row>
    <row r="45" spans="2:21" x14ac:dyDescent="0.25">
      <c r="B45" s="1"/>
      <c r="C45" s="1"/>
      <c r="D45" s="4"/>
      <c r="E45" s="118"/>
      <c r="Q45" s="25"/>
      <c r="R45" s="25"/>
      <c r="S45" s="47"/>
      <c r="U45" s="25"/>
    </row>
    <row r="46" spans="2:21" x14ac:dyDescent="0.25">
      <c r="B46" s="1"/>
      <c r="C46" s="1"/>
      <c r="S46" s="4"/>
      <c r="T46" s="25"/>
    </row>
    <row r="47" spans="2:21" x14ac:dyDescent="0.25">
      <c r="B47" s="1"/>
      <c r="C47" s="1"/>
      <c r="S47" s="25"/>
      <c r="T47" s="72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48"/>
  <sheetViews>
    <sheetView topLeftCell="D22" zoomScale="75" zoomScaleNormal="75" workbookViewId="0">
      <selection activeCell="I31" sqref="I31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M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1">
        <f ca="1">Q5-P5</f>
        <v>-1001</v>
      </c>
      <c r="T5" s="1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7005</v>
      </c>
      <c r="K6" s="35">
        <v>0</v>
      </c>
      <c r="L6">
        <f ca="1">MOD(OFFSET(IF(J6&gt;0,D$4,F$4),I6,0),10000)</f>
        <v>999</v>
      </c>
      <c r="M6" s="34">
        <f t="shared" ca="1" si="1"/>
        <v>6997</v>
      </c>
      <c r="N6" s="35">
        <f t="shared" ref="N6" ca="1" si="3">INT($L6*K6/1000)</f>
        <v>0</v>
      </c>
      <c r="O6">
        <f>J6+O5</f>
        <v>8005</v>
      </c>
      <c r="P6" s="23">
        <f>K6+P5</f>
        <v>2000</v>
      </c>
      <c r="Q6">
        <f ca="1">INT(J6*L6/1000)+Q5</f>
        <v>7996</v>
      </c>
      <c r="R6">
        <f ca="1">INT(K6*L6/1000)+R5</f>
        <v>1824</v>
      </c>
      <c r="S6" s="1">
        <f ca="1">Q6-P6</f>
        <v>5996</v>
      </c>
      <c r="T6" s="1">
        <f ca="1">R6-O6</f>
        <v>-6181</v>
      </c>
      <c r="U6" s="1">
        <f t="shared" ca="1" si="2"/>
        <v>5996</v>
      </c>
      <c r="V6" s="1">
        <f ca="1">V5+(U6-U5)</f>
        <v>5996</v>
      </c>
      <c r="W6" s="1">
        <f>SUM(J6:K6)+W5</f>
        <v>10005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J7" s="34"/>
      <c r="K7" s="35"/>
      <c r="M7" s="34"/>
      <c r="N7" s="35"/>
      <c r="S7" s="1"/>
      <c r="T7" s="1"/>
      <c r="U7" s="1">
        <f ca="1">U6-U5</f>
        <v>5172</v>
      </c>
      <c r="V7" s="1"/>
      <c r="W7" s="1"/>
      <c r="X7" s="34"/>
      <c r="Y7" s="35"/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1"/>
      <c r="T8" s="1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  <c r="J9" s="34"/>
      <c r="K9" s="35"/>
      <c r="M9" s="34"/>
      <c r="N9" s="35"/>
      <c r="S9" s="1"/>
      <c r="T9" s="1"/>
      <c r="U9" s="1"/>
      <c r="V9" s="1"/>
      <c r="W9" s="1"/>
      <c r="X9" s="34"/>
      <c r="Y9" s="35"/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102</v>
      </c>
      <c r="W10" s="2" t="s">
        <v>101</v>
      </c>
      <c r="X10" s="32" t="s">
        <v>34</v>
      </c>
      <c r="Y10" s="33" t="s">
        <v>35</v>
      </c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6496</v>
      </c>
      <c r="W11" s="1">
        <f>SUM(J11:K11)+W6</f>
        <v>11005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1789</v>
      </c>
      <c r="M12" s="34">
        <f t="shared" ref="M12:M13" ca="1" si="4">INT($L12*J12/1000)</f>
        <v>0</v>
      </c>
      <c r="N12" s="35">
        <f t="shared" ref="N12:N13" ca="1" si="5">INT($L12*K12/1000)</f>
        <v>3578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3578</v>
      </c>
      <c r="S12" s="1">
        <f ca="1">Q12-P12</f>
        <v>-1500</v>
      </c>
      <c r="T12" s="1">
        <f ca="1">R12-O12</f>
        <v>2578</v>
      </c>
      <c r="U12" s="1">
        <f t="shared" ref="U12:U13" ca="1" si="6">MAX(0,S12:T12)</f>
        <v>2578</v>
      </c>
      <c r="V12" s="1">
        <f ca="1">V11+(U12-U11)</f>
        <v>8574</v>
      </c>
      <c r="W12" s="1">
        <f>SUM(J12:K12)+W11</f>
        <v>13005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3578</v>
      </c>
      <c r="S13" s="1">
        <f ca="1">Q13-P13</f>
        <v>-1000</v>
      </c>
      <c r="T13" s="1">
        <f ca="1">R13-O13</f>
        <v>1578</v>
      </c>
      <c r="U13" s="1">
        <f t="shared" ca="1" si="6"/>
        <v>1578</v>
      </c>
      <c r="V13" s="1">
        <f ca="1">V12+(U13-U12)</f>
        <v>7574</v>
      </c>
      <c r="W13" s="1">
        <f>SUM(J13:K13)+W12</f>
        <v>14005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J14" s="34"/>
      <c r="K14" s="35"/>
      <c r="L14">
        <f>F5/1000*K12</f>
        <v>3578</v>
      </c>
      <c r="M14" s="34"/>
      <c r="N14" s="35"/>
      <c r="S14" s="1"/>
      <c r="T14" s="1"/>
      <c r="U14" s="1"/>
      <c r="V14" s="1"/>
      <c r="W14" s="1"/>
      <c r="X14" s="34"/>
      <c r="Y14" s="35"/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  <c r="X15" s="34"/>
      <c r="Y15" s="3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  <c r="J16" s="34"/>
      <c r="K16" s="35"/>
      <c r="M16" s="34"/>
      <c r="N16" s="35"/>
      <c r="S16" s="1"/>
      <c r="T16" s="1"/>
      <c r="U16" s="1"/>
      <c r="V16" s="1"/>
      <c r="W16" s="1"/>
      <c r="X16" s="34"/>
      <c r="Y16" s="35"/>
    </row>
    <row r="17" spans="2:2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102</v>
      </c>
      <c r="W17" s="2" t="s">
        <v>101</v>
      </c>
      <c r="X17" s="32" t="s">
        <v>34</v>
      </c>
      <c r="Y17" s="33" t="s">
        <v>35</v>
      </c>
    </row>
    <row r="18" spans="2:2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8074</v>
      </c>
      <c r="W18" s="1">
        <f>SUM(J18:K18)+W13</f>
        <v>15005</v>
      </c>
      <c r="X18" s="37">
        <v>1000</v>
      </c>
      <c r="Y18" s="35">
        <v>0</v>
      </c>
    </row>
    <row r="19" spans="2:2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1789</v>
      </c>
      <c r="M19" s="34">
        <f t="shared" ref="M19:M20" ca="1" si="7">INT($L19*J19/1000)</f>
        <v>0</v>
      </c>
      <c r="N19" s="35">
        <f t="shared" ref="N19:N20" ca="1" si="8">INT($L19*K19/1000)</f>
        <v>3578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3578</v>
      </c>
      <c r="S19" s="1">
        <f ca="1">Q19-P19</f>
        <v>-1500</v>
      </c>
      <c r="T19" s="1">
        <f ca="1">R19-O19</f>
        <v>2578</v>
      </c>
      <c r="U19" s="1">
        <f t="shared" ref="U19" ca="1" si="9">MAX(0,S19:T19)</f>
        <v>2578</v>
      </c>
      <c r="V19" s="1">
        <f ca="1">V18+(U19-U18)</f>
        <v>10152</v>
      </c>
      <c r="W19" s="1">
        <f>SUM(J19:K19)+W18</f>
        <v>17005</v>
      </c>
      <c r="X19" s="34">
        <v>0</v>
      </c>
      <c r="Y19" s="35">
        <v>2000</v>
      </c>
    </row>
    <row r="20" spans="2:2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3578</v>
      </c>
      <c r="S20" s="1">
        <f ca="1">Q20-P20</f>
        <v>-1000</v>
      </c>
      <c r="T20" s="1">
        <f ca="1">R20-O20</f>
        <v>1578</v>
      </c>
      <c r="U20" s="1">
        <f ca="1">MAX(0,S20:T20)</f>
        <v>1578</v>
      </c>
      <c r="V20" s="1">
        <f ca="1">V19+(U20-U19)</f>
        <v>9152</v>
      </c>
      <c r="W20" s="1">
        <f>SUM(J20:K20)+W19</f>
        <v>18005</v>
      </c>
      <c r="X20" s="37">
        <v>1000</v>
      </c>
      <c r="Y20" s="35">
        <v>0</v>
      </c>
    </row>
    <row r="21" spans="2:2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J21" s="34"/>
      <c r="K21" s="35"/>
      <c r="M21" s="34"/>
      <c r="N21" s="35"/>
      <c r="S21" s="1"/>
      <c r="T21" s="1"/>
      <c r="U21" s="1"/>
      <c r="V21" s="1"/>
      <c r="W21" s="1"/>
      <c r="X21" s="34"/>
      <c r="Y21" s="35"/>
    </row>
    <row r="22" spans="2:2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J22" s="34"/>
      <c r="K22" s="35"/>
      <c r="M22" s="34"/>
      <c r="N22" s="35"/>
      <c r="R22" s="20"/>
      <c r="S22" s="1"/>
      <c r="T22" s="1"/>
      <c r="U22" s="1"/>
      <c r="V22" s="1"/>
      <c r="W22" s="1"/>
      <c r="X22" s="34"/>
      <c r="Y22" s="35"/>
    </row>
    <row r="23" spans="2:2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J23" s="34"/>
      <c r="K23" s="35"/>
      <c r="M23" s="34"/>
      <c r="N23" s="35"/>
      <c r="S23" s="1"/>
      <c r="T23" s="1"/>
      <c r="U23" s="2"/>
      <c r="V23" s="1"/>
      <c r="W23" s="1"/>
      <c r="X23" s="34"/>
      <c r="Y23" s="35"/>
    </row>
    <row r="24" spans="2:2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102</v>
      </c>
      <c r="W24" s="2" t="s">
        <v>101</v>
      </c>
      <c r="X24" s="32" t="s">
        <v>34</v>
      </c>
      <c r="Y24" s="33" t="s">
        <v>35</v>
      </c>
    </row>
    <row r="25" spans="2:25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G25">
        <v>2</v>
      </c>
      <c r="H25" t="s">
        <v>199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10071</v>
      </c>
      <c r="W25" s="1">
        <f>SUM(J25:K25)+W20</f>
        <v>19005</v>
      </c>
      <c r="X25" s="37">
        <v>1000</v>
      </c>
      <c r="Y25" s="35"/>
    </row>
    <row r="26" spans="2:25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10990</v>
      </c>
      <c r="W26" s="1">
        <f>SUM(J26:K26)+W25</f>
        <v>20005</v>
      </c>
      <c r="X26" s="37">
        <v>1000</v>
      </c>
      <c r="Y26" s="35"/>
    </row>
    <row r="27" spans="2:25" ht="15.75" thickBot="1" x14ac:dyDescent="0.3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992</v>
      </c>
      <c r="M27" s="38">
        <f t="shared" ca="1" si="10"/>
        <v>0</v>
      </c>
      <c r="N27" s="40">
        <f t="shared" ca="1" si="11"/>
        <v>992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992</v>
      </c>
      <c r="S27" s="1">
        <f ca="1">Q27-P27</f>
        <v>838</v>
      </c>
      <c r="T27" s="1">
        <f ca="1">R27-O27</f>
        <v>-1008</v>
      </c>
      <c r="U27" s="1">
        <f ca="1">MAX(0,S27:T27)</f>
        <v>838</v>
      </c>
      <c r="V27" s="1">
        <f ca="1">V26+(U27-U26)</f>
        <v>9990</v>
      </c>
      <c r="W27" s="1">
        <f>SUM(J27:K27)+W26</f>
        <v>21005</v>
      </c>
      <c r="X27" s="38"/>
      <c r="Y27" s="39">
        <v>1000</v>
      </c>
    </row>
    <row r="28" spans="2:25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  <c r="S28" s="1"/>
      <c r="T28" s="1"/>
      <c r="U28" s="1"/>
      <c r="V28" s="1"/>
      <c r="W28" s="1"/>
    </row>
    <row r="29" spans="2:25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  <c r="S29">
        <v>60000000</v>
      </c>
      <c r="T29" t="s">
        <v>70</v>
      </c>
      <c r="V29" s="6"/>
      <c r="W29" s="1"/>
    </row>
    <row r="30" spans="2:25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  <c r="H30" s="62"/>
      <c r="J30" s="4"/>
      <c r="P30" t="s">
        <v>120</v>
      </c>
      <c r="Q30" s="4">
        <v>30000</v>
      </c>
      <c r="S30">
        <f>S29/10000</f>
        <v>6000</v>
      </c>
      <c r="T30" s="2" t="s">
        <v>33</v>
      </c>
      <c r="U30" s="2" t="s">
        <v>71</v>
      </c>
      <c r="V30" s="6"/>
      <c r="W30" s="1">
        <v>99999000</v>
      </c>
    </row>
    <row r="31" spans="2:25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3"/>
      <c r="K31" s="2"/>
      <c r="L31" s="2"/>
      <c r="M31" s="2"/>
      <c r="N31" s="2"/>
      <c r="O31" s="2"/>
      <c r="P31" t="s">
        <v>118</v>
      </c>
      <c r="Q31" s="44">
        <v>10000</v>
      </c>
      <c r="R31" s="7"/>
      <c r="S31" s="7"/>
      <c r="T31" s="2">
        <v>0</v>
      </c>
      <c r="U31">
        <v>1</v>
      </c>
      <c r="W31">
        <f>W30/10000</f>
        <v>9999.9</v>
      </c>
      <c r="X31" s="2"/>
    </row>
    <row r="32" spans="2:25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  <c r="L32" s="1"/>
      <c r="M32" s="1"/>
      <c r="N32" s="1"/>
      <c r="O32" s="1"/>
      <c r="P32" t="s">
        <v>119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  <c r="L35" s="1"/>
      <c r="M35" s="1"/>
      <c r="N35" s="1"/>
      <c r="O35" s="1"/>
      <c r="Q35" s="4" t="s">
        <v>109</v>
      </c>
      <c r="R35" s="2" t="s">
        <v>46</v>
      </c>
      <c r="S35" s="2" t="s">
        <v>153</v>
      </c>
    </row>
    <row r="36" spans="2:22" x14ac:dyDescent="0.25">
      <c r="L36" s="1"/>
      <c r="M36" s="1"/>
      <c r="N36" s="1"/>
      <c r="O36" s="1" t="s">
        <v>166</v>
      </c>
      <c r="P36" s="1" t="s">
        <v>104</v>
      </c>
      <c r="Q36" s="63">
        <v>30000</v>
      </c>
      <c r="R36">
        <v>30000</v>
      </c>
      <c r="S36" s="332">
        <f ca="1">(R36+R38-L38)/10000</f>
        <v>3.5602999999999998</v>
      </c>
      <c r="U36" s="25"/>
    </row>
    <row r="37" spans="2:22" ht="15.75" thickBot="1" x14ac:dyDescent="0.3">
      <c r="C37" s="61"/>
      <c r="M37" s="1"/>
      <c r="N37" s="1"/>
      <c r="O37" s="1" t="s">
        <v>167</v>
      </c>
      <c r="P37" s="1" t="s">
        <v>102</v>
      </c>
      <c r="Q37" s="64">
        <f ca="1">U27+U20+U13</f>
        <v>3994</v>
      </c>
      <c r="R37">
        <f ca="1">V27</f>
        <v>9990</v>
      </c>
      <c r="S37" s="332">
        <v>0</v>
      </c>
      <c r="U37" s="25"/>
    </row>
    <row r="38" spans="2:22" x14ac:dyDescent="0.25">
      <c r="J38" s="30"/>
      <c r="K38" s="67" t="s">
        <v>151</v>
      </c>
      <c r="L38" s="53">
        <f ca="1">$P$6+$R$6+$P$13+$R$13+$O$20+$Q$20+$O$27+$P$27</f>
        <v>15402</v>
      </c>
      <c r="M38" s="4"/>
      <c r="N38" s="1"/>
      <c r="O38" s="1" t="s">
        <v>168</v>
      </c>
      <c r="P38" s="1" t="s">
        <v>101</v>
      </c>
      <c r="Q38" s="65">
        <f>SUM(J4:K27)</f>
        <v>21005</v>
      </c>
      <c r="R38">
        <f>SUM(J4:K28)</f>
        <v>21005</v>
      </c>
      <c r="S38" s="332">
        <v>0</v>
      </c>
      <c r="U38" s="25"/>
    </row>
    <row r="39" spans="2:22" x14ac:dyDescent="0.25">
      <c r="C39" s="2"/>
      <c r="D39" s="2"/>
      <c r="E39" s="116"/>
      <c r="J39" s="34"/>
      <c r="K39" s="12" t="s">
        <v>150</v>
      </c>
      <c r="L39" s="54">
        <f ca="1">+$R$6+$R$13+$Q$20</f>
        <v>6402</v>
      </c>
      <c r="M39" s="1"/>
      <c r="N39" s="1"/>
      <c r="O39" s="1"/>
      <c r="P39" s="1" t="s">
        <v>202</v>
      </c>
      <c r="Q39" s="65">
        <v>0</v>
      </c>
      <c r="R39">
        <v>0</v>
      </c>
      <c r="S39" s="332">
        <f ca="1">(R6+R13+Q20)*0.05/10000</f>
        <v>3.2010000000000004E-2</v>
      </c>
      <c r="U39" s="25"/>
    </row>
    <row r="40" spans="2:22" ht="15.75" thickBot="1" x14ac:dyDescent="0.3">
      <c r="B40" s="1"/>
      <c r="C40" s="1"/>
      <c r="D40" s="2"/>
      <c r="E40" s="115"/>
      <c r="J40" s="38"/>
      <c r="K40" s="68" t="s">
        <v>41</v>
      </c>
      <c r="L40" s="69">
        <f ca="1">0.05*L39</f>
        <v>320.10000000000002</v>
      </c>
      <c r="M40" s="1"/>
      <c r="N40" s="1"/>
      <c r="O40" s="1"/>
      <c r="P40" s="1" t="s">
        <v>112</v>
      </c>
      <c r="Q40" s="66"/>
      <c r="R40">
        <v>50000</v>
      </c>
      <c r="S40" s="332">
        <f ca="1">R40/10000-L40/10000</f>
        <v>4.9679900000000004</v>
      </c>
      <c r="U40" s="95"/>
      <c r="V40" s="95"/>
    </row>
    <row r="41" spans="2:22" x14ac:dyDescent="0.25">
      <c r="B41" s="1"/>
      <c r="C41" s="1"/>
      <c r="D41" s="10"/>
      <c r="E41" s="115"/>
      <c r="N41" s="1"/>
      <c r="O41" s="4"/>
      <c r="P41" s="1" t="s">
        <v>114</v>
      </c>
      <c r="R41">
        <v>10000</v>
      </c>
      <c r="S41" s="332">
        <f ca="1">(0.95*(M18+M20)-J6-J4-J11-J13+Q31)/10000</f>
        <v>9.4500000000000001E-2</v>
      </c>
      <c r="T41" s="96"/>
    </row>
    <row r="42" spans="2:22" ht="16.5" x14ac:dyDescent="0.3">
      <c r="B42" s="1"/>
      <c r="D42" s="117"/>
      <c r="E42" s="118"/>
      <c r="L42" s="73"/>
      <c r="N42" s="1"/>
      <c r="O42" s="4"/>
      <c r="P42" s="1" t="s">
        <v>152</v>
      </c>
      <c r="R42">
        <v>10000</v>
      </c>
      <c r="S42" s="332">
        <f ca="1">(Q32+(N5+N12)*0.95-K19)/10000</f>
        <v>1.3131899999999999</v>
      </c>
      <c r="V42" s="25"/>
    </row>
    <row r="43" spans="2:22" x14ac:dyDescent="0.25">
      <c r="B43" s="1"/>
      <c r="C43" s="1">
        <v>1690588800</v>
      </c>
      <c r="E43" s="118"/>
      <c r="N43" s="1"/>
      <c r="S43" s="15"/>
      <c r="T43" s="25"/>
    </row>
    <row r="44" spans="2:22" x14ac:dyDescent="0.25">
      <c r="B44" s="1"/>
      <c r="C44" s="1"/>
      <c r="E44" s="118"/>
      <c r="J44" t="s">
        <v>290</v>
      </c>
      <c r="K44" t="s">
        <v>291</v>
      </c>
      <c r="T44" s="25"/>
    </row>
    <row r="45" spans="2:22" x14ac:dyDescent="0.25">
      <c r="B45" s="1"/>
      <c r="C45" s="1"/>
      <c r="D45" s="4"/>
      <c r="E45" s="118"/>
      <c r="J45" t="s">
        <v>292</v>
      </c>
      <c r="K45" t="s">
        <v>293</v>
      </c>
      <c r="Q45" s="25"/>
      <c r="R45" s="25"/>
      <c r="S45" s="47"/>
      <c r="U45" s="25"/>
    </row>
    <row r="46" spans="2:22" x14ac:dyDescent="0.25">
      <c r="B46" s="1"/>
      <c r="C46" s="1"/>
      <c r="J46" t="s">
        <v>294</v>
      </c>
      <c r="K46" t="s">
        <v>295</v>
      </c>
      <c r="S46" s="4"/>
      <c r="T46" s="25"/>
    </row>
    <row r="47" spans="2:22" x14ac:dyDescent="0.25">
      <c r="B47" s="1"/>
      <c r="C47" s="1"/>
      <c r="S47" s="25"/>
      <c r="T47" s="72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zoomScale="75" zoomScaleNormal="75" workbookViewId="0">
      <selection activeCell="F4" sqref="F4:F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103</v>
      </c>
      <c r="P2" s="33"/>
      <c r="Q2" s="2" t="s">
        <v>111</v>
      </c>
      <c r="R2" s="2"/>
      <c r="S2" s="2" t="s">
        <v>110</v>
      </c>
      <c r="T2" s="2"/>
      <c r="W2" s="2" t="s">
        <v>39</v>
      </c>
      <c r="Z2" s="367" t="s">
        <v>107</v>
      </c>
      <c r="AA2" s="367"/>
      <c r="AB2" s="367" t="s">
        <v>108</v>
      </c>
      <c r="AC2" s="367"/>
    </row>
    <row r="3" spans="1:32" x14ac:dyDescent="0.25">
      <c r="G3" s="32" t="s">
        <v>34</v>
      </c>
      <c r="H3" s="33" t="s">
        <v>35</v>
      </c>
      <c r="I3" s="2" t="s">
        <v>105</v>
      </c>
      <c r="J3" s="2" t="s">
        <v>106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102</v>
      </c>
      <c r="Y3" s="2" t="s">
        <v>101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INT(1000000/(D5+45))-45</f>
        <v>1789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912</v>
      </c>
      <c r="O5" s="34">
        <f t="shared" ref="O5:P6" ca="1" si="2">INT($N5*L5/1000)</f>
        <v>0</v>
      </c>
      <c r="P5" s="35">
        <f ca="1">INT($N5*M5/1000)</f>
        <v>1824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1824</v>
      </c>
      <c r="U5" s="1">
        <f ca="1">S5-R5</f>
        <v>-1001</v>
      </c>
      <c r="V5" s="1">
        <f ca="1">T5-Q5</f>
        <v>824</v>
      </c>
      <c r="W5" s="1">
        <f t="shared" ref="W5:W6" ca="1" si="3">MAX(0,U5:V5)</f>
        <v>824</v>
      </c>
      <c r="X5" s="1">
        <f ca="1">X4+(W5-W4)</f>
        <v>824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3824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1789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1824</v>
      </c>
      <c r="U6" s="1">
        <f ca="1">S6-R6</f>
        <v>-2</v>
      </c>
      <c r="V6" s="1">
        <f ca="1">T6-Q6</f>
        <v>-176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992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1003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1138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1756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102</v>
      </c>
      <c r="Y10" s="2" t="s">
        <v>101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1230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4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1789</v>
      </c>
      <c r="O12" s="34">
        <f t="shared" ref="O12:P13" ca="1" si="4">INT($N12*L12/1000)</f>
        <v>0</v>
      </c>
      <c r="P12" s="35">
        <f t="shared" ca="1" si="4"/>
        <v>3578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3578</v>
      </c>
      <c r="U12" s="1">
        <f ca="1">S12-R12</f>
        <v>-1500</v>
      </c>
      <c r="V12" s="1">
        <f ca="1">T12-Q12</f>
        <v>2578</v>
      </c>
      <c r="W12" s="1">
        <f t="shared" ref="W12:W13" ca="1" si="5">MAX(0,U12:V12)</f>
        <v>2578</v>
      </c>
      <c r="X12" s="1">
        <f ca="1">X11+(W12-W11)</f>
        <v>2578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5578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3578</v>
      </c>
      <c r="U13" s="1">
        <f ca="1">S13-R13</f>
        <v>-1000</v>
      </c>
      <c r="V13" s="1">
        <f ca="1">T13-Q13</f>
        <v>1578</v>
      </c>
      <c r="W13" s="1">
        <f t="shared" ca="1" si="5"/>
        <v>1578</v>
      </c>
      <c r="X13" s="1">
        <f ca="1">X12+(W13-W12)</f>
        <v>1578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1393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1319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940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102</v>
      </c>
      <c r="Y17" s="2" t="s">
        <v>101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2078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1789</v>
      </c>
      <c r="O19" s="34">
        <f t="shared" ref="O19:P20" ca="1" si="6">INT($N19*L19/1000)</f>
        <v>0</v>
      </c>
      <c r="P19" s="35">
        <f t="shared" ca="1" si="6"/>
        <v>3578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3578</v>
      </c>
      <c r="U19" s="1">
        <f ca="1">S19-R19</f>
        <v>-1500</v>
      </c>
      <c r="V19" s="1">
        <f ca="1">T19-Q19</f>
        <v>2578</v>
      </c>
      <c r="W19" s="1">
        <f t="shared" ref="W19" ca="1" si="7">MAX(0,U19:V19)</f>
        <v>2578</v>
      </c>
      <c r="X19" s="1">
        <f ca="1">X18+(W19-W18)</f>
        <v>4156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1724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3578</v>
      </c>
      <c r="U20" s="1">
        <f ca="1">S20-R20</f>
        <v>-1000</v>
      </c>
      <c r="V20" s="1">
        <f ca="1">T20-Q20</f>
        <v>1578</v>
      </c>
      <c r="W20" s="1">
        <f ca="1">MAX(0,U20:V20)</f>
        <v>1578</v>
      </c>
      <c r="X20" s="1">
        <f ca="1">X19+(W20-W19)</f>
        <v>3156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1578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102</v>
      </c>
      <c r="Y24" s="2" t="s">
        <v>101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1621266400</v>
      </c>
      <c r="F25">
        <f t="shared" si="1"/>
        <v>1111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4075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1621266400</v>
      </c>
      <c r="F26">
        <f t="shared" si="1"/>
        <v>1181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4994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205</v>
      </c>
      <c r="D27">
        <v>790</v>
      </c>
      <c r="E27" s="5">
        <v>1621266400</v>
      </c>
      <c r="F27">
        <f t="shared" si="1"/>
        <v>1152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992</v>
      </c>
      <c r="O27" s="38">
        <f t="shared" ca="1" si="9"/>
        <v>0</v>
      </c>
      <c r="P27" s="40">
        <f t="shared" ca="1" si="9"/>
        <v>992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992</v>
      </c>
      <c r="U27" s="1">
        <f ca="1">S27-R27</f>
        <v>838</v>
      </c>
      <c r="V27" s="1">
        <f ca="1">T27-Q27</f>
        <v>-1008</v>
      </c>
      <c r="W27" s="1">
        <f ca="1">MAX(0,U27:V27)</f>
        <v>838</v>
      </c>
      <c r="X27" s="1">
        <f ca="1">X26+(W27-W26)</f>
        <v>3994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1621266400</v>
      </c>
      <c r="F28">
        <f t="shared" si="1"/>
        <v>1245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1621266400</v>
      </c>
      <c r="F29">
        <f t="shared" si="1"/>
        <v>1315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10402</v>
      </c>
    </row>
    <row r="30" spans="1:32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1621266400</v>
      </c>
      <c r="F30">
        <f t="shared" si="1"/>
        <v>940</v>
      </c>
      <c r="L30" s="4"/>
      <c r="R30" t="s">
        <v>120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1621266400</v>
      </c>
      <c r="F31">
        <f t="shared" si="1"/>
        <v>1197</v>
      </c>
      <c r="L31" s="4"/>
      <c r="M31" s="2"/>
      <c r="N31" s="2"/>
      <c r="O31" s="2"/>
      <c r="P31" s="2"/>
      <c r="Q31" s="2"/>
      <c r="R31" t="s">
        <v>118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15402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1621266400</v>
      </c>
      <c r="F32">
        <f t="shared" si="1"/>
        <v>992</v>
      </c>
      <c r="N32" s="1"/>
      <c r="O32" s="1"/>
      <c r="P32" s="1"/>
      <c r="Q32" s="1"/>
      <c r="R32" t="s">
        <v>119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1621266400</v>
      </c>
      <c r="F33">
        <f t="shared" si="1"/>
        <v>1262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1621266400</v>
      </c>
      <c r="F34">
        <f t="shared" si="1"/>
        <v>1349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212</v>
      </c>
      <c r="D35">
        <v>800</v>
      </c>
      <c r="E35" s="5">
        <v>1621266400</v>
      </c>
      <c r="F35">
        <f t="shared" si="1"/>
        <v>1138</v>
      </c>
      <c r="N35" s="1"/>
      <c r="O35" s="1"/>
      <c r="P35" s="1"/>
      <c r="Q35" s="1"/>
      <c r="S35" t="s">
        <v>109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104</v>
      </c>
      <c r="S36" s="63">
        <v>30000</v>
      </c>
      <c r="T36" s="70">
        <v>30000</v>
      </c>
      <c r="U36" s="333">
        <f ca="1">(T36+T38-N38)/10000</f>
        <v>3.2010000000000001</v>
      </c>
      <c r="V36" t="s">
        <v>48</v>
      </c>
    </row>
    <row r="37" spans="1:29" x14ac:dyDescent="0.25">
      <c r="O37" s="1"/>
      <c r="P37" s="1"/>
      <c r="Q37" s="1"/>
      <c r="R37" s="1" t="s">
        <v>102</v>
      </c>
      <c r="S37" s="64">
        <f ca="1">W27+W20+W13</f>
        <v>3994</v>
      </c>
      <c r="T37" s="119">
        <f ca="1">X27</f>
        <v>3994</v>
      </c>
      <c r="U37" s="334">
        <v>0</v>
      </c>
      <c r="V37" t="s">
        <v>75</v>
      </c>
      <c r="AB37" s="7"/>
      <c r="AC37" s="7"/>
    </row>
    <row r="38" spans="1:29" x14ac:dyDescent="0.25">
      <c r="M38" s="12" t="s">
        <v>151</v>
      </c>
      <c r="N38" s="4">
        <f ca="1">$Q$6+$S$6+$Q$13+$S$13+$Q$20+R20+T27+$R$27</f>
        <v>12990</v>
      </c>
      <c r="P38" s="4"/>
      <c r="Q38" s="1"/>
      <c r="R38" s="1" t="s">
        <v>101</v>
      </c>
      <c r="S38" s="65">
        <f>SUM(L4:M27)</f>
        <v>15000</v>
      </c>
      <c r="T38" s="119">
        <f>SUM(L4:M28)</f>
        <v>15000</v>
      </c>
      <c r="U38" s="334">
        <v>0</v>
      </c>
      <c r="V38" t="s">
        <v>75</v>
      </c>
      <c r="AB38" s="6"/>
      <c r="AC38" s="6"/>
    </row>
    <row r="39" spans="1:29" x14ac:dyDescent="0.25">
      <c r="D39" s="1"/>
      <c r="M39" s="12" t="s">
        <v>150</v>
      </c>
      <c r="N39" s="4">
        <f ca="1">+$S$6+$S$13+T27</f>
        <v>3990</v>
      </c>
      <c r="O39" s="1"/>
      <c r="P39" s="1"/>
      <c r="Q39" s="1"/>
      <c r="R39" s="1" t="s">
        <v>74</v>
      </c>
      <c r="S39" s="120">
        <v>0</v>
      </c>
      <c r="T39" s="121">
        <v>0</v>
      </c>
      <c r="U39" s="335">
        <f ca="1">(S6+S13+T27)*0.05/10000</f>
        <v>1.9949999999999999E-2</v>
      </c>
      <c r="AC39" s="6"/>
    </row>
    <row r="40" spans="1:29" ht="15.75" thickBot="1" x14ac:dyDescent="0.3">
      <c r="M40" s="12" t="s">
        <v>41</v>
      </c>
      <c r="N40" s="8">
        <f ca="1">0.05*N39</f>
        <v>199.5</v>
      </c>
      <c r="O40" s="1"/>
      <c r="P40" s="1"/>
      <c r="Q40" s="1"/>
      <c r="R40" s="1" t="s">
        <v>112</v>
      </c>
      <c r="S40" s="122"/>
      <c r="T40" s="123">
        <v>50000</v>
      </c>
      <c r="U40" s="336">
        <f ca="1">T40/10000-N40/10000</f>
        <v>4.9800500000000003</v>
      </c>
      <c r="AB40" s="6"/>
      <c r="AC40" s="6"/>
    </row>
    <row r="41" spans="1:29" x14ac:dyDescent="0.25">
      <c r="N41" s="15">
        <f ca="1">N39+N40</f>
        <v>4189.5</v>
      </c>
      <c r="P41" s="25"/>
      <c r="Q41" s="1"/>
      <c r="R41" s="1" t="s">
        <v>114</v>
      </c>
      <c r="U41" s="337">
        <f ca="1">(INT(0.95*(O4))+INT(0.95*O6)+INT(0.95*O11)+INT(0.95*O13)-L25-L26+S31)/10000</f>
        <v>1.0848</v>
      </c>
    </row>
    <row r="42" spans="1:29" x14ac:dyDescent="0.25">
      <c r="E42" s="29"/>
      <c r="R42" s="1" t="s">
        <v>152</v>
      </c>
      <c r="U42" s="337">
        <f ca="1">((P27)*0.95-M5-M12+S32)/10000</f>
        <v>0.69423999999999997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G42" sqref="G42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232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x14ac:dyDescent="0.25">
      <c r="A4">
        <v>0</v>
      </c>
      <c r="B4" t="s">
        <v>1</v>
      </c>
      <c r="C4" s="71">
        <v>999</v>
      </c>
      <c r="D4" s="71">
        <v>800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5.75" thickBot="1" x14ac:dyDescent="0.3">
      <c r="A5">
        <v>1</v>
      </c>
      <c r="B5" t="s">
        <v>17</v>
      </c>
      <c r="C5">
        <v>500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5.75" thickBot="1" x14ac:dyDescent="0.3">
      <c r="A6">
        <v>2</v>
      </c>
      <c r="B6" t="s">
        <v>3</v>
      </c>
      <c r="C6">
        <v>500</v>
      </c>
      <c r="I6" s="70"/>
      <c r="J6" s="124" t="s">
        <v>229</v>
      </c>
      <c r="K6" s="125" t="s">
        <v>230</v>
      </c>
      <c r="N6" s="6"/>
      <c r="O6" s="6"/>
      <c r="P6" s="1"/>
      <c r="Q6" s="1"/>
      <c r="R6" s="1"/>
      <c r="S6" s="6"/>
      <c r="T6" s="6"/>
      <c r="U6" s="6"/>
      <c r="V6" s="6"/>
    </row>
    <row r="7" spans="1:25" x14ac:dyDescent="0.25">
      <c r="A7">
        <v>3</v>
      </c>
      <c r="B7" t="s">
        <v>4</v>
      </c>
      <c r="C7">
        <v>919</v>
      </c>
      <c r="I7" t="s">
        <v>115</v>
      </c>
      <c r="J7" s="46">
        <v>1</v>
      </c>
      <c r="K7" s="126">
        <f>J7+(0.95*J4)</f>
        <v>1.9490499999999999</v>
      </c>
      <c r="Q7" s="6"/>
      <c r="R7" s="6"/>
      <c r="S7" s="6"/>
      <c r="T7" s="6"/>
      <c r="U7" s="6"/>
      <c r="V7" s="6"/>
    </row>
    <row r="8" spans="1:25" x14ac:dyDescent="0.25">
      <c r="A8">
        <v>4</v>
      </c>
      <c r="B8" t="s">
        <v>5</v>
      </c>
      <c r="C8">
        <v>909</v>
      </c>
      <c r="I8" t="s">
        <v>116</v>
      </c>
      <c r="J8" s="46">
        <v>1</v>
      </c>
      <c r="K8" s="127">
        <f>J8+(0.95*J5)</f>
        <v>1.76</v>
      </c>
      <c r="N8" s="6"/>
      <c r="O8" s="6"/>
      <c r="P8" s="6"/>
      <c r="Q8" s="6"/>
      <c r="R8" s="1"/>
      <c r="S8" s="6"/>
      <c r="T8" s="6"/>
      <c r="U8" s="6"/>
      <c r="V8" s="6"/>
    </row>
    <row r="9" spans="1:25" x14ac:dyDescent="0.25">
      <c r="A9">
        <v>5</v>
      </c>
      <c r="B9" t="s">
        <v>6</v>
      </c>
      <c r="C9">
        <v>800</v>
      </c>
      <c r="I9" t="s">
        <v>121</v>
      </c>
      <c r="J9" s="46"/>
      <c r="K9" s="128"/>
      <c r="O9" s="6"/>
      <c r="P9" s="6"/>
      <c r="Q9" s="6"/>
      <c r="R9" s="1"/>
      <c r="S9" s="6"/>
      <c r="T9" s="6"/>
      <c r="U9" s="6"/>
      <c r="V9" s="6"/>
    </row>
    <row r="10" spans="1:25" x14ac:dyDescent="0.25">
      <c r="A10">
        <v>6</v>
      </c>
      <c r="B10" t="s">
        <v>7</v>
      </c>
      <c r="C10">
        <v>510</v>
      </c>
      <c r="I10" t="s">
        <v>102</v>
      </c>
      <c r="J10" s="46">
        <v>1</v>
      </c>
      <c r="K10" s="128" t="s">
        <v>198</v>
      </c>
      <c r="O10" s="19"/>
      <c r="P10" s="7"/>
      <c r="Q10" s="6"/>
      <c r="R10" s="1"/>
      <c r="V10" s="6"/>
      <c r="X10" s="2"/>
      <c r="Y10" s="2"/>
    </row>
    <row r="11" spans="1:25" x14ac:dyDescent="0.25">
      <c r="A11">
        <v>7</v>
      </c>
      <c r="B11" t="s">
        <v>8</v>
      </c>
      <c r="C11">
        <v>739</v>
      </c>
      <c r="I11" s="1" t="s">
        <v>74</v>
      </c>
      <c r="J11" s="46">
        <v>0</v>
      </c>
      <c r="K11" s="127">
        <f>0.05*(J4+J5)</f>
        <v>8.9950000000000002E-2</v>
      </c>
      <c r="N11" s="2"/>
      <c r="O11" s="19"/>
      <c r="P11" s="3"/>
      <c r="V11" s="6"/>
    </row>
    <row r="12" spans="1:25" ht="15.75" thickBot="1" x14ac:dyDescent="0.3">
      <c r="A12">
        <v>8</v>
      </c>
      <c r="B12" t="s">
        <v>9</v>
      </c>
      <c r="C12">
        <v>620</v>
      </c>
      <c r="I12" s="1" t="s">
        <v>117</v>
      </c>
      <c r="J12" s="46">
        <v>10</v>
      </c>
      <c r="K12" s="129">
        <f>J12-(K7-J7)-(K8-J8)-K11</f>
        <v>8.2010000000000005</v>
      </c>
      <c r="V12" s="6"/>
    </row>
    <row r="13" spans="1:25" x14ac:dyDescent="0.25">
      <c r="A13">
        <v>9</v>
      </c>
      <c r="B13" t="s">
        <v>10</v>
      </c>
      <c r="C13">
        <v>960</v>
      </c>
      <c r="I13" s="18" t="s">
        <v>231</v>
      </c>
      <c r="J13" s="46">
        <v>12</v>
      </c>
      <c r="K13" s="59">
        <f>(J13-K11)</f>
        <v>11.91005</v>
      </c>
      <c r="L13" s="51"/>
      <c r="V13" s="6"/>
    </row>
    <row r="14" spans="1:25" x14ac:dyDescent="0.25">
      <c r="A14">
        <v>10</v>
      </c>
      <c r="B14" t="s">
        <v>11</v>
      </c>
      <c r="C14">
        <v>650</v>
      </c>
      <c r="I14" s="18"/>
      <c r="J14" s="50"/>
      <c r="K14" s="50"/>
      <c r="V14" s="6"/>
    </row>
    <row r="15" spans="1:25" x14ac:dyDescent="0.25">
      <c r="A15">
        <v>11</v>
      </c>
      <c r="B15" t="s">
        <v>12</v>
      </c>
      <c r="C15">
        <v>688</v>
      </c>
      <c r="V15" s="6"/>
    </row>
    <row r="16" spans="1:25" x14ac:dyDescent="0.25">
      <c r="A16">
        <v>12</v>
      </c>
      <c r="B16" t="s">
        <v>13</v>
      </c>
      <c r="C16">
        <v>970</v>
      </c>
      <c r="J16" s="46"/>
      <c r="K16" s="46"/>
      <c r="V16" s="6"/>
    </row>
    <row r="17" spans="1:25" x14ac:dyDescent="0.25">
      <c r="A17">
        <v>13</v>
      </c>
      <c r="B17" t="s">
        <v>14</v>
      </c>
      <c r="C17">
        <v>730</v>
      </c>
      <c r="V17" s="6"/>
      <c r="X17" s="2"/>
      <c r="Y17" s="2"/>
    </row>
    <row r="18" spans="1:25" x14ac:dyDescent="0.25">
      <c r="A18">
        <v>14</v>
      </c>
      <c r="B18" t="s">
        <v>15</v>
      </c>
      <c r="C18">
        <v>699</v>
      </c>
      <c r="L18" s="25"/>
      <c r="V18" s="6"/>
    </row>
    <row r="19" spans="1:25" x14ac:dyDescent="0.25">
      <c r="A19">
        <v>15</v>
      </c>
      <c r="B19" t="s">
        <v>16</v>
      </c>
      <c r="C19">
        <v>884</v>
      </c>
      <c r="V19" s="6"/>
    </row>
    <row r="20" spans="1:25" x14ac:dyDescent="0.25">
      <c r="A20">
        <v>16</v>
      </c>
      <c r="B20" t="s">
        <v>17</v>
      </c>
      <c r="C20">
        <v>520</v>
      </c>
      <c r="V20" s="6"/>
    </row>
    <row r="21" spans="1:25" x14ac:dyDescent="0.25">
      <c r="A21">
        <v>17</v>
      </c>
      <c r="B21" t="s">
        <v>18</v>
      </c>
      <c r="C21">
        <v>901</v>
      </c>
      <c r="V21" s="6"/>
    </row>
    <row r="22" spans="1:25" x14ac:dyDescent="0.25">
      <c r="A22">
        <v>18</v>
      </c>
      <c r="B22" t="s">
        <v>19</v>
      </c>
      <c r="C22">
        <v>620</v>
      </c>
      <c r="J22" s="3"/>
      <c r="V22" s="6"/>
    </row>
    <row r="23" spans="1:25" x14ac:dyDescent="0.25">
      <c r="A23">
        <v>19</v>
      </c>
      <c r="B23" t="s">
        <v>20</v>
      </c>
      <c r="C23">
        <v>764</v>
      </c>
      <c r="J23" s="3"/>
    </row>
    <row r="24" spans="1:25" x14ac:dyDescent="0.25">
      <c r="A24">
        <v>20</v>
      </c>
      <c r="B24" t="s">
        <v>21</v>
      </c>
      <c r="C24">
        <v>851</v>
      </c>
    </row>
    <row r="25" spans="1:25" x14ac:dyDescent="0.25">
      <c r="A25">
        <v>21</v>
      </c>
      <c r="B25" t="s">
        <v>203</v>
      </c>
      <c r="C25">
        <v>820</v>
      </c>
    </row>
    <row r="26" spans="1:25" x14ac:dyDescent="0.25">
      <c r="A26">
        <v>22</v>
      </c>
      <c r="B26" t="s">
        <v>204</v>
      </c>
      <c r="C26">
        <v>770</v>
      </c>
    </row>
    <row r="27" spans="1:25" x14ac:dyDescent="0.25">
      <c r="A27">
        <v>23</v>
      </c>
      <c r="B27" t="s">
        <v>205</v>
      </c>
      <c r="C27">
        <v>790</v>
      </c>
    </row>
    <row r="28" spans="1:25" x14ac:dyDescent="0.25">
      <c r="A28">
        <v>24</v>
      </c>
      <c r="B28" t="s">
        <v>206</v>
      </c>
      <c r="C28">
        <v>730</v>
      </c>
    </row>
    <row r="29" spans="1:25" x14ac:dyDescent="0.25">
      <c r="A29">
        <v>25</v>
      </c>
      <c r="B29" t="s">
        <v>207</v>
      </c>
      <c r="C29">
        <v>690</v>
      </c>
    </row>
    <row r="30" spans="1:25" x14ac:dyDescent="0.25">
      <c r="A30">
        <v>26</v>
      </c>
      <c r="B30" t="s">
        <v>208</v>
      </c>
      <c r="C30">
        <v>970</v>
      </c>
    </row>
    <row r="31" spans="1:25" x14ac:dyDescent="0.25">
      <c r="A31">
        <v>27</v>
      </c>
      <c r="B31" t="s">
        <v>213</v>
      </c>
      <c r="C31">
        <v>760</v>
      </c>
    </row>
    <row r="32" spans="1:25" x14ac:dyDescent="0.25">
      <c r="A32">
        <v>28</v>
      </c>
      <c r="B32" t="s">
        <v>209</v>
      </c>
      <c r="C32">
        <v>919</v>
      </c>
    </row>
    <row r="33" spans="1:10" x14ac:dyDescent="0.25">
      <c r="A33">
        <v>29</v>
      </c>
      <c r="B33" t="s">
        <v>210</v>
      </c>
      <c r="C33">
        <v>720</v>
      </c>
      <c r="I33" s="9"/>
      <c r="J33" s="9"/>
    </row>
    <row r="34" spans="1:10" x14ac:dyDescent="0.25">
      <c r="A34">
        <v>30</v>
      </c>
      <c r="B34" t="s">
        <v>211</v>
      </c>
      <c r="C34">
        <v>672</v>
      </c>
      <c r="I34" s="1"/>
      <c r="J34" s="8"/>
    </row>
    <row r="35" spans="1:10" x14ac:dyDescent="0.25">
      <c r="A35">
        <v>31</v>
      </c>
      <c r="B35" t="s">
        <v>212</v>
      </c>
      <c r="C35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K22" sqref="K2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135</v>
      </c>
      <c r="H3" s="2" t="s">
        <v>33</v>
      </c>
      <c r="I3" s="2" t="s">
        <v>170</v>
      </c>
      <c r="J3" s="2" t="s">
        <v>171</v>
      </c>
      <c r="K3" s="2" t="s">
        <v>28</v>
      </c>
      <c r="L3" s="2" t="s">
        <v>107</v>
      </c>
      <c r="M3" s="2" t="s">
        <v>71</v>
      </c>
      <c r="N3" s="2" t="s">
        <v>164</v>
      </c>
      <c r="O3" s="2" t="s">
        <v>178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97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135</v>
      </c>
      <c r="H10" s="2" t="s">
        <v>33</v>
      </c>
      <c r="I10" s="2" t="s">
        <v>170</v>
      </c>
      <c r="J10" s="2" t="s">
        <v>171</v>
      </c>
      <c r="K10" s="2" t="s">
        <v>28</v>
      </c>
      <c r="L10" s="2" t="s">
        <v>107</v>
      </c>
      <c r="M10" s="2" t="s">
        <v>71</v>
      </c>
      <c r="N10" s="2" t="s">
        <v>164</v>
      </c>
      <c r="O10" s="2" t="s">
        <v>178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99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98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175</v>
      </c>
      <c r="O14" s="2" t="s">
        <v>176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L15" s="51"/>
      <c r="M15" t="s">
        <v>169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M16" t="s">
        <v>76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61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1"/>
      <c r="K19" s="1"/>
      <c r="M19" s="61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174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M24" t="s">
        <v>172</v>
      </c>
      <c r="N24" s="100">
        <f>(N11+N12+N5)/10000</f>
        <v>0.39400000000000002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1611266400</v>
      </c>
      <c r="F25">
        <f t="shared" si="1"/>
        <v>1111</v>
      </c>
      <c r="M25" t="s">
        <v>173</v>
      </c>
      <c r="N25" s="11">
        <f>(N17+N16+N15)/10000-N24</f>
        <v>34.606000000000002</v>
      </c>
      <c r="O25" t="s">
        <v>214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1611266400</v>
      </c>
      <c r="F26">
        <f t="shared" si="1"/>
        <v>1181</v>
      </c>
      <c r="M26" t="s">
        <v>173</v>
      </c>
      <c r="N26" s="100">
        <f>N25-O16/10000</f>
        <v>25.595000000000002</v>
      </c>
      <c r="O26" t="s">
        <v>177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205</v>
      </c>
      <c r="D27">
        <v>790</v>
      </c>
      <c r="E27" s="5">
        <v>1611266400</v>
      </c>
      <c r="F27">
        <f t="shared" si="1"/>
        <v>1152</v>
      </c>
      <c r="M27" s="8" t="s">
        <v>216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1611266400</v>
      </c>
      <c r="F28">
        <f t="shared" si="1"/>
        <v>1245</v>
      </c>
      <c r="L28" s="3"/>
      <c r="M28" t="s">
        <v>215</v>
      </c>
      <c r="N28" s="100">
        <f>N27-N22</f>
        <v>9.0042852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1609290000</v>
      </c>
      <c r="F29">
        <f t="shared" si="1"/>
        <v>1315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1611266400</v>
      </c>
      <c r="F31">
        <f t="shared" si="1"/>
        <v>1197</v>
      </c>
      <c r="M31" s="75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1611266400</v>
      </c>
      <c r="F32">
        <f t="shared" si="1"/>
        <v>992</v>
      </c>
      <c r="M32" s="75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212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J32" sqref="J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4" t="s">
        <v>197</v>
      </c>
      <c r="F1" s="71"/>
      <c r="G1" s="71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198</v>
      </c>
      <c r="H5" s="2" t="s">
        <v>105</v>
      </c>
      <c r="I5" s="2" t="s">
        <v>179</v>
      </c>
      <c r="J5" s="2" t="s">
        <v>170</v>
      </c>
      <c r="K5" s="2" t="s">
        <v>180</v>
      </c>
      <c r="L5" s="2" t="s">
        <v>181</v>
      </c>
      <c r="M5" s="2" t="s">
        <v>192</v>
      </c>
      <c r="N5" s="2" t="s">
        <v>184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7">
        <v>3</v>
      </c>
      <c r="I6" s="58">
        <v>0</v>
      </c>
      <c r="J6" s="58">
        <v>0</v>
      </c>
      <c r="K6" s="58">
        <v>1000</v>
      </c>
      <c r="L6" s="58">
        <f>MOD(D4,10000)</f>
        <v>999</v>
      </c>
      <c r="M6" s="58"/>
      <c r="N6" s="58"/>
      <c r="O6" t="s">
        <v>194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3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3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79">
        <v>2</v>
      </c>
      <c r="I8" s="80">
        <v>2</v>
      </c>
      <c r="J8" s="80">
        <v>1</v>
      </c>
      <c r="K8" s="80">
        <v>1000</v>
      </c>
      <c r="L8" s="84">
        <f>F6</f>
        <v>1727</v>
      </c>
      <c r="M8" s="55">
        <f>INT(K8+L8*0.95)</f>
        <v>2640</v>
      </c>
      <c r="N8" s="81">
        <f>L8*K8/1000*0.05</f>
        <v>86.350000000000009</v>
      </c>
      <c r="O8" s="25" t="s">
        <v>106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6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105</v>
      </c>
      <c r="I12" s="2" t="s">
        <v>179</v>
      </c>
      <c r="J12" s="2" t="s">
        <v>170</v>
      </c>
      <c r="K12" s="2" t="s">
        <v>180</v>
      </c>
      <c r="L12" s="2" t="s">
        <v>182</v>
      </c>
      <c r="M12" s="2" t="s">
        <v>192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190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190</v>
      </c>
      <c r="H14" s="1">
        <v>2</v>
      </c>
      <c r="I14">
        <v>3</v>
      </c>
      <c r="J14">
        <v>0</v>
      </c>
      <c r="K14" s="71">
        <v>1000</v>
      </c>
      <c r="L14">
        <v>1950</v>
      </c>
      <c r="M14" s="76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190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193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196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191</v>
      </c>
      <c r="H18" s="77">
        <v>3</v>
      </c>
      <c r="I18" s="58">
        <v>2</v>
      </c>
      <c r="J18" s="58">
        <v>1</v>
      </c>
      <c r="K18" s="52">
        <f>(L13-1000)/1000*K13</f>
        <v>1500</v>
      </c>
      <c r="L18" s="52">
        <f>(1+K13/K18)*1000</f>
        <v>1666.6666666666665</v>
      </c>
      <c r="M18" s="78">
        <f>INT(K18+(L18-1000)*0.95/1000*K18)</f>
        <v>2450</v>
      </c>
      <c r="N18" s="82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191</v>
      </c>
      <c r="H19" s="79">
        <v>3</v>
      </c>
      <c r="I19" s="80">
        <v>3</v>
      </c>
      <c r="J19" s="80">
        <v>1</v>
      </c>
      <c r="K19" s="55">
        <f>(L14-1000)/1000*K14</f>
        <v>950</v>
      </c>
      <c r="L19" s="55">
        <f>(1+K14/K19)*1000</f>
        <v>2052.6315789473683</v>
      </c>
      <c r="M19" s="78">
        <f>INT(K19+(L19-1000)*0.95/1000*K19)</f>
        <v>1900</v>
      </c>
      <c r="N19" s="82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188</v>
      </c>
      <c r="K20" t="s">
        <v>187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183</v>
      </c>
      <c r="J21" s="4">
        <v>10000</v>
      </c>
      <c r="K21" s="89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186</v>
      </c>
      <c r="K24" s="85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185</v>
      </c>
      <c r="K25" s="91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6">
        <v>20590</v>
      </c>
      <c r="I26" t="s">
        <v>76</v>
      </c>
      <c r="J26" s="4">
        <v>20000</v>
      </c>
      <c r="K26" s="92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6">
        <v>10900</v>
      </c>
      <c r="I27" t="s">
        <v>77</v>
      </c>
      <c r="J27" s="4">
        <v>20000</v>
      </c>
      <c r="K27" s="90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33" sqref="E33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1" t="s">
        <v>233</v>
      </c>
    </row>
    <row r="12" spans="3:5" x14ac:dyDescent="0.25">
      <c r="D12" t="s">
        <v>43</v>
      </c>
      <c r="E12" s="71" t="s">
        <v>234</v>
      </c>
    </row>
    <row r="13" spans="3:5" x14ac:dyDescent="0.25">
      <c r="D13" t="s">
        <v>44</v>
      </c>
      <c r="E13" s="71" t="s">
        <v>235</v>
      </c>
    </row>
    <row r="15" spans="3:5" x14ac:dyDescent="0.25">
      <c r="C15" t="s">
        <v>239</v>
      </c>
    </row>
    <row r="16" spans="3:5" x14ac:dyDescent="0.25">
      <c r="C16" t="s">
        <v>236</v>
      </c>
    </row>
    <row r="17" spans="3:5" x14ac:dyDescent="0.25">
      <c r="C17" t="s">
        <v>68</v>
      </c>
    </row>
    <row r="18" spans="3:5" x14ac:dyDescent="0.25">
      <c r="D18" s="71" t="s">
        <v>78</v>
      </c>
    </row>
    <row r="19" spans="3:5" x14ac:dyDescent="0.25">
      <c r="D19" s="71" t="s">
        <v>79</v>
      </c>
    </row>
    <row r="20" spans="3:5" x14ac:dyDescent="0.25">
      <c r="D20" s="71" t="s">
        <v>237</v>
      </c>
      <c r="E20" s="71"/>
    </row>
    <row r="22" spans="3:5" x14ac:dyDescent="0.25">
      <c r="C22" t="s">
        <v>238</v>
      </c>
    </row>
    <row r="23" spans="3:5" x14ac:dyDescent="0.25">
      <c r="C23" t="s">
        <v>69</v>
      </c>
    </row>
    <row r="24" spans="3:5" x14ac:dyDescent="0.25">
      <c r="D24" s="71" t="s">
        <v>137</v>
      </c>
      <c r="E24" s="71"/>
    </row>
    <row r="25" spans="3:5" x14ac:dyDescent="0.25">
      <c r="D25" s="71" t="s">
        <v>136</v>
      </c>
      <c r="E25" s="71"/>
    </row>
    <row r="26" spans="3:5" x14ac:dyDescent="0.25">
      <c r="D26" s="71" t="s">
        <v>240</v>
      </c>
      <c r="E26" s="71"/>
    </row>
    <row r="35" spans="5:5" x14ac:dyDescent="0.25">
      <c r="E3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zoomScale="75" zoomScaleNormal="75" workbookViewId="0">
      <selection activeCell="G46" sqref="G46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D8" s="87">
        <v>20000000</v>
      </c>
      <c r="F8" t="s">
        <v>221</v>
      </c>
      <c r="H8" t="s">
        <v>220</v>
      </c>
      <c r="Q8" s="13"/>
      <c r="R8" s="13"/>
      <c r="T8"/>
      <c r="V8" s="13"/>
      <c r="W8" s="13"/>
    </row>
    <row r="9" spans="2:23" x14ac:dyDescent="0.25">
      <c r="B9" s="87"/>
      <c r="F9" t="s">
        <v>222</v>
      </c>
      <c r="H9" t="s">
        <v>249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148</v>
      </c>
      <c r="C13" t="s">
        <v>250</v>
      </c>
      <c r="D13" s="2" t="s">
        <v>241</v>
      </c>
      <c r="E13" s="2" t="s">
        <v>242</v>
      </c>
      <c r="F13" s="2" t="s">
        <v>243</v>
      </c>
      <c r="G13" s="2" t="s">
        <v>244</v>
      </c>
      <c r="H13" s="2" t="s">
        <v>245</v>
      </c>
      <c r="I13" s="2" t="s">
        <v>246</v>
      </c>
      <c r="J13" s="2" t="s">
        <v>247</v>
      </c>
      <c r="K13" s="2" t="s">
        <v>248</v>
      </c>
      <c r="T13"/>
    </row>
    <row r="14" spans="2:23" x14ac:dyDescent="0.25">
      <c r="P14" s="25"/>
      <c r="T14"/>
    </row>
    <row r="15" spans="2:23" x14ac:dyDescent="0.25">
      <c r="B15" t="s">
        <v>139</v>
      </c>
      <c r="P15" s="25"/>
      <c r="T15"/>
    </row>
    <row r="16" spans="2:23" ht="15.75" thickBot="1" x14ac:dyDescent="0.3">
      <c r="C16" s="4"/>
      <c r="D16" s="4"/>
      <c r="E16" s="4"/>
      <c r="F16" s="4"/>
      <c r="G16" s="4"/>
      <c r="H16" s="4">
        <v>12.85</v>
      </c>
      <c r="I16" s="4"/>
      <c r="J16" s="4"/>
      <c r="K16" s="4"/>
      <c r="T16"/>
    </row>
    <row r="17" spans="2:20" ht="15.75" thickBot="1" x14ac:dyDescent="0.3">
      <c r="B17" s="30" t="s">
        <v>141</v>
      </c>
      <c r="C17" s="52">
        <v>600000</v>
      </c>
      <c r="D17" s="52">
        <f>C17</f>
        <v>600000</v>
      </c>
      <c r="E17" s="52">
        <f>D17</f>
        <v>600000</v>
      </c>
      <c r="F17" s="52">
        <v>500000</v>
      </c>
      <c r="G17" s="52">
        <f>F17</f>
        <v>500000</v>
      </c>
      <c r="H17" s="52">
        <f>G17</f>
        <v>500000</v>
      </c>
      <c r="I17" s="52">
        <f>H17</f>
        <v>500000</v>
      </c>
      <c r="J17" s="53">
        <f>H17</f>
        <v>500000</v>
      </c>
      <c r="K17" s="21"/>
      <c r="T17"/>
    </row>
    <row r="18" spans="2:20" x14ac:dyDescent="0.25">
      <c r="B18" s="34" t="s">
        <v>142</v>
      </c>
      <c r="C18" s="4">
        <v>400000</v>
      </c>
      <c r="D18" s="52">
        <f>C18</f>
        <v>400000</v>
      </c>
      <c r="E18" s="52">
        <f>D18</f>
        <v>400000</v>
      </c>
      <c r="F18" s="4">
        <v>350000</v>
      </c>
      <c r="G18" s="52">
        <f>F18</f>
        <v>350000</v>
      </c>
      <c r="H18" s="52">
        <f>G18</f>
        <v>350000</v>
      </c>
      <c r="I18" s="4">
        <f t="shared" ref="I18:I19" si="0">H18</f>
        <v>350000</v>
      </c>
      <c r="J18" s="54">
        <f t="shared" ref="J18:J19" si="1">H18</f>
        <v>350000</v>
      </c>
      <c r="K18" s="21"/>
      <c r="T18"/>
    </row>
    <row r="19" spans="2:20" x14ac:dyDescent="0.25">
      <c r="B19" s="103" t="s">
        <v>144</v>
      </c>
      <c r="C19" s="104"/>
      <c r="D19" s="104"/>
      <c r="E19" s="104"/>
      <c r="F19" s="104"/>
      <c r="G19" s="104"/>
      <c r="H19" s="104">
        <f>INT(H23/G25)</f>
        <v>172588</v>
      </c>
      <c r="I19" s="104">
        <f t="shared" si="0"/>
        <v>172588</v>
      </c>
      <c r="J19" s="105">
        <f t="shared" si="1"/>
        <v>172588</v>
      </c>
      <c r="K19" s="21"/>
      <c r="T19"/>
    </row>
    <row r="20" spans="2:20" ht="15.75" thickBot="1" x14ac:dyDescent="0.3">
      <c r="B20" s="38" t="s">
        <v>140</v>
      </c>
      <c r="C20" s="55">
        <f t="shared" ref="C20:J20" si="2">SUM(C17:C19)</f>
        <v>1000000</v>
      </c>
      <c r="D20" s="55">
        <f t="shared" si="2"/>
        <v>1000000</v>
      </c>
      <c r="E20" s="55">
        <f t="shared" si="2"/>
        <v>1000000</v>
      </c>
      <c r="F20" s="55">
        <f t="shared" si="2"/>
        <v>850000</v>
      </c>
      <c r="G20" s="55">
        <f t="shared" si="2"/>
        <v>850000</v>
      </c>
      <c r="H20" s="55">
        <f t="shared" si="2"/>
        <v>1022588</v>
      </c>
      <c r="I20" s="55">
        <f t="shared" si="2"/>
        <v>1022588</v>
      </c>
      <c r="J20" s="55">
        <f t="shared" si="2"/>
        <v>1022588</v>
      </c>
      <c r="T20"/>
    </row>
    <row r="21" spans="2:20" x14ac:dyDescent="0.25">
      <c r="B21" s="34" t="s">
        <v>145</v>
      </c>
      <c r="C21" s="3">
        <v>60</v>
      </c>
      <c r="D21" s="3">
        <f>D17/D20*D24</f>
        <v>63</v>
      </c>
      <c r="E21" s="3">
        <f t="shared" ref="E21:J21" si="3">E17/E20*E24</f>
        <v>66</v>
      </c>
      <c r="F21" s="3">
        <f>F17/F20*F24</f>
        <v>55</v>
      </c>
      <c r="G21" s="3">
        <f t="shared" si="3"/>
        <v>57.941176470588239</v>
      </c>
      <c r="H21" s="3">
        <f t="shared" si="3"/>
        <v>57.941223640410414</v>
      </c>
      <c r="I21" s="3">
        <f t="shared" si="3"/>
        <v>60.386001009204101</v>
      </c>
      <c r="J21" s="59">
        <f t="shared" si="3"/>
        <v>62.830778377997788</v>
      </c>
      <c r="K21" s="350" t="s">
        <v>145</v>
      </c>
      <c r="P21" s="25"/>
      <c r="T21"/>
    </row>
    <row r="22" spans="2:20" x14ac:dyDescent="0.25">
      <c r="B22" s="34" t="s">
        <v>146</v>
      </c>
      <c r="C22" s="3">
        <v>40</v>
      </c>
      <c r="D22" s="3">
        <f>D18/D20*D24</f>
        <v>42</v>
      </c>
      <c r="E22" s="3">
        <f t="shared" ref="E22:J22" si="4">E18/E20*E24</f>
        <v>44</v>
      </c>
      <c r="F22" s="3">
        <f t="shared" si="4"/>
        <v>38.5</v>
      </c>
      <c r="G22" s="3">
        <f t="shared" si="4"/>
        <v>40.558823529411761</v>
      </c>
      <c r="H22" s="3">
        <f t="shared" si="4"/>
        <v>40.558856548287281</v>
      </c>
      <c r="I22" s="3">
        <f t="shared" si="4"/>
        <v>42.270200706442864</v>
      </c>
      <c r="J22" s="59">
        <f t="shared" si="4"/>
        <v>43.981544864598447</v>
      </c>
      <c r="K22" s="351" t="s">
        <v>146</v>
      </c>
      <c r="P22" s="25"/>
      <c r="T22"/>
    </row>
    <row r="23" spans="2:20" ht="15.75" thickBot="1" x14ac:dyDescent="0.3">
      <c r="B23" s="103" t="s">
        <v>147</v>
      </c>
      <c r="C23" s="130"/>
      <c r="D23" s="130"/>
      <c r="E23" s="130"/>
      <c r="F23" s="130"/>
      <c r="G23" s="130"/>
      <c r="H23" s="130">
        <v>20</v>
      </c>
      <c r="I23" s="130">
        <f>I19/I20*I24</f>
        <v>20.843798284353035</v>
      </c>
      <c r="J23" s="132">
        <f>J19/J20*J24</f>
        <v>21.687676757403764</v>
      </c>
      <c r="K23" s="352" t="s">
        <v>147</v>
      </c>
      <c r="P23" s="25"/>
      <c r="T23"/>
    </row>
    <row r="24" spans="2:20" x14ac:dyDescent="0.25">
      <c r="B24" s="34" t="s">
        <v>138</v>
      </c>
      <c r="C24" s="3">
        <f>SUM(C21:C23)</f>
        <v>100</v>
      </c>
      <c r="D24" s="3">
        <f>C24+D26</f>
        <v>105</v>
      </c>
      <c r="E24" s="3">
        <f>D24+E26</f>
        <v>110</v>
      </c>
      <c r="F24" s="46">
        <f>E24+(F17-E17)*E25+(F18-E18)*E25</f>
        <v>93.5</v>
      </c>
      <c r="G24" s="46">
        <f>F24+G26</f>
        <v>98.5</v>
      </c>
      <c r="H24" s="46">
        <f>G24+H23</f>
        <v>118.5</v>
      </c>
      <c r="I24" s="46">
        <f>H24+I26</f>
        <v>123.5</v>
      </c>
      <c r="J24" s="46">
        <f>I24+J26</f>
        <v>128.5</v>
      </c>
      <c r="T24"/>
    </row>
    <row r="25" spans="2:20" ht="15.75" thickBot="1" x14ac:dyDescent="0.3">
      <c r="B25" s="38" t="s">
        <v>143</v>
      </c>
      <c r="C25" s="131">
        <f t="shared" ref="C25:E25" si="5">C24/C20</f>
        <v>1E-4</v>
      </c>
      <c r="D25" s="348">
        <f>D24/D20</f>
        <v>1.05E-4</v>
      </c>
      <c r="E25" s="131">
        <f t="shared" si="5"/>
        <v>1.1E-4</v>
      </c>
      <c r="F25" s="131">
        <f>F24/F20</f>
        <v>1.1E-4</v>
      </c>
      <c r="G25" s="131">
        <f>G24/G20</f>
        <v>1.1588235294117647E-4</v>
      </c>
      <c r="H25" s="131">
        <f>H24/H20</f>
        <v>1.1588244728082082E-4</v>
      </c>
      <c r="I25" s="131">
        <f>I24/I20</f>
        <v>1.207720020184082E-4</v>
      </c>
      <c r="J25" s="131">
        <f>J24/J20</f>
        <v>1.2566155675599558E-4</v>
      </c>
      <c r="T25"/>
    </row>
    <row r="26" spans="2:20" ht="15.75" thickBot="1" x14ac:dyDescent="0.3">
      <c r="B26" s="34" t="s">
        <v>280</v>
      </c>
      <c r="C26" s="4"/>
      <c r="D26" s="349">
        <v>5</v>
      </c>
      <c r="E26" s="349">
        <v>5</v>
      </c>
      <c r="F26" s="349">
        <f t="shared" ref="F26" si="6">F25/E25-1</f>
        <v>0</v>
      </c>
      <c r="G26" s="349">
        <v>5</v>
      </c>
      <c r="H26" s="349">
        <v>0</v>
      </c>
      <c r="I26" s="349">
        <v>5</v>
      </c>
      <c r="J26" s="349">
        <v>5</v>
      </c>
      <c r="R26" s="88"/>
      <c r="T26"/>
    </row>
    <row r="27" spans="2:20" x14ac:dyDescent="0.25">
      <c r="B27" s="30" t="s">
        <v>217</v>
      </c>
      <c r="C27" s="52">
        <v>510000000</v>
      </c>
      <c r="D27" s="52">
        <f>C17/C20*30000000+C27</f>
        <v>528000000</v>
      </c>
      <c r="E27" s="52">
        <f>D17/D20*30000000+D27</f>
        <v>546000000</v>
      </c>
      <c r="F27" s="52">
        <f>E27</f>
        <v>546000000</v>
      </c>
      <c r="G27" s="52">
        <f>G17/G20*30000000+F27</f>
        <v>563647058.82352936</v>
      </c>
      <c r="H27" s="52">
        <f>G27</f>
        <v>563647058.82352936</v>
      </c>
      <c r="I27" s="52">
        <f>H27</f>
        <v>563647058.82352936</v>
      </c>
      <c r="J27" s="78">
        <f>J17/J20*30000000+I27</f>
        <v>578315723.03629148</v>
      </c>
      <c r="K27" s="341" t="s">
        <v>217</v>
      </c>
      <c r="L27" s="4"/>
      <c r="P27" s="25"/>
      <c r="R27" s="88"/>
      <c r="T27"/>
    </row>
    <row r="28" spans="2:20" x14ac:dyDescent="0.25">
      <c r="B28" s="34" t="s">
        <v>218</v>
      </c>
      <c r="C28" s="4"/>
      <c r="D28" s="4">
        <f>C28+C18/C20*30000000</f>
        <v>12000000</v>
      </c>
      <c r="E28" s="4">
        <f>D28+D18/D20*30000000</f>
        <v>24000000</v>
      </c>
      <c r="F28" s="4">
        <f>E28</f>
        <v>24000000</v>
      </c>
      <c r="G28" s="4">
        <f>F28+G18/G20*30000000</f>
        <v>36352941.176470585</v>
      </c>
      <c r="H28" s="4">
        <f>G28</f>
        <v>36352941.176470585</v>
      </c>
      <c r="I28" s="4">
        <f>H28+I18/I20*30000000</f>
        <v>46621006.125404075</v>
      </c>
      <c r="J28" s="76">
        <f>I28+J18/J20*30000000</f>
        <v>56889071.074337564</v>
      </c>
      <c r="K28" s="342" t="s">
        <v>218</v>
      </c>
      <c r="L28" s="4"/>
      <c r="P28" s="25"/>
      <c r="T28"/>
    </row>
    <row r="29" spans="2:20" ht="15.75" thickBot="1" x14ac:dyDescent="0.3">
      <c r="B29" s="103" t="s">
        <v>219</v>
      </c>
      <c r="C29" s="104"/>
      <c r="D29" s="104"/>
      <c r="E29" s="104"/>
      <c r="F29" s="104"/>
      <c r="G29" s="104"/>
      <c r="H29" s="104"/>
      <c r="I29" s="4">
        <f>INT(I19)/I20*30000000</f>
        <v>5063270.8383043809</v>
      </c>
      <c r="J29" s="76">
        <f>J19/J20*30000000+I29</f>
        <v>10126541.676608762</v>
      </c>
      <c r="K29" s="343" t="s">
        <v>219</v>
      </c>
      <c r="L29" s="4"/>
      <c r="T29"/>
    </row>
    <row r="30" spans="2:20" ht="15.75" thickBot="1" x14ac:dyDescent="0.3">
      <c r="B30" s="38" t="s">
        <v>252</v>
      </c>
      <c r="C30" s="55">
        <f>SUM(C27:C29)</f>
        <v>510000000</v>
      </c>
      <c r="D30" s="55">
        <f t="shared" ref="D30:J30" si="7">SUM(D27:D29)</f>
        <v>540000000</v>
      </c>
      <c r="E30" s="55">
        <f t="shared" si="7"/>
        <v>570000000</v>
      </c>
      <c r="F30" s="55">
        <f t="shared" si="7"/>
        <v>570000000</v>
      </c>
      <c r="G30" s="55">
        <f t="shared" si="7"/>
        <v>600000000</v>
      </c>
      <c r="H30" s="55">
        <f t="shared" si="7"/>
        <v>600000000</v>
      </c>
      <c r="I30" s="55">
        <f t="shared" si="7"/>
        <v>615331335.78723788</v>
      </c>
      <c r="J30" s="55">
        <f t="shared" si="7"/>
        <v>645331335.78723788</v>
      </c>
      <c r="L30" s="4"/>
      <c r="T30"/>
    </row>
    <row r="31" spans="2:20" x14ac:dyDescent="0.25">
      <c r="B31" s="30" t="s">
        <v>251</v>
      </c>
      <c r="C31" s="52">
        <f>C27</f>
        <v>510000000</v>
      </c>
      <c r="D31" s="52">
        <f>D27-C27</f>
        <v>18000000</v>
      </c>
      <c r="E31" s="52">
        <f t="shared" ref="E31" si="8">E27-D27</f>
        <v>18000000</v>
      </c>
      <c r="F31" s="52">
        <f t="shared" ref="F31:F33" si="9">F27-E27</f>
        <v>0</v>
      </c>
      <c r="G31" s="52">
        <f t="shared" ref="G31:G33" si="10">G27-F27</f>
        <v>17647058.823529363</v>
      </c>
      <c r="H31" s="52">
        <f t="shared" ref="H31:H33" si="11">H27-G27</f>
        <v>0</v>
      </c>
      <c r="I31" s="52">
        <f t="shared" ref="I31:I33" si="12">I27-H27</f>
        <v>0</v>
      </c>
      <c r="J31" s="52">
        <f t="shared" ref="J31:J33" si="13">J27-I27</f>
        <v>14668664.212762117</v>
      </c>
      <c r="T31"/>
    </row>
    <row r="32" spans="2:20" x14ac:dyDescent="0.25">
      <c r="B32" s="34" t="s">
        <v>253</v>
      </c>
      <c r="C32" s="4">
        <v>0</v>
      </c>
      <c r="D32" s="4">
        <f t="shared" ref="D32:E32" si="14">D28-C28</f>
        <v>12000000</v>
      </c>
      <c r="E32" s="4">
        <f t="shared" si="14"/>
        <v>12000000</v>
      </c>
      <c r="F32" s="4">
        <f t="shared" si="9"/>
        <v>0</v>
      </c>
      <c r="G32" s="4">
        <f t="shared" si="10"/>
        <v>12352941.176470585</v>
      </c>
      <c r="H32" s="4">
        <f t="shared" si="11"/>
        <v>0</v>
      </c>
      <c r="I32" s="4">
        <f t="shared" si="12"/>
        <v>10268064.94893349</v>
      </c>
      <c r="J32" s="4">
        <f t="shared" si="13"/>
        <v>10268064.94893349</v>
      </c>
      <c r="T32"/>
    </row>
    <row r="33" spans="2:20" x14ac:dyDescent="0.25">
      <c r="B33" s="103" t="s">
        <v>254</v>
      </c>
      <c r="C33" s="104"/>
      <c r="D33" s="104">
        <f t="shared" ref="D33:E33" si="15">D29-C29</f>
        <v>0</v>
      </c>
      <c r="E33" s="104">
        <f t="shared" si="15"/>
        <v>0</v>
      </c>
      <c r="F33" s="104">
        <f t="shared" si="9"/>
        <v>0</v>
      </c>
      <c r="G33" s="104">
        <f t="shared" si="10"/>
        <v>0</v>
      </c>
      <c r="H33" s="104">
        <f t="shared" si="11"/>
        <v>0</v>
      </c>
      <c r="I33" s="104">
        <f t="shared" si="12"/>
        <v>5063270.8383043809</v>
      </c>
      <c r="J33" s="104">
        <f t="shared" si="13"/>
        <v>5063270.8383043809</v>
      </c>
      <c r="T33"/>
    </row>
    <row r="34" spans="2:20" ht="15.75" thickBot="1" x14ac:dyDescent="0.3">
      <c r="B34" s="102"/>
      <c r="C34" s="55">
        <f>SUM(C31:C33)</f>
        <v>510000000</v>
      </c>
      <c r="D34" s="106">
        <f t="shared" ref="D34:J34" si="16">SUM(D31:D33)</f>
        <v>30000000</v>
      </c>
      <c r="E34" s="106">
        <f>SUM(E31:E33)</f>
        <v>30000000</v>
      </c>
      <c r="F34" s="106">
        <f t="shared" si="16"/>
        <v>0</v>
      </c>
      <c r="G34" s="106">
        <f t="shared" ref="G34" si="17">SUM(G31:G33)</f>
        <v>29999999.999999948</v>
      </c>
      <c r="H34" s="106">
        <f t="shared" si="16"/>
        <v>0</v>
      </c>
      <c r="I34" s="106"/>
      <c r="J34" s="106">
        <f t="shared" si="16"/>
        <v>29999999.999999989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61"/>
      <c r="F36" s="3"/>
      <c r="G36" s="3"/>
      <c r="H36" s="3"/>
      <c r="I36" s="4"/>
      <c r="J36" s="339"/>
      <c r="T36"/>
    </row>
    <row r="37" spans="2:20" x14ac:dyDescent="0.25">
      <c r="C37" s="4"/>
      <c r="D37" s="4"/>
      <c r="E37" s="340"/>
      <c r="F37" s="21"/>
      <c r="G37" s="4"/>
      <c r="H37" s="4"/>
      <c r="I37" s="4"/>
      <c r="J37" s="4"/>
      <c r="T37"/>
    </row>
    <row r="38" spans="2:20" x14ac:dyDescent="0.25">
      <c r="C38" s="340"/>
      <c r="D38" s="338"/>
      <c r="E38" s="340"/>
      <c r="F38" s="21"/>
      <c r="G38" s="338"/>
      <c r="H38" s="3"/>
      <c r="I38" s="4"/>
      <c r="J38" s="4"/>
      <c r="T38"/>
    </row>
    <row r="39" spans="2:20" ht="16.5" x14ac:dyDescent="0.3">
      <c r="B39" s="57"/>
      <c r="C39" s="4"/>
      <c r="D39" s="4"/>
      <c r="E39" s="1"/>
      <c r="F39" s="21"/>
      <c r="G39" s="46"/>
      <c r="H39" s="117"/>
      <c r="I39" s="4"/>
      <c r="J39" s="4"/>
      <c r="T39"/>
    </row>
    <row r="40" spans="2:20" x14ac:dyDescent="0.25">
      <c r="B40" s="107"/>
      <c r="C40" s="340"/>
      <c r="D40" s="4"/>
      <c r="E40" s="3"/>
      <c r="F40" s="21"/>
      <c r="G40" s="8"/>
      <c r="H40" s="4"/>
      <c r="I40" s="4"/>
      <c r="K40" s="8"/>
      <c r="T40"/>
    </row>
    <row r="41" spans="2:20" x14ac:dyDescent="0.25">
      <c r="C41" s="4"/>
      <c r="D41" s="4"/>
      <c r="E41" s="75"/>
      <c r="F41" s="21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21"/>
      <c r="G42" s="46"/>
      <c r="H42" s="4"/>
      <c r="I42" s="4"/>
      <c r="J42" s="4"/>
      <c r="K42" s="25"/>
      <c r="T42"/>
    </row>
    <row r="43" spans="2:20" x14ac:dyDescent="0.25">
      <c r="C43" s="4"/>
      <c r="D43" s="4"/>
      <c r="E43" s="340"/>
      <c r="F43" s="21"/>
      <c r="G43" s="46"/>
      <c r="H43" s="4"/>
      <c r="I43" s="4"/>
      <c r="T43"/>
    </row>
    <row r="44" spans="2:20" x14ac:dyDescent="0.25">
      <c r="B44" s="4"/>
      <c r="C44" s="4"/>
      <c r="D44" s="4"/>
      <c r="E44" s="4"/>
      <c r="F44" s="21"/>
      <c r="G44" s="46"/>
      <c r="H44" s="4"/>
      <c r="I44" s="4"/>
    </row>
    <row r="45" spans="2:20" x14ac:dyDescent="0.25">
      <c r="D45" s="41"/>
      <c r="E45" s="340"/>
      <c r="F45" s="46"/>
      <c r="G45" s="46"/>
      <c r="J45" s="3"/>
    </row>
    <row r="46" spans="2:20" x14ac:dyDescent="0.25">
      <c r="F46" s="46"/>
      <c r="G46" s="46"/>
      <c r="I46" s="4"/>
      <c r="J46" s="4"/>
    </row>
    <row r="47" spans="2:20" x14ac:dyDescent="0.25">
      <c r="B47" s="86"/>
      <c r="I47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B272-D94F-4011-9858-A8CDADC50F7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opLeftCell="C47" zoomScale="75" zoomScaleNormal="75" workbookViewId="0">
      <selection activeCell="H15" sqref="H15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11.28515625" customWidth="1"/>
    <col min="24" max="24" width="11.7109375" customWidth="1"/>
    <col min="25" max="25" width="9.28515625" bestFit="1" customWidth="1"/>
    <col min="26" max="26" width="15.5703125" customWidth="1"/>
    <col min="27" max="27" width="15.85546875" customWidth="1"/>
    <col min="28" max="28" width="20" bestFit="1" customWidth="1"/>
    <col min="29" max="29" width="9.140625" style="2"/>
    <col min="30" max="30" width="16.85546875" bestFit="1" customWidth="1"/>
  </cols>
  <sheetData>
    <row r="1" spans="2:30" x14ac:dyDescent="0.25">
      <c r="B1" s="1" t="s">
        <v>45</v>
      </c>
      <c r="J1" s="61">
        <v>1E+18</v>
      </c>
    </row>
    <row r="2" spans="2:30" x14ac:dyDescent="0.25">
      <c r="H2" s="4">
        <f>25*1000</f>
        <v>25000</v>
      </c>
      <c r="I2" t="s">
        <v>255</v>
      </c>
      <c r="O2" t="s">
        <v>99</v>
      </c>
      <c r="S2" t="s">
        <v>100</v>
      </c>
    </row>
    <row r="3" spans="2:30" x14ac:dyDescent="0.25">
      <c r="B3" s="1" t="s">
        <v>55</v>
      </c>
      <c r="H3" s="25">
        <f>H2*0.8</f>
        <v>20000</v>
      </c>
      <c r="I3">
        <f>0.05*H3</f>
        <v>1000</v>
      </c>
      <c r="AB3" s="57">
        <v>1000000000</v>
      </c>
    </row>
    <row r="4" spans="2:30" ht="15.75" thickBot="1" x14ac:dyDescent="0.3">
      <c r="G4" s="2" t="s">
        <v>86</v>
      </c>
      <c r="H4" s="2" t="s">
        <v>270</v>
      </c>
      <c r="I4" s="2" t="s">
        <v>85</v>
      </c>
      <c r="J4" s="2" t="s">
        <v>160</v>
      </c>
      <c r="K4" s="2" t="s">
        <v>161</v>
      </c>
      <c r="L4" s="2" t="s">
        <v>54</v>
      </c>
      <c r="M4" s="2" t="s">
        <v>83</v>
      </c>
      <c r="N4" s="2" t="s">
        <v>84</v>
      </c>
      <c r="O4" s="2" t="s">
        <v>160</v>
      </c>
      <c r="P4" s="2" t="s">
        <v>161</v>
      </c>
      <c r="Q4" s="2" t="s">
        <v>54</v>
      </c>
      <c r="R4" s="2"/>
      <c r="S4" s="2" t="s">
        <v>82</v>
      </c>
      <c r="T4" s="2" t="s">
        <v>113</v>
      </c>
      <c r="U4" s="2" t="s">
        <v>114</v>
      </c>
      <c r="V4" s="2"/>
      <c r="AA4" s="2" t="s">
        <v>162</v>
      </c>
      <c r="AB4" s="2" t="s">
        <v>163</v>
      </c>
    </row>
    <row r="5" spans="2:30" s="133" customFormat="1" x14ac:dyDescent="0.25">
      <c r="B5" s="133" t="s">
        <v>59</v>
      </c>
      <c r="F5" s="133">
        <v>1</v>
      </c>
      <c r="I5" s="134" t="s">
        <v>154</v>
      </c>
      <c r="J5" s="135">
        <v>250</v>
      </c>
      <c r="K5" s="135">
        <v>0</v>
      </c>
      <c r="L5" s="135">
        <v>0</v>
      </c>
      <c r="M5" s="135">
        <f>SUM(J5:L5)</f>
        <v>250</v>
      </c>
      <c r="N5" s="112">
        <v>0</v>
      </c>
      <c r="O5" s="136"/>
      <c r="P5" s="137"/>
      <c r="Q5" s="138"/>
      <c r="X5" s="139" t="s">
        <v>189</v>
      </c>
      <c r="Y5" s="139" t="s">
        <v>85</v>
      </c>
      <c r="Z5" s="139" t="s">
        <v>149</v>
      </c>
      <c r="AA5" s="139" t="s">
        <v>164</v>
      </c>
      <c r="AB5" s="139"/>
      <c r="AC5" s="140"/>
    </row>
    <row r="6" spans="2:30" s="133" customFormat="1" ht="15.75" thickBot="1" x14ac:dyDescent="0.3">
      <c r="C6" s="133" t="s">
        <v>57</v>
      </c>
      <c r="G6" s="141">
        <v>2</v>
      </c>
      <c r="H6" s="141">
        <v>0.1</v>
      </c>
      <c r="I6" s="142">
        <v>1</v>
      </c>
      <c r="J6" s="108">
        <v>250</v>
      </c>
      <c r="K6" s="108">
        <v>0</v>
      </c>
      <c r="L6" s="108">
        <v>0</v>
      </c>
      <c r="M6" s="108">
        <f t="shared" ref="M6:M14" si="0">SUM(J6:L6)</f>
        <v>250</v>
      </c>
      <c r="N6" s="109">
        <f>INT(H6*1000000000000/(M6*1000000))</f>
        <v>400</v>
      </c>
      <c r="O6" s="345">
        <f>(S6*$H6)</f>
        <v>0.1</v>
      </c>
      <c r="P6" s="110">
        <f>T6*$H6</f>
        <v>0</v>
      </c>
      <c r="Q6" s="111">
        <f>U6*$H6</f>
        <v>0</v>
      </c>
      <c r="S6" s="143">
        <f>J6/$M6</f>
        <v>1</v>
      </c>
      <c r="T6" s="143">
        <f>K6/$M6</f>
        <v>0</v>
      </c>
      <c r="U6" s="143">
        <f>L6/$M6</f>
        <v>0</v>
      </c>
      <c r="V6" s="143">
        <f>SUM(S6:U6)</f>
        <v>1</v>
      </c>
      <c r="Z6" s="144"/>
      <c r="AB6" s="145"/>
      <c r="AC6" s="140" t="s">
        <v>261</v>
      </c>
    </row>
    <row r="7" spans="2:30" s="133" customFormat="1" x14ac:dyDescent="0.25">
      <c r="C7" s="133" t="s">
        <v>58</v>
      </c>
      <c r="F7" s="133">
        <v>2</v>
      </c>
      <c r="G7" s="146"/>
      <c r="H7" s="141"/>
      <c r="I7" s="134" t="s">
        <v>155</v>
      </c>
      <c r="J7" s="135">
        <v>250</v>
      </c>
      <c r="K7" s="135">
        <v>150</v>
      </c>
      <c r="L7" s="135">
        <v>0</v>
      </c>
      <c r="M7" s="135">
        <f t="shared" si="0"/>
        <v>400</v>
      </c>
      <c r="N7" s="112">
        <f>N6</f>
        <v>400</v>
      </c>
      <c r="O7" s="346"/>
      <c r="P7" s="113"/>
      <c r="Q7" s="114"/>
      <c r="S7" s="143">
        <f t="shared" ref="S7:U14" si="1">J7/$M7</f>
        <v>0.625</v>
      </c>
      <c r="T7" s="143">
        <f t="shared" si="1"/>
        <v>0.375</v>
      </c>
      <c r="U7" s="143">
        <f t="shared" si="1"/>
        <v>0</v>
      </c>
      <c r="V7" s="143">
        <f t="shared" ref="V7:V14" si="2">SUM(S7:U7)</f>
        <v>1</v>
      </c>
      <c r="X7" s="133">
        <v>1</v>
      </c>
      <c r="Y7" s="133">
        <v>5</v>
      </c>
      <c r="Z7" s="144">
        <v>150000000</v>
      </c>
      <c r="AA7" s="344">
        <f>(P8+P10+P12)*1000</f>
        <v>97.5</v>
      </c>
      <c r="AB7" s="347">
        <f>Z7*INT((N12-N6))/AB$3</f>
        <v>97.5</v>
      </c>
      <c r="AC7" s="140" t="s">
        <v>261</v>
      </c>
      <c r="AD7" s="133">
        <v>97.5</v>
      </c>
    </row>
    <row r="8" spans="2:30" s="133" customFormat="1" ht="15.75" thickBot="1" x14ac:dyDescent="0.3">
      <c r="C8" s="133" t="s">
        <v>56</v>
      </c>
      <c r="G8" s="141">
        <v>2</v>
      </c>
      <c r="H8" s="141">
        <v>0.1</v>
      </c>
      <c r="I8" s="142">
        <v>2</v>
      </c>
      <c r="J8" s="108">
        <v>250</v>
      </c>
      <c r="K8" s="108">
        <v>150</v>
      </c>
      <c r="L8" s="108">
        <v>0</v>
      </c>
      <c r="M8" s="108">
        <f t="shared" si="0"/>
        <v>400</v>
      </c>
      <c r="N8" s="109">
        <f>INT(H8*1000000000000/(M8*1000000))+N6</f>
        <v>650</v>
      </c>
      <c r="O8" s="345">
        <f>(S8*$H8)</f>
        <v>6.25E-2</v>
      </c>
      <c r="P8" s="110">
        <f>T8*$H8</f>
        <v>3.7500000000000006E-2</v>
      </c>
      <c r="Q8" s="111">
        <f>U8*$H8</f>
        <v>0</v>
      </c>
      <c r="S8" s="143">
        <f t="shared" si="1"/>
        <v>0.625</v>
      </c>
      <c r="T8" s="143">
        <f t="shared" si="1"/>
        <v>0.375</v>
      </c>
      <c r="U8" s="143">
        <f t="shared" si="1"/>
        <v>0</v>
      </c>
      <c r="V8" s="143">
        <f t="shared" si="2"/>
        <v>1</v>
      </c>
      <c r="X8" s="133">
        <v>0</v>
      </c>
      <c r="Y8" s="133">
        <v>6</v>
      </c>
      <c r="Z8" s="144">
        <v>250000000</v>
      </c>
      <c r="AA8" s="356">
        <f>SUM(O6:O14)*1000</f>
        <v>333.92857142857144</v>
      </c>
      <c r="AB8" s="347">
        <f>Z8*((N14-N5))/AB3</f>
        <v>333.75</v>
      </c>
      <c r="AC8" s="140" t="s">
        <v>261</v>
      </c>
      <c r="AD8" s="133">
        <v>333.75</v>
      </c>
    </row>
    <row r="9" spans="2:30" s="133" customFormat="1" ht="15.75" thickBot="1" x14ac:dyDescent="0.3">
      <c r="F9" s="133">
        <v>3</v>
      </c>
      <c r="G9" s="146"/>
      <c r="H9" s="141"/>
      <c r="I9" s="134" t="s">
        <v>156</v>
      </c>
      <c r="J9" s="135">
        <v>250</v>
      </c>
      <c r="K9" s="135">
        <v>150</v>
      </c>
      <c r="L9" s="135">
        <v>100</v>
      </c>
      <c r="M9" s="135">
        <f t="shared" si="0"/>
        <v>500</v>
      </c>
      <c r="N9" s="112">
        <f>N8</f>
        <v>650</v>
      </c>
      <c r="O9" s="346"/>
      <c r="P9" s="113"/>
      <c r="Q9" s="114"/>
      <c r="S9" s="143">
        <f t="shared" si="1"/>
        <v>0.5</v>
      </c>
      <c r="T9" s="143">
        <f t="shared" si="1"/>
        <v>0.3</v>
      </c>
      <c r="U9" s="143">
        <f t="shared" si="1"/>
        <v>0.2</v>
      </c>
      <c r="V9" s="143">
        <f t="shared" si="2"/>
        <v>1</v>
      </c>
      <c r="X9" s="133">
        <v>2</v>
      </c>
      <c r="Y9" s="133">
        <v>6</v>
      </c>
      <c r="Z9" s="144">
        <v>100000000</v>
      </c>
      <c r="AA9" s="147">
        <f>(Q10+Q12+Q14)*1000</f>
        <v>68.571428571428569</v>
      </c>
      <c r="AB9" s="347">
        <f>Z9*INT((N14-N8))/AB3</f>
        <v>68.5</v>
      </c>
      <c r="AC9" s="140" t="s">
        <v>261</v>
      </c>
      <c r="AD9" s="133">
        <v>68.5</v>
      </c>
    </row>
    <row r="10" spans="2:30" s="133" customFormat="1" ht="15.75" thickBot="1" x14ac:dyDescent="0.3">
      <c r="G10" s="141">
        <v>2</v>
      </c>
      <c r="H10" s="141">
        <v>0.1</v>
      </c>
      <c r="I10" s="142">
        <v>3</v>
      </c>
      <c r="J10" s="108">
        <v>250</v>
      </c>
      <c r="K10" s="108">
        <v>150</v>
      </c>
      <c r="L10" s="108">
        <v>100</v>
      </c>
      <c r="M10" s="108">
        <f t="shared" si="0"/>
        <v>500</v>
      </c>
      <c r="N10" s="109">
        <f>INT(H10*1000000000000/(M10*1000000))+N8</f>
        <v>850</v>
      </c>
      <c r="O10" s="345">
        <f>(S10*$H10)</f>
        <v>0.05</v>
      </c>
      <c r="P10" s="110">
        <f>T10*$H10</f>
        <v>0.03</v>
      </c>
      <c r="Q10" s="111">
        <f>U10*$H10</f>
        <v>2.0000000000000004E-2</v>
      </c>
      <c r="S10" s="143">
        <f t="shared" si="1"/>
        <v>0.5</v>
      </c>
      <c r="T10" s="143">
        <f t="shared" si="1"/>
        <v>0.3</v>
      </c>
      <c r="U10" s="143">
        <f t="shared" si="1"/>
        <v>0.2</v>
      </c>
      <c r="V10" s="143">
        <f t="shared" si="2"/>
        <v>1</v>
      </c>
      <c r="Z10" s="144">
        <v>99999999</v>
      </c>
      <c r="AA10" s="145">
        <f>SUM(AA6:AA9)</f>
        <v>500</v>
      </c>
      <c r="AB10" s="148"/>
      <c r="AC10" s="140" t="s">
        <v>261</v>
      </c>
      <c r="AD10" s="133">
        <f>SUM(AD7:AD9)</f>
        <v>499.75</v>
      </c>
    </row>
    <row r="11" spans="2:30" s="133" customFormat="1" ht="15.75" thickBot="1" x14ac:dyDescent="0.3">
      <c r="B11" s="133" t="s">
        <v>85</v>
      </c>
      <c r="F11" s="133">
        <v>4</v>
      </c>
      <c r="G11" s="146"/>
      <c r="H11" s="141"/>
      <c r="I11" s="134" t="s">
        <v>157</v>
      </c>
      <c r="J11" s="108">
        <v>250</v>
      </c>
      <c r="K11" s="135">
        <v>150</v>
      </c>
      <c r="L11" s="135">
        <v>100</v>
      </c>
      <c r="M11" s="135">
        <f t="shared" si="0"/>
        <v>500</v>
      </c>
      <c r="N11" s="112">
        <f>N10</f>
        <v>850</v>
      </c>
      <c r="O11" s="346"/>
      <c r="P11" s="113"/>
      <c r="Q11" s="114"/>
      <c r="S11" s="143">
        <f t="shared" si="1"/>
        <v>0.5</v>
      </c>
      <c r="T11" s="143">
        <f t="shared" si="1"/>
        <v>0.3</v>
      </c>
      <c r="U11" s="143">
        <f t="shared" si="1"/>
        <v>0.2</v>
      </c>
      <c r="V11" s="143">
        <f t="shared" si="2"/>
        <v>1</v>
      </c>
      <c r="AC11" s="140" t="s">
        <v>261</v>
      </c>
    </row>
    <row r="12" spans="2:30" s="133" customFormat="1" ht="15.75" thickBot="1" x14ac:dyDescent="0.3">
      <c r="B12" s="133">
        <v>1</v>
      </c>
      <c r="C12" s="133" t="s">
        <v>98</v>
      </c>
      <c r="G12" s="141">
        <v>2</v>
      </c>
      <c r="H12" s="141">
        <v>0.1</v>
      </c>
      <c r="I12" s="142">
        <v>4</v>
      </c>
      <c r="J12" s="108">
        <v>250</v>
      </c>
      <c r="K12" s="108">
        <v>150</v>
      </c>
      <c r="L12" s="108">
        <v>100</v>
      </c>
      <c r="M12" s="108">
        <f t="shared" si="0"/>
        <v>500</v>
      </c>
      <c r="N12" s="109">
        <f>INT(H12*1000000000000/(M12*1000000))+N10</f>
        <v>1050</v>
      </c>
      <c r="O12" s="345">
        <f>(S12*$H12)</f>
        <v>0.05</v>
      </c>
      <c r="P12" s="110">
        <f>T12*$H12</f>
        <v>0.03</v>
      </c>
      <c r="Q12" s="111">
        <f>U12*$H12</f>
        <v>2.0000000000000004E-2</v>
      </c>
      <c r="S12" s="143">
        <f t="shared" si="1"/>
        <v>0.5</v>
      </c>
      <c r="T12" s="143">
        <f t="shared" si="1"/>
        <v>0.3</v>
      </c>
      <c r="U12" s="143">
        <f t="shared" si="1"/>
        <v>0.2</v>
      </c>
      <c r="V12" s="143">
        <f t="shared" si="2"/>
        <v>1</v>
      </c>
      <c r="AA12" s="146">
        <f>AA8+AA6</f>
        <v>333.92857142857144</v>
      </c>
      <c r="AC12" s="140" t="s">
        <v>261</v>
      </c>
    </row>
    <row r="13" spans="2:30" s="133" customFormat="1" ht="15.75" thickBot="1" x14ac:dyDescent="0.3">
      <c r="B13" s="133">
        <v>2</v>
      </c>
      <c r="C13" s="133" t="s">
        <v>97</v>
      </c>
      <c r="F13" s="133">
        <v>5</v>
      </c>
      <c r="G13" s="146"/>
      <c r="H13" s="141"/>
      <c r="I13" s="134" t="s">
        <v>158</v>
      </c>
      <c r="J13" s="108">
        <v>250</v>
      </c>
      <c r="K13" s="135">
        <v>0</v>
      </c>
      <c r="L13" s="135">
        <v>100</v>
      </c>
      <c r="M13" s="135">
        <f t="shared" si="0"/>
        <v>350</v>
      </c>
      <c r="N13" s="112">
        <f>N12</f>
        <v>1050</v>
      </c>
      <c r="O13" s="346"/>
      <c r="P13" s="113"/>
      <c r="Q13" s="114"/>
      <c r="S13" s="143">
        <f t="shared" si="1"/>
        <v>0.7142857142857143</v>
      </c>
      <c r="T13" s="143">
        <f t="shared" si="1"/>
        <v>0</v>
      </c>
      <c r="U13" s="143">
        <f t="shared" si="1"/>
        <v>0.2857142857142857</v>
      </c>
      <c r="V13" s="143">
        <f t="shared" si="2"/>
        <v>1</v>
      </c>
      <c r="AC13" s="140" t="s">
        <v>261</v>
      </c>
    </row>
    <row r="14" spans="2:30" s="133" customFormat="1" ht="15.75" thickBot="1" x14ac:dyDescent="0.3">
      <c r="B14" s="133">
        <v>3</v>
      </c>
      <c r="C14" s="133" t="s">
        <v>96</v>
      </c>
      <c r="G14" s="141">
        <v>2</v>
      </c>
      <c r="H14" s="141">
        <v>0.1</v>
      </c>
      <c r="I14" s="142">
        <v>5</v>
      </c>
      <c r="J14" s="108">
        <v>250</v>
      </c>
      <c r="K14" s="108">
        <v>0</v>
      </c>
      <c r="L14" s="108">
        <v>100</v>
      </c>
      <c r="M14" s="108">
        <f t="shared" si="0"/>
        <v>350</v>
      </c>
      <c r="N14" s="109">
        <f>INT(H14*1000000000000/(M14*1000000))+N12</f>
        <v>1335</v>
      </c>
      <c r="O14" s="345">
        <f>(S14*$H14)</f>
        <v>7.1428571428571438E-2</v>
      </c>
      <c r="P14" s="110">
        <f>T14*$H14</f>
        <v>0</v>
      </c>
      <c r="Q14" s="111">
        <f>U14*$H14</f>
        <v>2.8571428571428571E-2</v>
      </c>
      <c r="S14" s="143">
        <f t="shared" si="1"/>
        <v>0.7142857142857143</v>
      </c>
      <c r="T14" s="143">
        <f t="shared" si="1"/>
        <v>0</v>
      </c>
      <c r="U14" s="143">
        <f t="shared" si="1"/>
        <v>0.2857142857142857</v>
      </c>
      <c r="V14" s="143">
        <f t="shared" si="2"/>
        <v>1</v>
      </c>
      <c r="AC14" s="140"/>
    </row>
    <row r="15" spans="2:30" s="133" customFormat="1" x14ac:dyDescent="0.25">
      <c r="B15" s="133">
        <v>4</v>
      </c>
      <c r="C15" s="133" t="s">
        <v>165</v>
      </c>
      <c r="F15" s="133">
        <v>6</v>
      </c>
      <c r="G15" s="146"/>
      <c r="H15" s="141"/>
      <c r="I15" s="139" t="s">
        <v>159</v>
      </c>
      <c r="J15" s="144">
        <v>0</v>
      </c>
      <c r="K15" s="144">
        <v>0</v>
      </c>
      <c r="L15" s="144">
        <v>0</v>
      </c>
      <c r="M15" s="144">
        <v>0</v>
      </c>
      <c r="N15" s="149">
        <f>N14</f>
        <v>1335</v>
      </c>
      <c r="AC15" s="140"/>
    </row>
    <row r="16" spans="2:30" x14ac:dyDescent="0.25">
      <c r="B16" s="1">
        <v>5</v>
      </c>
      <c r="C16" t="s">
        <v>95</v>
      </c>
      <c r="G16" s="8"/>
      <c r="H16" s="46"/>
      <c r="I16" s="2"/>
      <c r="J16" s="4"/>
      <c r="K16" s="4"/>
      <c r="L16" s="4"/>
      <c r="M16" s="4"/>
      <c r="N16" s="87"/>
    </row>
    <row r="17" spans="2:29" x14ac:dyDescent="0.25">
      <c r="B17" s="1">
        <v>6</v>
      </c>
      <c r="C17" t="s">
        <v>94</v>
      </c>
      <c r="G17" t="s">
        <v>257</v>
      </c>
      <c r="I17" t="s">
        <v>256</v>
      </c>
      <c r="O17" t="s">
        <v>99</v>
      </c>
      <c r="S17" t="s">
        <v>100</v>
      </c>
    </row>
    <row r="18" spans="2:29" x14ac:dyDescent="0.25">
      <c r="C18" t="s">
        <v>93</v>
      </c>
    </row>
    <row r="19" spans="2:29" s="150" customFormat="1" ht="15.75" thickBot="1" x14ac:dyDescent="0.3">
      <c r="G19" s="151" t="s">
        <v>86</v>
      </c>
      <c r="H19" s="151" t="s">
        <v>87</v>
      </c>
      <c r="I19" s="151" t="s">
        <v>85</v>
      </c>
      <c r="J19" s="151" t="s">
        <v>160</v>
      </c>
      <c r="K19" s="151" t="s">
        <v>161</v>
      </c>
      <c r="L19" s="151" t="s">
        <v>54</v>
      </c>
      <c r="M19" s="151" t="s">
        <v>83</v>
      </c>
      <c r="N19" s="151" t="s">
        <v>84</v>
      </c>
      <c r="O19" s="151" t="s">
        <v>160</v>
      </c>
      <c r="P19" s="151" t="s">
        <v>161</v>
      </c>
      <c r="Q19" s="151" t="s">
        <v>54</v>
      </c>
      <c r="R19" s="151"/>
      <c r="S19" s="151" t="s">
        <v>82</v>
      </c>
      <c r="T19" s="151" t="s">
        <v>113</v>
      </c>
      <c r="U19" s="151" t="s">
        <v>114</v>
      </c>
      <c r="V19" s="151"/>
      <c r="AA19" s="151" t="s">
        <v>162</v>
      </c>
      <c r="AB19" s="151"/>
      <c r="AC19" s="152" t="s">
        <v>260</v>
      </c>
    </row>
    <row r="20" spans="2:29" s="150" customFormat="1" ht="15.75" thickBot="1" x14ac:dyDescent="0.3">
      <c r="B20" s="150">
        <v>250000000</v>
      </c>
      <c r="C20" s="153">
        <v>1000000000</v>
      </c>
      <c r="F20" s="150">
        <v>1</v>
      </c>
      <c r="H20" s="150">
        <v>0</v>
      </c>
      <c r="I20" s="154" t="s">
        <v>154</v>
      </c>
      <c r="J20" s="155">
        <v>250</v>
      </c>
      <c r="K20" s="155">
        <v>0</v>
      </c>
      <c r="L20" s="155">
        <v>0</v>
      </c>
      <c r="M20" s="155">
        <f>SUM(J20:L20)</f>
        <v>250</v>
      </c>
      <c r="N20" s="156">
        <v>0</v>
      </c>
      <c r="O20" s="157"/>
      <c r="P20" s="158"/>
      <c r="Q20" s="159"/>
      <c r="X20" s="151" t="s">
        <v>189</v>
      </c>
      <c r="Y20" s="151" t="s">
        <v>85</v>
      </c>
      <c r="Z20" s="151" t="s">
        <v>149</v>
      </c>
      <c r="AA20" s="151" t="s">
        <v>164</v>
      </c>
      <c r="AB20" s="151"/>
      <c r="AC20" s="152" t="s">
        <v>260</v>
      </c>
    </row>
    <row r="21" spans="2:29" s="150" customFormat="1" ht="15.75" thickBot="1" x14ac:dyDescent="0.3">
      <c r="B21" s="150">
        <v>150000000</v>
      </c>
      <c r="C21" s="153">
        <v>1000000000</v>
      </c>
      <c r="G21" s="160">
        <v>2</v>
      </c>
      <c r="H21" s="160">
        <f>G21*0.05</f>
        <v>0.1</v>
      </c>
      <c r="I21" s="161">
        <v>1</v>
      </c>
      <c r="J21" s="162">
        <v>250</v>
      </c>
      <c r="K21" s="162">
        <v>0</v>
      </c>
      <c r="L21" s="162">
        <v>0</v>
      </c>
      <c r="M21" s="162">
        <f t="shared" ref="M21:M29" si="3">SUM(J21:L21)</f>
        <v>250</v>
      </c>
      <c r="N21" s="163">
        <f>H21/M21</f>
        <v>4.0000000000000002E-4</v>
      </c>
      <c r="O21" s="164">
        <f>S21*$H21</f>
        <v>0.1</v>
      </c>
      <c r="P21" s="165">
        <f>T21*$H21</f>
        <v>0</v>
      </c>
      <c r="Q21" s="166">
        <f>U21*$H21</f>
        <v>0</v>
      </c>
      <c r="S21" s="167">
        <f>J21/$M21</f>
        <v>1</v>
      </c>
      <c r="T21" s="167">
        <f>K21/$M21</f>
        <v>0</v>
      </c>
      <c r="U21" s="167">
        <f>L21/$M21</f>
        <v>0</v>
      </c>
      <c r="V21" s="167">
        <f>SUM(S21:U21)</f>
        <v>1</v>
      </c>
      <c r="X21" s="150">
        <v>0</v>
      </c>
      <c r="Y21" s="150">
        <v>4</v>
      </c>
      <c r="Z21" s="168">
        <v>250000000</v>
      </c>
      <c r="AA21" s="353">
        <f>(O21+O23+O25)*1000</f>
        <v>212.50000000000003</v>
      </c>
      <c r="AB21" s="169"/>
      <c r="AC21" s="152" t="s">
        <v>260</v>
      </c>
    </row>
    <row r="22" spans="2:29" s="150" customFormat="1" x14ac:dyDescent="0.25">
      <c r="B22" s="150">
        <v>200000000</v>
      </c>
      <c r="C22" s="153">
        <v>1000000000</v>
      </c>
      <c r="F22" s="150">
        <v>2</v>
      </c>
      <c r="G22" s="170"/>
      <c r="H22" s="170">
        <v>1</v>
      </c>
      <c r="I22" s="154" t="s">
        <v>155</v>
      </c>
      <c r="J22" s="155">
        <v>250</v>
      </c>
      <c r="K22" s="155">
        <v>150</v>
      </c>
      <c r="L22" s="155">
        <v>0</v>
      </c>
      <c r="M22" s="155">
        <f t="shared" si="3"/>
        <v>400</v>
      </c>
      <c r="N22" s="156">
        <f>N21</f>
        <v>4.0000000000000002E-4</v>
      </c>
      <c r="O22" s="171"/>
      <c r="P22" s="172"/>
      <c r="Q22" s="173"/>
      <c r="S22" s="167">
        <f t="shared" ref="S22:S29" si="4">J22/$M22</f>
        <v>0.625</v>
      </c>
      <c r="T22" s="167">
        <f t="shared" ref="T22:T29" si="5">K22/$M22</f>
        <v>0.375</v>
      </c>
      <c r="U22" s="167">
        <f t="shared" ref="U22:U29" si="6">L22/$M22</f>
        <v>0</v>
      </c>
      <c r="V22" s="167">
        <f t="shared" ref="V22:V29" si="7">SUM(S22:U22)</f>
        <v>1</v>
      </c>
      <c r="X22" s="150">
        <v>1</v>
      </c>
      <c r="Y22" s="150">
        <v>5</v>
      </c>
      <c r="Z22" s="168">
        <v>150000000</v>
      </c>
      <c r="AA22" s="354">
        <f>(P23+P25+P27)*1000</f>
        <v>100.83333333333333</v>
      </c>
      <c r="AB22" s="169"/>
      <c r="AC22" s="152" t="s">
        <v>260</v>
      </c>
    </row>
    <row r="23" spans="2:29" s="150" customFormat="1" ht="15.75" thickBot="1" x14ac:dyDescent="0.3">
      <c r="B23" s="150">
        <v>100000000</v>
      </c>
      <c r="C23" s="153">
        <v>1000000000</v>
      </c>
      <c r="G23" s="160">
        <v>2</v>
      </c>
      <c r="H23" s="160">
        <f>G23*0.05</f>
        <v>0.1</v>
      </c>
      <c r="I23" s="161">
        <v>2</v>
      </c>
      <c r="J23" s="162">
        <v>250</v>
      </c>
      <c r="K23" s="162">
        <v>150</v>
      </c>
      <c r="L23" s="162">
        <v>0</v>
      </c>
      <c r="M23" s="162">
        <f t="shared" si="3"/>
        <v>400</v>
      </c>
      <c r="N23" s="163">
        <f>H23/M23+N21</f>
        <v>6.4999999999999997E-4</v>
      </c>
      <c r="O23" s="164">
        <f>S23*$H23</f>
        <v>6.25E-2</v>
      </c>
      <c r="P23" s="165">
        <f>T23*$H23</f>
        <v>3.7500000000000006E-2</v>
      </c>
      <c r="Q23" s="166">
        <f>U23*$H23</f>
        <v>0</v>
      </c>
      <c r="S23" s="167">
        <f t="shared" si="4"/>
        <v>0.625</v>
      </c>
      <c r="T23" s="167">
        <f t="shared" si="5"/>
        <v>0.375</v>
      </c>
      <c r="U23" s="167">
        <f t="shared" si="6"/>
        <v>0</v>
      </c>
      <c r="V23" s="167">
        <f t="shared" si="7"/>
        <v>1</v>
      </c>
      <c r="X23" s="150">
        <v>0</v>
      </c>
      <c r="Y23" s="150">
        <v>6</v>
      </c>
      <c r="Z23" s="168">
        <v>200000000</v>
      </c>
      <c r="AA23" s="354">
        <f>(O27+O29)*1000</f>
        <v>111.1111111111111</v>
      </c>
      <c r="AB23" s="169"/>
      <c r="AC23" s="152" t="s">
        <v>260</v>
      </c>
    </row>
    <row r="24" spans="2:29" s="150" customFormat="1" ht="15.75" thickBot="1" x14ac:dyDescent="0.3">
      <c r="F24" s="150">
        <v>3</v>
      </c>
      <c r="G24" s="170"/>
      <c r="H24" s="170">
        <v>1</v>
      </c>
      <c r="I24" s="154" t="s">
        <v>156</v>
      </c>
      <c r="J24" s="155">
        <v>250</v>
      </c>
      <c r="K24" s="155">
        <v>150</v>
      </c>
      <c r="L24" s="155">
        <v>100</v>
      </c>
      <c r="M24" s="155">
        <f t="shared" si="3"/>
        <v>500</v>
      </c>
      <c r="N24" s="156">
        <f>N23</f>
        <v>6.4999999999999997E-4</v>
      </c>
      <c r="O24" s="171"/>
      <c r="P24" s="172"/>
      <c r="Q24" s="173"/>
      <c r="S24" s="167">
        <f t="shared" si="4"/>
        <v>0.5</v>
      </c>
      <c r="T24" s="167">
        <f t="shared" si="5"/>
        <v>0.3</v>
      </c>
      <c r="U24" s="167">
        <f t="shared" si="6"/>
        <v>0.2</v>
      </c>
      <c r="V24" s="167">
        <f t="shared" si="7"/>
        <v>1</v>
      </c>
      <c r="X24" s="150">
        <v>2</v>
      </c>
      <c r="Y24" s="150">
        <v>6</v>
      </c>
      <c r="Z24" s="168">
        <v>100000000</v>
      </c>
      <c r="AA24" s="355">
        <f>(Q25+Q27+Q29)*1000</f>
        <v>75.555555555555571</v>
      </c>
      <c r="AB24" s="169"/>
      <c r="AC24" s="152" t="s">
        <v>260</v>
      </c>
    </row>
    <row r="25" spans="2:29" s="150" customFormat="1" ht="15.75" thickBot="1" x14ac:dyDescent="0.3">
      <c r="D25" s="150">
        <v>25</v>
      </c>
      <c r="G25" s="160">
        <v>2</v>
      </c>
      <c r="H25" s="160">
        <f>G25*0.05</f>
        <v>0.1</v>
      </c>
      <c r="I25" s="161">
        <v>3</v>
      </c>
      <c r="J25" s="162">
        <v>250</v>
      </c>
      <c r="K25" s="162">
        <v>150</v>
      </c>
      <c r="L25" s="162">
        <v>100</v>
      </c>
      <c r="M25" s="162">
        <f t="shared" si="3"/>
        <v>500</v>
      </c>
      <c r="N25" s="163">
        <f>H25/M25+N23</f>
        <v>8.4999999999999995E-4</v>
      </c>
      <c r="O25" s="164">
        <f>S25*$H25</f>
        <v>0.05</v>
      </c>
      <c r="P25" s="165">
        <f>T25*$H25</f>
        <v>0.03</v>
      </c>
      <c r="Q25" s="166">
        <f>U25*$H25</f>
        <v>2.0000000000000004E-2</v>
      </c>
      <c r="S25" s="167">
        <f t="shared" si="4"/>
        <v>0.5</v>
      </c>
      <c r="T25" s="167">
        <f t="shared" si="5"/>
        <v>0.3</v>
      </c>
      <c r="U25" s="167">
        <f t="shared" si="6"/>
        <v>0.2</v>
      </c>
      <c r="V25" s="167">
        <f t="shared" si="7"/>
        <v>1</v>
      </c>
      <c r="Z25" s="168">
        <v>99999999</v>
      </c>
      <c r="AA25" s="169">
        <f>SUM(AA21:AA24)</f>
        <v>500</v>
      </c>
      <c r="AB25" s="174"/>
      <c r="AC25" s="152" t="s">
        <v>260</v>
      </c>
    </row>
    <row r="26" spans="2:29" s="150" customFormat="1" x14ac:dyDescent="0.25">
      <c r="D26" s="150">
        <f>0.8*D25</f>
        <v>20</v>
      </c>
      <c r="F26" s="150">
        <v>4</v>
      </c>
      <c r="G26" s="170"/>
      <c r="H26" s="170">
        <v>3</v>
      </c>
      <c r="I26" s="154" t="s">
        <v>157</v>
      </c>
      <c r="J26" s="155">
        <v>200</v>
      </c>
      <c r="K26" s="155">
        <v>150</v>
      </c>
      <c r="L26" s="155">
        <v>100</v>
      </c>
      <c r="M26" s="155">
        <f t="shared" si="3"/>
        <v>450</v>
      </c>
      <c r="N26" s="156">
        <f>N25</f>
        <v>8.4999999999999995E-4</v>
      </c>
      <c r="O26" s="171"/>
      <c r="P26" s="172"/>
      <c r="Q26" s="173"/>
      <c r="S26" s="167">
        <f t="shared" si="4"/>
        <v>0.44444444444444442</v>
      </c>
      <c r="T26" s="167">
        <f t="shared" si="5"/>
        <v>0.33333333333333331</v>
      </c>
      <c r="U26" s="167">
        <f t="shared" si="6"/>
        <v>0.22222222222222221</v>
      </c>
      <c r="V26" s="167">
        <f t="shared" si="7"/>
        <v>0.99999999999999989</v>
      </c>
      <c r="AC26" s="152" t="s">
        <v>260</v>
      </c>
    </row>
    <row r="27" spans="2:29" s="150" customFormat="1" ht="15.75" thickBot="1" x14ac:dyDescent="0.3">
      <c r="D27" s="150">
        <f>0.05*D26</f>
        <v>1</v>
      </c>
      <c r="G27" s="160">
        <v>2</v>
      </c>
      <c r="H27" s="160">
        <f>G27*0.05</f>
        <v>0.1</v>
      </c>
      <c r="I27" s="161">
        <v>4</v>
      </c>
      <c r="J27" s="162">
        <v>200</v>
      </c>
      <c r="K27" s="162">
        <v>150</v>
      </c>
      <c r="L27" s="162">
        <v>100</v>
      </c>
      <c r="M27" s="162">
        <f t="shared" si="3"/>
        <v>450</v>
      </c>
      <c r="N27" s="163">
        <f>(H27)/M27+N25</f>
        <v>1.0722222222222222E-3</v>
      </c>
      <c r="O27" s="175">
        <f>S27*$H27</f>
        <v>4.4444444444444446E-2</v>
      </c>
      <c r="P27" s="165">
        <f>T27*$H27</f>
        <v>3.3333333333333333E-2</v>
      </c>
      <c r="Q27" s="166">
        <f>U27*$H27</f>
        <v>2.2222222222222223E-2</v>
      </c>
      <c r="S27" s="167">
        <f t="shared" si="4"/>
        <v>0.44444444444444442</v>
      </c>
      <c r="T27" s="167">
        <f t="shared" si="5"/>
        <v>0.33333333333333331</v>
      </c>
      <c r="U27" s="167">
        <f t="shared" si="6"/>
        <v>0.22222222222222221</v>
      </c>
      <c r="V27" s="167">
        <f t="shared" si="7"/>
        <v>0.99999999999999989</v>
      </c>
      <c r="AC27" s="152" t="s">
        <v>260</v>
      </c>
    </row>
    <row r="28" spans="2:29" s="150" customFormat="1" x14ac:dyDescent="0.25">
      <c r="D28" s="100"/>
      <c r="E28" s="176"/>
      <c r="F28" s="150">
        <v>5</v>
      </c>
      <c r="G28" s="170"/>
      <c r="H28" s="170">
        <v>4</v>
      </c>
      <c r="I28" s="154" t="s">
        <v>158</v>
      </c>
      <c r="J28" s="155">
        <v>200</v>
      </c>
      <c r="K28" s="155">
        <v>0</v>
      </c>
      <c r="L28" s="155">
        <v>100</v>
      </c>
      <c r="M28" s="155">
        <f t="shared" si="3"/>
        <v>300</v>
      </c>
      <c r="N28" s="156">
        <f>N27</f>
        <v>1.0722222222222222E-3</v>
      </c>
      <c r="O28" s="177"/>
      <c r="P28" s="172"/>
      <c r="Q28" s="173"/>
      <c r="S28" s="167">
        <f t="shared" si="4"/>
        <v>0.66666666666666663</v>
      </c>
      <c r="T28" s="167">
        <f t="shared" si="5"/>
        <v>0</v>
      </c>
      <c r="U28" s="167">
        <f t="shared" si="6"/>
        <v>0.33333333333333331</v>
      </c>
      <c r="V28" s="167">
        <f t="shared" si="7"/>
        <v>1</v>
      </c>
      <c r="AC28" s="152" t="s">
        <v>260</v>
      </c>
    </row>
    <row r="29" spans="2:29" s="150" customFormat="1" ht="15.75" thickBot="1" x14ac:dyDescent="0.3">
      <c r="C29" s="178"/>
      <c r="E29" s="176"/>
      <c r="G29" s="160">
        <v>2</v>
      </c>
      <c r="H29" s="160">
        <f>G29*0.05</f>
        <v>0.1</v>
      </c>
      <c r="I29" s="161">
        <v>5</v>
      </c>
      <c r="J29" s="162">
        <v>200</v>
      </c>
      <c r="K29" s="162">
        <v>0</v>
      </c>
      <c r="L29" s="162">
        <v>100</v>
      </c>
      <c r="M29" s="162">
        <f t="shared" si="3"/>
        <v>300</v>
      </c>
      <c r="N29" s="163">
        <f>H29/M29+N27</f>
        <v>1.4055555555555557E-3</v>
      </c>
      <c r="O29" s="175">
        <f>S29*$H29</f>
        <v>6.6666666666666666E-2</v>
      </c>
      <c r="P29" s="165">
        <f>T29*$H29</f>
        <v>0</v>
      </c>
      <c r="Q29" s="166">
        <f>U29*$H29</f>
        <v>3.3333333333333333E-2</v>
      </c>
      <c r="S29" s="167">
        <f t="shared" si="4"/>
        <v>0.66666666666666663</v>
      </c>
      <c r="T29" s="167">
        <f t="shared" si="5"/>
        <v>0</v>
      </c>
      <c r="U29" s="167">
        <f t="shared" si="6"/>
        <v>0.33333333333333331</v>
      </c>
      <c r="V29" s="167">
        <f t="shared" si="7"/>
        <v>1</v>
      </c>
      <c r="AC29" s="152" t="s">
        <v>260</v>
      </c>
    </row>
    <row r="30" spans="2:29" s="150" customFormat="1" x14ac:dyDescent="0.25">
      <c r="C30" s="168"/>
      <c r="E30" s="176"/>
      <c r="F30" s="150">
        <v>6</v>
      </c>
      <c r="G30" s="170"/>
      <c r="H30" s="170">
        <v>5</v>
      </c>
      <c r="I30" s="151" t="s">
        <v>159</v>
      </c>
      <c r="J30" s="168">
        <v>0</v>
      </c>
      <c r="K30" s="168">
        <v>0</v>
      </c>
      <c r="L30" s="168">
        <v>0</v>
      </c>
      <c r="M30" s="168">
        <v>0</v>
      </c>
      <c r="N30" s="179">
        <f>N29</f>
        <v>1.4055555555555557E-3</v>
      </c>
      <c r="AC30" s="152" t="s">
        <v>260</v>
      </c>
    </row>
    <row r="31" spans="2:29" x14ac:dyDescent="0.25">
      <c r="C31" s="4"/>
      <c r="E31" s="75"/>
      <c r="G31" s="8"/>
      <c r="H31" s="8"/>
      <c r="I31" s="2"/>
      <c r="J31" s="4"/>
      <c r="K31" s="4"/>
      <c r="L31" s="4"/>
      <c r="M31" s="4"/>
      <c r="N31" s="87"/>
    </row>
    <row r="32" spans="2:29" x14ac:dyDescent="0.25">
      <c r="C32" s="4"/>
      <c r="E32" s="75"/>
      <c r="G32" s="8"/>
      <c r="H32" s="8"/>
      <c r="I32" s="2"/>
      <c r="J32" s="4"/>
      <c r="K32" s="4"/>
      <c r="L32" s="4"/>
      <c r="M32" s="4"/>
      <c r="N32" s="87"/>
    </row>
    <row r="33" spans="2:29" s="180" customFormat="1" x14ac:dyDescent="0.25">
      <c r="C33" s="181"/>
      <c r="E33" s="182"/>
      <c r="G33" s="180" t="s">
        <v>258</v>
      </c>
      <c r="J33" s="181"/>
      <c r="K33" s="181"/>
      <c r="L33" s="181"/>
      <c r="N33" s="183"/>
      <c r="O33" s="183"/>
      <c r="P33" s="183"/>
      <c r="Q33" s="183"/>
      <c r="W33" s="181"/>
      <c r="AC33" s="184" t="s">
        <v>259</v>
      </c>
    </row>
    <row r="34" spans="2:29" s="180" customFormat="1" x14ac:dyDescent="0.25">
      <c r="C34" s="181"/>
      <c r="E34" s="182"/>
      <c r="H34" s="185"/>
      <c r="J34" s="181"/>
      <c r="K34" s="181"/>
      <c r="L34" s="181"/>
      <c r="M34" s="186"/>
      <c r="N34" s="183"/>
      <c r="Z34" s="180" t="s">
        <v>227</v>
      </c>
      <c r="AC34" s="184" t="s">
        <v>259</v>
      </c>
    </row>
    <row r="35" spans="2:29" s="180" customFormat="1" ht="15.75" thickBot="1" x14ac:dyDescent="0.3">
      <c r="C35" s="181"/>
      <c r="E35" s="182"/>
      <c r="G35" s="184" t="s">
        <v>86</v>
      </c>
      <c r="H35" s="184" t="s">
        <v>87</v>
      </c>
      <c r="I35" s="184" t="s">
        <v>85</v>
      </c>
      <c r="J35" s="184" t="s">
        <v>160</v>
      </c>
      <c r="K35" s="184" t="s">
        <v>161</v>
      </c>
      <c r="L35" s="184" t="s">
        <v>54</v>
      </c>
      <c r="M35" s="184" t="s">
        <v>83</v>
      </c>
      <c r="N35" s="184" t="s">
        <v>84</v>
      </c>
      <c r="O35" s="184" t="s">
        <v>160</v>
      </c>
      <c r="P35" s="184" t="s">
        <v>161</v>
      </c>
      <c r="Q35" s="184" t="s">
        <v>54</v>
      </c>
      <c r="R35" s="184"/>
      <c r="S35" s="184" t="s">
        <v>82</v>
      </c>
      <c r="T35" s="184" t="s">
        <v>113</v>
      </c>
      <c r="U35" s="184" t="s">
        <v>114</v>
      </c>
      <c r="V35" s="184"/>
      <c r="AB35" s="187"/>
      <c r="AC35" s="184" t="s">
        <v>259</v>
      </c>
    </row>
    <row r="36" spans="2:29" s="180" customFormat="1" x14ac:dyDescent="0.25">
      <c r="C36" s="181"/>
      <c r="E36" s="182"/>
      <c r="H36" s="180">
        <v>0</v>
      </c>
      <c r="I36" s="188" t="s">
        <v>154</v>
      </c>
      <c r="J36" s="189">
        <v>250</v>
      </c>
      <c r="K36" s="190">
        <v>0</v>
      </c>
      <c r="L36" s="190">
        <v>0</v>
      </c>
      <c r="M36" s="190">
        <f>SUM(J36:L36)</f>
        <v>250</v>
      </c>
      <c r="N36" s="191">
        <v>0</v>
      </c>
      <c r="O36" s="192"/>
      <c r="P36" s="193"/>
      <c r="Q36" s="194"/>
      <c r="AA36" s="184" t="s">
        <v>162</v>
      </c>
      <c r="AB36" s="184"/>
      <c r="AC36" s="184" t="s">
        <v>259</v>
      </c>
    </row>
    <row r="37" spans="2:29" s="180" customFormat="1" ht="15.75" thickBot="1" x14ac:dyDescent="0.3">
      <c r="C37" s="181"/>
      <c r="E37" s="182"/>
      <c r="G37" s="186">
        <v>2</v>
      </c>
      <c r="H37" s="186">
        <f>G37*0.05</f>
        <v>0.1</v>
      </c>
      <c r="I37" s="195">
        <v>1</v>
      </c>
      <c r="J37" s="196">
        <v>250</v>
      </c>
      <c r="K37" s="197">
        <v>0</v>
      </c>
      <c r="L37" s="197">
        <v>0</v>
      </c>
      <c r="M37" s="197">
        <f t="shared" ref="M37:M45" si="8">SUM(J37:L37)</f>
        <v>250</v>
      </c>
      <c r="N37" s="198">
        <f>H37/M37</f>
        <v>4.0000000000000002E-4</v>
      </c>
      <c r="O37" s="199">
        <f>S37*$H37</f>
        <v>0.1</v>
      </c>
      <c r="P37" s="200">
        <f>T37*$H37</f>
        <v>0</v>
      </c>
      <c r="Q37" s="201">
        <f>U37*$H37</f>
        <v>0</v>
      </c>
      <c r="S37" s="202">
        <f>J37/$M37</f>
        <v>1</v>
      </c>
      <c r="T37" s="202">
        <f>K37/$M37</f>
        <v>0</v>
      </c>
      <c r="U37" s="202">
        <f>L37/$M37</f>
        <v>0</v>
      </c>
      <c r="V37" s="203">
        <f>SUM(S37:U37)</f>
        <v>1</v>
      </c>
      <c r="X37" s="184" t="s">
        <v>189</v>
      </c>
      <c r="Y37" s="184" t="s">
        <v>85</v>
      </c>
      <c r="Z37" s="184" t="s">
        <v>149</v>
      </c>
      <c r="AA37" s="184" t="s">
        <v>164</v>
      </c>
      <c r="AB37" s="184"/>
      <c r="AC37" s="184" t="s">
        <v>259</v>
      </c>
    </row>
    <row r="38" spans="2:29" s="180" customFormat="1" x14ac:dyDescent="0.25">
      <c r="C38" s="181"/>
      <c r="E38" s="182"/>
      <c r="G38" s="204"/>
      <c r="H38" s="204">
        <v>1</v>
      </c>
      <c r="I38" s="188" t="s">
        <v>155</v>
      </c>
      <c r="J38" s="189">
        <v>250</v>
      </c>
      <c r="K38" s="189">
        <v>150</v>
      </c>
      <c r="L38" s="190">
        <v>0</v>
      </c>
      <c r="M38" s="190">
        <f t="shared" si="8"/>
        <v>400</v>
      </c>
      <c r="N38" s="191">
        <f>N37</f>
        <v>4.0000000000000002E-4</v>
      </c>
      <c r="O38" s="205"/>
      <c r="P38" s="206"/>
      <c r="Q38" s="207"/>
      <c r="S38" s="202">
        <f t="shared" ref="S38:S45" si="9">J38/$M38</f>
        <v>0.625</v>
      </c>
      <c r="T38" s="202">
        <f t="shared" ref="T38:T45" si="10">K38/$M38</f>
        <v>0.375</v>
      </c>
      <c r="U38" s="202">
        <f t="shared" ref="U38:U45" si="11">L38/$M38</f>
        <v>0</v>
      </c>
      <c r="V38" s="203">
        <f t="shared" ref="V38:V45" si="12">SUM(S38:U38)</f>
        <v>1</v>
      </c>
      <c r="X38" s="208">
        <v>0</v>
      </c>
      <c r="Y38" s="180">
        <v>4</v>
      </c>
      <c r="Z38" s="181">
        <v>250000000</v>
      </c>
      <c r="AA38" s="357">
        <f>(O37+O39+O41)*1000</f>
        <v>212.50000000000003</v>
      </c>
      <c r="AB38" s="209"/>
      <c r="AC38" s="184" t="s">
        <v>259</v>
      </c>
    </row>
    <row r="39" spans="2:29" s="180" customFormat="1" ht="15.75" thickBot="1" x14ac:dyDescent="0.3">
      <c r="C39" s="181"/>
      <c r="E39" s="182"/>
      <c r="G39" s="186">
        <v>2</v>
      </c>
      <c r="H39" s="186">
        <f>G39*0.05</f>
        <v>0.1</v>
      </c>
      <c r="I39" s="195">
        <v>2</v>
      </c>
      <c r="J39" s="196">
        <v>250</v>
      </c>
      <c r="K39" s="196">
        <v>150</v>
      </c>
      <c r="L39" s="197">
        <v>0</v>
      </c>
      <c r="M39" s="197">
        <f t="shared" si="8"/>
        <v>400</v>
      </c>
      <c r="N39" s="198">
        <f>H39/M39+N37</f>
        <v>6.4999999999999997E-4</v>
      </c>
      <c r="O39" s="199">
        <f>S39*$H39</f>
        <v>6.25E-2</v>
      </c>
      <c r="P39" s="200">
        <f>T39*$H39</f>
        <v>3.7500000000000006E-2</v>
      </c>
      <c r="Q39" s="201">
        <f>U39*$H39</f>
        <v>0</v>
      </c>
      <c r="S39" s="202">
        <f t="shared" si="9"/>
        <v>0.625</v>
      </c>
      <c r="T39" s="202">
        <f t="shared" si="10"/>
        <v>0.375</v>
      </c>
      <c r="U39" s="202">
        <f t="shared" si="11"/>
        <v>0</v>
      </c>
      <c r="V39" s="203">
        <f t="shared" si="12"/>
        <v>1</v>
      </c>
      <c r="W39" s="181"/>
      <c r="X39" s="208">
        <v>1</v>
      </c>
      <c r="Y39" s="180">
        <v>5</v>
      </c>
      <c r="Z39" s="181">
        <v>150000000</v>
      </c>
      <c r="AA39" s="282">
        <f>(P39+P41+P43)*1000</f>
        <v>94.772727272727266</v>
      </c>
      <c r="AB39" s="209"/>
      <c r="AC39" s="184" t="s">
        <v>259</v>
      </c>
    </row>
    <row r="40" spans="2:29" s="180" customFormat="1" x14ac:dyDescent="0.25">
      <c r="C40" s="181"/>
      <c r="E40" s="182"/>
      <c r="G40" s="204"/>
      <c r="H40" s="204">
        <v>1</v>
      </c>
      <c r="I40" s="188" t="s">
        <v>156</v>
      </c>
      <c r="J40" s="189">
        <v>250</v>
      </c>
      <c r="K40" s="189">
        <v>150</v>
      </c>
      <c r="L40" s="189">
        <v>100</v>
      </c>
      <c r="M40" s="190">
        <f t="shared" si="8"/>
        <v>500</v>
      </c>
      <c r="N40" s="191">
        <f>N39</f>
        <v>6.4999999999999997E-4</v>
      </c>
      <c r="O40" s="205"/>
      <c r="P40" s="206"/>
      <c r="Q40" s="207"/>
      <c r="S40" s="202">
        <f t="shared" si="9"/>
        <v>0.5</v>
      </c>
      <c r="T40" s="202">
        <f t="shared" si="10"/>
        <v>0.3</v>
      </c>
      <c r="U40" s="202">
        <f t="shared" si="11"/>
        <v>0.2</v>
      </c>
      <c r="V40" s="203">
        <f t="shared" si="12"/>
        <v>1</v>
      </c>
      <c r="W40" s="181"/>
      <c r="X40" s="208">
        <v>0</v>
      </c>
      <c r="Y40" s="180">
        <v>6</v>
      </c>
      <c r="Z40" s="181">
        <v>200000000</v>
      </c>
      <c r="AA40" s="282">
        <f>(O43+O45)*1000</f>
        <v>129.54545454545456</v>
      </c>
      <c r="AB40" s="209"/>
      <c r="AC40" s="184" t="s">
        <v>259</v>
      </c>
    </row>
    <row r="41" spans="2:29" s="180" customFormat="1" ht="15.75" thickBot="1" x14ac:dyDescent="0.3">
      <c r="C41" s="181"/>
      <c r="E41" s="182"/>
      <c r="G41" s="186">
        <v>2</v>
      </c>
      <c r="H41" s="186">
        <f>G41*0.05</f>
        <v>0.1</v>
      </c>
      <c r="I41" s="195">
        <v>3</v>
      </c>
      <c r="J41" s="196">
        <v>250</v>
      </c>
      <c r="K41" s="196">
        <v>150</v>
      </c>
      <c r="L41" s="196">
        <v>100</v>
      </c>
      <c r="M41" s="197">
        <f t="shared" si="8"/>
        <v>500</v>
      </c>
      <c r="N41" s="198">
        <f>H41/M41+N39</f>
        <v>8.4999999999999995E-4</v>
      </c>
      <c r="O41" s="199">
        <f>S41*$H41</f>
        <v>0.05</v>
      </c>
      <c r="P41" s="200">
        <f>T41*$H41</f>
        <v>0.03</v>
      </c>
      <c r="Q41" s="201">
        <f>U41*$H41</f>
        <v>2.0000000000000004E-2</v>
      </c>
      <c r="R41" s="210">
        <f>Q41-Q25</f>
        <v>0</v>
      </c>
      <c r="S41" s="202">
        <f t="shared" si="9"/>
        <v>0.5</v>
      </c>
      <c r="T41" s="202">
        <f t="shared" si="10"/>
        <v>0.3</v>
      </c>
      <c r="U41" s="202">
        <f t="shared" si="11"/>
        <v>0.2</v>
      </c>
      <c r="V41" s="203">
        <f t="shared" si="12"/>
        <v>1</v>
      </c>
      <c r="W41" s="181"/>
      <c r="X41" s="208">
        <v>2</v>
      </c>
      <c r="Y41" s="180">
        <v>6</v>
      </c>
      <c r="Z41" s="181">
        <v>100000000</v>
      </c>
      <c r="AA41" s="358">
        <f>(Q41+Q43+Q45)*1000</f>
        <v>63.181818181818201</v>
      </c>
      <c r="AB41" s="209"/>
      <c r="AC41" s="184" t="s">
        <v>259</v>
      </c>
    </row>
    <row r="42" spans="2:29" s="180" customFormat="1" ht="15.75" thickBot="1" x14ac:dyDescent="0.3">
      <c r="C42" s="181"/>
      <c r="E42" s="182"/>
      <c r="F42" s="211"/>
      <c r="G42" s="204"/>
      <c r="H42" s="204">
        <v>3</v>
      </c>
      <c r="I42" s="188" t="s">
        <v>157</v>
      </c>
      <c r="J42" s="189">
        <v>300</v>
      </c>
      <c r="K42" s="189">
        <v>150</v>
      </c>
      <c r="L42" s="189">
        <v>100</v>
      </c>
      <c r="M42" s="190">
        <f t="shared" si="8"/>
        <v>550</v>
      </c>
      <c r="N42" s="191">
        <f>N41</f>
        <v>8.4999999999999995E-4</v>
      </c>
      <c r="O42" s="205"/>
      <c r="P42" s="206"/>
      <c r="Q42" s="207"/>
      <c r="R42" s="210">
        <f t="shared" ref="R42:R45" si="13">Q42-Q26</f>
        <v>0</v>
      </c>
      <c r="S42" s="202">
        <f t="shared" si="9"/>
        <v>0.54545454545454541</v>
      </c>
      <c r="T42" s="202">
        <f t="shared" si="10"/>
        <v>0.27272727272727271</v>
      </c>
      <c r="U42" s="202">
        <f t="shared" si="11"/>
        <v>0.18181818181818182</v>
      </c>
      <c r="V42" s="203">
        <f t="shared" si="12"/>
        <v>1</v>
      </c>
      <c r="X42" s="208"/>
      <c r="Z42" s="181">
        <v>99999999</v>
      </c>
      <c r="AA42" s="209">
        <f>SUM(AA38:AA41)</f>
        <v>500.00000000000006</v>
      </c>
      <c r="AB42" s="183"/>
      <c r="AC42" s="184" t="s">
        <v>259</v>
      </c>
    </row>
    <row r="43" spans="2:29" s="180" customFormat="1" ht="15.75" thickBot="1" x14ac:dyDescent="0.3">
      <c r="C43" s="181"/>
      <c r="E43" s="182"/>
      <c r="G43" s="186">
        <v>2</v>
      </c>
      <c r="H43" s="186">
        <f>G43*0.05</f>
        <v>0.1</v>
      </c>
      <c r="I43" s="195">
        <v>4</v>
      </c>
      <c r="J43" s="189">
        <v>300</v>
      </c>
      <c r="K43" s="196">
        <v>150</v>
      </c>
      <c r="L43" s="196">
        <v>100</v>
      </c>
      <c r="M43" s="197">
        <f t="shared" si="8"/>
        <v>550</v>
      </c>
      <c r="N43" s="198">
        <f>(H43)/M43+N41</f>
        <v>1.0318181818181817E-3</v>
      </c>
      <c r="O43" s="212">
        <f>S43*$H43</f>
        <v>5.4545454545454543E-2</v>
      </c>
      <c r="P43" s="200">
        <f>T43*$H43</f>
        <v>2.7272727272727271E-2</v>
      </c>
      <c r="Q43" s="201">
        <f>U43*$H43</f>
        <v>1.8181818181818184E-2</v>
      </c>
      <c r="R43" s="210">
        <f t="shared" si="13"/>
        <v>-4.0404040404040387E-3</v>
      </c>
      <c r="S43" s="202">
        <f t="shared" si="9"/>
        <v>0.54545454545454541</v>
      </c>
      <c r="T43" s="202">
        <f t="shared" si="10"/>
        <v>0.27272727272727271</v>
      </c>
      <c r="U43" s="202">
        <f t="shared" si="11"/>
        <v>0.18181818181818182</v>
      </c>
      <c r="V43" s="203">
        <f t="shared" si="12"/>
        <v>1</v>
      </c>
      <c r="W43" s="183"/>
      <c r="Y43" s="187"/>
      <c r="Z43" s="187"/>
      <c r="AA43" s="187"/>
      <c r="AC43" s="184" t="s">
        <v>259</v>
      </c>
    </row>
    <row r="44" spans="2:29" s="180" customFormat="1" ht="15.75" thickBot="1" x14ac:dyDescent="0.3">
      <c r="C44" s="181"/>
      <c r="E44" s="182"/>
      <c r="G44" s="204"/>
      <c r="H44" s="204">
        <v>4</v>
      </c>
      <c r="I44" s="188" t="s">
        <v>158</v>
      </c>
      <c r="J44" s="189">
        <v>300</v>
      </c>
      <c r="K44" s="189">
        <v>0</v>
      </c>
      <c r="L44" s="189">
        <v>100</v>
      </c>
      <c r="M44" s="190">
        <f t="shared" si="8"/>
        <v>400</v>
      </c>
      <c r="N44" s="191">
        <f>N43</f>
        <v>1.0318181818181817E-3</v>
      </c>
      <c r="O44" s="213"/>
      <c r="P44" s="206"/>
      <c r="Q44" s="207"/>
      <c r="R44" s="210">
        <f t="shared" si="13"/>
        <v>0</v>
      </c>
      <c r="S44" s="202">
        <f t="shared" si="9"/>
        <v>0.75</v>
      </c>
      <c r="T44" s="202">
        <f t="shared" si="10"/>
        <v>0</v>
      </c>
      <c r="U44" s="202">
        <f t="shared" si="11"/>
        <v>0.25</v>
      </c>
      <c r="V44" s="203">
        <f t="shared" si="12"/>
        <v>1</v>
      </c>
      <c r="W44" s="183"/>
      <c r="AC44" s="184" t="s">
        <v>259</v>
      </c>
    </row>
    <row r="45" spans="2:29" s="180" customFormat="1" ht="15.75" thickBot="1" x14ac:dyDescent="0.3">
      <c r="E45" s="182"/>
      <c r="G45" s="186">
        <v>2</v>
      </c>
      <c r="H45" s="186">
        <f>G45*0.05</f>
        <v>0.1</v>
      </c>
      <c r="I45" s="195">
        <v>5</v>
      </c>
      <c r="J45" s="189">
        <v>300</v>
      </c>
      <c r="K45" s="197">
        <v>0</v>
      </c>
      <c r="L45" s="196">
        <v>100</v>
      </c>
      <c r="M45" s="197">
        <f t="shared" si="8"/>
        <v>400</v>
      </c>
      <c r="N45" s="198">
        <f>H45/M45+N43</f>
        <v>1.2818181818181817E-3</v>
      </c>
      <c r="O45" s="212">
        <f>S45*$H45</f>
        <v>7.5000000000000011E-2</v>
      </c>
      <c r="P45" s="200">
        <f>T45*$H45</f>
        <v>0</v>
      </c>
      <c r="Q45" s="201">
        <f>U45*$H45</f>
        <v>2.5000000000000001E-2</v>
      </c>
      <c r="R45" s="210">
        <f t="shared" si="13"/>
        <v>-8.3333333333333315E-3</v>
      </c>
      <c r="S45" s="202">
        <f t="shared" si="9"/>
        <v>0.75</v>
      </c>
      <c r="T45" s="202">
        <f t="shared" si="10"/>
        <v>0</v>
      </c>
      <c r="U45" s="202">
        <f t="shared" si="11"/>
        <v>0.25</v>
      </c>
      <c r="V45" s="203">
        <f t="shared" si="12"/>
        <v>1</v>
      </c>
      <c r="W45" s="183"/>
      <c r="AC45" s="184" t="s">
        <v>259</v>
      </c>
    </row>
    <row r="46" spans="2:29" s="180" customFormat="1" x14ac:dyDescent="0.25">
      <c r="E46" s="214"/>
      <c r="F46" s="186"/>
      <c r="G46" s="204"/>
      <c r="H46" s="204">
        <v>5</v>
      </c>
      <c r="I46" s="184" t="s">
        <v>159</v>
      </c>
      <c r="J46" s="181">
        <v>0</v>
      </c>
      <c r="K46" s="181">
        <v>0</v>
      </c>
      <c r="L46" s="181">
        <v>0</v>
      </c>
      <c r="M46" s="181">
        <v>0</v>
      </c>
      <c r="N46" s="215">
        <f>N45</f>
        <v>1.2818181818181817E-3</v>
      </c>
      <c r="W46" s="183"/>
      <c r="AC46" s="184" t="s">
        <v>259</v>
      </c>
    </row>
    <row r="47" spans="2:29" x14ac:dyDescent="0.25">
      <c r="E47" s="101"/>
      <c r="H47" s="41"/>
      <c r="J47" s="4"/>
      <c r="K47" s="4"/>
      <c r="L47" s="4"/>
      <c r="M47" s="46"/>
      <c r="N47" s="3"/>
      <c r="Z47" t="s">
        <v>227</v>
      </c>
    </row>
    <row r="48" spans="2:29" s="217" customFormat="1" ht="15.75" thickBot="1" x14ac:dyDescent="0.3">
      <c r="B48" s="216"/>
      <c r="G48" s="218" t="s">
        <v>86</v>
      </c>
      <c r="H48" s="218" t="s">
        <v>87</v>
      </c>
      <c r="I48" s="218" t="s">
        <v>85</v>
      </c>
      <c r="J48" s="218" t="s">
        <v>160</v>
      </c>
      <c r="K48" s="218" t="s">
        <v>161</v>
      </c>
      <c r="L48" s="218" t="s">
        <v>54</v>
      </c>
      <c r="M48" s="218" t="s">
        <v>83</v>
      </c>
      <c r="N48" s="218" t="s">
        <v>84</v>
      </c>
      <c r="O48" s="218" t="s">
        <v>160</v>
      </c>
      <c r="P48" s="218" t="s">
        <v>161</v>
      </c>
      <c r="Q48" s="218" t="s">
        <v>54</v>
      </c>
      <c r="R48" s="218"/>
      <c r="S48" s="218" t="s">
        <v>82</v>
      </c>
      <c r="T48" s="218" t="s">
        <v>113</v>
      </c>
      <c r="U48" s="218" t="s">
        <v>114</v>
      </c>
      <c r="V48" s="218"/>
      <c r="AB48" s="219"/>
      <c r="AC48" s="218" t="s">
        <v>265</v>
      </c>
    </row>
    <row r="49" spans="2:30" s="217" customFormat="1" x14ac:dyDescent="0.25">
      <c r="D49" s="217" t="s">
        <v>271</v>
      </c>
      <c r="E49" s="220"/>
      <c r="H49" s="217">
        <v>0</v>
      </c>
      <c r="I49" s="221" t="s">
        <v>154</v>
      </c>
      <c r="J49" s="222">
        <v>250</v>
      </c>
      <c r="K49" s="223">
        <v>0</v>
      </c>
      <c r="L49" s="223">
        <v>0</v>
      </c>
      <c r="M49" s="223">
        <f>SUM(J49:L49)</f>
        <v>250</v>
      </c>
      <c r="N49" s="224">
        <v>0</v>
      </c>
      <c r="O49" s="225"/>
      <c r="P49" s="226"/>
      <c r="Q49" s="227"/>
      <c r="AA49" s="218" t="s">
        <v>162</v>
      </c>
      <c r="AB49" s="218"/>
      <c r="AC49" s="218" t="s">
        <v>265</v>
      </c>
    </row>
    <row r="50" spans="2:30" s="217" customFormat="1" ht="15.75" thickBot="1" x14ac:dyDescent="0.3">
      <c r="B50" s="216"/>
      <c r="D50" s="217" t="s">
        <v>262</v>
      </c>
      <c r="E50" s="228"/>
      <c r="G50" s="229">
        <v>2</v>
      </c>
      <c r="H50" s="229">
        <f>G50*0.05</f>
        <v>0.1</v>
      </c>
      <c r="I50" s="230">
        <v>1</v>
      </c>
      <c r="J50" s="231">
        <v>250</v>
      </c>
      <c r="K50" s="232">
        <v>0</v>
      </c>
      <c r="L50" s="232">
        <v>0</v>
      </c>
      <c r="M50" s="232">
        <f t="shared" ref="M50:M58" si="14">SUM(J50:L50)</f>
        <v>250</v>
      </c>
      <c r="N50" s="233">
        <f>H50/M50</f>
        <v>4.0000000000000002E-4</v>
      </c>
      <c r="O50" s="234">
        <f>S50*$H50</f>
        <v>0.1</v>
      </c>
      <c r="P50" s="235">
        <f>T50*$H50</f>
        <v>0</v>
      </c>
      <c r="Q50" s="236">
        <f>U50*$H50</f>
        <v>0</v>
      </c>
      <c r="S50" s="237">
        <f>J50/$M50</f>
        <v>1</v>
      </c>
      <c r="T50" s="237">
        <f>K50/$M50</f>
        <v>0</v>
      </c>
      <c r="U50" s="237">
        <f>L50/$M50</f>
        <v>0</v>
      </c>
      <c r="V50" s="238">
        <f>SUM(S50:U50)</f>
        <v>1</v>
      </c>
      <c r="X50" s="218" t="s">
        <v>189</v>
      </c>
      <c r="Y50" s="218" t="s">
        <v>85</v>
      </c>
      <c r="Z50" s="218" t="s">
        <v>149</v>
      </c>
      <c r="AA50" s="218" t="s">
        <v>164</v>
      </c>
      <c r="AB50" s="218"/>
      <c r="AC50" s="218" t="s">
        <v>265</v>
      </c>
    </row>
    <row r="51" spans="2:30" s="217" customFormat="1" x14ac:dyDescent="0.25">
      <c r="E51" s="239"/>
      <c r="G51" s="240"/>
      <c r="H51" s="240">
        <v>1</v>
      </c>
      <c r="I51" s="221" t="s">
        <v>155</v>
      </c>
      <c r="J51" s="222">
        <v>250</v>
      </c>
      <c r="K51" s="222">
        <v>150</v>
      </c>
      <c r="L51" s="223">
        <v>0</v>
      </c>
      <c r="M51" s="223">
        <f t="shared" si="14"/>
        <v>400</v>
      </c>
      <c r="N51" s="224">
        <f>N50</f>
        <v>4.0000000000000002E-4</v>
      </c>
      <c r="O51" s="241"/>
      <c r="P51" s="242"/>
      <c r="Q51" s="243"/>
      <c r="S51" s="237">
        <f t="shared" ref="S51:S58" si="15">J51/$M51</f>
        <v>0.625</v>
      </c>
      <c r="T51" s="237">
        <f t="shared" ref="T51:T58" si="16">K51/$M51</f>
        <v>0.375</v>
      </c>
      <c r="U51" s="237">
        <f t="shared" ref="U51:U58" si="17">L51/$M51</f>
        <v>0</v>
      </c>
      <c r="V51" s="238">
        <f t="shared" ref="V51:V58" si="18">SUM(S51:U51)</f>
        <v>1</v>
      </c>
      <c r="X51" s="216">
        <v>0</v>
      </c>
      <c r="Y51" s="217">
        <v>4</v>
      </c>
      <c r="Z51" s="244">
        <v>250000000</v>
      </c>
      <c r="AA51" s="359">
        <f>(O50+O52+O54)*1000</f>
        <v>212.50000000000003</v>
      </c>
      <c r="AB51" s="245"/>
      <c r="AC51" s="218" t="s">
        <v>265</v>
      </c>
    </row>
    <row r="52" spans="2:30" s="217" customFormat="1" ht="15.75" thickBot="1" x14ac:dyDescent="0.3">
      <c r="B52" s="216"/>
      <c r="G52" s="229">
        <v>2</v>
      </c>
      <c r="H52" s="229">
        <f>G52*0.05</f>
        <v>0.1</v>
      </c>
      <c r="I52" s="230">
        <v>2</v>
      </c>
      <c r="J52" s="231">
        <v>250</v>
      </c>
      <c r="K52" s="231">
        <v>150</v>
      </c>
      <c r="L52" s="232">
        <v>0</v>
      </c>
      <c r="M52" s="232">
        <f t="shared" si="14"/>
        <v>400</v>
      </c>
      <c r="N52" s="233">
        <f>H52/M52+N50</f>
        <v>6.4999999999999997E-4</v>
      </c>
      <c r="O52" s="234">
        <f>S52*$H52</f>
        <v>6.25E-2</v>
      </c>
      <c r="P52" s="235">
        <f>T52*$H52</f>
        <v>3.7500000000000006E-2</v>
      </c>
      <c r="Q52" s="236">
        <f>U52*$H52</f>
        <v>0</v>
      </c>
      <c r="R52" s="248">
        <f>P52-P39</f>
        <v>0</v>
      </c>
      <c r="S52" s="237">
        <f t="shared" si="15"/>
        <v>0.625</v>
      </c>
      <c r="T52" s="237">
        <f t="shared" si="16"/>
        <v>0.375</v>
      </c>
      <c r="U52" s="237">
        <f t="shared" si="17"/>
        <v>0</v>
      </c>
      <c r="V52" s="238">
        <f t="shared" si="18"/>
        <v>1</v>
      </c>
      <c r="W52" s="244"/>
      <c r="X52" s="216">
        <v>1</v>
      </c>
      <c r="Y52" s="217">
        <v>5</v>
      </c>
      <c r="Z52" s="244">
        <v>150000000</v>
      </c>
      <c r="AA52" s="360">
        <f>(P52+P54+P56)*1000</f>
        <v>94.772727272727266</v>
      </c>
      <c r="AB52" s="245"/>
      <c r="AC52" s="218" t="s">
        <v>265</v>
      </c>
    </row>
    <row r="53" spans="2:30" s="217" customFormat="1" x14ac:dyDescent="0.25">
      <c r="G53" s="240"/>
      <c r="H53" s="240">
        <v>1</v>
      </c>
      <c r="I53" s="221" t="s">
        <v>156</v>
      </c>
      <c r="J53" s="222">
        <v>250</v>
      </c>
      <c r="K53" s="222">
        <v>150</v>
      </c>
      <c r="L53" s="222">
        <v>100</v>
      </c>
      <c r="M53" s="223">
        <f t="shared" si="14"/>
        <v>500</v>
      </c>
      <c r="N53" s="224">
        <f>N52</f>
        <v>6.4999999999999997E-4</v>
      </c>
      <c r="O53" s="241"/>
      <c r="P53" s="242"/>
      <c r="Q53" s="243"/>
      <c r="R53" s="248">
        <f t="shared" ref="R53:R56" si="19">P53-P40</f>
        <v>0</v>
      </c>
      <c r="S53" s="237">
        <f t="shared" si="15"/>
        <v>0.5</v>
      </c>
      <c r="T53" s="237">
        <f t="shared" si="16"/>
        <v>0.3</v>
      </c>
      <c r="U53" s="237">
        <f t="shared" si="17"/>
        <v>0.2</v>
      </c>
      <c r="V53" s="238">
        <f t="shared" si="18"/>
        <v>1</v>
      </c>
      <c r="W53" s="244"/>
      <c r="X53" s="216">
        <v>0</v>
      </c>
      <c r="Y53" s="217">
        <v>6</v>
      </c>
      <c r="Z53" s="244">
        <v>200000000</v>
      </c>
      <c r="AA53" s="360">
        <f>(O56+O58)*1000</f>
        <v>129.54545454545456</v>
      </c>
      <c r="AB53" s="245"/>
      <c r="AC53" s="218" t="s">
        <v>265</v>
      </c>
    </row>
    <row r="54" spans="2:30" s="217" customFormat="1" ht="15.75" thickBot="1" x14ac:dyDescent="0.3">
      <c r="G54" s="229">
        <v>2</v>
      </c>
      <c r="H54" s="229">
        <f>G54*0.05</f>
        <v>0.1</v>
      </c>
      <c r="I54" s="230">
        <v>3</v>
      </c>
      <c r="J54" s="231">
        <v>250</v>
      </c>
      <c r="K54" s="231">
        <v>150</v>
      </c>
      <c r="L54" s="231">
        <v>100</v>
      </c>
      <c r="M54" s="232">
        <f t="shared" si="14"/>
        <v>500</v>
      </c>
      <c r="N54" s="233">
        <f>H54/M54+N52</f>
        <v>8.4999999999999995E-4</v>
      </c>
      <c r="O54" s="234">
        <f>S54*$H54</f>
        <v>0.05</v>
      </c>
      <c r="P54" s="235">
        <f>T54*$H54</f>
        <v>0.03</v>
      </c>
      <c r="Q54" s="236">
        <f>U54*$H54</f>
        <v>2.0000000000000004E-2</v>
      </c>
      <c r="R54" s="248">
        <f t="shared" si="19"/>
        <v>0</v>
      </c>
      <c r="S54" s="237">
        <f t="shared" si="15"/>
        <v>0.5</v>
      </c>
      <c r="T54" s="237">
        <f t="shared" si="16"/>
        <v>0.3</v>
      </c>
      <c r="U54" s="237">
        <f t="shared" si="17"/>
        <v>0.2</v>
      </c>
      <c r="V54" s="238">
        <f t="shared" si="18"/>
        <v>1</v>
      </c>
      <c r="W54" s="244"/>
      <c r="X54" s="216">
        <v>2</v>
      </c>
      <c r="Y54" s="217">
        <v>6</v>
      </c>
      <c r="Z54" s="244">
        <v>100000000</v>
      </c>
      <c r="AA54" s="361">
        <f>(Q54+Q56+Q58)*1000/3</f>
        <v>21.060606060606066</v>
      </c>
      <c r="AB54" s="245"/>
      <c r="AC54" s="218" t="s">
        <v>265</v>
      </c>
    </row>
    <row r="55" spans="2:30" s="217" customFormat="1" x14ac:dyDescent="0.25">
      <c r="B55" s="216"/>
      <c r="F55" s="246"/>
      <c r="G55" s="240"/>
      <c r="H55" s="240">
        <v>3</v>
      </c>
      <c r="I55" s="221" t="s">
        <v>157</v>
      </c>
      <c r="J55" s="222">
        <v>300</v>
      </c>
      <c r="K55" s="222">
        <v>150</v>
      </c>
      <c r="L55" s="222">
        <v>100</v>
      </c>
      <c r="M55" s="223">
        <f t="shared" si="14"/>
        <v>550</v>
      </c>
      <c r="N55" s="224">
        <f>N54</f>
        <v>8.4999999999999995E-4</v>
      </c>
      <c r="O55" s="241"/>
      <c r="P55" s="242"/>
      <c r="Q55" s="243"/>
      <c r="R55" s="248">
        <f t="shared" si="19"/>
        <v>0</v>
      </c>
      <c r="S55" s="237">
        <f t="shared" si="15"/>
        <v>0.54545454545454541</v>
      </c>
      <c r="T55" s="237">
        <f t="shared" si="16"/>
        <v>0.27272727272727271</v>
      </c>
      <c r="U55" s="237">
        <f t="shared" si="17"/>
        <v>0.18181818181818182</v>
      </c>
      <c r="V55" s="238">
        <f t="shared" si="18"/>
        <v>1</v>
      </c>
      <c r="X55" s="216"/>
      <c r="Z55" s="244">
        <v>99999999</v>
      </c>
      <c r="AA55" s="247">
        <f>SUM(AA51:AA54)</f>
        <v>457.87878787878793</v>
      </c>
      <c r="AB55" s="247"/>
      <c r="AC55" s="218" t="s">
        <v>265</v>
      </c>
    </row>
    <row r="56" spans="2:30" s="217" customFormat="1" ht="15.75" thickBot="1" x14ac:dyDescent="0.3">
      <c r="G56" s="229">
        <v>2</v>
      </c>
      <c r="H56" s="229">
        <f>G56*0.05</f>
        <v>0.1</v>
      </c>
      <c r="I56" s="230">
        <v>4</v>
      </c>
      <c r="J56" s="231">
        <v>300</v>
      </c>
      <c r="K56" s="231">
        <v>150</v>
      </c>
      <c r="L56" s="231">
        <v>100</v>
      </c>
      <c r="M56" s="232">
        <f t="shared" si="14"/>
        <v>550</v>
      </c>
      <c r="N56" s="233">
        <f>(H56)/M56+N54</f>
        <v>1.0318181818181817E-3</v>
      </c>
      <c r="O56" s="234">
        <f>S56*$H56</f>
        <v>5.4545454545454543E-2</v>
      </c>
      <c r="P56" s="235">
        <f>T56*$H56</f>
        <v>2.7272727272727271E-2</v>
      </c>
      <c r="Q56" s="236">
        <f>U56*$H56</f>
        <v>1.8181818181818184E-2</v>
      </c>
      <c r="R56" s="248">
        <f t="shared" si="19"/>
        <v>0</v>
      </c>
      <c r="S56" s="237">
        <f t="shared" si="15"/>
        <v>0.54545454545454541</v>
      </c>
      <c r="T56" s="237">
        <f t="shared" si="16"/>
        <v>0.27272727272727271</v>
      </c>
      <c r="U56" s="237">
        <f t="shared" si="17"/>
        <v>0.18181818181818182</v>
      </c>
      <c r="V56" s="238">
        <f t="shared" si="18"/>
        <v>1</v>
      </c>
      <c r="W56" s="247"/>
      <c r="Y56" s="219"/>
      <c r="Z56" s="219"/>
      <c r="AA56" s="247"/>
      <c r="AC56" s="218" t="s">
        <v>265</v>
      </c>
    </row>
    <row r="57" spans="2:30" s="217" customFormat="1" x14ac:dyDescent="0.25">
      <c r="G57" s="240"/>
      <c r="H57" s="240">
        <v>4</v>
      </c>
      <c r="I57" s="221" t="s">
        <v>158</v>
      </c>
      <c r="J57" s="222">
        <v>300</v>
      </c>
      <c r="K57" s="222">
        <v>0</v>
      </c>
      <c r="L57" s="222">
        <v>100</v>
      </c>
      <c r="M57" s="223">
        <f t="shared" si="14"/>
        <v>400</v>
      </c>
      <c r="N57" s="224">
        <f>N56</f>
        <v>1.0318181818181817E-3</v>
      </c>
      <c r="O57" s="241"/>
      <c r="P57" s="242"/>
      <c r="Q57" s="243"/>
      <c r="S57" s="237">
        <f t="shared" si="15"/>
        <v>0.75</v>
      </c>
      <c r="T57" s="237">
        <f t="shared" si="16"/>
        <v>0</v>
      </c>
      <c r="U57" s="237">
        <f t="shared" si="17"/>
        <v>0.25</v>
      </c>
      <c r="V57" s="238">
        <f t="shared" si="18"/>
        <v>1</v>
      </c>
      <c r="W57" s="247"/>
      <c r="AA57" s="248"/>
      <c r="AC57" s="218" t="s">
        <v>265</v>
      </c>
    </row>
    <row r="58" spans="2:30" s="217" customFormat="1" ht="15.75" thickBot="1" x14ac:dyDescent="0.3">
      <c r="B58" s="216"/>
      <c r="G58" s="229">
        <v>2</v>
      </c>
      <c r="H58" s="229">
        <f>G58*0.05+0*(P56+P54+P52)/2</f>
        <v>0.1</v>
      </c>
      <c r="I58" s="230">
        <v>5</v>
      </c>
      <c r="J58" s="231">
        <v>300</v>
      </c>
      <c r="K58" s="232">
        <v>0</v>
      </c>
      <c r="L58" s="231">
        <v>100</v>
      </c>
      <c r="M58" s="232">
        <f t="shared" si="14"/>
        <v>400</v>
      </c>
      <c r="N58" s="233">
        <f>H58/M58+N56</f>
        <v>1.2818181818181817E-3</v>
      </c>
      <c r="O58" s="234">
        <f>S58*$H58</f>
        <v>7.5000000000000011E-2</v>
      </c>
      <c r="P58" s="235">
        <f>T58*$H58</f>
        <v>0</v>
      </c>
      <c r="Q58" s="236">
        <f>U58*$H58</f>
        <v>2.5000000000000001E-2</v>
      </c>
      <c r="S58" s="237">
        <f t="shared" si="15"/>
        <v>0.75</v>
      </c>
      <c r="T58" s="237">
        <f t="shared" si="16"/>
        <v>0</v>
      </c>
      <c r="U58" s="237">
        <f t="shared" si="17"/>
        <v>0.25</v>
      </c>
      <c r="V58" s="238">
        <f t="shared" si="18"/>
        <v>1</v>
      </c>
      <c r="W58" s="247"/>
      <c r="AA58" s="248"/>
      <c r="AC58" s="218" t="s">
        <v>265</v>
      </c>
    </row>
    <row r="59" spans="2:30" s="217" customFormat="1" x14ac:dyDescent="0.25">
      <c r="F59" s="229"/>
      <c r="G59" s="240"/>
      <c r="H59" s="240">
        <v>5</v>
      </c>
      <c r="I59" s="218" t="s">
        <v>159</v>
      </c>
      <c r="J59" s="244">
        <v>0</v>
      </c>
      <c r="K59" s="244">
        <v>0</v>
      </c>
      <c r="L59" s="244">
        <v>0</v>
      </c>
      <c r="M59" s="244">
        <v>0</v>
      </c>
      <c r="N59" s="220">
        <f>N58</f>
        <v>1.2818181818181817E-3</v>
      </c>
      <c r="W59" s="247"/>
      <c r="AA59" s="248"/>
      <c r="AC59" s="218" t="s">
        <v>265</v>
      </c>
    </row>
    <row r="60" spans="2:30" x14ac:dyDescent="0.25">
      <c r="C60" s="249"/>
      <c r="D60" s="249"/>
      <c r="E60" s="249"/>
      <c r="F60" s="250"/>
      <c r="G60" s="251"/>
      <c r="H60" s="251"/>
      <c r="I60" s="252"/>
      <c r="J60" s="253"/>
      <c r="K60" s="253"/>
      <c r="L60" s="253"/>
      <c r="M60" s="253"/>
      <c r="N60" s="254"/>
      <c r="O60" s="249"/>
      <c r="P60" s="249"/>
      <c r="Q60" s="249"/>
      <c r="R60" s="249"/>
      <c r="S60" s="249"/>
      <c r="T60" s="249"/>
      <c r="U60" s="249"/>
      <c r="V60" s="249"/>
      <c r="W60" s="255"/>
      <c r="X60" s="249"/>
      <c r="Y60" s="249"/>
      <c r="Z60" s="249"/>
      <c r="AA60" s="280"/>
      <c r="AB60" s="249"/>
      <c r="AC60" s="252" t="s">
        <v>266</v>
      </c>
      <c r="AD60" s="249"/>
    </row>
    <row r="61" spans="2:30" ht="15.75" thickBot="1" x14ac:dyDescent="0.3">
      <c r="B61" s="1"/>
      <c r="C61" s="249"/>
      <c r="D61" s="249"/>
      <c r="E61" s="249"/>
      <c r="F61" s="249"/>
      <c r="G61" s="252" t="s">
        <v>86</v>
      </c>
      <c r="H61" s="252" t="s">
        <v>87</v>
      </c>
      <c r="I61" s="252" t="s">
        <v>85</v>
      </c>
      <c r="J61" s="252" t="s">
        <v>160</v>
      </c>
      <c r="K61" s="252" t="s">
        <v>161</v>
      </c>
      <c r="L61" s="252" t="s">
        <v>54</v>
      </c>
      <c r="M61" s="252" t="s">
        <v>83</v>
      </c>
      <c r="N61" s="252" t="s">
        <v>84</v>
      </c>
      <c r="O61" s="252" t="s">
        <v>160</v>
      </c>
      <c r="P61" s="252" t="s">
        <v>161</v>
      </c>
      <c r="Q61" s="252" t="s">
        <v>54</v>
      </c>
      <c r="R61" s="252"/>
      <c r="S61" s="252" t="s">
        <v>82</v>
      </c>
      <c r="T61" s="252" t="s">
        <v>113</v>
      </c>
      <c r="U61" s="252" t="s">
        <v>114</v>
      </c>
      <c r="V61" s="252"/>
      <c r="W61" s="249"/>
      <c r="X61" s="249"/>
      <c r="Y61" s="249"/>
      <c r="Z61" s="249"/>
      <c r="AA61" s="280"/>
      <c r="AB61" s="256"/>
      <c r="AC61" s="252" t="s">
        <v>266</v>
      </c>
      <c r="AD61" s="249"/>
    </row>
    <row r="62" spans="2:30" x14ac:dyDescent="0.25">
      <c r="C62" s="249"/>
      <c r="D62" s="249" t="s">
        <v>263</v>
      </c>
      <c r="E62" s="254"/>
      <c r="F62" s="249"/>
      <c r="G62" s="249"/>
      <c r="H62" s="249">
        <v>0</v>
      </c>
      <c r="I62" s="257" t="s">
        <v>154</v>
      </c>
      <c r="J62" s="258">
        <v>250</v>
      </c>
      <c r="K62" s="259">
        <v>0</v>
      </c>
      <c r="L62" s="259">
        <v>0</v>
      </c>
      <c r="M62" s="259">
        <f>SUM(J62:L62)</f>
        <v>250</v>
      </c>
      <c r="N62" s="260">
        <v>0</v>
      </c>
      <c r="O62" s="261"/>
      <c r="P62" s="262"/>
      <c r="Q62" s="263"/>
      <c r="R62" s="249"/>
      <c r="S62" s="249"/>
      <c r="T62" s="249"/>
      <c r="U62" s="249"/>
      <c r="V62" s="249"/>
      <c r="W62" s="249"/>
      <c r="X62" s="249"/>
      <c r="Y62" s="249"/>
      <c r="Z62" s="249"/>
      <c r="AA62" s="362" t="s">
        <v>162</v>
      </c>
      <c r="AB62" s="252"/>
      <c r="AC62" s="252" t="s">
        <v>266</v>
      </c>
      <c r="AD62" s="249"/>
    </row>
    <row r="63" spans="2:30" ht="15.75" thickBot="1" x14ac:dyDescent="0.3">
      <c r="C63" s="249"/>
      <c r="D63" s="249" t="s">
        <v>264</v>
      </c>
      <c r="E63" s="264"/>
      <c r="F63" s="249"/>
      <c r="G63" s="250">
        <v>2</v>
      </c>
      <c r="H63" s="250">
        <f>G63*0.05</f>
        <v>0.1</v>
      </c>
      <c r="I63" s="265">
        <v>1</v>
      </c>
      <c r="J63" s="266">
        <v>250</v>
      </c>
      <c r="K63" s="267">
        <v>0</v>
      </c>
      <c r="L63" s="267">
        <v>0</v>
      </c>
      <c r="M63" s="267">
        <f t="shared" ref="M63:M71" si="20">SUM(J63:L63)</f>
        <v>250</v>
      </c>
      <c r="N63" s="268">
        <f>H63/M63</f>
        <v>4.0000000000000002E-4</v>
      </c>
      <c r="O63" s="269">
        <f>S63*$H63</f>
        <v>0.1</v>
      </c>
      <c r="P63" s="270">
        <f>T63*$H63</f>
        <v>0</v>
      </c>
      <c r="Q63" s="271">
        <f>U63*$H63</f>
        <v>0</v>
      </c>
      <c r="R63" s="249"/>
      <c r="S63" s="272">
        <f>J63/$M63</f>
        <v>1</v>
      </c>
      <c r="T63" s="272">
        <f>K63/$M63</f>
        <v>0</v>
      </c>
      <c r="U63" s="272">
        <f>L63/$M63</f>
        <v>0</v>
      </c>
      <c r="V63" s="273">
        <f>SUM(S63:U63)</f>
        <v>1</v>
      </c>
      <c r="W63" s="249"/>
      <c r="X63" s="252" t="s">
        <v>189</v>
      </c>
      <c r="Y63" s="252" t="s">
        <v>85</v>
      </c>
      <c r="Z63" s="252" t="s">
        <v>149</v>
      </c>
      <c r="AA63" s="362" t="s">
        <v>164</v>
      </c>
      <c r="AB63" s="252"/>
      <c r="AC63" s="252" t="s">
        <v>266</v>
      </c>
      <c r="AD63" s="249"/>
    </row>
    <row r="64" spans="2:30" x14ac:dyDescent="0.25">
      <c r="C64" s="249"/>
      <c r="D64" s="249"/>
      <c r="E64" s="274"/>
      <c r="F64" s="249"/>
      <c r="G64" s="251"/>
      <c r="H64" s="251">
        <v>1</v>
      </c>
      <c r="I64" s="257" t="s">
        <v>155</v>
      </c>
      <c r="J64" s="258">
        <v>250</v>
      </c>
      <c r="K64" s="258">
        <v>150</v>
      </c>
      <c r="L64" s="259">
        <v>0</v>
      </c>
      <c r="M64" s="259">
        <f t="shared" si="20"/>
        <v>400</v>
      </c>
      <c r="N64" s="260">
        <f>N63</f>
        <v>4.0000000000000002E-4</v>
      </c>
      <c r="O64" s="275"/>
      <c r="P64" s="276"/>
      <c r="Q64" s="277"/>
      <c r="R64" s="249"/>
      <c r="S64" s="272">
        <f t="shared" ref="S64:S71" si="21">J64/$M64</f>
        <v>0.625</v>
      </c>
      <c r="T64" s="272">
        <f t="shared" ref="T64:T71" si="22">K64/$M64</f>
        <v>0.375</v>
      </c>
      <c r="U64" s="272">
        <f t="shared" ref="U64:U71" si="23">L64/$M64</f>
        <v>0</v>
      </c>
      <c r="V64" s="273">
        <f t="shared" ref="V64:V71" si="24">SUM(S64:U64)</f>
        <v>1</v>
      </c>
      <c r="W64" s="249"/>
      <c r="X64" s="278">
        <v>0</v>
      </c>
      <c r="Y64" s="249">
        <v>4</v>
      </c>
      <c r="Z64" s="253">
        <v>250000000</v>
      </c>
      <c r="AA64" s="363">
        <f>(O63+O65+O67)*1000</f>
        <v>212.50000000000003</v>
      </c>
      <c r="AB64" s="279"/>
      <c r="AC64" s="252" t="s">
        <v>266</v>
      </c>
      <c r="AD64" s="249"/>
    </row>
    <row r="65" spans="2:30" ht="15.75" thickBot="1" x14ac:dyDescent="0.3">
      <c r="C65" s="249"/>
      <c r="D65" s="249"/>
      <c r="E65" s="249"/>
      <c r="F65" s="249"/>
      <c r="G65" s="250">
        <v>2</v>
      </c>
      <c r="H65" s="250">
        <f>G65*0.05</f>
        <v>0.1</v>
      </c>
      <c r="I65" s="265">
        <v>2</v>
      </c>
      <c r="J65" s="266">
        <v>250</v>
      </c>
      <c r="K65" s="266">
        <v>150</v>
      </c>
      <c r="L65" s="267">
        <v>0</v>
      </c>
      <c r="M65" s="267">
        <f t="shared" si="20"/>
        <v>400</v>
      </c>
      <c r="N65" s="268">
        <f>H65/M65+N63</f>
        <v>6.4999999999999997E-4</v>
      </c>
      <c r="O65" s="269">
        <f>S65*$H65</f>
        <v>6.25E-2</v>
      </c>
      <c r="P65" s="270">
        <f>T65*$H65</f>
        <v>3.7500000000000006E-2</v>
      </c>
      <c r="Q65" s="271">
        <f>U65*$H65</f>
        <v>0</v>
      </c>
      <c r="R65" s="280">
        <f>P65-P52</f>
        <v>0</v>
      </c>
      <c r="S65" s="272">
        <f t="shared" si="21"/>
        <v>0.625</v>
      </c>
      <c r="T65" s="272">
        <f t="shared" si="22"/>
        <v>0.375</v>
      </c>
      <c r="U65" s="272">
        <f t="shared" si="23"/>
        <v>0</v>
      </c>
      <c r="V65" s="273">
        <f t="shared" si="24"/>
        <v>1</v>
      </c>
      <c r="W65" s="253"/>
      <c r="X65" s="278">
        <v>1</v>
      </c>
      <c r="Y65" s="249">
        <v>5</v>
      </c>
      <c r="Z65" s="253">
        <v>150000000</v>
      </c>
      <c r="AA65" s="364">
        <f>(P65+P67+P69)*1000*2/3</f>
        <v>63.18181818181818</v>
      </c>
      <c r="AB65" s="279"/>
      <c r="AC65" s="252" t="s">
        <v>266</v>
      </c>
      <c r="AD65" s="249"/>
    </row>
    <row r="66" spans="2:30" x14ac:dyDescent="0.25">
      <c r="C66" s="249"/>
      <c r="D66" s="249"/>
      <c r="E66" s="249"/>
      <c r="F66" s="249"/>
      <c r="G66" s="251"/>
      <c r="H66" s="251">
        <v>1</v>
      </c>
      <c r="I66" s="257" t="s">
        <v>156</v>
      </c>
      <c r="J66" s="258">
        <v>250</v>
      </c>
      <c r="K66" s="258">
        <v>150</v>
      </c>
      <c r="L66" s="258">
        <v>100</v>
      </c>
      <c r="M66" s="259">
        <f t="shared" si="20"/>
        <v>500</v>
      </c>
      <c r="N66" s="260">
        <f>N65</f>
        <v>6.4999999999999997E-4</v>
      </c>
      <c r="O66" s="275"/>
      <c r="P66" s="276"/>
      <c r="Q66" s="277"/>
      <c r="R66" s="280">
        <f t="shared" ref="R66:R69" si="25">P66-P53</f>
        <v>0</v>
      </c>
      <c r="S66" s="272">
        <f t="shared" si="21"/>
        <v>0.5</v>
      </c>
      <c r="T66" s="272">
        <f t="shared" si="22"/>
        <v>0.3</v>
      </c>
      <c r="U66" s="272">
        <f t="shared" si="23"/>
        <v>0.2</v>
      </c>
      <c r="V66" s="273">
        <f t="shared" si="24"/>
        <v>1</v>
      </c>
      <c r="W66" s="253"/>
      <c r="X66" s="278">
        <v>0</v>
      </c>
      <c r="Y66" s="249">
        <v>6</v>
      </c>
      <c r="Z66" s="253">
        <v>200000000</v>
      </c>
      <c r="AA66" s="364">
        <f>(O69+O71)*1000</f>
        <v>153.23863636363635</v>
      </c>
      <c r="AB66" s="279"/>
      <c r="AC66" s="252" t="s">
        <v>266</v>
      </c>
      <c r="AD66" s="249"/>
    </row>
    <row r="67" spans="2:30" ht="15.75" thickBot="1" x14ac:dyDescent="0.3">
      <c r="C67" s="249"/>
      <c r="D67" s="249"/>
      <c r="E67" s="249"/>
      <c r="F67" s="249"/>
      <c r="G67" s="250">
        <v>2</v>
      </c>
      <c r="H67" s="250">
        <f>G67*0.05</f>
        <v>0.1</v>
      </c>
      <c r="I67" s="265">
        <v>3</v>
      </c>
      <c r="J67" s="266">
        <v>250</v>
      </c>
      <c r="K67" s="266">
        <v>150</v>
      </c>
      <c r="L67" s="266">
        <v>100</v>
      </c>
      <c r="M67" s="267">
        <f t="shared" si="20"/>
        <v>500</v>
      </c>
      <c r="N67" s="268">
        <f>H67/M67+N65</f>
        <v>8.4999999999999995E-4</v>
      </c>
      <c r="O67" s="269">
        <f>S67*$H67</f>
        <v>0.05</v>
      </c>
      <c r="P67" s="270">
        <f>T67*$H67</f>
        <v>0.03</v>
      </c>
      <c r="Q67" s="271">
        <f>U67*$H67</f>
        <v>2.0000000000000004E-2</v>
      </c>
      <c r="R67" s="280">
        <f t="shared" si="25"/>
        <v>0</v>
      </c>
      <c r="S67" s="272">
        <f t="shared" si="21"/>
        <v>0.5</v>
      </c>
      <c r="T67" s="272">
        <f t="shared" si="22"/>
        <v>0.3</v>
      </c>
      <c r="U67" s="272">
        <f t="shared" si="23"/>
        <v>0.2</v>
      </c>
      <c r="V67" s="273">
        <f t="shared" si="24"/>
        <v>1</v>
      </c>
      <c r="W67" s="253"/>
      <c r="X67" s="278">
        <v>2</v>
      </c>
      <c r="Y67" s="249">
        <v>6</v>
      </c>
      <c r="Z67" s="253">
        <v>100000000</v>
      </c>
      <c r="AA67" s="365">
        <f>(Q67+Q69+Q71)*1000</f>
        <v>71.079545454545467</v>
      </c>
      <c r="AB67" s="279"/>
      <c r="AC67" s="252" t="s">
        <v>266</v>
      </c>
      <c r="AD67" s="249"/>
    </row>
    <row r="68" spans="2:30" x14ac:dyDescent="0.25">
      <c r="C68" s="249"/>
      <c r="D68" s="249"/>
      <c r="E68" s="249"/>
      <c r="F68" s="281"/>
      <c r="G68" s="251"/>
      <c r="H68" s="251">
        <v>3</v>
      </c>
      <c r="I68" s="257" t="s">
        <v>157</v>
      </c>
      <c r="J68" s="258">
        <v>300</v>
      </c>
      <c r="K68" s="258">
        <v>150</v>
      </c>
      <c r="L68" s="258">
        <v>100</v>
      </c>
      <c r="M68" s="259">
        <f t="shared" si="20"/>
        <v>550</v>
      </c>
      <c r="N68" s="260">
        <f>N67</f>
        <v>8.4999999999999995E-4</v>
      </c>
      <c r="O68" s="275"/>
      <c r="P68" s="276"/>
      <c r="Q68" s="277"/>
      <c r="R68" s="280">
        <f t="shared" si="25"/>
        <v>0</v>
      </c>
      <c r="S68" s="272">
        <f t="shared" si="21"/>
        <v>0.54545454545454541</v>
      </c>
      <c r="T68" s="272">
        <f t="shared" si="22"/>
        <v>0.27272727272727271</v>
      </c>
      <c r="U68" s="272">
        <f t="shared" si="23"/>
        <v>0.18181818181818182</v>
      </c>
      <c r="V68" s="273">
        <f t="shared" si="24"/>
        <v>1</v>
      </c>
      <c r="W68" s="249"/>
      <c r="X68" s="278"/>
      <c r="Y68" s="249"/>
      <c r="Z68" s="253">
        <v>99999999</v>
      </c>
      <c r="AA68" s="279">
        <f>SUM(AA64:AA67)</f>
        <v>500</v>
      </c>
      <c r="AB68" s="255"/>
      <c r="AC68" s="252" t="s">
        <v>266</v>
      </c>
      <c r="AD68" s="249"/>
    </row>
    <row r="69" spans="2:30" ht="15.75" thickBot="1" x14ac:dyDescent="0.3">
      <c r="B69" s="1"/>
      <c r="C69" s="249"/>
      <c r="D69" s="249"/>
      <c r="E69" s="249"/>
      <c r="F69" s="249"/>
      <c r="G69" s="250">
        <v>2</v>
      </c>
      <c r="H69" s="250">
        <f>G69*0.05</f>
        <v>0.1</v>
      </c>
      <c r="I69" s="265">
        <v>4</v>
      </c>
      <c r="J69" s="266">
        <v>300</v>
      </c>
      <c r="K69" s="266">
        <v>150</v>
      </c>
      <c r="L69" s="266">
        <v>100</v>
      </c>
      <c r="M69" s="267">
        <f t="shared" si="20"/>
        <v>550</v>
      </c>
      <c r="N69" s="268">
        <f>(H69)/M69+N67</f>
        <v>1.0318181818181817E-3</v>
      </c>
      <c r="O69" s="269">
        <f>S69*$H69</f>
        <v>5.4545454545454543E-2</v>
      </c>
      <c r="P69" s="270">
        <f>T69*$H69</f>
        <v>2.7272727272727271E-2</v>
      </c>
      <c r="Q69" s="271">
        <f>U69*$H69</f>
        <v>1.8181818181818184E-2</v>
      </c>
      <c r="R69" s="280">
        <f t="shared" si="25"/>
        <v>0</v>
      </c>
      <c r="S69" s="272">
        <f t="shared" si="21"/>
        <v>0.54545454545454541</v>
      </c>
      <c r="T69" s="272">
        <f t="shared" si="22"/>
        <v>0.27272727272727271</v>
      </c>
      <c r="U69" s="272">
        <f t="shared" si="23"/>
        <v>0.18181818181818182</v>
      </c>
      <c r="V69" s="273">
        <f t="shared" si="24"/>
        <v>1</v>
      </c>
      <c r="W69" s="255"/>
      <c r="X69" s="249"/>
      <c r="Y69" s="256"/>
      <c r="Z69" s="256"/>
      <c r="AA69" s="256"/>
      <c r="AB69" s="249"/>
      <c r="AC69" s="252" t="s">
        <v>266</v>
      </c>
      <c r="AD69" s="249"/>
    </row>
    <row r="70" spans="2:30" x14ac:dyDescent="0.25">
      <c r="C70" s="249"/>
      <c r="D70" s="249"/>
      <c r="E70" s="249"/>
      <c r="F70" s="249"/>
      <c r="G70" s="251"/>
      <c r="H70" s="251">
        <v>4</v>
      </c>
      <c r="I70" s="257" t="s">
        <v>158</v>
      </c>
      <c r="J70" s="258">
        <v>300</v>
      </c>
      <c r="K70" s="258">
        <v>0</v>
      </c>
      <c r="L70" s="258">
        <v>100</v>
      </c>
      <c r="M70" s="259">
        <f t="shared" si="20"/>
        <v>400</v>
      </c>
      <c r="N70" s="260">
        <f>N69</f>
        <v>1.0318181818181817E-3</v>
      </c>
      <c r="O70" s="275"/>
      <c r="P70" s="276"/>
      <c r="Q70" s="277"/>
      <c r="R70" s="249"/>
      <c r="S70" s="272">
        <f t="shared" si="21"/>
        <v>0.75</v>
      </c>
      <c r="T70" s="272">
        <f t="shared" si="22"/>
        <v>0</v>
      </c>
      <c r="U70" s="272">
        <f t="shared" si="23"/>
        <v>0.25</v>
      </c>
      <c r="V70" s="273">
        <f t="shared" si="24"/>
        <v>1</v>
      </c>
      <c r="W70" s="255"/>
      <c r="X70" s="249"/>
      <c r="Y70" s="249"/>
      <c r="Z70" s="249"/>
      <c r="AA70" s="249"/>
      <c r="AB70" s="249"/>
      <c r="AC70" s="252" t="s">
        <v>266</v>
      </c>
      <c r="AD70" s="249"/>
    </row>
    <row r="71" spans="2:30" ht="15.75" thickBot="1" x14ac:dyDescent="0.3">
      <c r="B71" s="1"/>
      <c r="C71" s="249"/>
      <c r="D71" s="249"/>
      <c r="E71" s="249"/>
      <c r="F71" s="249"/>
      <c r="G71" s="250">
        <v>2</v>
      </c>
      <c r="H71" s="250">
        <f>G71*0.05+(P69+P67+P65)/3</f>
        <v>0.13159090909090909</v>
      </c>
      <c r="I71" s="265">
        <v>5</v>
      </c>
      <c r="J71" s="266">
        <v>300</v>
      </c>
      <c r="K71" s="267">
        <v>0</v>
      </c>
      <c r="L71" s="266">
        <v>100</v>
      </c>
      <c r="M71" s="267">
        <f t="shared" si="20"/>
        <v>400</v>
      </c>
      <c r="N71" s="268">
        <f>H71/M71+N69</f>
        <v>1.3607954545454544E-3</v>
      </c>
      <c r="O71" s="269">
        <f>S71*$H71</f>
        <v>9.8693181818181819E-2</v>
      </c>
      <c r="P71" s="270">
        <f>T71*$H71</f>
        <v>0</v>
      </c>
      <c r="Q71" s="271">
        <f>U71*$H71</f>
        <v>3.2897727272727273E-2</v>
      </c>
      <c r="R71" s="249"/>
      <c r="S71" s="272">
        <f t="shared" si="21"/>
        <v>0.75</v>
      </c>
      <c r="T71" s="272">
        <f t="shared" si="22"/>
        <v>0</v>
      </c>
      <c r="U71" s="272">
        <f t="shared" si="23"/>
        <v>0.25</v>
      </c>
      <c r="V71" s="273">
        <f t="shared" si="24"/>
        <v>1</v>
      </c>
      <c r="W71" s="255"/>
      <c r="X71" s="249"/>
      <c r="Y71" s="249"/>
      <c r="Z71" s="249"/>
      <c r="AA71" s="249"/>
      <c r="AB71" s="249"/>
      <c r="AC71" s="252" t="s">
        <v>266</v>
      </c>
      <c r="AD71" s="249"/>
    </row>
    <row r="72" spans="2:30" x14ac:dyDescent="0.25">
      <c r="C72" s="249"/>
      <c r="D72" s="249"/>
      <c r="E72" s="249"/>
      <c r="F72" s="250"/>
      <c r="G72" s="251"/>
      <c r="H72" s="251">
        <v>5</v>
      </c>
      <c r="I72" s="252" t="s">
        <v>159</v>
      </c>
      <c r="J72" s="253">
        <v>0</v>
      </c>
      <c r="K72" s="253">
        <v>0</v>
      </c>
      <c r="L72" s="253">
        <v>0</v>
      </c>
      <c r="M72" s="253">
        <v>0</v>
      </c>
      <c r="N72" s="254">
        <f>N71</f>
        <v>1.3607954545454544E-3</v>
      </c>
      <c r="O72" s="249"/>
      <c r="P72" s="249"/>
      <c r="Q72" s="249"/>
      <c r="R72" s="249"/>
      <c r="S72" s="249"/>
      <c r="T72" s="249"/>
      <c r="U72" s="249"/>
      <c r="V72" s="249"/>
      <c r="W72" s="255"/>
      <c r="X72" s="249"/>
      <c r="Y72" s="249"/>
      <c r="Z72" s="249"/>
      <c r="AA72" s="249"/>
      <c r="AB72" s="249"/>
      <c r="AC72" s="252" t="s">
        <v>266</v>
      </c>
      <c r="AD72" s="249"/>
    </row>
    <row r="73" spans="2:30" x14ac:dyDescent="0.25">
      <c r="B73" s="1"/>
      <c r="C73" s="249"/>
      <c r="D73" s="249"/>
      <c r="E73" s="249"/>
      <c r="F73" s="250"/>
      <c r="G73" s="251"/>
      <c r="H73" s="251"/>
      <c r="I73" s="252"/>
      <c r="J73" s="253"/>
      <c r="K73" s="253"/>
      <c r="L73" s="253"/>
      <c r="M73" s="253"/>
      <c r="N73" s="254"/>
      <c r="O73" s="249"/>
      <c r="P73" s="249"/>
      <c r="Q73" s="249"/>
      <c r="R73" s="249"/>
      <c r="S73" s="249"/>
      <c r="T73" s="249"/>
      <c r="U73" s="249"/>
      <c r="V73" s="249"/>
      <c r="W73" s="255"/>
      <c r="X73" s="249"/>
      <c r="Y73" s="249"/>
      <c r="Z73" s="249"/>
      <c r="AA73" s="249"/>
      <c r="AB73" s="249"/>
      <c r="AC73" s="252" t="s">
        <v>266</v>
      </c>
      <c r="AD73" s="249"/>
    </row>
    <row r="74" spans="2:30" x14ac:dyDescent="0.25">
      <c r="C74" s="249"/>
      <c r="D74" s="249"/>
      <c r="E74" s="249"/>
      <c r="F74" s="250"/>
      <c r="G74" s="251"/>
      <c r="H74" s="251"/>
      <c r="I74" s="252"/>
      <c r="J74" s="253"/>
      <c r="K74" s="253"/>
      <c r="L74" s="253"/>
      <c r="M74" s="253"/>
      <c r="N74" s="254"/>
      <c r="O74" s="249"/>
      <c r="P74" s="249"/>
      <c r="Q74" s="249"/>
      <c r="R74" s="249"/>
      <c r="S74" s="249"/>
      <c r="T74" s="249"/>
      <c r="U74" s="249"/>
      <c r="V74" s="249"/>
      <c r="W74" s="255"/>
      <c r="X74" s="249"/>
      <c r="Y74" s="249"/>
      <c r="Z74" s="249"/>
      <c r="AA74" s="249"/>
      <c r="AB74" s="249"/>
      <c r="AC74" s="252" t="s">
        <v>266</v>
      </c>
      <c r="AD74" s="249"/>
    </row>
    <row r="75" spans="2:30" x14ac:dyDescent="0.25">
      <c r="C75" s="48"/>
      <c r="D75" s="48"/>
      <c r="E75" s="48"/>
      <c r="F75" s="284"/>
      <c r="G75" s="285"/>
      <c r="H75" s="285"/>
      <c r="I75" s="48"/>
      <c r="J75" s="48"/>
      <c r="K75" s="48"/>
      <c r="L75" s="286"/>
      <c r="M75" s="286"/>
      <c r="N75" s="286"/>
      <c r="O75" s="286"/>
      <c r="P75" s="285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287" t="s">
        <v>228</v>
      </c>
      <c r="AB75" s="48"/>
      <c r="AC75" s="288"/>
    </row>
    <row r="76" spans="2:30" ht="15.75" thickBot="1" x14ac:dyDescent="0.3">
      <c r="B76" s="1"/>
      <c r="C76" s="48"/>
      <c r="D76" s="48"/>
      <c r="E76" s="48"/>
      <c r="F76" s="284"/>
      <c r="G76" s="288" t="s">
        <v>86</v>
      </c>
      <c r="H76" s="288" t="s">
        <v>87</v>
      </c>
      <c r="I76" s="288" t="s">
        <v>85</v>
      </c>
      <c r="J76" s="288" t="s">
        <v>160</v>
      </c>
      <c r="K76" s="288" t="s">
        <v>161</v>
      </c>
      <c r="L76" s="288" t="s">
        <v>54</v>
      </c>
      <c r="M76" s="288" t="s">
        <v>223</v>
      </c>
      <c r="N76" s="288" t="s">
        <v>225</v>
      </c>
      <c r="O76" s="288" t="s">
        <v>226</v>
      </c>
      <c r="P76" s="288"/>
      <c r="Q76" s="288" t="s">
        <v>160</v>
      </c>
      <c r="R76" s="288" t="s">
        <v>161</v>
      </c>
      <c r="S76" s="288" t="s">
        <v>54</v>
      </c>
      <c r="T76" s="288" t="s">
        <v>223</v>
      </c>
      <c r="U76" s="288" t="s">
        <v>82</v>
      </c>
      <c r="V76" s="288" t="s">
        <v>113</v>
      </c>
      <c r="W76" s="288" t="s">
        <v>114</v>
      </c>
      <c r="X76" s="288" t="s">
        <v>224</v>
      </c>
      <c r="Y76" s="48"/>
      <c r="Z76" s="48"/>
      <c r="AA76" s="48"/>
      <c r="AB76" s="48"/>
      <c r="AC76" s="288" t="s">
        <v>269</v>
      </c>
    </row>
    <row r="77" spans="2:30" ht="15.75" thickBot="1" x14ac:dyDescent="0.3">
      <c r="C77" s="48"/>
      <c r="D77" s="48" t="s">
        <v>268</v>
      </c>
      <c r="E77" s="48"/>
      <c r="F77" s="284"/>
      <c r="G77" s="48"/>
      <c r="H77" s="48">
        <v>0</v>
      </c>
      <c r="I77" s="289" t="s">
        <v>154</v>
      </c>
      <c r="J77" s="290">
        <v>250</v>
      </c>
      <c r="K77" s="291">
        <v>0</v>
      </c>
      <c r="L77" s="291">
        <v>0</v>
      </c>
      <c r="M77" s="291"/>
      <c r="N77" s="292">
        <f t="shared" ref="N77:N86" si="26">SUM(J77:M77)</f>
        <v>250</v>
      </c>
      <c r="O77" s="293">
        <v>0</v>
      </c>
      <c r="P77" s="294"/>
      <c r="Q77" s="295"/>
      <c r="R77" s="296"/>
      <c r="S77" s="297"/>
      <c r="T77" s="48"/>
      <c r="U77" s="48"/>
      <c r="V77" s="48"/>
      <c r="W77" s="48"/>
      <c r="X77" s="48"/>
      <c r="Y77" s="48"/>
      <c r="Z77" s="48"/>
      <c r="AA77" s="298">
        <v>4</v>
      </c>
      <c r="AB77" s="299">
        <f>T80</f>
        <v>6.9767441860465115E-3</v>
      </c>
      <c r="AC77" s="288" t="s">
        <v>269</v>
      </c>
      <c r="AD77" s="1">
        <v>1</v>
      </c>
    </row>
    <row r="78" spans="2:30" ht="15.75" thickBot="1" x14ac:dyDescent="0.3">
      <c r="C78" s="48"/>
      <c r="D78" s="48"/>
      <c r="E78" s="48"/>
      <c r="F78" s="284"/>
      <c r="G78" s="300">
        <v>2</v>
      </c>
      <c r="H78" s="300">
        <f>G78*0.05</f>
        <v>0.1</v>
      </c>
      <c r="I78" s="301">
        <v>1</v>
      </c>
      <c r="J78" s="302">
        <v>250</v>
      </c>
      <c r="K78" s="292">
        <v>0</v>
      </c>
      <c r="L78" s="292">
        <v>0</v>
      </c>
      <c r="M78" s="292"/>
      <c r="N78" s="292">
        <f t="shared" si="26"/>
        <v>250</v>
      </c>
      <c r="O78" s="303">
        <f>H78/N78</f>
        <v>4.0000000000000002E-4</v>
      </c>
      <c r="P78" s="304"/>
      <c r="Q78" s="305">
        <f>U78*$H78</f>
        <v>0.1</v>
      </c>
      <c r="R78" s="306">
        <f>V78*$H78</f>
        <v>0</v>
      </c>
      <c r="S78" s="307">
        <f>W78*$H78</f>
        <v>0</v>
      </c>
      <c r="T78" s="307">
        <f>X78*$H78</f>
        <v>0</v>
      </c>
      <c r="U78" s="308">
        <f t="shared" ref="U78:U86" si="27">J78/$N78</f>
        <v>1</v>
      </c>
      <c r="V78" s="308">
        <f t="shared" ref="V78:V86" si="28">K78/$N78</f>
        <v>0</v>
      </c>
      <c r="W78" s="308">
        <f t="shared" ref="W78:W86" si="29">L78/$N78</f>
        <v>0</v>
      </c>
      <c r="X78" s="308">
        <f t="shared" ref="X78:X86" si="30">M78/$N78</f>
        <v>0</v>
      </c>
      <c r="Y78" s="309">
        <f t="shared" ref="Y78:Y86" si="31">SUM(U78:X78)</f>
        <v>1</v>
      </c>
      <c r="Z78" s="48"/>
      <c r="AA78" s="310">
        <v>4</v>
      </c>
      <c r="AB78" s="311">
        <f>T82</f>
        <v>1.0714285714285714E-2</v>
      </c>
      <c r="AC78" s="288" t="s">
        <v>269</v>
      </c>
      <c r="AD78" s="1">
        <v>2</v>
      </c>
    </row>
    <row r="79" spans="2:30" ht="15.75" thickBot="1" x14ac:dyDescent="0.3">
      <c r="C79" s="48"/>
      <c r="D79" s="48"/>
      <c r="E79" s="48"/>
      <c r="F79" s="284"/>
      <c r="G79" s="286"/>
      <c r="H79" s="286"/>
      <c r="I79" s="289" t="s">
        <v>155</v>
      </c>
      <c r="J79" s="290">
        <v>250</v>
      </c>
      <c r="K79" s="290">
        <v>150</v>
      </c>
      <c r="L79" s="291">
        <v>0</v>
      </c>
      <c r="M79" s="291">
        <v>30</v>
      </c>
      <c r="N79" s="292">
        <f t="shared" si="26"/>
        <v>430</v>
      </c>
      <c r="O79" s="293">
        <f>O78</f>
        <v>4.0000000000000002E-4</v>
      </c>
      <c r="P79" s="294"/>
      <c r="Q79" s="312"/>
      <c r="R79" s="313"/>
      <c r="S79" s="314"/>
      <c r="T79" s="314"/>
      <c r="U79" s="308">
        <f t="shared" si="27"/>
        <v>0.58139534883720934</v>
      </c>
      <c r="V79" s="308">
        <f t="shared" si="28"/>
        <v>0.34883720930232559</v>
      </c>
      <c r="W79" s="308">
        <f t="shared" si="29"/>
        <v>0</v>
      </c>
      <c r="X79" s="308">
        <f t="shared" si="30"/>
        <v>6.9767441860465115E-2</v>
      </c>
      <c r="Y79" s="309">
        <f t="shared" si="31"/>
        <v>1</v>
      </c>
      <c r="Z79" s="48"/>
      <c r="AA79" s="310">
        <v>4</v>
      </c>
      <c r="AB79" s="311">
        <f>T84</f>
        <v>1.5254237288135596E-2</v>
      </c>
      <c r="AC79" s="288" t="s">
        <v>269</v>
      </c>
      <c r="AD79" s="1">
        <v>3</v>
      </c>
    </row>
    <row r="80" spans="2:30" ht="15.75" thickBot="1" x14ac:dyDescent="0.3">
      <c r="C80" s="48"/>
      <c r="D80" s="48"/>
      <c r="E80" s="48"/>
      <c r="F80" s="284"/>
      <c r="G80" s="300">
        <v>2</v>
      </c>
      <c r="H80" s="300">
        <f>G80*0.05</f>
        <v>0.1</v>
      </c>
      <c r="I80" s="301">
        <v>2</v>
      </c>
      <c r="J80" s="302">
        <v>250</v>
      </c>
      <c r="K80" s="302">
        <v>150</v>
      </c>
      <c r="L80" s="292">
        <v>0</v>
      </c>
      <c r="M80" s="292">
        <v>30</v>
      </c>
      <c r="N80" s="292">
        <f t="shared" si="26"/>
        <v>430</v>
      </c>
      <c r="O80" s="303">
        <f>H80/N80+O78</f>
        <v>6.3255813953488373E-4</v>
      </c>
      <c r="P80" s="304"/>
      <c r="Q80" s="305">
        <f>U80*$H80</f>
        <v>5.8139534883720936E-2</v>
      </c>
      <c r="R80" s="306">
        <f>V80*$H80</f>
        <v>3.4883720930232558E-2</v>
      </c>
      <c r="S80" s="307">
        <f>W80*$H80</f>
        <v>0</v>
      </c>
      <c r="T80" s="315">
        <f>X80*$H80</f>
        <v>6.9767441860465115E-3</v>
      </c>
      <c r="U80" s="308">
        <f t="shared" si="27"/>
        <v>0.58139534883720934</v>
      </c>
      <c r="V80" s="308">
        <f t="shared" si="28"/>
        <v>0.34883720930232559</v>
      </c>
      <c r="W80" s="308">
        <f t="shared" si="29"/>
        <v>0</v>
      </c>
      <c r="X80" s="308">
        <f t="shared" si="30"/>
        <v>6.9767441860465115E-2</v>
      </c>
      <c r="Y80" s="309">
        <f t="shared" si="31"/>
        <v>1</v>
      </c>
      <c r="Z80" s="48"/>
      <c r="AA80" s="310">
        <v>1</v>
      </c>
      <c r="AB80" s="311">
        <f>R80+R82+R84</f>
        <v>8.7093164029506176E-2</v>
      </c>
      <c r="AC80" s="288" t="s">
        <v>269</v>
      </c>
      <c r="AD80" s="1">
        <v>4</v>
      </c>
    </row>
    <row r="81" spans="3:30" ht="15.75" thickBot="1" x14ac:dyDescent="0.3">
      <c r="C81" s="48"/>
      <c r="D81" s="48"/>
      <c r="E81" s="48"/>
      <c r="F81" s="284"/>
      <c r="G81" s="286"/>
      <c r="H81" s="286"/>
      <c r="I81" s="289" t="s">
        <v>156</v>
      </c>
      <c r="J81" s="290">
        <v>250</v>
      </c>
      <c r="K81" s="290">
        <v>150</v>
      </c>
      <c r="L81" s="290">
        <v>100</v>
      </c>
      <c r="M81" s="290">
        <v>60</v>
      </c>
      <c r="N81" s="292">
        <f t="shared" si="26"/>
        <v>560</v>
      </c>
      <c r="O81" s="293">
        <f>O80</f>
        <v>6.3255813953488373E-4</v>
      </c>
      <c r="P81" s="294"/>
      <c r="Q81" s="312"/>
      <c r="R81" s="313"/>
      <c r="S81" s="314"/>
      <c r="T81" s="299"/>
      <c r="U81" s="308">
        <f t="shared" si="27"/>
        <v>0.44642857142857145</v>
      </c>
      <c r="V81" s="308">
        <f t="shared" si="28"/>
        <v>0.26785714285714285</v>
      </c>
      <c r="W81" s="308">
        <f t="shared" si="29"/>
        <v>0.17857142857142858</v>
      </c>
      <c r="X81" s="308">
        <f t="shared" si="30"/>
        <v>0.10714285714285714</v>
      </c>
      <c r="Y81" s="309">
        <f t="shared" si="31"/>
        <v>1</v>
      </c>
      <c r="Z81" s="48"/>
      <c r="AA81" s="310">
        <v>4</v>
      </c>
      <c r="AB81" s="311">
        <f>T86</f>
        <v>2.553191489361702E-2</v>
      </c>
      <c r="AC81" s="288" t="s">
        <v>269</v>
      </c>
      <c r="AD81" s="1">
        <v>5</v>
      </c>
    </row>
    <row r="82" spans="3:30" ht="15.75" thickBot="1" x14ac:dyDescent="0.3">
      <c r="C82" s="48"/>
      <c r="D82" s="48"/>
      <c r="E82" s="48"/>
      <c r="F82" s="284"/>
      <c r="G82" s="300">
        <v>2</v>
      </c>
      <c r="H82" s="300">
        <f>G82*0.05</f>
        <v>0.1</v>
      </c>
      <c r="I82" s="301">
        <v>3</v>
      </c>
      <c r="J82" s="302">
        <v>250</v>
      </c>
      <c r="K82" s="302">
        <v>150</v>
      </c>
      <c r="L82" s="302">
        <v>100</v>
      </c>
      <c r="M82" s="302">
        <v>60</v>
      </c>
      <c r="N82" s="292">
        <f t="shared" si="26"/>
        <v>560</v>
      </c>
      <c r="O82" s="303">
        <f>H82/N82+O80</f>
        <v>8.1112956810631227E-4</v>
      </c>
      <c r="P82" s="316">
        <v>560000000</v>
      </c>
      <c r="Q82" s="305">
        <f>U82*$H82</f>
        <v>4.4642857142857151E-2</v>
      </c>
      <c r="R82" s="306">
        <f>V82*$H82</f>
        <v>2.6785714285714288E-2</v>
      </c>
      <c r="S82" s="307">
        <f>W82*$H82</f>
        <v>1.785714285714286E-2</v>
      </c>
      <c r="T82" s="315">
        <f>X82*$H82</f>
        <v>1.0714285714285714E-2</v>
      </c>
      <c r="U82" s="308">
        <f t="shared" si="27"/>
        <v>0.44642857142857145</v>
      </c>
      <c r="V82" s="308">
        <f t="shared" si="28"/>
        <v>0.26785714285714285</v>
      </c>
      <c r="W82" s="308">
        <f t="shared" si="29"/>
        <v>0.17857142857142858</v>
      </c>
      <c r="X82" s="308">
        <f t="shared" si="30"/>
        <v>0.10714285714285714</v>
      </c>
      <c r="Y82" s="309">
        <f t="shared" si="31"/>
        <v>1</v>
      </c>
      <c r="Z82" s="48"/>
      <c r="AA82" s="310">
        <v>0</v>
      </c>
      <c r="AB82" s="311">
        <f>Q84+Q86+Q82+Q80+Q78</f>
        <v>0.29834676274421246</v>
      </c>
      <c r="AC82" s="288" t="s">
        <v>269</v>
      </c>
      <c r="AD82" s="1">
        <v>6</v>
      </c>
    </row>
    <row r="83" spans="3:30" ht="15.75" thickBot="1" x14ac:dyDescent="0.3">
      <c r="C83" s="48"/>
      <c r="D83" s="48"/>
      <c r="E83" s="48"/>
      <c r="F83" s="284"/>
      <c r="G83" s="286"/>
      <c r="H83" s="286"/>
      <c r="I83" s="289" t="s">
        <v>157</v>
      </c>
      <c r="J83" s="302">
        <v>250</v>
      </c>
      <c r="K83" s="290">
        <v>150</v>
      </c>
      <c r="L83" s="290">
        <v>100</v>
      </c>
      <c r="M83" s="290">
        <v>90</v>
      </c>
      <c r="N83" s="292">
        <f t="shared" si="26"/>
        <v>590</v>
      </c>
      <c r="O83" s="293">
        <f>O82</f>
        <v>8.1112956810631227E-4</v>
      </c>
      <c r="P83" s="294"/>
      <c r="Q83" s="312"/>
      <c r="R83" s="313"/>
      <c r="S83" s="314"/>
      <c r="T83" s="299"/>
      <c r="U83" s="308">
        <f t="shared" si="27"/>
        <v>0.42372881355932202</v>
      </c>
      <c r="V83" s="308">
        <f t="shared" si="28"/>
        <v>0.25423728813559321</v>
      </c>
      <c r="W83" s="308">
        <f t="shared" si="29"/>
        <v>0.16949152542372881</v>
      </c>
      <c r="X83" s="308">
        <f t="shared" si="30"/>
        <v>0.15254237288135594</v>
      </c>
      <c r="Y83" s="309">
        <f t="shared" si="31"/>
        <v>1</v>
      </c>
      <c r="Z83" s="48"/>
      <c r="AA83" s="317">
        <v>2</v>
      </c>
      <c r="AB83" s="315">
        <f>S82+S84+S86</f>
        <v>5.6082891144196595E-2</v>
      </c>
      <c r="AC83" s="288" t="s">
        <v>269</v>
      </c>
      <c r="AD83" s="1">
        <v>7</v>
      </c>
    </row>
    <row r="84" spans="3:30" ht="15.75" thickBot="1" x14ac:dyDescent="0.3">
      <c r="C84" s="48"/>
      <c r="D84" s="48"/>
      <c r="E84" s="48"/>
      <c r="F84" s="284"/>
      <c r="G84" s="300">
        <v>2</v>
      </c>
      <c r="H84" s="300">
        <f>G84*0.05</f>
        <v>0.1</v>
      </c>
      <c r="I84" s="301">
        <v>4</v>
      </c>
      <c r="J84" s="302">
        <v>250</v>
      </c>
      <c r="K84" s="302">
        <v>150</v>
      </c>
      <c r="L84" s="302">
        <v>100</v>
      </c>
      <c r="M84" s="302">
        <v>90</v>
      </c>
      <c r="N84" s="318">
        <f t="shared" si="26"/>
        <v>590</v>
      </c>
      <c r="O84" s="319">
        <f>H84/N84+O82</f>
        <v>9.8062109353004101E-4</v>
      </c>
      <c r="P84" s="320"/>
      <c r="Q84" s="321">
        <f>U84*$H84</f>
        <v>4.2372881355932202E-2</v>
      </c>
      <c r="R84" s="322">
        <f>V84*$H84</f>
        <v>2.5423728813559324E-2</v>
      </c>
      <c r="S84" s="323">
        <f>W84*$H84</f>
        <v>1.6949152542372881E-2</v>
      </c>
      <c r="T84" s="324">
        <f>X84*$H84</f>
        <v>1.5254237288135596E-2</v>
      </c>
      <c r="U84" s="308">
        <f t="shared" si="27"/>
        <v>0.42372881355932202</v>
      </c>
      <c r="V84" s="308">
        <f t="shared" si="28"/>
        <v>0.25423728813559321</v>
      </c>
      <c r="W84" s="308">
        <f t="shared" si="29"/>
        <v>0.16949152542372881</v>
      </c>
      <c r="X84" s="308">
        <f t="shared" si="30"/>
        <v>0.15254237288135594</v>
      </c>
      <c r="Y84" s="309">
        <f t="shared" si="31"/>
        <v>1</v>
      </c>
      <c r="Z84" s="48"/>
      <c r="AA84" s="48" t="s">
        <v>267</v>
      </c>
      <c r="AB84" s="325">
        <f>SUM(AB77:AB83)</f>
        <v>0.50000000000000011</v>
      </c>
      <c r="AC84" s="288" t="s">
        <v>269</v>
      </c>
    </row>
    <row r="85" spans="3:30" ht="15.75" thickBot="1" x14ac:dyDescent="0.3">
      <c r="C85" s="48"/>
      <c r="D85" s="48"/>
      <c r="E85" s="48"/>
      <c r="F85" s="48"/>
      <c r="G85" s="286"/>
      <c r="H85" s="286">
        <v>4</v>
      </c>
      <c r="I85" s="289" t="s">
        <v>158</v>
      </c>
      <c r="J85" s="302">
        <v>250</v>
      </c>
      <c r="K85" s="290">
        <v>0</v>
      </c>
      <c r="L85" s="290">
        <v>100</v>
      </c>
      <c r="M85" s="290">
        <v>120</v>
      </c>
      <c r="N85" s="318">
        <f t="shared" si="26"/>
        <v>470</v>
      </c>
      <c r="O85" s="326">
        <f>O84</f>
        <v>9.8062109353004101E-4</v>
      </c>
      <c r="P85" s="327"/>
      <c r="Q85" s="328"/>
      <c r="R85" s="329"/>
      <c r="S85" s="330"/>
      <c r="T85" s="331"/>
      <c r="U85" s="308">
        <f t="shared" si="27"/>
        <v>0.53191489361702127</v>
      </c>
      <c r="V85" s="308">
        <f t="shared" si="28"/>
        <v>0</v>
      </c>
      <c r="W85" s="308">
        <f t="shared" si="29"/>
        <v>0.21276595744680851</v>
      </c>
      <c r="X85" s="308">
        <f t="shared" si="30"/>
        <v>0.25531914893617019</v>
      </c>
      <c r="Y85" s="309">
        <f t="shared" si="31"/>
        <v>1</v>
      </c>
      <c r="Z85" s="48"/>
      <c r="AA85" s="48"/>
      <c r="AB85" s="48"/>
      <c r="AC85" s="288" t="s">
        <v>269</v>
      </c>
    </row>
    <row r="86" spans="3:30" ht="15.75" thickBot="1" x14ac:dyDescent="0.3">
      <c r="C86" s="48"/>
      <c r="D86" s="48"/>
      <c r="E86" s="48"/>
      <c r="F86" s="48"/>
      <c r="G86" s="300">
        <v>2</v>
      </c>
      <c r="H86" s="300">
        <f>G86*0.05</f>
        <v>0.1</v>
      </c>
      <c r="I86" s="301">
        <v>5</v>
      </c>
      <c r="J86" s="302">
        <v>250</v>
      </c>
      <c r="K86" s="292">
        <v>0</v>
      </c>
      <c r="L86" s="302">
        <v>100</v>
      </c>
      <c r="M86" s="302">
        <v>120</v>
      </c>
      <c r="N86" s="292">
        <f t="shared" si="26"/>
        <v>470</v>
      </c>
      <c r="O86" s="303">
        <f>H86/N86+O84</f>
        <v>1.1933870509768497E-3</v>
      </c>
      <c r="P86" s="304"/>
      <c r="Q86" s="305">
        <f>U86*$H86</f>
        <v>5.3191489361702128E-2</v>
      </c>
      <c r="R86" s="306">
        <f>V86*$H86</f>
        <v>0</v>
      </c>
      <c r="S86" s="307">
        <f>W86*$H86</f>
        <v>2.1276595744680854E-2</v>
      </c>
      <c r="T86" s="315">
        <f>X86*$H86</f>
        <v>2.553191489361702E-2</v>
      </c>
      <c r="U86" s="308">
        <f t="shared" si="27"/>
        <v>0.53191489361702127</v>
      </c>
      <c r="V86" s="308">
        <f t="shared" si="28"/>
        <v>0</v>
      </c>
      <c r="W86" s="308">
        <f t="shared" si="29"/>
        <v>0.21276595744680851</v>
      </c>
      <c r="X86" s="308">
        <f t="shared" si="30"/>
        <v>0.25531914893617019</v>
      </c>
      <c r="Y86" s="309">
        <f t="shared" si="31"/>
        <v>1</v>
      </c>
      <c r="Z86" s="48"/>
      <c r="AA86" s="48"/>
      <c r="AB86" s="48"/>
      <c r="AC86" s="288" t="s">
        <v>269</v>
      </c>
    </row>
    <row r="87" spans="3:30" x14ac:dyDescent="0.25">
      <c r="C87" s="48"/>
      <c r="D87" s="48"/>
      <c r="E87" s="48"/>
      <c r="F87" s="48"/>
      <c r="G87" s="286"/>
      <c r="H87" s="286">
        <v>5</v>
      </c>
      <c r="I87" s="288" t="s">
        <v>159</v>
      </c>
      <c r="J87" s="284">
        <v>0</v>
      </c>
      <c r="K87" s="284">
        <v>0</v>
      </c>
      <c r="L87" s="284">
        <v>0</v>
      </c>
      <c r="M87" s="284">
        <v>100</v>
      </c>
      <c r="N87" s="284">
        <v>0</v>
      </c>
      <c r="O87" s="316">
        <f>O86</f>
        <v>1.1933870509768497E-3</v>
      </c>
      <c r="P87" s="316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288"/>
    </row>
    <row r="88" spans="3:30" x14ac:dyDescent="0.25">
      <c r="C88" s="48"/>
      <c r="D88" s="48"/>
      <c r="E88" s="48"/>
      <c r="F88" s="48"/>
      <c r="G88" s="48"/>
      <c r="H88" s="48"/>
      <c r="I88" s="284"/>
      <c r="J88" s="287"/>
      <c r="K88" s="48"/>
      <c r="L88" s="48"/>
      <c r="M88" s="48"/>
      <c r="N88" s="308"/>
      <c r="O88" s="308"/>
      <c r="P88" s="308"/>
      <c r="Q88" s="284"/>
      <c r="R88" s="284"/>
      <c r="S88" s="284"/>
      <c r="T88" s="284"/>
      <c r="U88" s="285"/>
      <c r="V88" s="285"/>
      <c r="W88" s="285"/>
      <c r="X88" s="48"/>
      <c r="Y88" s="48"/>
      <c r="Z88" s="48"/>
      <c r="AA88" s="48"/>
      <c r="AB88" s="48"/>
      <c r="AC88" s="288"/>
    </row>
    <row r="89" spans="3:30" x14ac:dyDescent="0.25">
      <c r="I89" s="4"/>
      <c r="J89" s="1"/>
      <c r="N89" s="21"/>
      <c r="O89" s="21"/>
      <c r="P89" s="21"/>
      <c r="U89" s="3"/>
      <c r="V89" s="3"/>
      <c r="W89" s="3"/>
    </row>
    <row r="90" spans="3:30" x14ac:dyDescent="0.25">
      <c r="N90" s="366">
        <v>9332654729891540</v>
      </c>
      <c r="AC90"/>
      <c r="AD90" s="28"/>
    </row>
    <row r="91" spans="3:30" x14ac:dyDescent="0.25">
      <c r="AC91"/>
      <c r="AD91" s="28"/>
    </row>
    <row r="92" spans="3:30" x14ac:dyDescent="0.25">
      <c r="AC92"/>
    </row>
    <row r="93" spans="3:30" x14ac:dyDescent="0.25">
      <c r="AC93"/>
    </row>
    <row r="94" spans="3:30" x14ac:dyDescent="0.25">
      <c r="AC94"/>
    </row>
    <row r="95" spans="3:30" x14ac:dyDescent="0.25">
      <c r="AC95"/>
    </row>
    <row r="96" spans="3:30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283"/>
      <c r="K116" s="283"/>
      <c r="L116" s="283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dimension ref="B2:G29"/>
  <sheetViews>
    <sheetView workbookViewId="0">
      <selection activeCell="C9" sqref="C9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7" x14ac:dyDescent="0.25">
      <c r="B2" t="s">
        <v>272</v>
      </c>
      <c r="C2">
        <v>97</v>
      </c>
    </row>
    <row r="3" spans="2:7" x14ac:dyDescent="0.25">
      <c r="B3" t="s">
        <v>273</v>
      </c>
      <c r="C3">
        <v>184</v>
      </c>
      <c r="D3" t="s">
        <v>274</v>
      </c>
    </row>
    <row r="4" spans="2:7" x14ac:dyDescent="0.25">
      <c r="B4" t="s">
        <v>277</v>
      </c>
      <c r="C4">
        <v>195</v>
      </c>
      <c r="D4" t="s">
        <v>274</v>
      </c>
    </row>
    <row r="5" spans="2:7" x14ac:dyDescent="0.25">
      <c r="B5" t="s">
        <v>276</v>
      </c>
      <c r="C5">
        <v>204</v>
      </c>
      <c r="D5" t="s">
        <v>274</v>
      </c>
      <c r="G5">
        <f>2^16</f>
        <v>65536</v>
      </c>
    </row>
    <row r="6" spans="2:7" x14ac:dyDescent="0.25">
      <c r="B6" t="s">
        <v>273</v>
      </c>
      <c r="C6">
        <v>208</v>
      </c>
      <c r="D6" t="s">
        <v>279</v>
      </c>
    </row>
    <row r="7" spans="2:7" x14ac:dyDescent="0.25">
      <c r="B7" t="s">
        <v>272</v>
      </c>
      <c r="C7">
        <v>233</v>
      </c>
    </row>
    <row r="8" spans="2:7" x14ac:dyDescent="0.25">
      <c r="B8" s="1" t="s">
        <v>273</v>
      </c>
      <c r="C8" s="1">
        <v>317</v>
      </c>
    </row>
    <row r="9" spans="2:7" x14ac:dyDescent="0.25">
      <c r="B9" t="s">
        <v>277</v>
      </c>
      <c r="C9">
        <v>341</v>
      </c>
    </row>
    <row r="10" spans="2:7" x14ac:dyDescent="0.25">
      <c r="B10" t="s">
        <v>278</v>
      </c>
      <c r="C10">
        <v>354</v>
      </c>
      <c r="D10" t="s">
        <v>274</v>
      </c>
      <c r="F10" s="4"/>
    </row>
    <row r="11" spans="2:7" x14ac:dyDescent="0.25">
      <c r="B11" t="s">
        <v>272</v>
      </c>
      <c r="C11">
        <v>365</v>
      </c>
      <c r="D11" t="s">
        <v>274</v>
      </c>
      <c r="F11" s="4"/>
    </row>
    <row r="12" spans="2:7" x14ac:dyDescent="0.25">
      <c r="B12" t="s">
        <v>278</v>
      </c>
      <c r="C12">
        <v>455</v>
      </c>
      <c r="D12" t="s">
        <v>279</v>
      </c>
    </row>
    <row r="13" spans="2:7" x14ac:dyDescent="0.25">
      <c r="B13" t="s">
        <v>277</v>
      </c>
      <c r="C13">
        <v>477</v>
      </c>
    </row>
    <row r="14" spans="2:7" x14ac:dyDescent="0.25">
      <c r="B14" t="s">
        <v>278</v>
      </c>
      <c r="C14">
        <v>491</v>
      </c>
    </row>
    <row r="15" spans="2:7" x14ac:dyDescent="0.25">
      <c r="B15" t="s">
        <v>275</v>
      </c>
      <c r="C15">
        <v>528</v>
      </c>
    </row>
    <row r="16" spans="2:7" x14ac:dyDescent="0.25">
      <c r="B16" t="s">
        <v>273</v>
      </c>
      <c r="C16">
        <v>542</v>
      </c>
      <c r="D16" t="s">
        <v>274</v>
      </c>
    </row>
    <row r="17" spans="2:4" x14ac:dyDescent="0.25">
      <c r="B17" t="s">
        <v>278</v>
      </c>
      <c r="C17">
        <v>543</v>
      </c>
      <c r="D17" t="s">
        <v>274</v>
      </c>
    </row>
    <row r="18" spans="2:4" x14ac:dyDescent="0.25">
      <c r="B18" t="s">
        <v>277</v>
      </c>
      <c r="C18">
        <v>545</v>
      </c>
      <c r="D18" t="s">
        <v>274</v>
      </c>
    </row>
    <row r="19" spans="2:4" x14ac:dyDescent="0.25">
      <c r="B19" t="s">
        <v>276</v>
      </c>
      <c r="C19">
        <v>556</v>
      </c>
      <c r="D19" t="s">
        <v>279</v>
      </c>
    </row>
    <row r="20" spans="2:4" x14ac:dyDescent="0.25">
      <c r="B20" t="s">
        <v>275</v>
      </c>
      <c r="C20">
        <v>581</v>
      </c>
    </row>
    <row r="21" spans="2:4" x14ac:dyDescent="0.25">
      <c r="B21" t="s">
        <v>276</v>
      </c>
      <c r="C21">
        <v>599</v>
      </c>
      <c r="D21" t="s">
        <v>279</v>
      </c>
    </row>
    <row r="22" spans="2:4" x14ac:dyDescent="0.25">
      <c r="B22" t="s">
        <v>275</v>
      </c>
      <c r="C22">
        <v>623</v>
      </c>
    </row>
    <row r="23" spans="2:4" x14ac:dyDescent="0.25">
      <c r="B23" t="s">
        <v>276</v>
      </c>
      <c r="C23">
        <v>640</v>
      </c>
    </row>
    <row r="24" spans="2:4" x14ac:dyDescent="0.25">
      <c r="B24" t="s">
        <v>272</v>
      </c>
      <c r="C24">
        <v>662</v>
      </c>
    </row>
    <row r="25" spans="2:4" x14ac:dyDescent="0.25">
      <c r="B25" t="s">
        <v>273</v>
      </c>
      <c r="C25">
        <v>743</v>
      </c>
    </row>
    <row r="26" spans="2:4" x14ac:dyDescent="0.25">
      <c r="B26" t="s">
        <v>277</v>
      </c>
      <c r="C26">
        <v>763</v>
      </c>
    </row>
    <row r="27" spans="2:4" x14ac:dyDescent="0.25">
      <c r="B27" t="s">
        <v>278</v>
      </c>
      <c r="C27">
        <v>772</v>
      </c>
    </row>
    <row r="28" spans="2:4" x14ac:dyDescent="0.25">
      <c r="B28" t="s">
        <v>275</v>
      </c>
      <c r="C28">
        <v>811</v>
      </c>
    </row>
    <row r="29" spans="2:4" x14ac:dyDescent="0.25">
      <c r="B29" t="s">
        <v>276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I29" sqref="I29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132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122</v>
      </c>
      <c r="K5">
        <v>901</v>
      </c>
      <c r="L5">
        <f t="shared" ref="L5:L35" si="1">INT(1000000/(K5+41)-41)</f>
        <v>1020</v>
      </c>
      <c r="N5" t="s">
        <v>133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131</v>
      </c>
      <c r="K6">
        <v>902</v>
      </c>
      <c r="L6">
        <f t="shared" si="1"/>
        <v>1019</v>
      </c>
      <c r="N6" t="s">
        <v>134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123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124</v>
      </c>
      <c r="I8" s="48">
        <v>1000</v>
      </c>
      <c r="K8">
        <v>904</v>
      </c>
      <c r="L8">
        <f t="shared" si="1"/>
        <v>1017</v>
      </c>
      <c r="N8" t="s">
        <v>124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125</v>
      </c>
      <c r="I9" s="48">
        <v>500</v>
      </c>
      <c r="K9">
        <v>905</v>
      </c>
      <c r="L9">
        <f t="shared" si="1"/>
        <v>1016</v>
      </c>
      <c r="N9" t="s">
        <v>125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126</v>
      </c>
      <c r="I10" s="48">
        <v>807</v>
      </c>
      <c r="K10">
        <v>906</v>
      </c>
      <c r="L10">
        <f t="shared" si="1"/>
        <v>1014</v>
      </c>
      <c r="N10" t="s">
        <v>126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127</v>
      </c>
      <c r="I11" s="48">
        <v>569</v>
      </c>
      <c r="K11" s="49">
        <v>907</v>
      </c>
      <c r="L11" s="49">
        <f t="shared" si="1"/>
        <v>1013</v>
      </c>
      <c r="N11" t="s">
        <v>127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130</v>
      </c>
      <c r="I12" s="48">
        <v>1672488000</v>
      </c>
      <c r="K12">
        <v>908</v>
      </c>
      <c r="L12">
        <f t="shared" si="1"/>
        <v>1012</v>
      </c>
      <c r="N12" t="s">
        <v>130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128</v>
      </c>
      <c r="I13" s="49">
        <v>807</v>
      </c>
      <c r="K13">
        <v>909</v>
      </c>
      <c r="L13">
        <f t="shared" si="1"/>
        <v>1011</v>
      </c>
      <c r="N13" t="s">
        <v>128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129</v>
      </c>
      <c r="I14" s="49">
        <v>1138</v>
      </c>
      <c r="K14">
        <v>1260</v>
      </c>
      <c r="L14">
        <f t="shared" si="1"/>
        <v>727</v>
      </c>
      <c r="N14" t="s">
        <v>129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0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0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0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1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test10betLimits</vt:lpstr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Sheet1</vt:lpstr>
      <vt:lpstr>test8OracleRevenue</vt:lpstr>
      <vt:lpstr>test9sequence</vt:lpstr>
      <vt:lpstr>test10bitDecoding</vt:lpstr>
      <vt:lpstr>test10betLimits!Print_Area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2023-08-25T19:02:35Z</dcterms:modified>
</cp:coreProperties>
</file>