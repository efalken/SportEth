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\Documents\Github\sporteth\docs\"/>
    </mc:Choice>
  </mc:AlternateContent>
  <xr:revisionPtr revIDLastSave="0" documentId="13_ncr:1_{A2771410-B292-46C9-B070-36B8C141A024}" xr6:coauthVersionLast="47" xr6:coauthVersionMax="47" xr10:uidLastSave="{00000000-0000-0000-0000-000000000000}"/>
  <bookViews>
    <workbookView xWindow="32325" yWindow="2775" windowWidth="21600" windowHeight="11295" tabRatio="732" firstSheet="4" activeTab="5" xr2:uid="{00000000-000D-0000-FFFF-FFFF00000000}"/>
  </bookViews>
  <sheets>
    <sheet name="test1BasicMargining" sheetId="1" r:id="rId1"/>
    <sheet name="test2BasicMargining" sheetId="27" r:id="rId2"/>
    <sheet name="test2BasicMarginingb" sheetId="30" r:id="rId3"/>
    <sheet name="test3oddsChange" sheetId="15" r:id="rId4"/>
    <sheet name="test4Redemptions" sheetId="24" r:id="rId5"/>
    <sheet name="Test5BigBet" sheetId="14" r:id="rId6"/>
    <sheet name="test6OracleVoting" sheetId="18" r:id="rId7"/>
    <sheet name="test7LPRevenue" sheetId="20" r:id="rId8"/>
    <sheet name="test8OracleRevenue" sheetId="29" r:id="rId9"/>
    <sheet name="test9Oracle2" sheetId="31" r:id="rId10"/>
    <sheet name="test10bitDecoding" sheetId="28" r:id="rId11"/>
  </sheets>
  <definedNames>
    <definedName name="_xlnm.Print_Area" localSheetId="0">test1BasicMargining!$Q$36:$R$41</definedName>
    <definedName name="_xlnm.Print_Area" localSheetId="1">test2BasicMargining!$Q$36:$R$41</definedName>
    <definedName name="_xlnm.Print_Area" localSheetId="2">test2BasicMarginingb!$Q$36:$R$41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9" i="14" l="1"/>
  <c r="K18" i="14"/>
  <c r="O18" i="14"/>
  <c r="N18" i="14"/>
  <c r="K21" i="14"/>
  <c r="F5" i="14"/>
  <c r="M7" i="14"/>
  <c r="M8" i="14"/>
  <c r="M15" i="14"/>
  <c r="N8" i="14" l="1"/>
  <c r="N7" i="14"/>
  <c r="M14" i="14"/>
  <c r="K26" i="14" s="1"/>
  <c r="L18" i="14" l="1"/>
  <c r="M18" i="14" s="1"/>
  <c r="H28" i="31" l="1"/>
  <c r="H27" i="31"/>
  <c r="H23" i="31"/>
  <c r="H17" i="31"/>
  <c r="L2" i="31"/>
  <c r="K2" i="31"/>
  <c r="J27" i="29"/>
  <c r="J21" i="29"/>
  <c r="J26" i="29"/>
  <c r="J25" i="29"/>
  <c r="H26" i="29"/>
  <c r="L32" i="20"/>
  <c r="L31" i="20"/>
  <c r="M30" i="20"/>
  <c r="K32" i="20"/>
  <c r="K31" i="20"/>
  <c r="K30" i="20"/>
  <c r="J30" i="20"/>
  <c r="L31" i="1"/>
  <c r="D31" i="20"/>
  <c r="C28" i="20"/>
  <c r="D30" i="20"/>
  <c r="D28" i="20"/>
  <c r="E29" i="20"/>
  <c r="E28" i="20"/>
  <c r="E26" i="20"/>
  <c r="F26" i="20"/>
  <c r="F28" i="20" s="1"/>
  <c r="G26" i="20"/>
  <c r="E27" i="20"/>
  <c r="F27" i="20"/>
  <c r="G27" i="20"/>
  <c r="D27" i="20"/>
  <c r="D29" i="20" s="1"/>
  <c r="D26" i="20"/>
  <c r="G28" i="20"/>
  <c r="F29" i="20"/>
  <c r="G29" i="20"/>
  <c r="H38" i="20"/>
  <c r="C11" i="20"/>
  <c r="E40" i="20"/>
  <c r="C9" i="20"/>
  <c r="H19" i="20"/>
  <c r="H29" i="31" l="1"/>
  <c r="D35" i="20"/>
  <c r="E35" i="20" s="1"/>
  <c r="B10" i="20"/>
  <c r="B9" i="20"/>
  <c r="C10" i="20"/>
  <c r="D7" i="20"/>
  <c r="E2" i="20"/>
  <c r="F27" i="31"/>
  <c r="E27" i="31"/>
  <c r="J29" i="31"/>
  <c r="K29" i="31"/>
  <c r="L29" i="31"/>
  <c r="M29" i="31"/>
  <c r="N29" i="31"/>
  <c r="J30" i="31"/>
  <c r="K30" i="31"/>
  <c r="L30" i="31"/>
  <c r="M30" i="31"/>
  <c r="N30" i="31"/>
  <c r="J31" i="31"/>
  <c r="K31" i="31"/>
  <c r="L31" i="31"/>
  <c r="M31" i="31"/>
  <c r="N31" i="31"/>
  <c r="J32" i="31"/>
  <c r="K32" i="31"/>
  <c r="L32" i="31"/>
  <c r="M32" i="31"/>
  <c r="N32" i="31"/>
  <c r="J33" i="31"/>
  <c r="K33" i="31"/>
  <c r="L33" i="31"/>
  <c r="M33" i="31"/>
  <c r="N33" i="31"/>
  <c r="J34" i="31"/>
  <c r="K34" i="31"/>
  <c r="L34" i="31"/>
  <c r="M34" i="31"/>
  <c r="N34" i="31"/>
  <c r="J35" i="31"/>
  <c r="K35" i="31"/>
  <c r="L35" i="31"/>
  <c r="M35" i="31"/>
  <c r="N35" i="31"/>
  <c r="J36" i="31"/>
  <c r="K36" i="31"/>
  <c r="L36" i="31"/>
  <c r="M36" i="31"/>
  <c r="N36" i="31"/>
  <c r="J37" i="31"/>
  <c r="K37" i="31"/>
  <c r="L37" i="31"/>
  <c r="M37" i="31"/>
  <c r="N37" i="31"/>
  <c r="J38" i="31"/>
  <c r="K38" i="31"/>
  <c r="L38" i="31"/>
  <c r="M38" i="31"/>
  <c r="N38" i="31"/>
  <c r="K28" i="31"/>
  <c r="L28" i="31"/>
  <c r="M28" i="31"/>
  <c r="N28" i="31"/>
  <c r="J28" i="31"/>
  <c r="I26" i="31"/>
  <c r="J26" i="31"/>
  <c r="K26" i="31"/>
  <c r="L26" i="31"/>
  <c r="M26" i="31"/>
  <c r="N26" i="31"/>
  <c r="I18" i="31"/>
  <c r="J18" i="31"/>
  <c r="K18" i="31"/>
  <c r="L18" i="31"/>
  <c r="M18" i="31"/>
  <c r="N18" i="31"/>
  <c r="I19" i="31"/>
  <c r="J19" i="31"/>
  <c r="K19" i="31"/>
  <c r="L19" i="31"/>
  <c r="M19" i="31"/>
  <c r="N19" i="31"/>
  <c r="I20" i="31"/>
  <c r="J20" i="31"/>
  <c r="K20" i="31"/>
  <c r="L20" i="31"/>
  <c r="M20" i="31"/>
  <c r="N20" i="31"/>
  <c r="I21" i="31"/>
  <c r="J21" i="31"/>
  <c r="K21" i="31"/>
  <c r="L21" i="31"/>
  <c r="M21" i="31"/>
  <c r="N21" i="31"/>
  <c r="I22" i="31"/>
  <c r="J22" i="31"/>
  <c r="K22" i="31"/>
  <c r="L22" i="31"/>
  <c r="M22" i="31"/>
  <c r="N22" i="31"/>
  <c r="I23" i="31"/>
  <c r="J23" i="31"/>
  <c r="K23" i="31"/>
  <c r="L23" i="31"/>
  <c r="M23" i="31"/>
  <c r="N23" i="31"/>
  <c r="I24" i="31"/>
  <c r="J24" i="31"/>
  <c r="K24" i="31"/>
  <c r="L24" i="31"/>
  <c r="M24" i="31"/>
  <c r="N24" i="31"/>
  <c r="I25" i="31"/>
  <c r="J25" i="31"/>
  <c r="K25" i="31"/>
  <c r="L25" i="31"/>
  <c r="M25" i="31"/>
  <c r="N25" i="31"/>
  <c r="J17" i="31"/>
  <c r="K17" i="31"/>
  <c r="L17" i="31"/>
  <c r="M17" i="31"/>
  <c r="N17" i="31"/>
  <c r="I17" i="31"/>
  <c r="H22" i="29"/>
  <c r="H20" i="29"/>
  <c r="H23" i="29"/>
  <c r="H21" i="29"/>
  <c r="N6" i="29"/>
  <c r="F35" i="20" l="1"/>
  <c r="G35" i="20" s="1"/>
  <c r="D34" i="20"/>
  <c r="L9" i="14"/>
  <c r="K9" i="14"/>
  <c r="M9" i="14"/>
  <c r="L19" i="14"/>
  <c r="L8" i="14"/>
  <c r="L7" i="14"/>
  <c r="L6" i="14"/>
  <c r="N27" i="24"/>
  <c r="N28" i="24"/>
  <c r="N26" i="24"/>
  <c r="N22" i="24"/>
  <c r="O6" i="24"/>
  <c r="O5" i="24"/>
  <c r="O17" i="24"/>
  <c r="N19" i="24"/>
  <c r="L5" i="24"/>
  <c r="K5" i="24"/>
  <c r="K6" i="24"/>
  <c r="L6" i="24" s="1"/>
  <c r="N8" i="15"/>
  <c r="N7" i="15"/>
  <c r="M19" i="14" l="1"/>
  <c r="K27" i="14" s="1"/>
  <c r="N19" i="14"/>
  <c r="K24" i="14" s="1"/>
  <c r="M24" i="14" s="1"/>
  <c r="E34" i="20"/>
  <c r="F34" i="20" s="1"/>
  <c r="G34" i="20" s="1"/>
  <c r="K25" i="14" l="1"/>
  <c r="T38" i="1"/>
  <c r="P6" i="29" l="1"/>
  <c r="H14" i="20"/>
  <c r="G16" i="20"/>
  <c r="I15" i="20"/>
  <c r="I14" i="20"/>
  <c r="G14" i="20"/>
  <c r="I21" i="20"/>
  <c r="I22" i="20"/>
  <c r="I20" i="20"/>
  <c r="G15" i="20"/>
  <c r="F4" i="14"/>
  <c r="D36" i="28"/>
  <c r="D39" i="28"/>
  <c r="C39" i="28"/>
  <c r="C38" i="28"/>
  <c r="D37" i="28"/>
  <c r="F37" i="14"/>
  <c r="F38" i="14"/>
  <c r="F36" i="14"/>
  <c r="I25" i="28"/>
  <c r="I26" i="28"/>
  <c r="I24" i="28"/>
  <c r="O20" i="29" l="1"/>
  <c r="P20" i="29" s="1"/>
  <c r="M21" i="29"/>
  <c r="M22" i="29"/>
  <c r="M23" i="29"/>
  <c r="M24" i="29"/>
  <c r="M25" i="29"/>
  <c r="M26" i="29"/>
  <c r="M27" i="29"/>
  <c r="M28" i="29"/>
  <c r="M29" i="29"/>
  <c r="M30" i="29"/>
  <c r="M31" i="29"/>
  <c r="M32" i="29"/>
  <c r="M33" i="29"/>
  <c r="M34" i="29"/>
  <c r="M35" i="29"/>
  <c r="M36" i="29"/>
  <c r="M37" i="29"/>
  <c r="M38" i="29"/>
  <c r="M39" i="29"/>
  <c r="M40" i="29"/>
  <c r="M20" i="29"/>
  <c r="N20" i="29" s="1"/>
  <c r="L19" i="29"/>
  <c r="L20" i="29" s="1"/>
  <c r="I19" i="28"/>
  <c r="M14" i="31"/>
  <c r="S14" i="31" s="1"/>
  <c r="O14" i="31" s="1"/>
  <c r="M13" i="31"/>
  <c r="S13" i="31" s="1"/>
  <c r="M12" i="31"/>
  <c r="S12" i="31" s="1"/>
  <c r="O12" i="31" s="1"/>
  <c r="M11" i="31"/>
  <c r="T11" i="31" s="1"/>
  <c r="M10" i="31"/>
  <c r="T10" i="31" s="1"/>
  <c r="P10" i="31" s="1"/>
  <c r="M9" i="31"/>
  <c r="T9" i="31" s="1"/>
  <c r="M8" i="31"/>
  <c r="U8" i="31" s="1"/>
  <c r="Q8" i="31" s="1"/>
  <c r="M7" i="31"/>
  <c r="U7" i="31" s="1"/>
  <c r="M6" i="31"/>
  <c r="U6" i="31" s="1"/>
  <c r="Q6" i="31" s="1"/>
  <c r="M5" i="31"/>
  <c r="S7" i="31" l="1"/>
  <c r="T7" i="31"/>
  <c r="U10" i="31"/>
  <c r="Q10" i="31" s="1"/>
  <c r="O19" i="29"/>
  <c r="L21" i="29"/>
  <c r="T14" i="31"/>
  <c r="P14" i="31" s="1"/>
  <c r="E24" i="31"/>
  <c r="U14" i="31"/>
  <c r="Q14" i="31" s="1"/>
  <c r="U12" i="31"/>
  <c r="Q12" i="31" s="1"/>
  <c r="T12" i="31"/>
  <c r="P12" i="31" s="1"/>
  <c r="U9" i="31"/>
  <c r="U13" i="31"/>
  <c r="S9" i="31"/>
  <c r="U11" i="31"/>
  <c r="S11" i="31"/>
  <c r="N6" i="31"/>
  <c r="N7" i="31" s="1"/>
  <c r="T13" i="31"/>
  <c r="S6" i="31"/>
  <c r="O6" i="31" s="1"/>
  <c r="T6" i="31"/>
  <c r="P6" i="31" s="1"/>
  <c r="S8" i="31"/>
  <c r="O8" i="31" s="1"/>
  <c r="T8" i="31"/>
  <c r="P8" i="31" s="1"/>
  <c r="S10" i="31"/>
  <c r="O10" i="31" s="1"/>
  <c r="E25" i="31" l="1"/>
  <c r="E22" i="31"/>
  <c r="N21" i="29"/>
  <c r="L22" i="29"/>
  <c r="E23" i="31"/>
  <c r="N8" i="31"/>
  <c r="N22" i="29" l="1"/>
  <c r="O21" i="29"/>
  <c r="P21" i="29" s="1"/>
  <c r="L23" i="29"/>
  <c r="N9" i="31"/>
  <c r="N10" i="31"/>
  <c r="F22" i="31" s="1"/>
  <c r="N23" i="29" l="1"/>
  <c r="O22" i="29"/>
  <c r="P22" i="29" s="1"/>
  <c r="L24" i="29"/>
  <c r="N11" i="31"/>
  <c r="N12" i="31"/>
  <c r="F23" i="31" s="1"/>
  <c r="N24" i="29" l="1"/>
  <c r="O24" i="29" s="1"/>
  <c r="P24" i="29" s="1"/>
  <c r="O23" i="29"/>
  <c r="P23" i="29" s="1"/>
  <c r="L25" i="29"/>
  <c r="N13" i="31"/>
  <c r="N14" i="31"/>
  <c r="F25" i="31" l="1"/>
  <c r="F24" i="31"/>
  <c r="N25" i="29"/>
  <c r="L26" i="29"/>
  <c r="N15" i="31"/>
  <c r="N26" i="29" l="1"/>
  <c r="O25" i="29"/>
  <c r="P25" i="29" s="1"/>
  <c r="L27" i="29"/>
  <c r="G23" i="20"/>
  <c r="G24" i="20" s="1"/>
  <c r="F23" i="20"/>
  <c r="G31" i="20" s="1"/>
  <c r="F24" i="20"/>
  <c r="G21" i="20" l="1"/>
  <c r="G30" i="20"/>
  <c r="N27" i="29"/>
  <c r="O26" i="29"/>
  <c r="P26" i="29" s="1"/>
  <c r="L28" i="29"/>
  <c r="G20" i="20"/>
  <c r="N28" i="29" l="1"/>
  <c r="N29" i="29" s="1"/>
  <c r="O27" i="29"/>
  <c r="P27" i="29" s="1"/>
  <c r="L29" i="29"/>
  <c r="O28" i="29" l="1"/>
  <c r="P28" i="29" s="1"/>
  <c r="N30" i="29"/>
  <c r="L30" i="29"/>
  <c r="L31" i="29" s="1"/>
  <c r="O29" i="29"/>
  <c r="P29" i="29" s="1"/>
  <c r="T38" i="30"/>
  <c r="S38" i="30"/>
  <c r="F35" i="30"/>
  <c r="A35" i="30"/>
  <c r="F34" i="30"/>
  <c r="A34" i="30"/>
  <c r="F33" i="30"/>
  <c r="A33" i="30"/>
  <c r="F32" i="30"/>
  <c r="A32" i="30"/>
  <c r="F31" i="30"/>
  <c r="A31" i="30"/>
  <c r="F30" i="30"/>
  <c r="A30" i="30"/>
  <c r="F29" i="30"/>
  <c r="A29" i="30"/>
  <c r="F28" i="30"/>
  <c r="A28" i="30"/>
  <c r="AC27" i="30"/>
  <c r="AB27" i="30"/>
  <c r="AA27" i="30"/>
  <c r="Z27" i="30"/>
  <c r="F27" i="30"/>
  <c r="A27" i="30"/>
  <c r="AC26" i="30"/>
  <c r="AB26" i="30"/>
  <c r="AA26" i="30"/>
  <c r="N26" i="30"/>
  <c r="F26" i="30"/>
  <c r="A26" i="30"/>
  <c r="AC25" i="30"/>
  <c r="AB25" i="30"/>
  <c r="Z25" i="30"/>
  <c r="R25" i="30"/>
  <c r="R26" i="30" s="1"/>
  <c r="R27" i="30" s="1"/>
  <c r="Q25" i="30"/>
  <c r="Q26" i="30" s="1"/>
  <c r="Q27" i="30" s="1"/>
  <c r="N25" i="30"/>
  <c r="T25" i="30" s="1"/>
  <c r="V25" i="30" s="1"/>
  <c r="F25" i="30"/>
  <c r="A25" i="30"/>
  <c r="F24" i="30"/>
  <c r="A24" i="30"/>
  <c r="F23" i="30"/>
  <c r="A23" i="30"/>
  <c r="F22" i="30"/>
  <c r="A22" i="30"/>
  <c r="F21" i="30"/>
  <c r="A21" i="30"/>
  <c r="Z20" i="30"/>
  <c r="N20" i="30"/>
  <c r="P20" i="30" s="1"/>
  <c r="F20" i="30"/>
  <c r="A20" i="30"/>
  <c r="AA19" i="30"/>
  <c r="R19" i="30"/>
  <c r="R20" i="30" s="1"/>
  <c r="F19" i="30"/>
  <c r="A19" i="30"/>
  <c r="Z18" i="30"/>
  <c r="R18" i="30"/>
  <c r="Q18" i="30"/>
  <c r="Q19" i="30" s="1"/>
  <c r="Q20" i="30" s="1"/>
  <c r="N18" i="30"/>
  <c r="S18" i="30" s="1"/>
  <c r="U18" i="30" s="1"/>
  <c r="F18" i="30"/>
  <c r="A18" i="30"/>
  <c r="F17" i="30"/>
  <c r="A17" i="30"/>
  <c r="F16" i="30"/>
  <c r="A16" i="30"/>
  <c r="F15" i="30"/>
  <c r="A15" i="30"/>
  <c r="F14" i="30"/>
  <c r="A14" i="30"/>
  <c r="Z13" i="30"/>
  <c r="N13" i="30"/>
  <c r="P13" i="30" s="1"/>
  <c r="F13" i="30"/>
  <c r="A13" i="30"/>
  <c r="AA12" i="30"/>
  <c r="F12" i="30"/>
  <c r="A12" i="30"/>
  <c r="Z11" i="30"/>
  <c r="R11" i="30"/>
  <c r="R12" i="30" s="1"/>
  <c r="R13" i="30" s="1"/>
  <c r="Q11" i="30"/>
  <c r="Q12" i="30" s="1"/>
  <c r="Q13" i="30" s="1"/>
  <c r="N11" i="30"/>
  <c r="O11" i="30" s="1"/>
  <c r="F11" i="30"/>
  <c r="A11" i="30"/>
  <c r="F10" i="30"/>
  <c r="A10" i="30"/>
  <c r="F9" i="30"/>
  <c r="A9" i="30"/>
  <c r="F8" i="30"/>
  <c r="A8" i="30"/>
  <c r="F7" i="30"/>
  <c r="N27" i="30" s="1"/>
  <c r="A7" i="30"/>
  <c r="Z6" i="30"/>
  <c r="N6" i="30"/>
  <c r="P6" i="30" s="1"/>
  <c r="F6" i="30"/>
  <c r="N19" i="30" s="1"/>
  <c r="A6" i="30"/>
  <c r="AA5" i="30"/>
  <c r="AA29" i="30" s="1"/>
  <c r="K5" i="30"/>
  <c r="F5" i="30"/>
  <c r="N12" i="30" s="1"/>
  <c r="A5" i="30"/>
  <c r="Z4" i="30"/>
  <c r="Z29" i="30" s="1"/>
  <c r="Y4" i="30"/>
  <c r="Y5" i="30" s="1"/>
  <c r="Y6" i="30" s="1"/>
  <c r="Y11" i="30" s="1"/>
  <c r="Y12" i="30" s="1"/>
  <c r="Y13" i="30" s="1"/>
  <c r="Y18" i="30" s="1"/>
  <c r="Y19" i="30" s="1"/>
  <c r="Y20" i="30" s="1"/>
  <c r="Y25" i="30" s="1"/>
  <c r="Y26" i="30" s="1"/>
  <c r="Y27" i="30" s="1"/>
  <c r="R4" i="30"/>
  <c r="R5" i="30" s="1"/>
  <c r="R6" i="30" s="1"/>
  <c r="Q4" i="30"/>
  <c r="Q5" i="30" s="1"/>
  <c r="Q6" i="30" s="1"/>
  <c r="N4" i="30"/>
  <c r="T4" i="30" s="1"/>
  <c r="V4" i="30" s="1"/>
  <c r="F4" i="30"/>
  <c r="A4" i="30"/>
  <c r="N5" i="30" l="1"/>
  <c r="O5" i="30" s="1"/>
  <c r="N31" i="29"/>
  <c r="N32" i="29"/>
  <c r="L32" i="29"/>
  <c r="O31" i="29"/>
  <c r="P31" i="29" s="1"/>
  <c r="O30" i="29"/>
  <c r="P30" i="29" s="1"/>
  <c r="O20" i="30"/>
  <c r="AB20" i="30" s="1"/>
  <c r="S11" i="30"/>
  <c r="U11" i="30" s="1"/>
  <c r="O18" i="30"/>
  <c r="AB18" i="30" s="1"/>
  <c r="T11" i="30"/>
  <c r="V11" i="30" s="1"/>
  <c r="P18" i="30"/>
  <c r="O26" i="30"/>
  <c r="O25" i="30"/>
  <c r="P25" i="30"/>
  <c r="P26" i="30"/>
  <c r="O4" i="30"/>
  <c r="O6" i="30"/>
  <c r="S25" i="30"/>
  <c r="U25" i="30" s="1"/>
  <c r="W25" i="30" s="1"/>
  <c r="P11" i="30"/>
  <c r="P4" i="30"/>
  <c r="P12" i="30"/>
  <c r="AC12" i="30" s="1"/>
  <c r="O12" i="30"/>
  <c r="Z31" i="30"/>
  <c r="O19" i="30"/>
  <c r="S19" i="30"/>
  <c r="P19" i="30"/>
  <c r="P27" i="30"/>
  <c r="O27" i="30"/>
  <c r="T18" i="30"/>
  <c r="V18" i="30" s="1"/>
  <c r="W18" i="30" s="1"/>
  <c r="T26" i="30"/>
  <c r="V26" i="30" s="1"/>
  <c r="O13" i="30"/>
  <c r="S4" i="30"/>
  <c r="U4" i="30" s="1"/>
  <c r="W4" i="30" s="1"/>
  <c r="X4" i="30" s="1"/>
  <c r="M14" i="29"/>
  <c r="U14" i="29" s="1"/>
  <c r="Q14" i="29" s="1"/>
  <c r="M13" i="29"/>
  <c r="S13" i="29" s="1"/>
  <c r="M12" i="29"/>
  <c r="S12" i="29" s="1"/>
  <c r="O12" i="29" s="1"/>
  <c r="M11" i="29"/>
  <c r="U11" i="29" s="1"/>
  <c r="M10" i="29"/>
  <c r="U10" i="29" s="1"/>
  <c r="Q10" i="29" s="1"/>
  <c r="M9" i="29"/>
  <c r="S9" i="29" s="1"/>
  <c r="M8" i="29"/>
  <c r="M7" i="29"/>
  <c r="T7" i="29" s="1"/>
  <c r="M6" i="29"/>
  <c r="M5" i="29"/>
  <c r="H18" i="20"/>
  <c r="H17" i="20"/>
  <c r="E23" i="20"/>
  <c r="H15" i="20"/>
  <c r="D23" i="20"/>
  <c r="E14" i="20"/>
  <c r="D14" i="20"/>
  <c r="O14" i="28"/>
  <c r="O13" i="28"/>
  <c r="L35" i="28"/>
  <c r="L34" i="28"/>
  <c r="L33" i="28"/>
  <c r="L32" i="28"/>
  <c r="L31" i="28"/>
  <c r="L30" i="28"/>
  <c r="L29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L12" i="28"/>
  <c r="L11" i="28"/>
  <c r="L10" i="28"/>
  <c r="L9" i="28"/>
  <c r="L8" i="28"/>
  <c r="L7" i="28"/>
  <c r="L6" i="28"/>
  <c r="L5" i="28"/>
  <c r="L4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M9" i="15"/>
  <c r="T38" i="27"/>
  <c r="S38" i="27"/>
  <c r="F35" i="27"/>
  <c r="A35" i="27"/>
  <c r="F34" i="27"/>
  <c r="A34" i="27"/>
  <c r="F33" i="27"/>
  <c r="A33" i="27"/>
  <c r="F32" i="27"/>
  <c r="A32" i="27"/>
  <c r="F31" i="27"/>
  <c r="A31" i="27"/>
  <c r="F30" i="27"/>
  <c r="A30" i="27"/>
  <c r="F29" i="27"/>
  <c r="A29" i="27"/>
  <c r="F28" i="27"/>
  <c r="A28" i="27"/>
  <c r="AC27" i="27"/>
  <c r="AB27" i="27"/>
  <c r="AA27" i="27"/>
  <c r="Z27" i="27"/>
  <c r="F27" i="27"/>
  <c r="A27" i="27"/>
  <c r="AC26" i="27"/>
  <c r="AB26" i="27"/>
  <c r="AA26" i="27"/>
  <c r="N26" i="27"/>
  <c r="P26" i="27" s="1"/>
  <c r="F26" i="27"/>
  <c r="A26" i="27"/>
  <c r="AC25" i="27"/>
  <c r="AB25" i="27"/>
  <c r="Z25" i="27"/>
  <c r="R25" i="27"/>
  <c r="R26" i="27" s="1"/>
  <c r="R27" i="27" s="1"/>
  <c r="Q25" i="27"/>
  <c r="Q26" i="27" s="1"/>
  <c r="Q27" i="27" s="1"/>
  <c r="N25" i="27"/>
  <c r="T25" i="27" s="1"/>
  <c r="F25" i="27"/>
  <c r="A25" i="27"/>
  <c r="F24" i="27"/>
  <c r="A24" i="27"/>
  <c r="F23" i="27"/>
  <c r="A23" i="27"/>
  <c r="F22" i="27"/>
  <c r="A22" i="27"/>
  <c r="F21" i="27"/>
  <c r="A21" i="27"/>
  <c r="Z20" i="27"/>
  <c r="N20" i="27"/>
  <c r="F20" i="27"/>
  <c r="A20" i="27"/>
  <c r="AA19" i="27"/>
  <c r="F19" i="27"/>
  <c r="A19" i="27"/>
  <c r="Z18" i="27"/>
  <c r="R18" i="27"/>
  <c r="R19" i="27" s="1"/>
  <c r="R20" i="27" s="1"/>
  <c r="Q18" i="27"/>
  <c r="Q19" i="27" s="1"/>
  <c r="Q20" i="27" s="1"/>
  <c r="N18" i="27"/>
  <c r="P18" i="27" s="1"/>
  <c r="F18" i="27"/>
  <c r="A18" i="27"/>
  <c r="F17" i="27"/>
  <c r="A17" i="27"/>
  <c r="F16" i="27"/>
  <c r="A16" i="27"/>
  <c r="F15" i="27"/>
  <c r="A15" i="27"/>
  <c r="F14" i="27"/>
  <c r="A14" i="27"/>
  <c r="Z13" i="27"/>
  <c r="N13" i="27"/>
  <c r="P13" i="27" s="1"/>
  <c r="F13" i="27"/>
  <c r="A13" i="27"/>
  <c r="AA12" i="27"/>
  <c r="F12" i="27"/>
  <c r="A12" i="27"/>
  <c r="Z11" i="27"/>
  <c r="R11" i="27"/>
  <c r="R12" i="27" s="1"/>
  <c r="R13" i="27" s="1"/>
  <c r="Q11" i="27"/>
  <c r="Q12" i="27" s="1"/>
  <c r="Q13" i="27" s="1"/>
  <c r="N11" i="27"/>
  <c r="T11" i="27" s="1"/>
  <c r="V11" i="27" s="1"/>
  <c r="F11" i="27"/>
  <c r="A11" i="27"/>
  <c r="F10" i="27"/>
  <c r="A10" i="27"/>
  <c r="F9" i="27"/>
  <c r="A9" i="27"/>
  <c r="F8" i="27"/>
  <c r="A8" i="27"/>
  <c r="F7" i="27"/>
  <c r="N27" i="27" s="1"/>
  <c r="A7" i="27"/>
  <c r="Z6" i="27"/>
  <c r="N6" i="27"/>
  <c r="F6" i="27"/>
  <c r="N19" i="27" s="1"/>
  <c r="A6" i="27"/>
  <c r="AA5" i="27"/>
  <c r="AA29" i="27" s="1"/>
  <c r="R5" i="27"/>
  <c r="R6" i="27" s="1"/>
  <c r="K5" i="27"/>
  <c r="F5" i="27"/>
  <c r="N12" i="27" s="1"/>
  <c r="A5" i="27"/>
  <c r="Z4" i="27"/>
  <c r="Y4" i="27"/>
  <c r="Y5" i="27" s="1"/>
  <c r="Y6" i="27" s="1"/>
  <c r="Y11" i="27" s="1"/>
  <c r="Y12" i="27" s="1"/>
  <c r="Y13" i="27" s="1"/>
  <c r="Y18" i="27" s="1"/>
  <c r="Y19" i="27" s="1"/>
  <c r="Y20" i="27" s="1"/>
  <c r="Y25" i="27" s="1"/>
  <c r="Y26" i="27" s="1"/>
  <c r="Y27" i="27" s="1"/>
  <c r="R4" i="27"/>
  <c r="Q4" i="27"/>
  <c r="Q5" i="27" s="1"/>
  <c r="Q6" i="27" s="1"/>
  <c r="N4" i="27"/>
  <c r="S4" i="27" s="1"/>
  <c r="U4" i="27" s="1"/>
  <c r="F4" i="27"/>
  <c r="N5" i="27" s="1"/>
  <c r="O5" i="27" s="1"/>
  <c r="A4" i="27"/>
  <c r="S38" i="1"/>
  <c r="Z29" i="27" l="1"/>
  <c r="V25" i="27"/>
  <c r="P5" i="30"/>
  <c r="AC5" i="30" s="1"/>
  <c r="AC29" i="30" s="1"/>
  <c r="T5" i="30"/>
  <c r="T6" i="30" s="1"/>
  <c r="V6" i="30" s="1"/>
  <c r="S8" i="29"/>
  <c r="O8" i="29" s="1"/>
  <c r="N8" i="29"/>
  <c r="Z31" i="27"/>
  <c r="E24" i="20"/>
  <c r="N33" i="29"/>
  <c r="AB29" i="30"/>
  <c r="T19" i="30"/>
  <c r="V19" i="30" s="1"/>
  <c r="T12" i="30"/>
  <c r="S12" i="30"/>
  <c r="U12" i="30" s="1"/>
  <c r="W11" i="30"/>
  <c r="S5" i="30"/>
  <c r="S6" i="30" s="1"/>
  <c r="T27" i="30"/>
  <c r="V27" i="30" s="1"/>
  <c r="S26" i="30"/>
  <c r="S20" i="30"/>
  <c r="U20" i="30" s="1"/>
  <c r="U19" i="30"/>
  <c r="T13" i="29"/>
  <c r="U13" i="29"/>
  <c r="T8" i="29"/>
  <c r="P8" i="29" s="1"/>
  <c r="U8" i="29"/>
  <c r="Q8" i="29" s="1"/>
  <c r="S11" i="29"/>
  <c r="T11" i="29"/>
  <c r="U6" i="29"/>
  <c r="Q6" i="29" s="1"/>
  <c r="T6" i="29"/>
  <c r="S6" i="29"/>
  <c r="O6" i="29" s="1"/>
  <c r="T10" i="29"/>
  <c r="P10" i="29" s="1"/>
  <c r="N7" i="29"/>
  <c r="T12" i="29"/>
  <c r="P12" i="29" s="1"/>
  <c r="S14" i="29"/>
  <c r="O14" i="29" s="1"/>
  <c r="G22" i="29" s="1"/>
  <c r="U12" i="29"/>
  <c r="Q12" i="29" s="1"/>
  <c r="G23" i="29" s="1"/>
  <c r="T14" i="29"/>
  <c r="P14" i="29" s="1"/>
  <c r="S7" i="29"/>
  <c r="U7" i="29"/>
  <c r="T9" i="29"/>
  <c r="U9" i="29"/>
  <c r="S10" i="29"/>
  <c r="O10" i="29" s="1"/>
  <c r="D24" i="20"/>
  <c r="T4" i="27"/>
  <c r="V4" i="27" s="1"/>
  <c r="W4" i="27" s="1"/>
  <c r="X4" i="27" s="1"/>
  <c r="S25" i="27"/>
  <c r="U25" i="27" s="1"/>
  <c r="O4" i="27"/>
  <c r="P5" i="27"/>
  <c r="P19" i="27"/>
  <c r="O19" i="27"/>
  <c r="T12" i="27"/>
  <c r="P12" i="27"/>
  <c r="AC12" i="27" s="1"/>
  <c r="O12" i="27"/>
  <c r="P27" i="27"/>
  <c r="U42" i="27" s="1"/>
  <c r="O27" i="27"/>
  <c r="S18" i="27"/>
  <c r="U18" i="27" s="1"/>
  <c r="T18" i="27"/>
  <c r="V18" i="27" s="1"/>
  <c r="T26" i="27"/>
  <c r="V26" i="27" s="1"/>
  <c r="O11" i="27"/>
  <c r="S5" i="27"/>
  <c r="O6" i="27"/>
  <c r="P11" i="27"/>
  <c r="O20" i="27"/>
  <c r="AB20" i="27" s="1"/>
  <c r="O25" i="27"/>
  <c r="P6" i="27"/>
  <c r="P20" i="27"/>
  <c r="P25" i="27"/>
  <c r="S11" i="27"/>
  <c r="U11" i="27" s="1"/>
  <c r="W11" i="27" s="1"/>
  <c r="P4" i="27"/>
  <c r="O18" i="27"/>
  <c r="O26" i="27"/>
  <c r="O13" i="27"/>
  <c r="W25" i="27" l="1"/>
  <c r="U41" i="27"/>
  <c r="V5" i="30"/>
  <c r="AC5" i="27"/>
  <c r="AC29" i="27" s="1"/>
  <c r="AB18" i="27"/>
  <c r="AB29" i="27" s="1"/>
  <c r="U5" i="30"/>
  <c r="T20" i="30"/>
  <c r="V20" i="30" s="1"/>
  <c r="W20" i="30" s="1"/>
  <c r="AB31" i="30"/>
  <c r="S13" i="30"/>
  <c r="U13" i="30" s="1"/>
  <c r="V12" i="30"/>
  <c r="W12" i="30" s="1"/>
  <c r="T13" i="30"/>
  <c r="V13" i="30" s="1"/>
  <c r="U26" i="30"/>
  <c r="W26" i="30" s="1"/>
  <c r="S27" i="30"/>
  <c r="U27" i="30" s="1"/>
  <c r="W27" i="30" s="1"/>
  <c r="W19" i="30"/>
  <c r="U6" i="30"/>
  <c r="W6" i="30" s="1"/>
  <c r="G21" i="29"/>
  <c r="N9" i="29"/>
  <c r="N10" i="29"/>
  <c r="G20" i="29"/>
  <c r="S26" i="27"/>
  <c r="U26" i="27" s="1"/>
  <c r="W26" i="27" s="1"/>
  <c r="T5" i="27"/>
  <c r="V5" i="27" s="1"/>
  <c r="T27" i="27"/>
  <c r="V27" i="27" s="1"/>
  <c r="S12" i="27"/>
  <c r="W18" i="27"/>
  <c r="T13" i="27"/>
  <c r="V13" i="27" s="1"/>
  <c r="V12" i="27"/>
  <c r="S6" i="27"/>
  <c r="U5" i="27"/>
  <c r="S19" i="27"/>
  <c r="T19" i="27"/>
  <c r="W5" i="30" l="1"/>
  <c r="X5" i="30" s="1"/>
  <c r="X6" i="30" s="1"/>
  <c r="X11" i="30" s="1"/>
  <c r="X12" i="30" s="1"/>
  <c r="H24" i="20"/>
  <c r="H23" i="20"/>
  <c r="U39" i="30"/>
  <c r="N39" i="30"/>
  <c r="N40" i="30" s="1"/>
  <c r="U40" i="30" s="1"/>
  <c r="U45" i="30" s="1"/>
  <c r="N38" i="30"/>
  <c r="U36" i="30" s="1"/>
  <c r="W13" i="30"/>
  <c r="S37" i="30" s="1"/>
  <c r="T42" i="30"/>
  <c r="N11" i="29"/>
  <c r="N12" i="29"/>
  <c r="S27" i="27"/>
  <c r="U27" i="27" s="1"/>
  <c r="W27" i="27" s="1"/>
  <c r="W5" i="27"/>
  <c r="X5" i="27" s="1"/>
  <c r="AB31" i="27"/>
  <c r="T6" i="27"/>
  <c r="V6" i="27" s="1"/>
  <c r="U6" i="27"/>
  <c r="U12" i="27"/>
  <c r="W12" i="27" s="1"/>
  <c r="S13" i="27"/>
  <c r="U13" i="27" s="1"/>
  <c r="W13" i="27" s="1"/>
  <c r="V19" i="27"/>
  <c r="T20" i="27"/>
  <c r="V20" i="27" s="1"/>
  <c r="S20" i="27"/>
  <c r="U20" i="27" s="1"/>
  <c r="U19" i="27"/>
  <c r="U47" i="30" l="1"/>
  <c r="U39" i="27"/>
  <c r="X13" i="30"/>
  <c r="X18" i="30" s="1"/>
  <c r="X19" i="30" s="1"/>
  <c r="X20" i="30" s="1"/>
  <c r="X25" i="30" s="1"/>
  <c r="X26" i="30" s="1"/>
  <c r="X27" i="30" s="1"/>
  <c r="T37" i="30" s="1"/>
  <c r="T43" i="30"/>
  <c r="N13" i="29"/>
  <c r="N14" i="29"/>
  <c r="N39" i="27"/>
  <c r="N38" i="27"/>
  <c r="U36" i="27" s="1"/>
  <c r="W6" i="27"/>
  <c r="X6" i="27" s="1"/>
  <c r="X11" i="27" s="1"/>
  <c r="X12" i="27" s="1"/>
  <c r="X13" i="27" s="1"/>
  <c r="X18" i="27" s="1"/>
  <c r="W19" i="27"/>
  <c r="W20" i="27"/>
  <c r="S37" i="27" s="1"/>
  <c r="N40" i="27" l="1"/>
  <c r="U40" i="27" s="1"/>
  <c r="N15" i="29"/>
  <c r="X19" i="27"/>
  <c r="X20" i="27" s="1"/>
  <c r="N41" i="27" l="1"/>
  <c r="X25" i="27"/>
  <c r="X26" i="27" s="1"/>
  <c r="X27" i="27" s="1"/>
  <c r="T37" i="27" s="1"/>
  <c r="X21" i="27"/>
  <c r="F6" i="14"/>
  <c r="F7" i="14"/>
  <c r="F8" i="14"/>
  <c r="F9" i="14"/>
  <c r="F5" i="24"/>
  <c r="F6" i="24"/>
  <c r="K12" i="24" s="1"/>
  <c r="L12" i="24" s="1"/>
  <c r="F4" i="24"/>
  <c r="K11" i="24" s="1"/>
  <c r="L11" i="24" s="1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N12" i="24" l="1"/>
  <c r="O12" i="24"/>
  <c r="O15" i="24"/>
  <c r="N11" i="24"/>
  <c r="O11" i="24" s="1"/>
  <c r="N5" i="15"/>
  <c r="O16" i="24" l="1"/>
  <c r="N29" i="24" s="1"/>
  <c r="N30" i="24" s="1"/>
  <c r="O19" i="24"/>
  <c r="N24" i="24"/>
  <c r="N25" i="24" s="1"/>
  <c r="N31" i="24" s="1"/>
  <c r="N6" i="1"/>
  <c r="N4" i="1"/>
  <c r="T4" i="1" s="1"/>
  <c r="O6" i="1" l="1"/>
  <c r="P6" i="1"/>
  <c r="P4" i="1"/>
  <c r="O4" i="1"/>
  <c r="S4" i="1"/>
  <c r="F5" i="1" l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4" i="1"/>
  <c r="G38" i="18" l="1"/>
  <c r="A5" i="24" l="1"/>
  <c r="A6" i="24"/>
  <c r="A7" i="24"/>
  <c r="A8" i="24"/>
  <c r="A9" i="24"/>
  <c r="A4" i="24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4" i="1"/>
  <c r="K4" i="24" l="1"/>
  <c r="L4" i="24" l="1"/>
  <c r="A29" i="24"/>
  <c r="A31" i="24"/>
  <c r="A11" i="24"/>
  <c r="A32" i="24"/>
  <c r="A33" i="24"/>
  <c r="A22" i="24"/>
  <c r="A34" i="24"/>
  <c r="A12" i="24"/>
  <c r="A35" i="24"/>
  <c r="A14" i="24"/>
  <c r="A24" i="24"/>
  <c r="A25" i="24"/>
  <c r="A13" i="24"/>
  <c r="A16" i="24"/>
  <c r="A26" i="24"/>
  <c r="A21" i="24"/>
  <c r="A15" i="24"/>
  <c r="A17" i="24"/>
  <c r="A18" i="24"/>
  <c r="A19" i="24"/>
  <c r="A27" i="24"/>
  <c r="A30" i="24"/>
  <c r="A23" i="24"/>
  <c r="A10" i="24"/>
  <c r="A20" i="24"/>
  <c r="A28" i="24"/>
  <c r="F35" i="14" l="1"/>
  <c r="F34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N4" i="15" l="1"/>
  <c r="N11" i="15" l="1"/>
  <c r="N15" i="15" s="1"/>
  <c r="N12" i="15"/>
  <c r="M10" i="15"/>
  <c r="N6" i="15"/>
  <c r="K5" i="1"/>
  <c r="R25" i="1"/>
  <c r="R26" i="1" s="1"/>
  <c r="R27" i="1" s="1"/>
  <c r="Q25" i="1"/>
  <c r="Q26" i="1" s="1"/>
  <c r="Q27" i="1" s="1"/>
  <c r="N20" i="1"/>
  <c r="R18" i="1"/>
  <c r="R19" i="1" s="1"/>
  <c r="R20" i="1" s="1"/>
  <c r="Q18" i="1"/>
  <c r="Q19" i="1" s="1"/>
  <c r="Q20" i="1" s="1"/>
  <c r="N18" i="1"/>
  <c r="R11" i="1"/>
  <c r="R12" i="1" s="1"/>
  <c r="R13" i="1" s="1"/>
  <c r="Q11" i="1"/>
  <c r="Q12" i="1" s="1"/>
  <c r="Q13" i="1" s="1"/>
  <c r="Q4" i="1"/>
  <c r="R4" i="1"/>
  <c r="U4" i="1" s="1"/>
  <c r="N13" i="1"/>
  <c r="N11" i="1"/>
  <c r="Y4" i="1"/>
  <c r="Y5" i="1" s="1"/>
  <c r="Y6" i="1" s="1"/>
  <c r="N12" i="1"/>
  <c r="N19" i="1"/>
  <c r="L6" i="15" l="1"/>
  <c r="N5" i="1"/>
  <c r="P5" i="1" s="1"/>
  <c r="P18" i="1"/>
  <c r="O18" i="1"/>
  <c r="O19" i="1"/>
  <c r="P19" i="1"/>
  <c r="P20" i="1"/>
  <c r="O20" i="1"/>
  <c r="P13" i="1"/>
  <c r="O13" i="1"/>
  <c r="P11" i="1"/>
  <c r="O11" i="1"/>
  <c r="P12" i="1"/>
  <c r="O12" i="1"/>
  <c r="Q5" i="1"/>
  <c r="Q6" i="1" s="1"/>
  <c r="T18" i="1"/>
  <c r="V18" i="1" s="1"/>
  <c r="S18" i="1"/>
  <c r="S11" i="1"/>
  <c r="S12" i="1" s="1"/>
  <c r="S13" i="1" s="1"/>
  <c r="U13" i="1" s="1"/>
  <c r="T11" i="1"/>
  <c r="T12" i="1" s="1"/>
  <c r="T13" i="1" s="1"/>
  <c r="R5" i="1"/>
  <c r="R6" i="1" s="1"/>
  <c r="N26" i="1"/>
  <c r="N27" i="1"/>
  <c r="Y11" i="1"/>
  <c r="Y12" i="1" s="1"/>
  <c r="Y13" i="1" s="1"/>
  <c r="Y18" i="1" s="1"/>
  <c r="Y19" i="1" s="1"/>
  <c r="Y20" i="1" s="1"/>
  <c r="Y25" i="1" s="1"/>
  <c r="Y26" i="1" s="1"/>
  <c r="Y27" i="1" s="1"/>
  <c r="N25" i="1"/>
  <c r="U41" i="1" l="1"/>
  <c r="S19" i="1"/>
  <c r="S20" i="1" s="1"/>
  <c r="T19" i="1"/>
  <c r="T20" i="1" s="1"/>
  <c r="V20" i="1" s="1"/>
  <c r="U42" i="1"/>
  <c r="S5" i="1"/>
  <c r="S6" i="1" s="1"/>
  <c r="T5" i="1"/>
  <c r="T6" i="1" s="1"/>
  <c r="O5" i="1"/>
  <c r="P27" i="1"/>
  <c r="O27" i="1"/>
  <c r="P25" i="1"/>
  <c r="O25" i="1"/>
  <c r="P26" i="1"/>
  <c r="O26" i="1"/>
  <c r="U18" i="1"/>
  <c r="W18" i="1" s="1"/>
  <c r="T25" i="1"/>
  <c r="T26" i="1" s="1"/>
  <c r="T27" i="1" s="1"/>
  <c r="S25" i="1"/>
  <c r="S26" i="1" s="1"/>
  <c r="U11" i="1"/>
  <c r="V11" i="1"/>
  <c r="V12" i="1"/>
  <c r="V4" i="1"/>
  <c r="N39" i="1" l="1"/>
  <c r="N40" i="1" s="1"/>
  <c r="N38" i="1"/>
  <c r="U36" i="1" s="1"/>
  <c r="U45" i="1" s="1"/>
  <c r="U19" i="1"/>
  <c r="U39" i="1"/>
  <c r="V6" i="1"/>
  <c r="U5" i="1"/>
  <c r="V19" i="1"/>
  <c r="W4" i="1"/>
  <c r="X4" i="1" s="1"/>
  <c r="V25" i="1"/>
  <c r="W11" i="1"/>
  <c r="S27" i="1"/>
  <c r="U26" i="1"/>
  <c r="V26" i="1"/>
  <c r="U25" i="1"/>
  <c r="U12" i="1"/>
  <c r="W12" i="1" s="1"/>
  <c r="U6" i="1"/>
  <c r="U49" i="1" l="1"/>
  <c r="U40" i="1"/>
  <c r="U48" i="1" s="1"/>
  <c r="N42" i="1"/>
  <c r="W19" i="1"/>
  <c r="W26" i="1"/>
  <c r="W25" i="1"/>
  <c r="V13" i="1"/>
  <c r="V27" i="1"/>
  <c r="U20" i="1"/>
  <c r="W20" i="1" s="1"/>
  <c r="U27" i="1"/>
  <c r="W13" i="1" l="1"/>
  <c r="W27" i="1"/>
  <c r="S37" i="1" l="1"/>
  <c r="W6" i="1"/>
  <c r="V5" i="1"/>
  <c r="W5" i="1" s="1"/>
  <c r="X5" i="1" s="1"/>
  <c r="X6" i="1" l="1"/>
  <c r="X11" i="1" s="1"/>
  <c r="X12" i="1" s="1"/>
  <c r="X13" i="1" s="1"/>
  <c r="X18" i="1" s="1"/>
  <c r="X19" i="1" s="1"/>
  <c r="X20" i="1" l="1"/>
  <c r="X25" i="1" s="1"/>
  <c r="X26" i="1" s="1"/>
  <c r="X27" i="1" s="1"/>
  <c r="T37" i="1" s="1"/>
  <c r="L33" i="29" l="1"/>
  <c r="O32" i="29"/>
  <c r="P32" i="29" s="1"/>
  <c r="L34" i="29" l="1"/>
  <c r="N34" i="29"/>
  <c r="O34" i="29" s="1"/>
  <c r="P34" i="29" s="1"/>
  <c r="O33" i="29"/>
  <c r="P33" i="29" s="1"/>
  <c r="L35" i="29"/>
  <c r="N35" i="29" l="1"/>
  <c r="N36" i="29" s="1"/>
  <c r="O35" i="29"/>
  <c r="P35" i="29" s="1"/>
  <c r="L36" i="29"/>
  <c r="N37" i="29" s="1"/>
  <c r="O36" i="29" l="1"/>
  <c r="P36" i="29" s="1"/>
  <c r="L37" i="29"/>
  <c r="N38" i="29" s="1"/>
  <c r="O37" i="29" l="1"/>
  <c r="P37" i="29" s="1"/>
  <c r="L38" i="29"/>
  <c r="N39" i="29" s="1"/>
  <c r="L39" i="29" l="1"/>
  <c r="N40" i="29" s="1"/>
  <c r="O38" i="29"/>
  <c r="P38" i="29" s="1"/>
  <c r="L40" i="29" l="1"/>
  <c r="M41" i="29" s="1"/>
  <c r="O39" i="29"/>
  <c r="P39" i="29" s="1"/>
  <c r="O40" i="29" l="1"/>
</calcChain>
</file>

<file path=xl/sharedStrings.xml><?xml version="1.0" encoding="utf-8"?>
<sst xmlns="http://schemas.openxmlformats.org/spreadsheetml/2006/main" count="827" uniqueCount="273">
  <si>
    <t>Net</t>
  </si>
  <si>
    <t>NFL:ARI:LAC</t>
  </si>
  <si>
    <t>NFL:ATL:LAR</t>
  </si>
  <si>
    <t>NFL:BAL:MIA</t>
  </si>
  <si>
    <t>NFL:BUF:MIN</t>
  </si>
  <si>
    <t>NFL:CAR:NE</t>
  </si>
  <si>
    <t>NFL:CHI:NO</t>
  </si>
  <si>
    <t>NFL:CIN:NYG</t>
  </si>
  <si>
    <t>NFL:CLE:NYJ</t>
  </si>
  <si>
    <t>NFL:DAL:OAK</t>
  </si>
  <si>
    <t>NFL:DEN:PHI</t>
  </si>
  <si>
    <t>NFL:DET:PIT</t>
  </si>
  <si>
    <t>NFL:GB:SEA</t>
  </si>
  <si>
    <t>NFL:HOU:SF</t>
  </si>
  <si>
    <t>NFL:IND:TB</t>
  </si>
  <si>
    <t>NFL:JAX:TEN</t>
  </si>
  <si>
    <t>NFL:KC:WSH</t>
  </si>
  <si>
    <t>UFC:Holloway:Kattar</t>
  </si>
  <si>
    <t>UFC:Ponzinibbio:Li</t>
  </si>
  <si>
    <t>UFC:Kelleher:Simon</t>
  </si>
  <si>
    <t>UFC:Hernandez:Vieria</t>
  </si>
  <si>
    <t>UFC:Akhemedov:Breese</t>
  </si>
  <si>
    <t>NHL:Colorado:Washington</t>
  </si>
  <si>
    <t>NHL:Vegas:StLouis</t>
  </si>
  <si>
    <t>NHL:TampaBay:Dallas</t>
  </si>
  <si>
    <t>NHL:Boston:Carolina</t>
  </si>
  <si>
    <t>NHL:Philadelphia:Edmonton</t>
  </si>
  <si>
    <t>NHL:Pittsburgh:NYIslanders</t>
  </si>
  <si>
    <t>Odds</t>
  </si>
  <si>
    <t>Bet0</t>
  </si>
  <si>
    <t>Bet1</t>
  </si>
  <si>
    <t>Pay0</t>
  </si>
  <si>
    <t>Pay1</t>
  </si>
  <si>
    <t>Match</t>
  </si>
  <si>
    <t>HomeBet</t>
  </si>
  <si>
    <t>AwayBet</t>
  </si>
  <si>
    <t>HomeWin</t>
  </si>
  <si>
    <t>AwayWin</t>
  </si>
  <si>
    <t>MaxLiab</t>
  </si>
  <si>
    <t>Start</t>
  </si>
  <si>
    <t>-</t>
  </si>
  <si>
    <t>To Oracle</t>
  </si>
  <si>
    <t>account 0</t>
  </si>
  <si>
    <t>account 1</t>
  </si>
  <si>
    <t>account 2</t>
  </si>
  <si>
    <t>Test of Oracle Revenue Mechanism</t>
  </si>
  <si>
    <t>Pre Settle</t>
  </si>
  <si>
    <t>Post Settle</t>
  </si>
  <si>
    <t>pre-settle is the bookie funding minus the pledged amount, post settle reflects the net payout</t>
  </si>
  <si>
    <t>changed to</t>
  </si>
  <si>
    <t>Basic Test of Bet and margin processing, from time of bet to settlement</t>
  </si>
  <si>
    <t>Test that odds updates are processed correctly</t>
  </si>
  <si>
    <t>Test that Redemptions are correctly processed</t>
  </si>
  <si>
    <t>gas used</t>
  </si>
  <si>
    <t>2.5MM tokens</t>
  </si>
  <si>
    <t>1.5MM tokens</t>
  </si>
  <si>
    <t>Acct2</t>
  </si>
  <si>
    <t>confirm Oracle token holders who deposit in Oracle contract receive appropriate revenue</t>
  </si>
  <si>
    <t>withdrawals are proportional to tokens deposited</t>
  </si>
  <si>
    <t>Oracle receives the correct payment</t>
  </si>
  <si>
    <t>Oracle eth balance in betting contracct can transfer to Oracle contract</t>
  </si>
  <si>
    <t>Checks</t>
  </si>
  <si>
    <t>Tests that the Bookies are allocated Eth Investment Proceeds correctly</t>
  </si>
  <si>
    <t>Acct 3 Fund w/ 100 finney</t>
  </si>
  <si>
    <t>Shares represent 1 eth: 1000 in FreeMargin/1000 in Shares</t>
  </si>
  <si>
    <t>account 0 w/d 100 'shares', 100 eth</t>
  </si>
  <si>
    <t>account 1 w/d 50 'shares', 50 eth</t>
  </si>
  <si>
    <t>total eth in 100 finney</t>
  </si>
  <si>
    <t xml:space="preserve">Bookie eth withdrawals consistent with eth/share 'price' of shares </t>
  </si>
  <si>
    <t>Bookie eth investments generrates correct # shares given eth/share price of shares</t>
  </si>
  <si>
    <t>Data Cure Time prevents early posting of data</t>
  </si>
  <si>
    <t>Data cannot be sent while existing data is being curated</t>
  </si>
  <si>
    <t>Sends appropriate data after cure time (eg, initial data curated, no settlement data can be sent)</t>
  </si>
  <si>
    <t>Odds can be updated</t>
  </si>
  <si>
    <t>Data need a majority vote to send</t>
  </si>
  <si>
    <t>Rejected data imply cost to data proposer</t>
  </si>
  <si>
    <t>4.0MM tokens</t>
  </si>
  <si>
    <t>votes of yes and no, but majority yes</t>
  </si>
  <si>
    <t>votes of majority no</t>
  </si>
  <si>
    <t>initial data sent, focus on odds for match 1, 1000 (decimal 2.0)</t>
  </si>
  <si>
    <t>post and process new odds (2000)</t>
  </si>
  <si>
    <t>post and process new odds (3000)</t>
  </si>
  <si>
    <t>Results</t>
  </si>
  <si>
    <t>Winner</t>
  </si>
  <si>
    <t>tie</t>
  </si>
  <si>
    <t>tx cost</t>
  </si>
  <si>
    <t>account 0 w/d 100 'shares', 105 eth</t>
  </si>
  <si>
    <t>account 1 w/d 50 'shares', 52.5 eth</t>
  </si>
  <si>
    <t>OracleBalance</t>
  </si>
  <si>
    <t>zeroed out at settlement</t>
  </si>
  <si>
    <t>acct2</t>
  </si>
  <si>
    <t>acct3</t>
  </si>
  <si>
    <t>yes vots 55,000</t>
  </si>
  <si>
    <t>no votes 25,000</t>
  </si>
  <si>
    <t>Data Reporting</t>
  </si>
  <si>
    <t>Odds0</t>
  </si>
  <si>
    <t>Account0</t>
  </si>
  <si>
    <t>TotTokens</t>
  </si>
  <si>
    <t>LiqPool</t>
  </si>
  <si>
    <t>Epoch</t>
  </si>
  <si>
    <t>Payout</t>
  </si>
  <si>
    <t>OracleRev</t>
  </si>
  <si>
    <t>NBA:Memphis:Brooklyn</t>
  </si>
  <si>
    <t>NBA:Boston:Charlotte</t>
  </si>
  <si>
    <t>NBA:Milwaukee:Dallas</t>
  </si>
  <si>
    <t>NBA:miami:LALakers</t>
  </si>
  <si>
    <t>NBA:Atlanta:SanAntonia</t>
  </si>
  <si>
    <t>Acct 2 withdraws 1.0k tokens from oracle</t>
  </si>
  <si>
    <t>Acct 0 withdraws 2.0k tokens from oracle</t>
  </si>
  <si>
    <t>Acct 1 withdraws 1.5k tokens from oracle</t>
  </si>
  <si>
    <t>Acct 0 withdraws 0.5k tokens from oracle</t>
  </si>
  <si>
    <t>Acct 2 adds 1.0k tokens to oracle</t>
  </si>
  <si>
    <t>Acct 1 adds 1.5k tokens to oracle</t>
  </si>
  <si>
    <t>Acct 0 adds 2.5k tokens to oracle</t>
  </si>
  <si>
    <t>PerPeriod Oracle Revenue</t>
  </si>
  <si>
    <t>% Oracle Ownership</t>
  </si>
  <si>
    <t>BettorPool</t>
  </si>
  <si>
    <t>BookieLocked</t>
  </si>
  <si>
    <t>payoff</t>
  </si>
  <si>
    <t>bookiePool</t>
  </si>
  <si>
    <t>acct</t>
  </si>
  <si>
    <t>winner</t>
  </si>
  <si>
    <t>Winnings</t>
  </si>
  <si>
    <t>Total PayBack</t>
  </si>
  <si>
    <t>initial</t>
  </si>
  <si>
    <t>CumulativeGrossPayOut</t>
  </si>
  <si>
    <t>CumulativeBet</t>
  </si>
  <si>
    <t>BetKBalance</t>
  </si>
  <si>
    <t>net</t>
  </si>
  <si>
    <t>Account1</t>
  </si>
  <si>
    <t>Account2</t>
  </si>
  <si>
    <t>account1</t>
  </si>
  <si>
    <t>account2</t>
  </si>
  <si>
    <t>BookieBalance</t>
  </si>
  <si>
    <t>account[2] funds 10000</t>
  </si>
  <si>
    <t>account[3] funds 10000</t>
  </si>
  <si>
    <t>bookie funds 30000</t>
  </si>
  <si>
    <t>bettorLocked</t>
  </si>
  <si>
    <t>ContractBalance</t>
  </si>
  <si>
    <t>bet 1000 on 7,0</t>
  </si>
  <si>
    <t>betData[7]</t>
  </si>
  <si>
    <t>bet0</t>
  </si>
  <si>
    <t>bet1</t>
  </si>
  <si>
    <t>payoff0</t>
  </si>
  <si>
    <t>payoff1</t>
  </si>
  <si>
    <t>odds0</t>
  </si>
  <si>
    <t>odds1</t>
  </si>
  <si>
    <t>startTime0</t>
  </si>
  <si>
    <t>bet 500 on 7,1</t>
  </si>
  <si>
    <t>update</t>
  </si>
  <si>
    <t>salmon numbers unaffected</t>
  </si>
  <si>
    <t>odds change (in blue) change per odds update</t>
  </si>
  <si>
    <t>account</t>
  </si>
  <si>
    <t>no votes 40,000</t>
  </si>
  <si>
    <t>yes vots 40,000</t>
  </si>
  <si>
    <t>bookieCapital</t>
  </si>
  <si>
    <t>ethinBettingK</t>
  </si>
  <si>
    <t>totShares</t>
  </si>
  <si>
    <t>acct0Shares</t>
  </si>
  <si>
    <t>acct1Shares</t>
  </si>
  <si>
    <t>eth/share</t>
  </si>
  <si>
    <t>acct3shares</t>
  </si>
  <si>
    <t>acct0eth</t>
  </si>
  <si>
    <t>acct1eth</t>
  </si>
  <si>
    <t>acct3eth</t>
  </si>
  <si>
    <t>New Bet for 5000 on Match 0, team 0 loses</t>
  </si>
  <si>
    <t>Period</t>
  </si>
  <si>
    <t>TokensOut</t>
  </si>
  <si>
    <t>account[3] funds 7,000</t>
  </si>
  <si>
    <t>account[2] funds 8,000</t>
  </si>
  <si>
    <t>bookie funds 30,000</t>
  </si>
  <si>
    <t>Total payoff to bettors</t>
  </si>
  <si>
    <t>Total outflow to Bettors</t>
  </si>
  <si>
    <t>Account3</t>
  </si>
  <si>
    <t>Post Settle&amp;Remption</t>
  </si>
  <si>
    <t>new odds not processed due to majority no vote (odds now 2000)</t>
  </si>
  <si>
    <t>acct0 eth withdrawal</t>
  </si>
  <si>
    <t>acct1 eth withdrawal</t>
  </si>
  <si>
    <t>Shares represent 1.058 eth</t>
  </si>
  <si>
    <t>1pre</t>
  </si>
  <si>
    <t>2pre</t>
  </si>
  <si>
    <t>3pre</t>
  </si>
  <si>
    <t>4pre</t>
  </si>
  <si>
    <t>5pre</t>
  </si>
  <si>
    <t>6exit</t>
  </si>
  <si>
    <t>Acct0</t>
  </si>
  <si>
    <t>Acct1</t>
  </si>
  <si>
    <t>Brute Force</t>
  </si>
  <si>
    <t>Contract Formula</t>
  </si>
  <si>
    <t>OracleFee</t>
  </si>
  <si>
    <t>Acct 0 adds  0.5k tokens from oracle</t>
  </si>
  <si>
    <t>Tokens</t>
  </si>
  <si>
    <t>rev</t>
  </si>
  <si>
    <t>tokens</t>
  </si>
  <si>
    <t>cumRev</t>
  </si>
  <si>
    <t>1/6 fees</t>
  </si>
  <si>
    <t>liquidation</t>
  </si>
  <si>
    <t>withdrawal</t>
  </si>
  <si>
    <t>injection</t>
  </si>
  <si>
    <t>w/d</t>
  </si>
  <si>
    <t>margin[0]</t>
  </si>
  <si>
    <t>margin[1]</t>
  </si>
  <si>
    <t>margin[2]</t>
  </si>
  <si>
    <t>x10</t>
  </si>
  <si>
    <t>Params</t>
  </si>
  <si>
    <t>epoch</t>
  </si>
  <si>
    <t>revStatus</t>
  </si>
  <si>
    <t>propNumber</t>
  </si>
  <si>
    <t>timer</t>
  </si>
  <si>
    <t>OracleTokensInContract</t>
  </si>
  <si>
    <t>YesVotes</t>
  </si>
  <si>
    <t>NoVotes</t>
  </si>
  <si>
    <t>feeSum</t>
  </si>
  <si>
    <t>Margin</t>
  </si>
  <si>
    <t>bookieLocked</t>
  </si>
  <si>
    <t>BettorLocked</t>
  </si>
  <si>
    <t>betEpoch</t>
  </si>
  <si>
    <t>totalShares</t>
  </si>
  <si>
    <t>ConcLimit</t>
  </si>
  <si>
    <t>nonce</t>
  </si>
  <si>
    <t>firstStart</t>
  </si>
  <si>
    <t>betDatav</t>
  </si>
  <si>
    <t>betLong0</t>
  </si>
  <si>
    <t>betLong1</t>
  </si>
  <si>
    <t>payout0</t>
  </si>
  <si>
    <t>payou1</t>
  </si>
  <si>
    <t>startUTC</t>
  </si>
  <si>
    <t>funder</t>
  </si>
  <si>
    <t>pick</t>
  </si>
  <si>
    <t>Bet</t>
  </si>
  <si>
    <t>Oracle Fee</t>
  </si>
  <si>
    <t>BettingK eth Balance</t>
  </si>
  <si>
    <t>acct2 WD</t>
  </si>
  <si>
    <t>gas price (gwei)</t>
  </si>
  <si>
    <t>acct2 increase</t>
  </si>
  <si>
    <t>initial Depo (finney/10)</t>
  </si>
  <si>
    <t>minus gas fee</t>
  </si>
  <si>
    <t>BettingK eth Bal after wd</t>
  </si>
  <si>
    <t>After Trading</t>
  </si>
  <si>
    <t>acct2 UserBalance</t>
  </si>
  <si>
    <t>post-settle</t>
  </si>
  <si>
    <t>post-settle/post redeem</t>
  </si>
  <si>
    <t>minus w/d</t>
  </si>
  <si>
    <t>Total Payout</t>
  </si>
  <si>
    <t>match</t>
  </si>
  <si>
    <t>bet</t>
  </si>
  <si>
    <t>odds</t>
  </si>
  <si>
    <t>DecOdds</t>
  </si>
  <si>
    <t>Bookie</t>
  </si>
  <si>
    <t>Fees</t>
  </si>
  <si>
    <t>Eth in Betting Contract</t>
  </si>
  <si>
    <t>Eth in Oracle Contract</t>
  </si>
  <si>
    <t>Post Settle/Redeem</t>
  </si>
  <si>
    <t>init Balance</t>
  </si>
  <si>
    <t>new odds not processed due to majority no vote (odds still 600)</t>
  </si>
  <si>
    <t>margin[4]</t>
  </si>
  <si>
    <t>margin[3]</t>
  </si>
  <si>
    <t>bookieCap</t>
  </si>
  <si>
    <t>locked</t>
  </si>
  <si>
    <t>bettor</t>
  </si>
  <si>
    <t>shares*m0/m4</t>
  </si>
  <si>
    <t>shares*m4/m0</t>
  </si>
  <si>
    <t>eth</t>
  </si>
  <si>
    <t>bookieEth</t>
  </si>
  <si>
    <t>Account</t>
  </si>
  <si>
    <t>offer</t>
  </si>
  <si>
    <t>take</t>
  </si>
  <si>
    <t>Gross Payout</t>
  </si>
  <si>
    <t>Not Taken</t>
  </si>
  <si>
    <t>loser</t>
  </si>
  <si>
    <t>offer Big Bets</t>
  </si>
  <si>
    <t>Take Big Bets</t>
  </si>
  <si>
    <t>Change HourProcess to 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</si>
</sst>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164" formatCode="0.00%;[Red]\-0.00%"/>
    <numFmt numFmtId="165" formatCode="#,##0;[Red]#,##0"/>
    <numFmt numFmtId="166" formatCode="#,##0.0;[Red]#,##0.0"/>
    <numFmt numFmtId="167" formatCode="#,##0.00;[Red]#,##0.00"/>
    <numFmt numFmtId="168" formatCode="##0.00;[Red]\-##0.00"/>
    <numFmt numFmtId="169" formatCode="0.000"/>
    <numFmt numFmtId="170" formatCode="#,##0.000;[Red]#,##0.000"/>
    <numFmt numFmtId="171" formatCode="#,##0.0000;[Red]#,##0.0000"/>
    <numFmt numFmtId="172" formatCode="#,##0.000000;[Red]#,##0.000000"/>
    <numFmt numFmtId="173" formatCode="0%;[Red]\-0%"/>
    <numFmt numFmtId="174" formatCode="0.000000"/>
    <numFmt numFmtId="175" formatCode="#0.00;[Red]#0.00"/>
    <numFmt numFmtId="176" formatCode="#0.000;[Red]#0.000"/>
    <numFmt numFmtId="177" formatCode="0.0E+00;"/>
    <numFmt numFmtId="178" formatCode="0.00_);[Red]\(0.00\)"/>
    <numFmt numFmtId="179" formatCode="###0;[Red]###0"/>
    <numFmt numFmtId="180" formatCode="#,##0.00000;[Red]#,##0.00000"/>
    <numFmt numFmtId="181" formatCode="0.0%;[Red]\-0.0%"/>
    <numFmt numFmtId="182" formatCode="0.0000"/>
    <numFmt numFmtId="183" formatCode="0E+00;[Red]0E+00"/>
    <numFmt numFmtId="184" formatCode="0.000E+00;[Red]0.000E+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Arial"/>
      <family val="2"/>
    </font>
    <font>
      <sz val="11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8"/>
      <color rgb="FF959BAD"/>
      <name val="Segoe UI"/>
      <family val="2"/>
    </font>
    <font>
      <b/>
      <sz val="11"/>
      <color rgb="FF9C0006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rgb="FFCE9178"/>
      <name val="Consolas"/>
      <family val="3"/>
    </font>
    <font>
      <sz val="8"/>
      <color rgb="FF959BAD"/>
      <name val="Segoe UI"/>
      <family val="2"/>
    </font>
    <font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2"/>
      <color theme="1"/>
      <name val="Times New Roman"/>
      <family val="1"/>
    </font>
    <font>
      <b/>
      <sz val="11"/>
      <color rgb="FFCE9178"/>
      <name val="Consolas"/>
      <family val="3"/>
    </font>
  </fonts>
  <fills count="1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5">
    <xf numFmtId="0" fontId="0" fillId="0" borderId="0"/>
    <xf numFmtId="0" fontId="2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12" fillId="11" borderId="0" applyNumberFormat="0" applyBorder="0" applyAlignment="0" applyProtection="0"/>
  </cellStyleXfs>
  <cellXfs count="16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167" fontId="1" fillId="0" borderId="0" xfId="0" applyNumberFormat="1" applyFont="1"/>
    <xf numFmtId="165" fontId="1" fillId="0" borderId="0" xfId="0" applyNumberFormat="1" applyFont="1"/>
    <xf numFmtId="0" fontId="3" fillId="0" borderId="0" xfId="0" applyFont="1"/>
    <xf numFmtId="168" fontId="1" fillId="0" borderId="0" xfId="0" applyNumberFormat="1" applyFont="1"/>
    <xf numFmtId="168" fontId="1" fillId="0" borderId="0" xfId="0" applyNumberFormat="1" applyFont="1" applyAlignment="1">
      <alignment horizontal="right"/>
    </xf>
    <xf numFmtId="166" fontId="1" fillId="0" borderId="0" xfId="0" applyNumberFormat="1" applyFont="1"/>
    <xf numFmtId="164" fontId="1" fillId="0" borderId="0" xfId="0" applyNumberFormat="1" applyFont="1" applyAlignment="1">
      <alignment horizontal="right"/>
    </xf>
    <xf numFmtId="2" fontId="1" fillId="0" borderId="0" xfId="0" applyNumberFormat="1" applyFont="1" applyAlignment="1">
      <alignment horizontal="right"/>
    </xf>
    <xf numFmtId="169" fontId="0" fillId="0" borderId="0" xfId="0" applyNumberFormat="1"/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right"/>
    </xf>
    <xf numFmtId="0" fontId="5" fillId="3" borderId="0" xfId="3"/>
    <xf numFmtId="167" fontId="0" fillId="0" borderId="0" xfId="0" applyNumberFormat="1"/>
    <xf numFmtId="168" fontId="0" fillId="0" borderId="0" xfId="0" applyNumberFormat="1"/>
    <xf numFmtId="171" fontId="1" fillId="0" borderId="0" xfId="0" applyNumberFormat="1" applyFont="1"/>
    <xf numFmtId="172" fontId="1" fillId="0" borderId="0" xfId="0" applyNumberFormat="1" applyFont="1"/>
    <xf numFmtId="171" fontId="0" fillId="0" borderId="0" xfId="0" applyNumberFormat="1"/>
    <xf numFmtId="0" fontId="5" fillId="0" borderId="0" xfId="3" applyFill="1"/>
    <xf numFmtId="173" fontId="1" fillId="0" borderId="0" xfId="0" applyNumberFormat="1" applyFont="1"/>
    <xf numFmtId="0" fontId="4" fillId="0" borderId="0" xfId="2" applyFill="1"/>
    <xf numFmtId="174" fontId="0" fillId="0" borderId="0" xfId="0" applyNumberFormat="1"/>
    <xf numFmtId="0" fontId="0" fillId="4" borderId="0" xfId="0" applyFill="1"/>
    <xf numFmtId="0" fontId="5" fillId="4" borderId="0" xfId="3" applyFill="1"/>
    <xf numFmtId="165" fontId="0" fillId="0" borderId="0" xfId="0" applyNumberFormat="1"/>
    <xf numFmtId="175" fontId="1" fillId="0" borderId="0" xfId="0" applyNumberFormat="1" applyFont="1"/>
    <xf numFmtId="176" fontId="1" fillId="0" borderId="0" xfId="0" applyNumberFormat="1" applyFont="1"/>
    <xf numFmtId="177" fontId="1" fillId="0" borderId="0" xfId="0" applyNumberFormat="1" applyFont="1"/>
    <xf numFmtId="177" fontId="6" fillId="0" borderId="0" xfId="0" applyNumberFormat="1" applyFont="1"/>
    <xf numFmtId="0" fontId="0" fillId="0" borderId="1" xfId="0" applyBorder="1"/>
    <xf numFmtId="0" fontId="0" fillId="0" borderId="2" xfId="0" applyBorder="1"/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0" fillId="0" borderId="3" xfId="0" applyBorder="1"/>
    <xf numFmtId="0" fontId="0" fillId="0" borderId="4" xfId="0" applyBorder="1"/>
    <xf numFmtId="0" fontId="5" fillId="3" borderId="4" xfId="3" applyBorder="1"/>
    <xf numFmtId="0" fontId="5" fillId="3" borderId="3" xfId="3" applyBorder="1"/>
    <xf numFmtId="0" fontId="0" fillId="0" borderId="5" xfId="0" applyBorder="1"/>
    <xf numFmtId="0" fontId="5" fillId="3" borderId="6" xfId="3" applyBorder="1"/>
    <xf numFmtId="0" fontId="0" fillId="0" borderId="6" xfId="0" applyBorder="1"/>
    <xf numFmtId="165" fontId="4" fillId="2" borderId="7" xfId="2" applyNumberFormat="1" applyBorder="1"/>
    <xf numFmtId="165" fontId="4" fillId="2" borderId="2" xfId="2" applyNumberFormat="1" applyBorder="1"/>
    <xf numFmtId="165" fontId="4" fillId="2" borderId="0" xfId="2" applyNumberFormat="1" applyBorder="1"/>
    <xf numFmtId="165" fontId="4" fillId="2" borderId="4" xfId="2" applyNumberFormat="1" applyBorder="1"/>
    <xf numFmtId="169" fontId="4" fillId="2" borderId="4" xfId="2" applyNumberFormat="1" applyBorder="1"/>
    <xf numFmtId="179" fontId="1" fillId="0" borderId="0" xfId="0" applyNumberFormat="1" applyFont="1"/>
    <xf numFmtId="179" fontId="1" fillId="0" borderId="0" xfId="0" applyNumberFormat="1" applyFont="1" applyAlignment="1">
      <alignment horizontal="right"/>
    </xf>
    <xf numFmtId="178" fontId="0" fillId="0" borderId="0" xfId="0" applyNumberFormat="1"/>
    <xf numFmtId="165" fontId="1" fillId="0" borderId="0" xfId="0" applyNumberFormat="1" applyFont="1" applyAlignment="1">
      <alignment horizontal="right"/>
    </xf>
    <xf numFmtId="0" fontId="0" fillId="0" borderId="0" xfId="0" applyAlignment="1">
      <alignment horizontal="left"/>
    </xf>
    <xf numFmtId="170" fontId="1" fillId="0" borderId="0" xfId="0" applyNumberFormat="1" applyFont="1"/>
    <xf numFmtId="170" fontId="0" fillId="0" borderId="0" xfId="0" applyNumberFormat="1"/>
    <xf numFmtId="170" fontId="4" fillId="2" borderId="6" xfId="2" applyNumberFormat="1" applyBorder="1"/>
    <xf numFmtId="0" fontId="0" fillId="5" borderId="0" xfId="0" applyFill="1"/>
    <xf numFmtId="0" fontId="0" fillId="6" borderId="0" xfId="0" applyFill="1"/>
    <xf numFmtId="170" fontId="1" fillId="0" borderId="0" xfId="0" applyNumberFormat="1" applyFont="1" applyAlignment="1">
      <alignment horizontal="right"/>
    </xf>
    <xf numFmtId="180" fontId="0" fillId="0" borderId="0" xfId="0" applyNumberFormat="1"/>
    <xf numFmtId="165" fontId="1" fillId="0" borderId="7" xfId="0" applyNumberFormat="1" applyFont="1" applyBorder="1"/>
    <xf numFmtId="165" fontId="1" fillId="0" borderId="2" xfId="0" applyNumberFormat="1" applyFont="1" applyBorder="1"/>
    <xf numFmtId="165" fontId="1" fillId="0" borderId="4" xfId="0" applyNumberFormat="1" applyFont="1" applyBorder="1"/>
    <xf numFmtId="165" fontId="1" fillId="0" borderId="8" xfId="0" applyNumberFormat="1" applyFont="1" applyBorder="1"/>
    <xf numFmtId="165" fontId="1" fillId="0" borderId="6" xfId="0" applyNumberFormat="1" applyFont="1" applyBorder="1"/>
    <xf numFmtId="180" fontId="1" fillId="0" borderId="0" xfId="0" applyNumberFormat="1" applyFont="1"/>
    <xf numFmtId="11" fontId="0" fillId="0" borderId="0" xfId="0" applyNumberFormat="1"/>
    <xf numFmtId="166" fontId="8" fillId="0" borderId="0" xfId="3" applyNumberFormat="1" applyFont="1" applyFill="1"/>
    <xf numFmtId="165" fontId="7" fillId="2" borderId="8" xfId="2" applyNumberFormat="1" applyFont="1" applyBorder="1"/>
    <xf numFmtId="180" fontId="1" fillId="0" borderId="8" xfId="0" applyNumberFormat="1" applyFont="1" applyBorder="1"/>
    <xf numFmtId="171" fontId="1" fillId="0" borderId="6" xfId="0" applyNumberFormat="1" applyFont="1" applyBorder="1"/>
    <xf numFmtId="0" fontId="1" fillId="0" borderId="1" xfId="0" applyFont="1" applyBorder="1" applyAlignment="1">
      <alignment horizontal="right"/>
    </xf>
    <xf numFmtId="165" fontId="8" fillId="3" borderId="7" xfId="3" applyNumberFormat="1" applyFont="1" applyBorder="1"/>
    <xf numFmtId="167" fontId="1" fillId="0" borderId="2" xfId="0" applyNumberFormat="1" applyFont="1" applyBorder="1"/>
    <xf numFmtId="0" fontId="1" fillId="0" borderId="5" xfId="0" applyFont="1" applyBorder="1" applyAlignment="1">
      <alignment horizontal="right"/>
    </xf>
    <xf numFmtId="165" fontId="8" fillId="3" borderId="8" xfId="3" applyNumberFormat="1" applyFont="1" applyBorder="1"/>
    <xf numFmtId="167" fontId="1" fillId="0" borderId="6" xfId="0" applyNumberFormat="1" applyFont="1" applyBorder="1"/>
    <xf numFmtId="0" fontId="0" fillId="0" borderId="7" xfId="0" applyBorder="1"/>
    <xf numFmtId="167" fontId="1" fillId="0" borderId="5" xfId="0" applyNumberFormat="1" applyFont="1" applyBorder="1"/>
    <xf numFmtId="167" fontId="1" fillId="0" borderId="8" xfId="0" applyNumberFormat="1" applyFont="1" applyBorder="1"/>
    <xf numFmtId="167" fontId="1" fillId="0" borderId="1" xfId="0" applyNumberFormat="1" applyFont="1" applyBorder="1"/>
    <xf numFmtId="167" fontId="1" fillId="0" borderId="7" xfId="0" applyNumberFormat="1" applyFont="1" applyBorder="1"/>
    <xf numFmtId="167" fontId="1" fillId="7" borderId="0" xfId="0" applyNumberFormat="1" applyFont="1" applyFill="1"/>
    <xf numFmtId="170" fontId="1" fillId="8" borderId="0" xfId="0" applyNumberFormat="1" applyFont="1" applyFill="1"/>
    <xf numFmtId="167" fontId="1" fillId="8" borderId="0" xfId="0" applyNumberFormat="1" applyFont="1" applyFill="1"/>
    <xf numFmtId="170" fontId="1" fillId="0" borderId="2" xfId="0" applyNumberFormat="1" applyFont="1" applyBorder="1"/>
    <xf numFmtId="170" fontId="1" fillId="0" borderId="6" xfId="0" applyNumberFormat="1" applyFont="1" applyBorder="1"/>
    <xf numFmtId="170" fontId="1" fillId="9" borderId="0" xfId="0" applyNumberFormat="1" applyFont="1" applyFill="1"/>
    <xf numFmtId="181" fontId="1" fillId="0" borderId="0" xfId="0" applyNumberFormat="1" applyFont="1"/>
    <xf numFmtId="0" fontId="9" fillId="0" borderId="0" xfId="0" applyFont="1" applyAlignment="1">
      <alignment vertical="center"/>
    </xf>
    <xf numFmtId="0" fontId="10" fillId="0" borderId="0" xfId="0" applyFont="1"/>
    <xf numFmtId="165" fontId="11" fillId="0" borderId="1" xfId="2" applyNumberFormat="1" applyFont="1" applyFill="1" applyBorder="1"/>
    <xf numFmtId="1" fontId="11" fillId="0" borderId="3" xfId="2" applyNumberFormat="1" applyFont="1" applyFill="1" applyBorder="1"/>
    <xf numFmtId="165" fontId="11" fillId="0" borderId="3" xfId="2" applyNumberFormat="1" applyFont="1" applyFill="1" applyBorder="1"/>
    <xf numFmtId="0" fontId="11" fillId="0" borderId="5" xfId="2" applyFont="1" applyFill="1" applyBorder="1"/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166" fontId="1" fillId="0" borderId="6" xfId="0" applyNumberFormat="1" applyFont="1" applyBorder="1"/>
    <xf numFmtId="165" fontId="1" fillId="10" borderId="1" xfId="0" applyNumberFormat="1" applyFont="1" applyFill="1" applyBorder="1"/>
    <xf numFmtId="165" fontId="7" fillId="10" borderId="2" xfId="2" applyNumberFormat="1" applyFont="1" applyFill="1" applyBorder="1"/>
    <xf numFmtId="165" fontId="1" fillId="10" borderId="3" xfId="0" applyNumberFormat="1" applyFont="1" applyFill="1" applyBorder="1"/>
    <xf numFmtId="165" fontId="7" fillId="10" borderId="4" xfId="2" applyNumberFormat="1" applyFont="1" applyFill="1" applyBorder="1"/>
    <xf numFmtId="0" fontId="0" fillId="10" borderId="4" xfId="0" applyFill="1" applyBorder="1"/>
    <xf numFmtId="0" fontId="0" fillId="10" borderId="3" xfId="0" applyFill="1" applyBorder="1"/>
    <xf numFmtId="170" fontId="4" fillId="10" borderId="4" xfId="2" applyNumberFormat="1" applyFill="1" applyBorder="1"/>
    <xf numFmtId="165" fontId="1" fillId="10" borderId="5" xfId="0" applyNumberFormat="1" applyFont="1" applyFill="1" applyBorder="1"/>
    <xf numFmtId="165" fontId="7" fillId="10" borderId="6" xfId="2" applyNumberFormat="1" applyFont="1" applyFill="1" applyBorder="1"/>
    <xf numFmtId="165" fontId="4" fillId="0" borderId="7" xfId="2" applyNumberFormat="1" applyFill="1" applyBorder="1"/>
    <xf numFmtId="165" fontId="4" fillId="0" borderId="2" xfId="2" applyNumberFormat="1" applyFill="1" applyBorder="1"/>
    <xf numFmtId="170" fontId="1" fillId="0" borderId="8" xfId="0" applyNumberFormat="1" applyFont="1" applyBorder="1"/>
    <xf numFmtId="171" fontId="1" fillId="9" borderId="8" xfId="0" applyNumberFormat="1" applyFont="1" applyFill="1" applyBorder="1"/>
    <xf numFmtId="165" fontId="1" fillId="9" borderId="2" xfId="0" applyNumberFormat="1" applyFont="1" applyFill="1" applyBorder="1"/>
    <xf numFmtId="165" fontId="1" fillId="9" borderId="4" xfId="0" applyNumberFormat="1" applyFont="1" applyFill="1" applyBorder="1"/>
    <xf numFmtId="165" fontId="1" fillId="9" borderId="6" xfId="0" applyNumberFormat="1" applyFont="1" applyFill="1" applyBorder="1"/>
    <xf numFmtId="0" fontId="0" fillId="9" borderId="0" xfId="0" applyFill="1"/>
    <xf numFmtId="165" fontId="7" fillId="2" borderId="9" xfId="2" applyNumberFormat="1" applyFont="1" applyBorder="1"/>
    <xf numFmtId="165" fontId="7" fillId="2" borderId="10" xfId="2" applyNumberFormat="1" applyFont="1" applyBorder="1"/>
    <xf numFmtId="2" fontId="0" fillId="0" borderId="0" xfId="0" applyNumberFormat="1"/>
    <xf numFmtId="166" fontId="0" fillId="0" borderId="0" xfId="0" applyNumberFormat="1"/>
    <xf numFmtId="165" fontId="12" fillId="11" borderId="0" xfId="4" applyNumberFormat="1" applyBorder="1"/>
    <xf numFmtId="2" fontId="12" fillId="11" borderId="4" xfId="4" applyNumberFormat="1" applyBorder="1"/>
    <xf numFmtId="0" fontId="12" fillId="11" borderId="8" xfId="4" applyBorder="1"/>
    <xf numFmtId="167" fontId="12" fillId="11" borderId="6" xfId="4" applyNumberFormat="1" applyBorder="1"/>
    <xf numFmtId="165" fontId="12" fillId="11" borderId="3" xfId="4" applyNumberFormat="1" applyBorder="1"/>
    <xf numFmtId="0" fontId="12" fillId="11" borderId="5" xfId="4" applyBorder="1"/>
    <xf numFmtId="166" fontId="4" fillId="2" borderId="2" xfId="2" applyNumberFormat="1" applyBorder="1"/>
    <xf numFmtId="182" fontId="0" fillId="0" borderId="3" xfId="0" applyNumberFormat="1" applyBorder="1"/>
    <xf numFmtId="0" fontId="13" fillId="0" borderId="0" xfId="0" applyFont="1" applyAlignment="1">
      <alignment vertical="center"/>
    </xf>
    <xf numFmtId="167" fontId="4" fillId="2" borderId="1" xfId="2" applyNumberFormat="1" applyBorder="1"/>
    <xf numFmtId="170" fontId="4" fillId="2" borderId="7" xfId="2" applyNumberFormat="1" applyBorder="1"/>
    <xf numFmtId="0" fontId="4" fillId="2" borderId="2" xfId="2" applyBorder="1"/>
    <xf numFmtId="0" fontId="4" fillId="2" borderId="3" xfId="2" applyBorder="1"/>
    <xf numFmtId="170" fontId="4" fillId="2" borderId="0" xfId="2" applyNumberFormat="1" applyBorder="1"/>
    <xf numFmtId="0" fontId="4" fillId="2" borderId="4" xfId="2" applyBorder="1"/>
    <xf numFmtId="167" fontId="4" fillId="2" borderId="3" xfId="2" applyNumberFormat="1" applyBorder="1"/>
    <xf numFmtId="167" fontId="4" fillId="2" borderId="0" xfId="2" applyNumberFormat="1" applyBorder="1"/>
    <xf numFmtId="164" fontId="4" fillId="2" borderId="5" xfId="2" applyNumberFormat="1" applyBorder="1" applyAlignment="1">
      <alignment horizontal="right"/>
    </xf>
    <xf numFmtId="170" fontId="4" fillId="2" borderId="8" xfId="2" applyNumberFormat="1" applyBorder="1"/>
    <xf numFmtId="0" fontId="4" fillId="2" borderId="6" xfId="2" applyNumberFormat="1" applyBorder="1" applyAlignment="1">
      <alignment horizontal="right"/>
    </xf>
    <xf numFmtId="183" fontId="1" fillId="0" borderId="0" xfId="0" applyNumberFormat="1" applyFont="1"/>
    <xf numFmtId="165" fontId="1" fillId="9" borderId="0" xfId="0" applyNumberFormat="1" applyFont="1" applyFill="1"/>
    <xf numFmtId="0" fontId="1" fillId="0" borderId="1" xfId="0" applyFont="1" applyBorder="1"/>
    <xf numFmtId="165" fontId="1" fillId="9" borderId="7" xfId="0" applyNumberFormat="1" applyFont="1" applyFill="1" applyBorder="1"/>
    <xf numFmtId="0" fontId="1" fillId="0" borderId="5" xfId="0" applyFont="1" applyBorder="1"/>
    <xf numFmtId="0" fontId="0" fillId="0" borderId="8" xfId="0" applyBorder="1"/>
    <xf numFmtId="0" fontId="1" fillId="0" borderId="8" xfId="0" applyFont="1" applyBorder="1"/>
    <xf numFmtId="166" fontId="1" fillId="0" borderId="7" xfId="0" applyNumberFormat="1" applyFont="1" applyBorder="1"/>
    <xf numFmtId="0" fontId="1" fillId="0" borderId="3" xfId="0" applyFont="1" applyBorder="1"/>
    <xf numFmtId="165" fontId="0" fillId="0" borderId="8" xfId="0" applyNumberFormat="1" applyBorder="1"/>
    <xf numFmtId="170" fontId="1" fillId="9" borderId="11" xfId="0" applyNumberFormat="1" applyFont="1" applyFill="1" applyBorder="1"/>
    <xf numFmtId="183" fontId="0" fillId="0" borderId="0" xfId="0" applyNumberFormat="1"/>
    <xf numFmtId="184" fontId="0" fillId="0" borderId="0" xfId="0" applyNumberFormat="1"/>
    <xf numFmtId="184" fontId="1" fillId="0" borderId="0" xfId="0" applyNumberFormat="1" applyFont="1"/>
    <xf numFmtId="184" fontId="14" fillId="0" borderId="0" xfId="0" applyNumberFormat="1" applyFont="1" applyAlignment="1">
      <alignment vertical="center"/>
    </xf>
    <xf numFmtId="0" fontId="0" fillId="0" borderId="0" xfId="0" quotePrefix="1"/>
    <xf numFmtId="167" fontId="1" fillId="0" borderId="0" xfId="0" applyNumberFormat="1" applyFont="1" applyAlignment="1">
      <alignment horizontal="right"/>
    </xf>
    <xf numFmtId="0" fontId="1" fillId="0" borderId="0" xfId="0" applyFont="1" applyAlignment="1">
      <alignment horizontal="center"/>
    </xf>
    <xf numFmtId="165" fontId="1" fillId="9" borderId="9" xfId="0" applyNumberFormat="1" applyFont="1" applyFill="1" applyBorder="1"/>
    <xf numFmtId="165" fontId="1" fillId="9" borderId="11" xfId="0" applyNumberFormat="1" applyFont="1" applyFill="1" applyBorder="1"/>
    <xf numFmtId="167" fontId="1" fillId="9" borderId="10" xfId="0" applyNumberFormat="1" applyFont="1" applyFill="1" applyBorder="1"/>
    <xf numFmtId="165" fontId="1" fillId="12" borderId="11" xfId="0" applyNumberFormat="1" applyFont="1" applyFill="1" applyBorder="1"/>
    <xf numFmtId="169" fontId="1" fillId="0" borderId="0" xfId="0" applyNumberFormat="1" applyFont="1"/>
    <xf numFmtId="0" fontId="1" fillId="0" borderId="0" xfId="0" applyFont="1" applyFill="1" applyBorder="1"/>
    <xf numFmtId="0" fontId="1" fillId="9" borderId="0" xfId="0" applyFont="1" applyFill="1"/>
  </cellXfs>
  <cellStyles count="5">
    <cellStyle name="Bad" xfId="2" builtinId="27"/>
    <cellStyle name="Good" xfId="3" builtinId="26"/>
    <cellStyle name="Neutral" xfId="4" builtinId="28"/>
    <cellStyle name="Normal" xfId="0" builtinId="0"/>
    <cellStyle name="Normal 2" xfId="1" xr:uid="{A9035D68-A862-4108-AECE-CE414096C58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49"/>
  <sheetViews>
    <sheetView zoomScale="75" zoomScaleNormal="75" workbookViewId="0">
      <selection activeCell="C32" sqref="C32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8" width="9.140625" customWidth="1"/>
    <col min="12" max="12" width="13" customWidth="1"/>
    <col min="14" max="16" width="13.28515625" customWidth="1"/>
    <col min="17" max="17" width="16.7109375" customWidth="1"/>
    <col min="18" max="18" width="13.28515625" customWidth="1"/>
    <col min="19" max="19" width="26.7109375" customWidth="1"/>
    <col min="20" max="20" width="11.140625" customWidth="1"/>
    <col min="21" max="21" width="16.5703125" customWidth="1"/>
    <col min="22" max="23" width="15" customWidth="1"/>
    <col min="24" max="24" width="17.140625" customWidth="1"/>
    <col min="25" max="25" width="14.85546875" customWidth="1"/>
    <col min="26" max="27" width="10.28515625" bestFit="1" customWidth="1"/>
    <col min="28" max="30" width="11.42578125" customWidth="1"/>
    <col min="31" max="36" width="12" customWidth="1"/>
    <col min="37" max="37" width="12" bestFit="1" customWidth="1"/>
    <col min="38" max="38" width="12.5703125" bestFit="1" customWidth="1"/>
    <col min="39" max="39" width="11.42578125" customWidth="1"/>
    <col min="45" max="45" width="12" bestFit="1" customWidth="1"/>
    <col min="47" max="47" width="10.5703125" bestFit="1" customWidth="1"/>
    <col min="53" max="53" width="12" bestFit="1" customWidth="1"/>
    <col min="55" max="55" width="10.5703125" bestFit="1" customWidth="1"/>
  </cols>
  <sheetData>
    <row r="1" spans="1:26" x14ac:dyDescent="0.25">
      <c r="C1" s="1" t="s">
        <v>50</v>
      </c>
      <c r="L1" s="32"/>
      <c r="M1" s="33"/>
      <c r="O1" s="32"/>
      <c r="P1" s="33"/>
    </row>
    <row r="2" spans="1:26" x14ac:dyDescent="0.25">
      <c r="L2" s="34" t="s">
        <v>0</v>
      </c>
      <c r="M2" s="35"/>
      <c r="N2" s="2"/>
      <c r="O2" s="34" t="s">
        <v>118</v>
      </c>
      <c r="P2" s="35"/>
      <c r="Q2" s="2" t="s">
        <v>126</v>
      </c>
      <c r="R2" s="2"/>
      <c r="S2" s="2" t="s">
        <v>125</v>
      </c>
      <c r="T2" s="2"/>
      <c r="W2" s="2" t="s">
        <v>39</v>
      </c>
    </row>
    <row r="3" spans="1:26" x14ac:dyDescent="0.25">
      <c r="I3" s="2" t="s">
        <v>120</v>
      </c>
      <c r="J3" s="2" t="s">
        <v>121</v>
      </c>
      <c r="K3" s="2" t="s">
        <v>33</v>
      </c>
      <c r="L3" s="34" t="s">
        <v>34</v>
      </c>
      <c r="M3" s="35" t="s">
        <v>35</v>
      </c>
      <c r="N3" s="2" t="s">
        <v>95</v>
      </c>
      <c r="O3" s="34" t="s">
        <v>31</v>
      </c>
      <c r="P3" s="35" t="s">
        <v>32</v>
      </c>
      <c r="Q3" s="2" t="s">
        <v>29</v>
      </c>
      <c r="R3" s="2" t="s">
        <v>30</v>
      </c>
      <c r="S3" s="2" t="s">
        <v>31</v>
      </c>
      <c r="T3" s="2"/>
      <c r="U3" s="2" t="s">
        <v>36</v>
      </c>
      <c r="V3" s="2" t="s">
        <v>37</v>
      </c>
      <c r="W3" s="2" t="s">
        <v>38</v>
      </c>
      <c r="X3" s="2" t="s">
        <v>117</v>
      </c>
      <c r="Y3" s="2" t="s">
        <v>116</v>
      </c>
      <c r="Z3" s="2"/>
    </row>
    <row r="4" spans="1:26" x14ac:dyDescent="0.25">
      <c r="A4">
        <f>INT(100000/(1+D4/1000))</f>
        <v>50025</v>
      </c>
      <c r="B4">
        <v>0</v>
      </c>
      <c r="C4" t="s">
        <v>1</v>
      </c>
      <c r="D4">
        <v>999</v>
      </c>
      <c r="E4" s="5">
        <v>1621266400</v>
      </c>
      <c r="F4">
        <f>INT(1000000/(D4+41)-41)</f>
        <v>920</v>
      </c>
      <c r="I4">
        <v>2</v>
      </c>
      <c r="J4">
        <v>1</v>
      </c>
      <c r="K4">
        <v>0</v>
      </c>
      <c r="L4" s="36">
        <v>1000</v>
      </c>
      <c r="M4" s="37">
        <v>0</v>
      </c>
      <c r="N4">
        <f ca="1">OFFSET(IF(L4&gt;0,D$4,F$4),K4,0)</f>
        <v>999</v>
      </c>
      <c r="O4" s="36">
        <f ca="1">INT($N4*L4/1000)</f>
        <v>999</v>
      </c>
      <c r="P4" s="37">
        <f ca="1">INT($N4*M4/1000)</f>
        <v>0</v>
      </c>
      <c r="Q4">
        <f>L4</f>
        <v>1000</v>
      </c>
      <c r="R4">
        <f>M4</f>
        <v>0</v>
      </c>
      <c r="S4">
        <f ca="1">INT(L4*$N4/1000)</f>
        <v>999</v>
      </c>
      <c r="T4">
        <f ca="1">INT(M4*$N4/1000)</f>
        <v>0</v>
      </c>
      <c r="U4" s="1">
        <f ca="1">S4-R4</f>
        <v>999</v>
      </c>
      <c r="V4" s="1">
        <f ca="1">T4-Q4</f>
        <v>-1000</v>
      </c>
      <c r="W4" s="1">
        <f ca="1">MAX(0,U4:V4)</f>
        <v>999</v>
      </c>
      <c r="X4" s="1">
        <f ca="1">W4</f>
        <v>999</v>
      </c>
      <c r="Y4" s="1">
        <f>SUM(L4:M4)</f>
        <v>1000</v>
      </c>
    </row>
    <row r="5" spans="1:26" x14ac:dyDescent="0.25">
      <c r="A5">
        <f t="shared" ref="A5:A35" si="0">INT(100000/(1+D5/1000))</f>
        <v>69060</v>
      </c>
      <c r="B5">
        <v>1</v>
      </c>
      <c r="C5" t="s">
        <v>2</v>
      </c>
      <c r="D5" s="114">
        <v>448</v>
      </c>
      <c r="E5" s="5">
        <v>1621266400</v>
      </c>
      <c r="F5">
        <f t="shared" ref="F5:F35" si="1">INT(1000000/(D5+41)-41)</f>
        <v>2003</v>
      </c>
      <c r="I5">
        <v>3</v>
      </c>
      <c r="J5">
        <v>1</v>
      </c>
      <c r="K5">
        <f>K4</f>
        <v>0</v>
      </c>
      <c r="L5" s="36">
        <v>0</v>
      </c>
      <c r="M5" s="38">
        <v>2000</v>
      </c>
      <c r="N5">
        <f ca="1">OFFSET(IF(L5&gt;0,D$4,F$4),K5,0)</f>
        <v>920</v>
      </c>
      <c r="O5" s="36">
        <f t="shared" ref="O5:O6" ca="1" si="2">INT($N5*L5/1000)</f>
        <v>0</v>
      </c>
      <c r="P5" s="37">
        <f ca="1">INT($N5*M5/1000)</f>
        <v>1840</v>
      </c>
      <c r="Q5">
        <f>L5+Q4</f>
        <v>1000</v>
      </c>
      <c r="R5">
        <f>M5+R4</f>
        <v>2000</v>
      </c>
      <c r="S5">
        <f ca="1">INT(L5*N5/1000)+S4</f>
        <v>999</v>
      </c>
      <c r="T5">
        <f ca="1">INT(M5*N5/1000)+T4</f>
        <v>1840</v>
      </c>
      <c r="U5" s="1">
        <f ca="1">S5-R5</f>
        <v>-1001</v>
      </c>
      <c r="V5" s="1">
        <f ca="1">T5-Q5</f>
        <v>840</v>
      </c>
      <c r="W5" s="1">
        <f t="shared" ref="W5:W6" ca="1" si="3">MAX(0,U5:V5)</f>
        <v>840</v>
      </c>
      <c r="X5" s="1">
        <f ca="1">X4+(W5-W4)</f>
        <v>840</v>
      </c>
      <c r="Y5" s="1">
        <f>SUM(L5:M5)+Y4</f>
        <v>3000</v>
      </c>
    </row>
    <row r="6" spans="1:26" x14ac:dyDescent="0.25">
      <c r="A6">
        <f t="shared" si="0"/>
        <v>66666</v>
      </c>
      <c r="B6">
        <v>2</v>
      </c>
      <c r="C6" t="s">
        <v>3</v>
      </c>
      <c r="D6">
        <v>500</v>
      </c>
      <c r="E6" s="5">
        <v>1621266400</v>
      </c>
      <c r="F6">
        <f t="shared" si="1"/>
        <v>1807</v>
      </c>
      <c r="I6">
        <v>2</v>
      </c>
      <c r="J6">
        <v>1</v>
      </c>
      <c r="K6">
        <v>0</v>
      </c>
      <c r="L6" s="36">
        <v>1000</v>
      </c>
      <c r="M6" s="37">
        <v>0</v>
      </c>
      <c r="N6">
        <f ca="1">OFFSET(IF(L6&gt;0,D$4,F$4),K6,0)</f>
        <v>999</v>
      </c>
      <c r="O6" s="36">
        <f t="shared" ca="1" si="2"/>
        <v>999</v>
      </c>
      <c r="P6" s="37">
        <f t="shared" ref="P6" ca="1" si="4">INT($N6*M6/1000)</f>
        <v>0</v>
      </c>
      <c r="Q6">
        <f>L6+Q5</f>
        <v>2000</v>
      </c>
      <c r="R6" s="25">
        <f>M6+R5</f>
        <v>2000</v>
      </c>
      <c r="S6">
        <f ca="1">INT(L6*N6/1000)+S5</f>
        <v>1998</v>
      </c>
      <c r="T6">
        <f ca="1">INT(M6*N6/1000)+T5</f>
        <v>1840</v>
      </c>
      <c r="U6" s="1">
        <f ca="1">S6-R6</f>
        <v>-2</v>
      </c>
      <c r="V6" s="1">
        <f ca="1">T6-Q6</f>
        <v>-160</v>
      </c>
      <c r="W6" s="1">
        <f t="shared" ca="1" si="3"/>
        <v>0</v>
      </c>
      <c r="X6" s="1">
        <f ca="1">X5+(W6-W5)</f>
        <v>0</v>
      </c>
      <c r="Y6" s="1">
        <f>SUM(L6:M6)+Y5</f>
        <v>4000</v>
      </c>
    </row>
    <row r="7" spans="1:26" x14ac:dyDescent="0.25">
      <c r="A7">
        <f t="shared" si="0"/>
        <v>52110</v>
      </c>
      <c r="B7">
        <v>3</v>
      </c>
      <c r="C7" t="s">
        <v>4</v>
      </c>
      <c r="D7" s="114">
        <v>919</v>
      </c>
      <c r="E7" s="5">
        <v>1621266400</v>
      </c>
      <c r="F7">
        <f t="shared" si="1"/>
        <v>1000</v>
      </c>
      <c r="L7" s="36"/>
      <c r="M7" s="37"/>
      <c r="O7" s="36"/>
      <c r="P7" s="37"/>
      <c r="U7" s="1"/>
      <c r="V7" s="1"/>
      <c r="W7" s="1"/>
      <c r="X7" s="1"/>
      <c r="Y7" s="1"/>
    </row>
    <row r="8" spans="1:26" x14ac:dyDescent="0.25">
      <c r="A8">
        <f t="shared" si="0"/>
        <v>52383</v>
      </c>
      <c r="B8">
        <v>4</v>
      </c>
      <c r="C8" t="s">
        <v>5</v>
      </c>
      <c r="D8">
        <v>909</v>
      </c>
      <c r="E8" s="5">
        <v>1621266400</v>
      </c>
      <c r="F8">
        <f t="shared" si="1"/>
        <v>1011</v>
      </c>
      <c r="L8" s="36"/>
      <c r="M8" s="37"/>
      <c r="O8" s="36"/>
      <c r="P8" s="37"/>
      <c r="U8" s="1"/>
      <c r="V8" s="1"/>
      <c r="W8" s="1"/>
      <c r="X8" s="1"/>
      <c r="Y8" s="1"/>
    </row>
    <row r="9" spans="1:26" x14ac:dyDescent="0.25">
      <c r="A9">
        <f t="shared" si="0"/>
        <v>55555</v>
      </c>
      <c r="B9">
        <v>5</v>
      </c>
      <c r="C9" t="s">
        <v>6</v>
      </c>
      <c r="D9">
        <v>800</v>
      </c>
      <c r="E9" s="5">
        <v>1621266400</v>
      </c>
      <c r="F9">
        <f t="shared" si="1"/>
        <v>1148</v>
      </c>
      <c r="L9" s="36"/>
      <c r="M9" s="37"/>
      <c r="O9" s="36"/>
      <c r="P9" s="37"/>
      <c r="U9" s="1"/>
      <c r="V9" s="1"/>
      <c r="W9" s="1"/>
      <c r="X9" s="1"/>
      <c r="Y9" s="1"/>
    </row>
    <row r="10" spans="1:26" x14ac:dyDescent="0.25">
      <c r="A10">
        <f t="shared" si="0"/>
        <v>66225</v>
      </c>
      <c r="B10">
        <v>6</v>
      </c>
      <c r="C10" t="s">
        <v>7</v>
      </c>
      <c r="D10">
        <v>510</v>
      </c>
      <c r="E10" s="5">
        <v>1621266400</v>
      </c>
      <c r="F10">
        <f t="shared" si="1"/>
        <v>1773</v>
      </c>
      <c r="K10" s="2" t="s">
        <v>33</v>
      </c>
      <c r="L10" s="34" t="s">
        <v>34</v>
      </c>
      <c r="M10" s="35" t="s">
        <v>35</v>
      </c>
      <c r="N10" s="2" t="s">
        <v>28</v>
      </c>
      <c r="O10" s="34" t="s">
        <v>31</v>
      </c>
      <c r="P10" s="35" t="s">
        <v>32</v>
      </c>
      <c r="Q10" s="2" t="s">
        <v>29</v>
      </c>
      <c r="R10" s="2" t="s">
        <v>30</v>
      </c>
      <c r="S10" s="2" t="s">
        <v>31</v>
      </c>
      <c r="T10" s="2" t="s">
        <v>32</v>
      </c>
      <c r="U10" s="2" t="s">
        <v>36</v>
      </c>
      <c r="V10" s="2" t="s">
        <v>37</v>
      </c>
      <c r="W10" s="2" t="s">
        <v>38</v>
      </c>
      <c r="X10" s="2" t="s">
        <v>117</v>
      </c>
      <c r="Y10" s="2" t="s">
        <v>116</v>
      </c>
      <c r="Z10" s="2"/>
    </row>
    <row r="11" spans="1:26" x14ac:dyDescent="0.25">
      <c r="A11">
        <f t="shared" si="0"/>
        <v>57504</v>
      </c>
      <c r="B11">
        <v>7</v>
      </c>
      <c r="C11" t="s">
        <v>8</v>
      </c>
      <c r="D11">
        <v>739</v>
      </c>
      <c r="E11" s="5">
        <v>1621266400</v>
      </c>
      <c r="F11">
        <f t="shared" si="1"/>
        <v>1241</v>
      </c>
      <c r="I11">
        <v>2</v>
      </c>
      <c r="J11">
        <v>1</v>
      </c>
      <c r="K11">
        <v>1</v>
      </c>
      <c r="L11" s="36">
        <v>1000</v>
      </c>
      <c r="M11" s="37">
        <v>0</v>
      </c>
      <c r="N11">
        <f ca="1">OFFSET(IF(L11&gt;0,D$4,F$4),K11,0)</f>
        <v>448</v>
      </c>
      <c r="O11" s="36">
        <f ca="1">INT($N11*L11/1000)</f>
        <v>448</v>
      </c>
      <c r="P11" s="37">
        <f ca="1">INT($N11*M11/1000)</f>
        <v>0</v>
      </c>
      <c r="Q11">
        <f>L11</f>
        <v>1000</v>
      </c>
      <c r="R11">
        <f>M11</f>
        <v>0</v>
      </c>
      <c r="S11">
        <f ca="1">INT(L11*N11/1000)</f>
        <v>448</v>
      </c>
      <c r="T11">
        <f ca="1">INT(M11*N11/1000)</f>
        <v>0</v>
      </c>
      <c r="U11" s="1">
        <f ca="1">S11-R11</f>
        <v>448</v>
      </c>
      <c r="V11" s="1">
        <f ca="1">T11-Q11</f>
        <v>-1000</v>
      </c>
      <c r="W11" s="1">
        <f ca="1">MAX(0,U11:V11)</f>
        <v>448</v>
      </c>
      <c r="X11" s="1">
        <f ca="1">W11+X6</f>
        <v>448</v>
      </c>
      <c r="Y11" s="1">
        <f>SUM(L11:M11)+Y6</f>
        <v>5000</v>
      </c>
    </row>
    <row r="12" spans="1:26" x14ac:dyDescent="0.25">
      <c r="A12">
        <f t="shared" si="0"/>
        <v>61728</v>
      </c>
      <c r="B12">
        <v>8</v>
      </c>
      <c r="C12" t="s">
        <v>9</v>
      </c>
      <c r="D12">
        <v>620</v>
      </c>
      <c r="E12" s="5">
        <v>1621266400</v>
      </c>
      <c r="F12">
        <f t="shared" si="1"/>
        <v>1471</v>
      </c>
      <c r="I12">
        <v>3</v>
      </c>
      <c r="J12">
        <v>1</v>
      </c>
      <c r="K12">
        <v>1</v>
      </c>
      <c r="L12" s="36">
        <v>0</v>
      </c>
      <c r="M12" s="38">
        <v>2000</v>
      </c>
      <c r="N12">
        <f t="shared" ref="N12:N13" ca="1" si="5">OFFSET(IF(L12&gt;0,D$4,F$4),K12,0)</f>
        <v>2003</v>
      </c>
      <c r="O12" s="36">
        <f t="shared" ref="O12:O13" ca="1" si="6">INT($N12*L12/1000)</f>
        <v>0</v>
      </c>
      <c r="P12" s="37">
        <f t="shared" ref="P12:P13" ca="1" si="7">INT($N12*M12/1000)</f>
        <v>4006</v>
      </c>
      <c r="Q12">
        <f>L12+Q11</f>
        <v>1000</v>
      </c>
      <c r="R12">
        <f>M12+R11</f>
        <v>2000</v>
      </c>
      <c r="S12">
        <f ca="1">INT(L12*N12/1000)+S11</f>
        <v>448</v>
      </c>
      <c r="T12">
        <f ca="1">INT(M12*N12/1000)+T11</f>
        <v>4006</v>
      </c>
      <c r="U12" s="1">
        <f ca="1">S12-R12</f>
        <v>-1552</v>
      </c>
      <c r="V12" s="1">
        <f ca="1">T12-Q12</f>
        <v>3006</v>
      </c>
      <c r="W12" s="1">
        <f t="shared" ref="W12:W13" ca="1" si="8">MAX(0,U12:V12)</f>
        <v>3006</v>
      </c>
      <c r="X12" s="1">
        <f ca="1">X11+(W12-W11)</f>
        <v>3006</v>
      </c>
      <c r="Y12" s="1">
        <f>SUM(L12:M12)+Y11</f>
        <v>7000</v>
      </c>
    </row>
    <row r="13" spans="1:26" x14ac:dyDescent="0.25">
      <c r="A13">
        <f t="shared" si="0"/>
        <v>51020</v>
      </c>
      <c r="B13">
        <v>9</v>
      </c>
      <c r="C13" t="s">
        <v>10</v>
      </c>
      <c r="D13">
        <v>960</v>
      </c>
      <c r="E13" s="5">
        <v>1621266400</v>
      </c>
      <c r="F13">
        <f t="shared" si="1"/>
        <v>958</v>
      </c>
      <c r="I13">
        <v>2</v>
      </c>
      <c r="J13">
        <v>1</v>
      </c>
      <c r="K13">
        <v>1</v>
      </c>
      <c r="L13" s="36">
        <v>1000</v>
      </c>
      <c r="M13" s="37">
        <v>0</v>
      </c>
      <c r="N13">
        <f t="shared" ca="1" si="5"/>
        <v>448</v>
      </c>
      <c r="O13" s="36">
        <f t="shared" ca="1" si="6"/>
        <v>448</v>
      </c>
      <c r="P13" s="37">
        <f t="shared" ca="1" si="7"/>
        <v>0</v>
      </c>
      <c r="Q13">
        <f>L13+Q12</f>
        <v>2000</v>
      </c>
      <c r="R13" s="25">
        <f>M13+R12</f>
        <v>2000</v>
      </c>
      <c r="S13">
        <f ca="1">INT(L13*N13/1000)+S12</f>
        <v>896</v>
      </c>
      <c r="T13">
        <f ca="1">INT(M13*N13/1000)+T12</f>
        <v>4006</v>
      </c>
      <c r="U13" s="1">
        <f ca="1">S13-R13</f>
        <v>-1104</v>
      </c>
      <c r="V13" s="1">
        <f ca="1">T13-Q13</f>
        <v>2006</v>
      </c>
      <c r="W13" s="1">
        <f t="shared" ca="1" si="8"/>
        <v>2006</v>
      </c>
      <c r="X13" s="1">
        <f ca="1">X12+(W13-W12)</f>
        <v>2006</v>
      </c>
      <c r="Y13" s="1">
        <f>SUM(L13:M13)+Y12</f>
        <v>8000</v>
      </c>
    </row>
    <row r="14" spans="1:26" x14ac:dyDescent="0.25">
      <c r="A14">
        <f t="shared" si="0"/>
        <v>60606</v>
      </c>
      <c r="B14">
        <v>10</v>
      </c>
      <c r="C14" t="s">
        <v>11</v>
      </c>
      <c r="D14">
        <v>650</v>
      </c>
      <c r="E14" s="5">
        <v>1621266400</v>
      </c>
      <c r="F14">
        <f t="shared" si="1"/>
        <v>1406</v>
      </c>
      <c r="L14" s="36"/>
      <c r="M14" s="37"/>
      <c r="O14" s="36"/>
      <c r="P14" s="37"/>
      <c r="U14" s="1"/>
      <c r="V14" s="1"/>
      <c r="W14" s="1"/>
      <c r="X14" s="1"/>
      <c r="Y14" s="1"/>
    </row>
    <row r="15" spans="1:26" x14ac:dyDescent="0.25">
      <c r="A15">
        <f t="shared" si="0"/>
        <v>59241</v>
      </c>
      <c r="B15">
        <v>11</v>
      </c>
      <c r="C15" t="s">
        <v>12</v>
      </c>
      <c r="D15">
        <v>688</v>
      </c>
      <c r="E15" s="5">
        <v>1621266400</v>
      </c>
      <c r="F15">
        <f t="shared" si="1"/>
        <v>1330</v>
      </c>
      <c r="L15" s="36"/>
      <c r="M15" s="37"/>
      <c r="O15" s="36"/>
      <c r="P15" s="37"/>
      <c r="R15" s="21"/>
      <c r="U15" s="1"/>
      <c r="V15" s="1"/>
      <c r="W15" s="1" t="s">
        <v>40</v>
      </c>
      <c r="X15" s="1"/>
      <c r="Y15" s="1"/>
    </row>
    <row r="16" spans="1:26" x14ac:dyDescent="0.25">
      <c r="A16">
        <f t="shared" si="0"/>
        <v>50761</v>
      </c>
      <c r="B16">
        <v>12</v>
      </c>
      <c r="C16" t="s">
        <v>13</v>
      </c>
      <c r="D16">
        <v>970</v>
      </c>
      <c r="E16" s="5">
        <v>1621266400</v>
      </c>
      <c r="F16">
        <f t="shared" si="1"/>
        <v>948</v>
      </c>
      <c r="L16" s="36"/>
      <c r="M16" s="37"/>
      <c r="O16" s="36"/>
      <c r="P16" s="37"/>
      <c r="U16" s="1"/>
      <c r="V16" s="1"/>
      <c r="W16" s="1"/>
      <c r="X16" s="1"/>
      <c r="Y16" s="1"/>
    </row>
    <row r="17" spans="1:26" x14ac:dyDescent="0.25">
      <c r="A17">
        <f t="shared" si="0"/>
        <v>57803</v>
      </c>
      <c r="B17">
        <v>13</v>
      </c>
      <c r="C17" t="s">
        <v>14</v>
      </c>
      <c r="D17">
        <v>730</v>
      </c>
      <c r="E17" s="5">
        <v>1621266400</v>
      </c>
      <c r="F17">
        <f t="shared" si="1"/>
        <v>1256</v>
      </c>
      <c r="K17" s="2" t="s">
        <v>33</v>
      </c>
      <c r="L17" s="34" t="s">
        <v>34</v>
      </c>
      <c r="M17" s="35" t="s">
        <v>35</v>
      </c>
      <c r="N17" s="2" t="s">
        <v>28</v>
      </c>
      <c r="O17" s="34" t="s">
        <v>31</v>
      </c>
      <c r="P17" s="35" t="s">
        <v>32</v>
      </c>
      <c r="Q17" s="2" t="s">
        <v>29</v>
      </c>
      <c r="R17" s="2" t="s">
        <v>30</v>
      </c>
      <c r="S17" s="2" t="s">
        <v>31</v>
      </c>
      <c r="T17" s="2" t="s">
        <v>32</v>
      </c>
      <c r="U17" s="2" t="s">
        <v>36</v>
      </c>
      <c r="V17" s="2" t="s">
        <v>37</v>
      </c>
      <c r="W17" s="2" t="s">
        <v>38</v>
      </c>
      <c r="X17" s="2" t="s">
        <v>117</v>
      </c>
      <c r="Y17" s="2" t="s">
        <v>116</v>
      </c>
      <c r="Z17" s="2"/>
    </row>
    <row r="18" spans="1:26" x14ac:dyDescent="0.25">
      <c r="A18">
        <f t="shared" si="0"/>
        <v>58858</v>
      </c>
      <c r="B18">
        <v>14</v>
      </c>
      <c r="C18" t="s">
        <v>15</v>
      </c>
      <c r="D18">
        <v>699</v>
      </c>
      <c r="E18" s="5">
        <v>1621266400</v>
      </c>
      <c r="F18">
        <f t="shared" si="1"/>
        <v>1310</v>
      </c>
      <c r="I18">
        <v>2</v>
      </c>
      <c r="J18">
        <v>0</v>
      </c>
      <c r="K18">
        <v>2</v>
      </c>
      <c r="L18" s="39">
        <v>1000</v>
      </c>
      <c r="M18" s="37">
        <v>0</v>
      </c>
      <c r="N18">
        <f ca="1">OFFSET(IF(L18&gt;0,D$4,F$4),K18,0)</f>
        <v>500</v>
      </c>
      <c r="O18" s="36">
        <f ca="1">INT($N18*L18/1000)</f>
        <v>500</v>
      </c>
      <c r="P18" s="37">
        <f ca="1">INT($N18*M18/1000)</f>
        <v>0</v>
      </c>
      <c r="Q18">
        <f>L18</f>
        <v>1000</v>
      </c>
      <c r="R18">
        <f>M18</f>
        <v>0</v>
      </c>
      <c r="S18">
        <f ca="1">INT(L18*N18/1000)</f>
        <v>500</v>
      </c>
      <c r="T18">
        <f ca="1">INT(M18*N18/1000)</f>
        <v>0</v>
      </c>
      <c r="U18" s="1">
        <f ca="1">S18-R18</f>
        <v>500</v>
      </c>
      <c r="V18" s="1">
        <f ca="1">T18-Q18</f>
        <v>-1000</v>
      </c>
      <c r="W18" s="1">
        <f ca="1">MAX(0,U18:V18)</f>
        <v>500</v>
      </c>
      <c r="X18" s="1">
        <f ca="1">W18+X13</f>
        <v>2506</v>
      </c>
      <c r="Y18" s="1">
        <f>SUM(L18:M18)+Y13</f>
        <v>9000</v>
      </c>
    </row>
    <row r="19" spans="1:26" x14ac:dyDescent="0.25">
      <c r="A19">
        <f t="shared" si="0"/>
        <v>53078</v>
      </c>
      <c r="B19">
        <v>15</v>
      </c>
      <c r="C19" t="s">
        <v>16</v>
      </c>
      <c r="D19">
        <v>884</v>
      </c>
      <c r="E19" s="5">
        <v>1621266400</v>
      </c>
      <c r="F19">
        <f t="shared" si="1"/>
        <v>1040</v>
      </c>
      <c r="I19">
        <v>3</v>
      </c>
      <c r="J19">
        <v>0</v>
      </c>
      <c r="K19">
        <v>2</v>
      </c>
      <c r="L19" s="36">
        <v>0</v>
      </c>
      <c r="M19" s="37">
        <v>2000</v>
      </c>
      <c r="N19">
        <f t="shared" ref="N19:N20" ca="1" si="9">OFFSET(IF(L19&gt;0,D$4,F$4),K19,0)</f>
        <v>1807</v>
      </c>
      <c r="O19" s="36">
        <f t="shared" ref="O19:O20" ca="1" si="10">INT($N19*L19/1000)</f>
        <v>0</v>
      </c>
      <c r="P19" s="37">
        <f t="shared" ref="P19:P20" ca="1" si="11">INT($N19*M19/1000)</f>
        <v>3614</v>
      </c>
      <c r="Q19">
        <f>L19+Q18</f>
        <v>1000</v>
      </c>
      <c r="R19">
        <f>M19+R18</f>
        <v>2000</v>
      </c>
      <c r="S19">
        <f ca="1">INT(L19*N19/1000)+S18</f>
        <v>500</v>
      </c>
      <c r="T19">
        <f ca="1">INT(M19*N19/1000)+T18</f>
        <v>3614</v>
      </c>
      <c r="U19" s="1">
        <f ca="1">S19-R19</f>
        <v>-1500</v>
      </c>
      <c r="V19" s="1">
        <f ca="1">T19-Q19</f>
        <v>2614</v>
      </c>
      <c r="W19" s="1">
        <f t="shared" ref="W19" ca="1" si="12">MAX(0,U19:V19)</f>
        <v>2614</v>
      </c>
      <c r="X19" s="1">
        <f ca="1">X18+(W19-W18)</f>
        <v>4620</v>
      </c>
      <c r="Y19" s="1">
        <f>SUM(L19:M19)+Y18</f>
        <v>11000</v>
      </c>
    </row>
    <row r="20" spans="1:26" x14ac:dyDescent="0.25">
      <c r="A20">
        <f t="shared" si="0"/>
        <v>65789</v>
      </c>
      <c r="B20">
        <v>16</v>
      </c>
      <c r="C20" t="s">
        <v>17</v>
      </c>
      <c r="D20">
        <v>520</v>
      </c>
      <c r="E20" s="5">
        <v>1621266400</v>
      </c>
      <c r="F20">
        <f t="shared" si="1"/>
        <v>1741</v>
      </c>
      <c r="I20">
        <v>2</v>
      </c>
      <c r="J20">
        <v>0</v>
      </c>
      <c r="K20">
        <v>2</v>
      </c>
      <c r="L20" s="39">
        <v>1000</v>
      </c>
      <c r="M20" s="37">
        <v>0</v>
      </c>
      <c r="N20">
        <f t="shared" ca="1" si="9"/>
        <v>500</v>
      </c>
      <c r="O20" s="36">
        <f t="shared" ca="1" si="10"/>
        <v>500</v>
      </c>
      <c r="P20" s="37">
        <f t="shared" ca="1" si="11"/>
        <v>0</v>
      </c>
      <c r="Q20" s="25">
        <f>L20+Q19</f>
        <v>2000</v>
      </c>
      <c r="R20">
        <f>M20+R19</f>
        <v>2000</v>
      </c>
      <c r="S20">
        <f ca="1">INT(L20*N20/1000)+S19</f>
        <v>1000</v>
      </c>
      <c r="T20">
        <f ca="1">INT(M20*N20/1000)+T19</f>
        <v>3614</v>
      </c>
      <c r="U20" s="1">
        <f ca="1">S20-R20</f>
        <v>-1000</v>
      </c>
      <c r="V20" s="1">
        <f ca="1">T20-Q20</f>
        <v>1614</v>
      </c>
      <c r="W20" s="1">
        <f ca="1">MAX(0,U20:V20)</f>
        <v>1614</v>
      </c>
      <c r="X20" s="1">
        <f ca="1">X19+(W20-W19)</f>
        <v>3620</v>
      </c>
      <c r="Y20" s="1">
        <f>SUM(L20:M20)+Y19</f>
        <v>12000</v>
      </c>
    </row>
    <row r="21" spans="1:26" x14ac:dyDescent="0.25">
      <c r="A21">
        <f t="shared" si="0"/>
        <v>52603</v>
      </c>
      <c r="B21">
        <v>17</v>
      </c>
      <c r="C21" t="s">
        <v>18</v>
      </c>
      <c r="D21">
        <v>901</v>
      </c>
      <c r="E21" s="5">
        <v>1621266400</v>
      </c>
      <c r="F21">
        <f t="shared" si="1"/>
        <v>1020</v>
      </c>
      <c r="L21" s="36"/>
      <c r="M21" s="37"/>
      <c r="O21" s="36"/>
      <c r="P21" s="37"/>
      <c r="U21" s="1"/>
      <c r="V21" s="1"/>
      <c r="W21" s="1"/>
      <c r="X21" s="1"/>
      <c r="Y21" s="1"/>
    </row>
    <row r="22" spans="1:26" x14ac:dyDescent="0.25">
      <c r="A22">
        <f t="shared" si="0"/>
        <v>61728</v>
      </c>
      <c r="B22">
        <v>18</v>
      </c>
      <c r="C22" t="s">
        <v>19</v>
      </c>
      <c r="D22">
        <v>620</v>
      </c>
      <c r="E22" s="5">
        <v>1621266400</v>
      </c>
      <c r="F22">
        <f t="shared" si="1"/>
        <v>1471</v>
      </c>
      <c r="L22" s="36"/>
      <c r="M22" s="37"/>
      <c r="O22" s="36"/>
      <c r="P22" s="37"/>
      <c r="T22" s="21"/>
      <c r="U22" s="1"/>
      <c r="V22" s="1"/>
      <c r="W22" s="1"/>
      <c r="X22" s="1"/>
      <c r="Y22" s="1"/>
    </row>
    <row r="23" spans="1:26" x14ac:dyDescent="0.25">
      <c r="A23">
        <f t="shared" si="0"/>
        <v>56689</v>
      </c>
      <c r="B23">
        <v>19</v>
      </c>
      <c r="C23" t="s">
        <v>20</v>
      </c>
      <c r="D23">
        <v>764</v>
      </c>
      <c r="E23" s="5">
        <v>1621266400</v>
      </c>
      <c r="F23">
        <f t="shared" si="1"/>
        <v>1201</v>
      </c>
      <c r="L23" s="36"/>
      <c r="M23" s="37"/>
      <c r="O23" s="36"/>
      <c r="P23" s="37"/>
      <c r="U23" s="1"/>
      <c r="V23" s="1"/>
      <c r="W23" s="2"/>
      <c r="X23" s="1"/>
      <c r="Y23" s="1"/>
    </row>
    <row r="24" spans="1:26" x14ac:dyDescent="0.25">
      <c r="A24">
        <f t="shared" si="0"/>
        <v>54024</v>
      </c>
      <c r="B24">
        <v>20</v>
      </c>
      <c r="C24" t="s">
        <v>21</v>
      </c>
      <c r="D24">
        <v>851</v>
      </c>
      <c r="E24" s="5">
        <v>1621266400</v>
      </c>
      <c r="F24">
        <f t="shared" si="1"/>
        <v>1080</v>
      </c>
      <c r="K24" s="2" t="s">
        <v>33</v>
      </c>
      <c r="L24" s="34" t="s">
        <v>34</v>
      </c>
      <c r="M24" s="35" t="s">
        <v>35</v>
      </c>
      <c r="N24" s="2" t="s">
        <v>28</v>
      </c>
      <c r="O24" s="34" t="s">
        <v>31</v>
      </c>
      <c r="P24" s="35" t="s">
        <v>32</v>
      </c>
      <c r="Q24" s="2" t="s">
        <v>29</v>
      </c>
      <c r="R24" s="2" t="s">
        <v>30</v>
      </c>
      <c r="S24" s="2" t="s">
        <v>31</v>
      </c>
      <c r="T24" s="2" t="s">
        <v>32</v>
      </c>
      <c r="U24" s="2" t="s">
        <v>36</v>
      </c>
      <c r="V24" s="2" t="s">
        <v>37</v>
      </c>
      <c r="W24" s="2" t="s">
        <v>38</v>
      </c>
      <c r="X24" s="2" t="s">
        <v>117</v>
      </c>
      <c r="Y24" s="2" t="s">
        <v>116</v>
      </c>
      <c r="Z24" s="2"/>
    </row>
    <row r="25" spans="1:26" x14ac:dyDescent="0.25">
      <c r="A25">
        <f t="shared" si="0"/>
        <v>54945</v>
      </c>
      <c r="B25">
        <v>21</v>
      </c>
      <c r="C25" t="s">
        <v>102</v>
      </c>
      <c r="D25">
        <v>820</v>
      </c>
      <c r="E25" s="5">
        <v>1621266400</v>
      </c>
      <c r="F25">
        <f t="shared" si="1"/>
        <v>1120</v>
      </c>
      <c r="I25">
        <v>2</v>
      </c>
      <c r="K25">
        <v>3</v>
      </c>
      <c r="L25" s="39">
        <v>1000</v>
      </c>
      <c r="M25" s="37"/>
      <c r="N25">
        <f ca="1">OFFSET(IF(L25&gt;0,D$4,F$4),K25,0)</f>
        <v>919</v>
      </c>
      <c r="O25" s="36">
        <f ca="1">INT($N25*L25/1000)</f>
        <v>919</v>
      </c>
      <c r="P25" s="37">
        <f ca="1">INT($N25*M25/1000)</f>
        <v>0</v>
      </c>
      <c r="Q25">
        <f>L25</f>
        <v>1000</v>
      </c>
      <c r="R25">
        <f>M25</f>
        <v>0</v>
      </c>
      <c r="S25">
        <f ca="1">INT(L25*N25/1000)</f>
        <v>919</v>
      </c>
      <c r="T25">
        <f ca="1">INT(M25*N25/1000)</f>
        <v>0</v>
      </c>
      <c r="U25" s="1">
        <f ca="1">S25-R25</f>
        <v>919</v>
      </c>
      <c r="V25" s="1">
        <f ca="1">T25-Q25</f>
        <v>-1000</v>
      </c>
      <c r="W25" s="1">
        <f ca="1">MAX(0,U25:V25)</f>
        <v>919</v>
      </c>
      <c r="X25" s="1">
        <f ca="1">W25+X20</f>
        <v>4539</v>
      </c>
      <c r="Y25" s="1">
        <f>SUM(L25:M25)+Y20</f>
        <v>13000</v>
      </c>
    </row>
    <row r="26" spans="1:26" x14ac:dyDescent="0.25">
      <c r="A26">
        <f t="shared" si="0"/>
        <v>56497</v>
      </c>
      <c r="B26">
        <v>22</v>
      </c>
      <c r="C26" t="s">
        <v>103</v>
      </c>
      <c r="D26">
        <v>770</v>
      </c>
      <c r="E26" s="5">
        <v>1621266400</v>
      </c>
      <c r="F26">
        <f t="shared" si="1"/>
        <v>1192</v>
      </c>
      <c r="I26">
        <v>2</v>
      </c>
      <c r="K26">
        <v>3</v>
      </c>
      <c r="L26" s="39">
        <v>1000</v>
      </c>
      <c r="M26" s="37"/>
      <c r="N26">
        <f t="shared" ref="N26" ca="1" si="13">OFFSET(IF(L26&gt;0,D$4,F$4),K26,0)</f>
        <v>919</v>
      </c>
      <c r="O26" s="36">
        <f t="shared" ref="O26:O27" ca="1" si="14">INT($N26*L26/1000)</f>
        <v>919</v>
      </c>
      <c r="P26" s="37">
        <f t="shared" ref="P26:P27" ca="1" si="15">INT($N26*M26/1000)</f>
        <v>0</v>
      </c>
      <c r="Q26">
        <f>L26+Q25</f>
        <v>2000</v>
      </c>
      <c r="R26">
        <f>M26+R25</f>
        <v>0</v>
      </c>
      <c r="S26">
        <f ca="1">INT(L26*N26/1000)+S25</f>
        <v>1838</v>
      </c>
      <c r="T26">
        <f ca="1">INT(M26*N26/1000)+T25</f>
        <v>0</v>
      </c>
      <c r="U26" s="1">
        <f ca="1">S26-R26</f>
        <v>1838</v>
      </c>
      <c r="V26" s="1">
        <f ca="1">T26-Q26</f>
        <v>-2000</v>
      </c>
      <c r="W26" s="1">
        <f t="shared" ref="W26" ca="1" si="16">MAX(0,U26:V26)</f>
        <v>1838</v>
      </c>
      <c r="X26" s="1">
        <f ca="1">X25+(W26-W25)</f>
        <v>5458</v>
      </c>
      <c r="Y26" s="1">
        <f>SUM(L26:M26)+Y25</f>
        <v>14000</v>
      </c>
    </row>
    <row r="27" spans="1:26" ht="15.75" thickBot="1" x14ac:dyDescent="0.3">
      <c r="A27">
        <f t="shared" si="0"/>
        <v>55865</v>
      </c>
      <c r="B27">
        <v>23</v>
      </c>
      <c r="C27" t="s">
        <v>104</v>
      </c>
      <c r="D27">
        <v>790</v>
      </c>
      <c r="E27" s="5">
        <v>1621266400</v>
      </c>
      <c r="F27">
        <f t="shared" si="1"/>
        <v>1162</v>
      </c>
      <c r="I27">
        <v>3</v>
      </c>
      <c r="K27">
        <v>3</v>
      </c>
      <c r="L27" s="40"/>
      <c r="M27" s="41">
        <v>1000</v>
      </c>
      <c r="N27">
        <f ca="1">OFFSET(IF(L27&gt;0,D$4,F$4),K27,0)</f>
        <v>1000</v>
      </c>
      <c r="O27" s="40">
        <f t="shared" ca="1" si="14"/>
        <v>0</v>
      </c>
      <c r="P27" s="42">
        <f t="shared" ca="1" si="15"/>
        <v>1000</v>
      </c>
      <c r="Q27" s="26">
        <f>L27+Q26</f>
        <v>2000</v>
      </c>
      <c r="R27" s="26">
        <f>M27+R26</f>
        <v>1000</v>
      </c>
      <c r="S27">
        <f ca="1">INT(L27*N27/1000)+S26</f>
        <v>1838</v>
      </c>
      <c r="T27">
        <f ca="1">INT(M27*N27/1000)+T26</f>
        <v>1000</v>
      </c>
      <c r="U27" s="1">
        <f ca="1">S27-R27</f>
        <v>838</v>
      </c>
      <c r="V27" s="1">
        <f ca="1">T27-Q27</f>
        <v>-1000</v>
      </c>
      <c r="W27" s="1">
        <f ca="1">MAX(0,U27:V27)</f>
        <v>838</v>
      </c>
      <c r="X27" s="1">
        <f ca="1">X26+(W27-W26)</f>
        <v>4458</v>
      </c>
      <c r="Y27" s="1">
        <f>SUM(L27:M27)+Y26</f>
        <v>15000</v>
      </c>
    </row>
    <row r="28" spans="1:26" x14ac:dyDescent="0.25">
      <c r="A28">
        <f t="shared" si="0"/>
        <v>57803</v>
      </c>
      <c r="B28">
        <v>24</v>
      </c>
      <c r="C28" t="s">
        <v>105</v>
      </c>
      <c r="D28">
        <v>730</v>
      </c>
      <c r="E28" s="5">
        <v>1621266400</v>
      </c>
      <c r="F28">
        <f t="shared" si="1"/>
        <v>1256</v>
      </c>
      <c r="U28" s="1"/>
      <c r="V28" s="1"/>
      <c r="W28" s="1"/>
      <c r="X28" s="1"/>
      <c r="Y28" s="1"/>
    </row>
    <row r="29" spans="1:26" x14ac:dyDescent="0.25">
      <c r="A29">
        <f t="shared" si="0"/>
        <v>59171</v>
      </c>
      <c r="B29">
        <v>25</v>
      </c>
      <c r="C29" t="s">
        <v>106</v>
      </c>
      <c r="D29">
        <v>690</v>
      </c>
      <c r="E29" s="5">
        <v>1621266400</v>
      </c>
      <c r="F29">
        <f t="shared" si="1"/>
        <v>1326</v>
      </c>
      <c r="V29" t="s">
        <v>82</v>
      </c>
      <c r="X29" s="6"/>
      <c r="Y29" s="1"/>
    </row>
    <row r="30" spans="1:26" x14ac:dyDescent="0.25">
      <c r="A30">
        <f t="shared" si="0"/>
        <v>50761</v>
      </c>
      <c r="B30">
        <v>26</v>
      </c>
      <c r="C30" t="s">
        <v>22</v>
      </c>
      <c r="D30">
        <v>970</v>
      </c>
      <c r="E30" s="5">
        <v>1621266400</v>
      </c>
      <c r="F30">
        <f t="shared" si="1"/>
        <v>948</v>
      </c>
      <c r="J30" s="90"/>
      <c r="L30" s="4"/>
      <c r="R30" t="s">
        <v>136</v>
      </c>
      <c r="S30" s="4">
        <v>30000</v>
      </c>
      <c r="V30" s="2" t="s">
        <v>33</v>
      </c>
      <c r="W30" s="2" t="s">
        <v>83</v>
      </c>
      <c r="X30" s="6"/>
      <c r="Y30" s="6"/>
    </row>
    <row r="31" spans="1:26" x14ac:dyDescent="0.25">
      <c r="A31">
        <f t="shared" si="0"/>
        <v>56818</v>
      </c>
      <c r="B31">
        <v>27</v>
      </c>
      <c r="C31" t="s">
        <v>23</v>
      </c>
      <c r="D31">
        <v>760</v>
      </c>
      <c r="E31" s="5">
        <v>1621266400</v>
      </c>
      <c r="F31">
        <f t="shared" si="1"/>
        <v>1207</v>
      </c>
      <c r="L31" s="3">
        <f>500/150</f>
        <v>3.3333333333333335</v>
      </c>
      <c r="M31" s="2"/>
      <c r="N31" s="2"/>
      <c r="O31" s="2"/>
      <c r="P31" s="2"/>
      <c r="Q31" s="2"/>
      <c r="R31" t="s">
        <v>134</v>
      </c>
      <c r="S31" s="51">
        <v>10000</v>
      </c>
      <c r="T31" s="7"/>
      <c r="U31" s="7"/>
      <c r="V31" s="2">
        <v>0</v>
      </c>
      <c r="W31">
        <v>1</v>
      </c>
      <c r="Z31" s="2"/>
    </row>
    <row r="32" spans="1:26" x14ac:dyDescent="0.25">
      <c r="A32">
        <f t="shared" si="0"/>
        <v>52110</v>
      </c>
      <c r="B32">
        <v>28</v>
      </c>
      <c r="C32" t="s">
        <v>24</v>
      </c>
      <c r="D32">
        <v>919</v>
      </c>
      <c r="E32" s="5">
        <v>1621266400</v>
      </c>
      <c r="F32">
        <f t="shared" si="1"/>
        <v>1000</v>
      </c>
      <c r="N32" s="1"/>
      <c r="O32" s="1"/>
      <c r="P32" s="1"/>
      <c r="Q32" s="1"/>
      <c r="R32" t="s">
        <v>135</v>
      </c>
      <c r="S32" s="4">
        <v>10000</v>
      </c>
      <c r="T32" s="6"/>
      <c r="U32" s="6"/>
      <c r="V32" s="2">
        <v>1</v>
      </c>
      <c r="W32">
        <v>1</v>
      </c>
    </row>
    <row r="33" spans="1:24" x14ac:dyDescent="0.25">
      <c r="A33">
        <f t="shared" si="0"/>
        <v>58139</v>
      </c>
      <c r="B33">
        <v>29</v>
      </c>
      <c r="C33" t="s">
        <v>25</v>
      </c>
      <c r="D33">
        <v>720</v>
      </c>
      <c r="E33" s="5">
        <v>1621266400</v>
      </c>
      <c r="F33">
        <f t="shared" si="1"/>
        <v>1273</v>
      </c>
      <c r="N33" s="1"/>
      <c r="O33" s="1"/>
      <c r="P33" s="1"/>
      <c r="Q33" s="1"/>
      <c r="R33" s="1"/>
      <c r="U33" s="6"/>
      <c r="V33" s="2">
        <v>2</v>
      </c>
      <c r="W33">
        <v>0</v>
      </c>
    </row>
    <row r="34" spans="1:24" x14ac:dyDescent="0.25">
      <c r="A34">
        <f t="shared" si="0"/>
        <v>59808</v>
      </c>
      <c r="B34">
        <v>30</v>
      </c>
      <c r="C34" t="s">
        <v>26</v>
      </c>
      <c r="D34">
        <v>672</v>
      </c>
      <c r="E34" s="5">
        <v>1621266400</v>
      </c>
      <c r="F34">
        <f t="shared" si="1"/>
        <v>1361</v>
      </c>
      <c r="N34" s="1"/>
      <c r="O34" s="1"/>
      <c r="P34" s="1"/>
      <c r="Q34" s="1"/>
      <c r="S34" s="6"/>
      <c r="T34" s="6"/>
      <c r="U34" s="6"/>
      <c r="V34" s="2">
        <v>3</v>
      </c>
      <c r="W34" s="2" t="s">
        <v>84</v>
      </c>
    </row>
    <row r="35" spans="1:24" ht="15.75" thickBot="1" x14ac:dyDescent="0.3">
      <c r="A35">
        <f t="shared" si="0"/>
        <v>55555</v>
      </c>
      <c r="B35">
        <v>31</v>
      </c>
      <c r="C35" t="s">
        <v>27</v>
      </c>
      <c r="D35">
        <v>800</v>
      </c>
      <c r="E35" s="5">
        <v>1621266400</v>
      </c>
      <c r="F35">
        <f t="shared" si="1"/>
        <v>1148</v>
      </c>
      <c r="N35" s="1"/>
      <c r="O35" s="1"/>
      <c r="P35" s="1"/>
      <c r="Q35" s="1"/>
      <c r="S35" s="4" t="s">
        <v>124</v>
      </c>
      <c r="T35" s="2" t="s">
        <v>46</v>
      </c>
      <c r="U35" s="2" t="s">
        <v>174</v>
      </c>
    </row>
    <row r="36" spans="1:24" x14ac:dyDescent="0.25">
      <c r="N36" s="1"/>
      <c r="O36" s="1"/>
      <c r="P36" s="1" t="s">
        <v>203</v>
      </c>
      <c r="Q36" s="1" t="s">
        <v>200</v>
      </c>
      <c r="R36" s="1" t="s">
        <v>119</v>
      </c>
      <c r="S36" s="91">
        <v>30000</v>
      </c>
      <c r="T36" s="43">
        <v>30000</v>
      </c>
      <c r="U36" s="44">
        <f ca="1">T36+T38-N38</f>
        <v>29154</v>
      </c>
      <c r="V36" s="27"/>
      <c r="W36" s="27"/>
    </row>
    <row r="37" spans="1:24" ht="15.75" thickBot="1" x14ac:dyDescent="0.3">
      <c r="O37" s="1"/>
      <c r="P37" s="1" t="s">
        <v>203</v>
      </c>
      <c r="Q37" s="1" t="s">
        <v>201</v>
      </c>
      <c r="R37" s="1" t="s">
        <v>117</v>
      </c>
      <c r="S37" s="92">
        <f ca="1">W27+W20+W13</f>
        <v>4458</v>
      </c>
      <c r="T37" s="45">
        <f ca="1">X27</f>
        <v>4458</v>
      </c>
      <c r="U37" s="46">
        <v>0</v>
      </c>
      <c r="W37" s="27"/>
    </row>
    <row r="38" spans="1:24" x14ac:dyDescent="0.25">
      <c r="L38" s="32"/>
      <c r="M38" s="95" t="s">
        <v>172</v>
      </c>
      <c r="N38" s="61">
        <f ca="1">$R$6+$T$6+$R$13+$T$13+$Q$20+$S$20+$Q$27+$R$27</f>
        <v>15846</v>
      </c>
      <c r="O38" s="4"/>
      <c r="P38" s="1" t="s">
        <v>203</v>
      </c>
      <c r="Q38" s="1" t="s">
        <v>202</v>
      </c>
      <c r="R38" s="1" t="s">
        <v>116</v>
      </c>
      <c r="S38" s="93">
        <f>SUM(L4:M27)</f>
        <v>15000</v>
      </c>
      <c r="T38" s="45">
        <f>SUM(L4:M28)</f>
        <v>15000</v>
      </c>
      <c r="U38" s="46">
        <v>0</v>
      </c>
      <c r="W38" s="27"/>
    </row>
    <row r="39" spans="1:24" x14ac:dyDescent="0.25">
      <c r="C39" s="2" t="s">
        <v>221</v>
      </c>
      <c r="D39" s="2"/>
      <c r="E39" s="2" t="s">
        <v>204</v>
      </c>
      <c r="F39" s="2"/>
      <c r="G39" s="2"/>
      <c r="H39" s="2" t="s">
        <v>213</v>
      </c>
      <c r="L39" s="36"/>
      <c r="M39" s="12" t="s">
        <v>171</v>
      </c>
      <c r="N39" s="62">
        <f ca="1">+$T$6+$T$13+$S$20</f>
        <v>6846</v>
      </c>
      <c r="O39" s="1"/>
      <c r="P39" s="1"/>
      <c r="Q39" s="1"/>
      <c r="R39" s="1" t="s">
        <v>88</v>
      </c>
      <c r="S39" s="93">
        <v>0</v>
      </c>
      <c r="T39" s="119">
        <v>0</v>
      </c>
      <c r="U39" s="120">
        <f ca="1">(T6+T13+S20)*0.05/10</f>
        <v>34.230000000000004</v>
      </c>
      <c r="V39" s="27"/>
      <c r="W39" s="27"/>
    </row>
    <row r="40" spans="1:24" ht="15.75" thickBot="1" x14ac:dyDescent="0.3">
      <c r="B40" s="1">
        <v>0</v>
      </c>
      <c r="C40" s="1" t="s">
        <v>222</v>
      </c>
      <c r="E40">
        <v>0</v>
      </c>
      <c r="F40" s="1" t="s">
        <v>205</v>
      </c>
      <c r="H40" s="1" t="s">
        <v>119</v>
      </c>
      <c r="L40" s="40"/>
      <c r="M40" s="96" t="s">
        <v>41</v>
      </c>
      <c r="N40" s="97">
        <f ca="1">0.05*N39</f>
        <v>342.3</v>
      </c>
      <c r="O40" s="1"/>
      <c r="P40" s="1"/>
      <c r="Q40" s="1"/>
      <c r="R40" s="1" t="s">
        <v>127</v>
      </c>
      <c r="S40" s="94"/>
      <c r="T40" s="121">
        <v>5000</v>
      </c>
      <c r="U40" s="122">
        <f ca="1">T40-N40/10</f>
        <v>4965.7700000000004</v>
      </c>
      <c r="V40" s="27"/>
      <c r="W40" s="27"/>
    </row>
    <row r="41" spans="1:24" x14ac:dyDescent="0.25">
      <c r="B41" s="1">
        <v>1</v>
      </c>
      <c r="C41" s="1" t="s">
        <v>223</v>
      </c>
      <c r="E41">
        <v>1</v>
      </c>
      <c r="F41" s="1" t="s">
        <v>206</v>
      </c>
      <c r="H41" s="1" t="s">
        <v>214</v>
      </c>
      <c r="P41" s="1" t="s">
        <v>203</v>
      </c>
      <c r="Q41" s="4"/>
      <c r="R41" s="1" t="s">
        <v>130</v>
      </c>
      <c r="T41" s="45">
        <v>10000</v>
      </c>
      <c r="U41" s="115">
        <f ca="1">0.95*(O18+O20)-L6-L4-L11-L13+S31</f>
        <v>6950</v>
      </c>
      <c r="V41" s="27"/>
    </row>
    <row r="42" spans="1:24" ht="15.75" thickBot="1" x14ac:dyDescent="0.3">
      <c r="B42" s="1">
        <v>2</v>
      </c>
      <c r="C42" s="1" t="s">
        <v>224</v>
      </c>
      <c r="E42">
        <v>2</v>
      </c>
      <c r="F42" s="1" t="s">
        <v>207</v>
      </c>
      <c r="H42" s="1" t="s">
        <v>215</v>
      </c>
      <c r="N42" s="118">
        <f ca="1">N40+N39</f>
        <v>7188.3</v>
      </c>
      <c r="P42" s="1" t="s">
        <v>203</v>
      </c>
      <c r="Q42" s="4"/>
      <c r="R42" s="1" t="s">
        <v>173</v>
      </c>
      <c r="T42" s="45">
        <v>10000</v>
      </c>
      <c r="U42" s="116">
        <f ca="1">S32+(P5+P12)*0.95-M19</f>
        <v>13553.7</v>
      </c>
      <c r="V42" s="27"/>
      <c r="X42" s="27"/>
    </row>
    <row r="43" spans="1:24" x14ac:dyDescent="0.25">
      <c r="B43" s="1">
        <v>3</v>
      </c>
      <c r="C43" s="1" t="s">
        <v>225</v>
      </c>
      <c r="E43">
        <v>3</v>
      </c>
      <c r="F43" s="1" t="s">
        <v>208</v>
      </c>
      <c r="H43" s="1" t="s">
        <v>216</v>
      </c>
      <c r="P43" s="1"/>
      <c r="V43" s="27"/>
    </row>
    <row r="44" spans="1:24" x14ac:dyDescent="0.25">
      <c r="B44" s="1">
        <v>4</v>
      </c>
      <c r="C44" s="1" t="s">
        <v>226</v>
      </c>
      <c r="E44">
        <v>4</v>
      </c>
      <c r="F44" s="1" t="s">
        <v>209</v>
      </c>
      <c r="H44" s="1" t="s">
        <v>217</v>
      </c>
      <c r="V44" s="27"/>
    </row>
    <row r="45" spans="1:24" x14ac:dyDescent="0.25">
      <c r="B45" s="1">
        <v>5</v>
      </c>
      <c r="C45" s="1" t="s">
        <v>145</v>
      </c>
      <c r="D45" s="4"/>
      <c r="E45">
        <v>5</v>
      </c>
      <c r="F45" s="1" t="s">
        <v>210</v>
      </c>
      <c r="H45" s="1" t="s">
        <v>218</v>
      </c>
      <c r="S45" s="27"/>
      <c r="T45" s="27"/>
      <c r="U45" s="27">
        <f ca="1">U42+U41+U36</f>
        <v>49657.7</v>
      </c>
      <c r="W45" s="27"/>
    </row>
    <row r="46" spans="1:24" x14ac:dyDescent="0.25">
      <c r="B46" s="1">
        <v>6</v>
      </c>
      <c r="C46" s="1" t="s">
        <v>146</v>
      </c>
      <c r="E46">
        <v>6</v>
      </c>
      <c r="F46" s="1" t="s">
        <v>211</v>
      </c>
      <c r="H46" s="1" t="s">
        <v>219</v>
      </c>
      <c r="U46" s="4"/>
      <c r="V46" s="27"/>
    </row>
    <row r="47" spans="1:24" x14ac:dyDescent="0.25">
      <c r="B47" s="1">
        <v>7</v>
      </c>
      <c r="C47" s="1"/>
      <c r="E47">
        <v>7</v>
      </c>
      <c r="F47" s="1" t="s">
        <v>212</v>
      </c>
      <c r="H47" s="1" t="s">
        <v>220</v>
      </c>
      <c r="U47" s="27"/>
      <c r="V47" s="117"/>
    </row>
    <row r="48" spans="1:24" x14ac:dyDescent="0.25">
      <c r="E48" s="28"/>
      <c r="U48" s="16">
        <f ca="1">U40+U39</f>
        <v>5000</v>
      </c>
    </row>
    <row r="49" spans="5:21" x14ac:dyDescent="0.25">
      <c r="E49" s="28"/>
      <c r="U49">
        <f ca="1">U41+U42+U36+U39*10</f>
        <v>50000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EA72B-0824-4474-8896-5DD7F46DC153}">
  <sheetPr codeName="Sheet10"/>
  <dimension ref="A1:AF49"/>
  <sheetViews>
    <sheetView topLeftCell="C1" zoomScale="75" zoomScaleNormal="75" workbookViewId="0">
      <selection activeCell="D1" sqref="D1:D36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8" width="9.140625" customWidth="1"/>
    <col min="12" max="12" width="13" customWidth="1"/>
    <col min="14" max="16" width="13.28515625" customWidth="1"/>
    <col min="17" max="17" width="16.7109375" customWidth="1"/>
    <col min="18" max="18" width="13.28515625" customWidth="1"/>
    <col min="19" max="19" width="26.7109375" customWidth="1"/>
    <col min="20" max="20" width="11.140625" customWidth="1"/>
    <col min="21" max="21" width="16.5703125" customWidth="1"/>
    <col min="22" max="23" width="15" customWidth="1"/>
    <col min="24" max="24" width="17.140625" customWidth="1"/>
    <col min="25" max="25" width="14.85546875" customWidth="1"/>
    <col min="26" max="26" width="14.7109375" customWidth="1"/>
    <col min="27" max="27" width="13.42578125" customWidth="1"/>
    <col min="28" max="28" width="14.7109375" customWidth="1"/>
    <col min="29" max="29" width="11" customWidth="1"/>
    <col min="31" max="33" width="10.28515625" bestFit="1" customWidth="1"/>
    <col min="34" max="36" width="11.42578125" customWidth="1"/>
    <col min="37" max="42" width="12" customWidth="1"/>
    <col min="43" max="43" width="12" bestFit="1" customWidth="1"/>
    <col min="44" max="44" width="12.5703125" bestFit="1" customWidth="1"/>
    <col min="45" max="45" width="11.42578125" customWidth="1"/>
    <col min="51" max="51" width="12" bestFit="1" customWidth="1"/>
    <col min="53" max="53" width="10.5703125" bestFit="1" customWidth="1"/>
    <col min="59" max="59" width="12" bestFit="1" customWidth="1"/>
    <col min="61" max="61" width="10.5703125" bestFit="1" customWidth="1"/>
  </cols>
  <sheetData>
    <row r="1" spans="1:32" x14ac:dyDescent="0.25">
      <c r="C1" s="1" t="s">
        <v>50</v>
      </c>
      <c r="G1" s="32"/>
      <c r="H1" s="33"/>
      <c r="L1" s="32"/>
      <c r="M1" s="33"/>
      <c r="O1" s="32"/>
      <c r="P1" s="33"/>
    </row>
    <row r="2" spans="1:32" x14ac:dyDescent="0.25">
      <c r="G2" s="34" t="s">
        <v>0</v>
      </c>
      <c r="H2" s="35"/>
      <c r="L2" s="34" t="s">
        <v>0</v>
      </c>
      <c r="M2" s="35"/>
      <c r="N2" s="2"/>
      <c r="O2" s="34" t="s">
        <v>118</v>
      </c>
      <c r="P2" s="35"/>
      <c r="Q2" s="2" t="s">
        <v>126</v>
      </c>
      <c r="R2" s="2"/>
      <c r="S2" s="2" t="s">
        <v>125</v>
      </c>
      <c r="T2" s="2"/>
      <c r="W2" s="2" t="s">
        <v>39</v>
      </c>
      <c r="Z2" s="156" t="s">
        <v>122</v>
      </c>
      <c r="AA2" s="156"/>
      <c r="AB2" s="156" t="s">
        <v>123</v>
      </c>
      <c r="AC2" s="156"/>
    </row>
    <row r="3" spans="1:32" x14ac:dyDescent="0.25">
      <c r="G3" s="34" t="s">
        <v>34</v>
      </c>
      <c r="H3" s="35" t="s">
        <v>35</v>
      </c>
      <c r="I3" s="2" t="s">
        <v>120</v>
      </c>
      <c r="J3" s="2" t="s">
        <v>121</v>
      </c>
      <c r="K3" s="2" t="s">
        <v>33</v>
      </c>
      <c r="L3" s="34" t="s">
        <v>34</v>
      </c>
      <c r="M3" s="35" t="s">
        <v>35</v>
      </c>
      <c r="N3" s="2" t="s">
        <v>95</v>
      </c>
      <c r="O3" s="34" t="s">
        <v>31</v>
      </c>
      <c r="P3" s="35" t="s">
        <v>32</v>
      </c>
      <c r="Q3" s="2" t="s">
        <v>29</v>
      </c>
      <c r="R3" s="2" t="s">
        <v>30</v>
      </c>
      <c r="S3" s="2" t="s">
        <v>31</v>
      </c>
      <c r="T3" s="2"/>
      <c r="U3" s="2" t="s">
        <v>36</v>
      </c>
      <c r="V3" s="2" t="s">
        <v>37</v>
      </c>
      <c r="W3" s="2" t="s">
        <v>38</v>
      </c>
      <c r="X3" s="2" t="s">
        <v>117</v>
      </c>
      <c r="Y3" s="2" t="s">
        <v>116</v>
      </c>
      <c r="Z3" s="2" t="s">
        <v>90</v>
      </c>
      <c r="AA3" s="2" t="s">
        <v>91</v>
      </c>
      <c r="AB3" s="2" t="s">
        <v>90</v>
      </c>
      <c r="AC3" s="2" t="s">
        <v>91</v>
      </c>
      <c r="AE3" s="2"/>
      <c r="AF3" s="2"/>
    </row>
    <row r="4" spans="1:32" x14ac:dyDescent="0.25">
      <c r="A4">
        <f>INT(100000/(1+D4/1000))</f>
        <v>50025</v>
      </c>
      <c r="B4">
        <v>0</v>
      </c>
      <c r="C4" t="s">
        <v>1</v>
      </c>
      <c r="D4">
        <v>999</v>
      </c>
      <c r="E4" s="5">
        <v>1621266400</v>
      </c>
      <c r="F4">
        <f>INT(1000000/(D4+41)-41)</f>
        <v>920</v>
      </c>
      <c r="G4" s="36">
        <v>1000</v>
      </c>
      <c r="H4" s="37">
        <v>0</v>
      </c>
      <c r="I4">
        <v>2</v>
      </c>
      <c r="J4">
        <v>0</v>
      </c>
      <c r="K4">
        <v>0</v>
      </c>
      <c r="L4" s="36">
        <v>1000</v>
      </c>
      <c r="M4" s="37">
        <v>0</v>
      </c>
      <c r="N4">
        <f ca="1">OFFSET(IF(L4&gt;0,D$4,F$4),K4,0)</f>
        <v>999</v>
      </c>
      <c r="O4" s="36">
        <f ca="1">INT($N4*L4/1000)</f>
        <v>999</v>
      </c>
      <c r="P4" s="37">
        <f ca="1">INT($N4*M4/1000)</f>
        <v>0</v>
      </c>
      <c r="Q4">
        <f>L4</f>
        <v>1000</v>
      </c>
      <c r="R4">
        <f>M4</f>
        <v>0</v>
      </c>
      <c r="S4">
        <f ca="1">INT(L4*$N4/1000)</f>
        <v>999</v>
      </c>
      <c r="T4">
        <f ca="1">INT(M4*$N4/1000)</f>
        <v>0</v>
      </c>
      <c r="U4" s="1">
        <f ca="1">S4-R4</f>
        <v>999</v>
      </c>
      <c r="V4" s="1">
        <f ca="1">T4-Q4</f>
        <v>-1000</v>
      </c>
      <c r="W4" s="1">
        <f ca="1">MAX(0,U4:V4)</f>
        <v>999</v>
      </c>
      <c r="X4" s="1">
        <f ca="1">W4</f>
        <v>999</v>
      </c>
      <c r="Y4" s="1">
        <f>SUM(L4:M4)</f>
        <v>1000</v>
      </c>
      <c r="Z4" s="1">
        <f>L4</f>
        <v>1000</v>
      </c>
      <c r="AA4" s="1">
        <v>0</v>
      </c>
      <c r="AB4" s="1">
        <v>0</v>
      </c>
      <c r="AC4" s="1">
        <v>0</v>
      </c>
    </row>
    <row r="5" spans="1:32" x14ac:dyDescent="0.25">
      <c r="A5">
        <f t="shared" ref="A5:A35" si="0">INT(100000/(1+D5/1000))</f>
        <v>69060</v>
      </c>
      <c r="B5">
        <v>1</v>
      </c>
      <c r="C5" t="s">
        <v>2</v>
      </c>
      <c r="D5" s="114">
        <v>448</v>
      </c>
      <c r="E5" s="5">
        <v>1621266400</v>
      </c>
      <c r="F5">
        <f t="shared" ref="F5:F35" si="1">INT(1000000/(D5+41)-41)</f>
        <v>2003</v>
      </c>
      <c r="G5" s="36">
        <v>0</v>
      </c>
      <c r="H5" s="38">
        <v>2000</v>
      </c>
      <c r="I5">
        <v>3</v>
      </c>
      <c r="J5">
        <v>0</v>
      </c>
      <c r="K5">
        <f>K4</f>
        <v>0</v>
      </c>
      <c r="L5" s="36">
        <v>0</v>
      </c>
      <c r="M5" s="38">
        <v>2000</v>
      </c>
      <c r="N5">
        <f ca="1">OFFSET(IF(L5&gt;0,D$4,F$4),K5,0)</f>
        <v>920</v>
      </c>
      <c r="O5" s="36">
        <f t="shared" ref="O5:P6" ca="1" si="2">INT($N5*L5/1000)</f>
        <v>0</v>
      </c>
      <c r="P5" s="37">
        <f ca="1">INT($N5*M5/1000)</f>
        <v>1840</v>
      </c>
      <c r="Q5">
        <f>L5+Q4</f>
        <v>1000</v>
      </c>
      <c r="R5">
        <f>M5+R4</f>
        <v>2000</v>
      </c>
      <c r="S5">
        <f ca="1">INT(L5*N5/1000)+S4</f>
        <v>999</v>
      </c>
      <c r="T5">
        <f ca="1">INT(M5*N5/1000)+T4</f>
        <v>1840</v>
      </c>
      <c r="U5" s="1">
        <f ca="1">S5-R5</f>
        <v>-1001</v>
      </c>
      <c r="V5" s="1">
        <f ca="1">T5-Q5</f>
        <v>840</v>
      </c>
      <c r="W5" s="1">
        <f t="shared" ref="W5:W6" ca="1" si="3">MAX(0,U5:V5)</f>
        <v>840</v>
      </c>
      <c r="X5" s="1">
        <f ca="1">X4+(W5-W4)</f>
        <v>840</v>
      </c>
      <c r="Y5" s="1">
        <f>SUM(L5:M5)+Y4</f>
        <v>3000</v>
      </c>
      <c r="Z5" s="1">
        <v>0</v>
      </c>
      <c r="AA5" s="1">
        <f>M5</f>
        <v>2000</v>
      </c>
      <c r="AB5" s="1">
        <v>0</v>
      </c>
      <c r="AC5" s="1">
        <f ca="1">M5+P5</f>
        <v>3840</v>
      </c>
    </row>
    <row r="6" spans="1:32" x14ac:dyDescent="0.25">
      <c r="A6">
        <f t="shared" si="0"/>
        <v>66666</v>
      </c>
      <c r="B6">
        <v>2</v>
      </c>
      <c r="C6" t="s">
        <v>3</v>
      </c>
      <c r="D6">
        <v>500</v>
      </c>
      <c r="E6" s="5">
        <v>1621266400</v>
      </c>
      <c r="F6">
        <f t="shared" si="1"/>
        <v>1807</v>
      </c>
      <c r="G6" s="36">
        <v>1000</v>
      </c>
      <c r="H6" s="37">
        <v>0</v>
      </c>
      <c r="I6">
        <v>2</v>
      </c>
      <c r="J6">
        <v>0</v>
      </c>
      <c r="K6">
        <v>0</v>
      </c>
      <c r="L6" s="36">
        <v>1000</v>
      </c>
      <c r="M6" s="37">
        <v>0</v>
      </c>
      <c r="N6">
        <f ca="1">OFFSET(IF(L6&gt;0,D$4,F$4),K6,0)</f>
        <v>999</v>
      </c>
      <c r="O6" s="36">
        <f t="shared" ca="1" si="2"/>
        <v>999</v>
      </c>
      <c r="P6" s="37">
        <f t="shared" ca="1" si="2"/>
        <v>0</v>
      </c>
      <c r="Q6">
        <f>L6+Q5</f>
        <v>2000</v>
      </c>
      <c r="R6" s="25">
        <f>M6+R5</f>
        <v>2000</v>
      </c>
      <c r="S6">
        <f ca="1">INT(L6*N6/1000)+S5</f>
        <v>1998</v>
      </c>
      <c r="T6">
        <f ca="1">INT(M6*N6/1000)+T5</f>
        <v>1840</v>
      </c>
      <c r="U6" s="1">
        <f ca="1">S6-R6</f>
        <v>-2</v>
      </c>
      <c r="V6" s="1">
        <f ca="1">T6-Q6</f>
        <v>-160</v>
      </c>
      <c r="W6" s="1">
        <f t="shared" ca="1" si="3"/>
        <v>0</v>
      </c>
      <c r="X6" s="1">
        <f ca="1">X5+(W6-W5)</f>
        <v>0</v>
      </c>
      <c r="Y6" s="1">
        <f>SUM(L6:M6)+Y5</f>
        <v>4000</v>
      </c>
      <c r="Z6" s="1">
        <f>L6</f>
        <v>1000</v>
      </c>
      <c r="AA6" s="1">
        <v>0</v>
      </c>
      <c r="AB6" s="1">
        <v>0</v>
      </c>
      <c r="AC6" s="1">
        <v>0</v>
      </c>
    </row>
    <row r="7" spans="1:32" x14ac:dyDescent="0.25">
      <c r="A7">
        <f t="shared" si="0"/>
        <v>52110</v>
      </c>
      <c r="B7">
        <v>3</v>
      </c>
      <c r="C7" t="s">
        <v>4</v>
      </c>
      <c r="D7" s="114">
        <v>919</v>
      </c>
      <c r="E7" s="5">
        <v>1621266400</v>
      </c>
      <c r="F7">
        <f t="shared" si="1"/>
        <v>1000</v>
      </c>
      <c r="G7" s="36"/>
      <c r="H7" s="37"/>
      <c r="L7" s="36"/>
      <c r="M7" s="37"/>
      <c r="O7" s="36"/>
      <c r="P7" s="37"/>
      <c r="U7" s="1"/>
      <c r="V7" s="1"/>
      <c r="W7" s="1"/>
      <c r="X7" s="1"/>
      <c r="Y7" s="1"/>
      <c r="Z7" s="1"/>
      <c r="AA7" s="1"/>
      <c r="AB7" s="1"/>
      <c r="AC7" s="1"/>
    </row>
    <row r="8" spans="1:32" x14ac:dyDescent="0.25">
      <c r="A8">
        <f t="shared" si="0"/>
        <v>52383</v>
      </c>
      <c r="B8">
        <v>4</v>
      </c>
      <c r="C8" t="s">
        <v>5</v>
      </c>
      <c r="D8">
        <v>909</v>
      </c>
      <c r="E8" s="5">
        <v>1621266400</v>
      </c>
      <c r="F8">
        <f t="shared" si="1"/>
        <v>1011</v>
      </c>
      <c r="G8" s="36"/>
      <c r="H8" s="37"/>
      <c r="L8" s="36"/>
      <c r="M8" s="37"/>
      <c r="O8" s="36"/>
      <c r="P8" s="37"/>
      <c r="U8" s="1"/>
      <c r="V8" s="1"/>
      <c r="W8" s="1"/>
      <c r="X8" s="1"/>
      <c r="Y8" s="1"/>
      <c r="Z8" s="1"/>
      <c r="AA8" s="1"/>
      <c r="AB8" s="1"/>
      <c r="AC8" s="1"/>
    </row>
    <row r="9" spans="1:32" x14ac:dyDescent="0.25">
      <c r="A9">
        <f t="shared" si="0"/>
        <v>55555</v>
      </c>
      <c r="B9">
        <v>5</v>
      </c>
      <c r="C9" t="s">
        <v>6</v>
      </c>
      <c r="D9">
        <v>800</v>
      </c>
      <c r="E9" s="5">
        <v>1621266400</v>
      </c>
      <c r="F9">
        <f t="shared" si="1"/>
        <v>1148</v>
      </c>
      <c r="G9" s="36"/>
      <c r="H9" s="37"/>
      <c r="L9" s="36"/>
      <c r="M9" s="37"/>
      <c r="O9" s="36"/>
      <c r="P9" s="37"/>
      <c r="U9" s="1"/>
      <c r="V9" s="1"/>
      <c r="W9" s="1"/>
      <c r="X9" s="1"/>
      <c r="Y9" s="1"/>
      <c r="Z9" s="1"/>
      <c r="AA9" s="1"/>
      <c r="AB9" s="1"/>
      <c r="AC9" s="1"/>
    </row>
    <row r="10" spans="1:32" x14ac:dyDescent="0.25">
      <c r="A10">
        <f t="shared" si="0"/>
        <v>66225</v>
      </c>
      <c r="B10">
        <v>6</v>
      </c>
      <c r="C10" t="s">
        <v>7</v>
      </c>
      <c r="D10">
        <v>510</v>
      </c>
      <c r="E10" s="5">
        <v>1621266400</v>
      </c>
      <c r="F10">
        <f t="shared" si="1"/>
        <v>1773</v>
      </c>
      <c r="G10" s="34" t="s">
        <v>34</v>
      </c>
      <c r="H10" s="35" t="s">
        <v>35</v>
      </c>
      <c r="K10" s="2" t="s">
        <v>33</v>
      </c>
      <c r="L10" s="34" t="s">
        <v>34</v>
      </c>
      <c r="M10" s="35" t="s">
        <v>35</v>
      </c>
      <c r="N10" s="2" t="s">
        <v>28</v>
      </c>
      <c r="O10" s="34" t="s">
        <v>31</v>
      </c>
      <c r="P10" s="35" t="s">
        <v>32</v>
      </c>
      <c r="Q10" s="2" t="s">
        <v>29</v>
      </c>
      <c r="R10" s="2" t="s">
        <v>30</v>
      </c>
      <c r="S10" s="2" t="s">
        <v>31</v>
      </c>
      <c r="T10" s="2" t="s">
        <v>32</v>
      </c>
      <c r="U10" s="2" t="s">
        <v>36</v>
      </c>
      <c r="V10" s="2" t="s">
        <v>37</v>
      </c>
      <c r="W10" s="2" t="s">
        <v>38</v>
      </c>
      <c r="X10" s="2" t="s">
        <v>117</v>
      </c>
      <c r="Y10" s="2" t="s">
        <v>116</v>
      </c>
      <c r="Z10" s="1"/>
      <c r="AA10" s="2"/>
      <c r="AB10" s="1"/>
      <c r="AC10" s="2"/>
      <c r="AE10" s="2"/>
      <c r="AF10" s="2"/>
    </row>
    <row r="11" spans="1:32" x14ac:dyDescent="0.25">
      <c r="A11">
        <f t="shared" si="0"/>
        <v>57504</v>
      </c>
      <c r="B11">
        <v>7</v>
      </c>
      <c r="C11" t="s">
        <v>8</v>
      </c>
      <c r="D11">
        <v>739</v>
      </c>
      <c r="E11" s="5">
        <v>1621266400</v>
      </c>
      <c r="F11">
        <f t="shared" si="1"/>
        <v>1241</v>
      </c>
      <c r="G11" s="36">
        <v>1000</v>
      </c>
      <c r="H11" s="37">
        <v>0</v>
      </c>
      <c r="I11">
        <v>2</v>
      </c>
      <c r="J11">
        <v>0</v>
      </c>
      <c r="K11">
        <v>1</v>
      </c>
      <c r="L11" s="36">
        <v>1000</v>
      </c>
      <c r="M11" s="37">
        <v>0</v>
      </c>
      <c r="N11">
        <f ca="1">OFFSET(IF(L11&gt;0,D$4,F$4),K11,0)</f>
        <v>448</v>
      </c>
      <c r="O11" s="126">
        <f ca="1">INT($N11*L11/1000)</f>
        <v>448</v>
      </c>
      <c r="P11" s="37">
        <f ca="1">INT($N11*M11/1000)</f>
        <v>0</v>
      </c>
      <c r="Q11">
        <f>L11</f>
        <v>1000</v>
      </c>
      <c r="R11">
        <f>M11</f>
        <v>0</v>
      </c>
      <c r="S11">
        <f ca="1">INT(L11*N11/1000)</f>
        <v>448</v>
      </c>
      <c r="T11">
        <f ca="1">INT(M11*N11/1000)</f>
        <v>0</v>
      </c>
      <c r="U11" s="1">
        <f ca="1">S11-R11</f>
        <v>448</v>
      </c>
      <c r="V11" s="1">
        <f ca="1">T11-Q11</f>
        <v>-1000</v>
      </c>
      <c r="W11" s="1">
        <f ca="1">MAX(0,U11:V11)</f>
        <v>448</v>
      </c>
      <c r="X11" s="1">
        <f ca="1">W11+X6</f>
        <v>448</v>
      </c>
      <c r="Y11" s="1">
        <f>SUM(L11:M11)+Y6</f>
        <v>5000</v>
      </c>
      <c r="Z11" s="1">
        <f>L11</f>
        <v>1000</v>
      </c>
      <c r="AA11" s="1">
        <v>0</v>
      </c>
      <c r="AB11" s="1">
        <v>0</v>
      </c>
      <c r="AC11" s="1">
        <v>0</v>
      </c>
    </row>
    <row r="12" spans="1:32" x14ac:dyDescent="0.25">
      <c r="A12">
        <f t="shared" si="0"/>
        <v>61728</v>
      </c>
      <c r="B12">
        <v>8</v>
      </c>
      <c r="C12" t="s">
        <v>9</v>
      </c>
      <c r="D12">
        <v>620</v>
      </c>
      <c r="E12" s="5">
        <v>1621266400</v>
      </c>
      <c r="F12">
        <f t="shared" si="1"/>
        <v>1471</v>
      </c>
      <c r="G12" s="36">
        <v>0</v>
      </c>
      <c r="H12" s="38">
        <v>2000</v>
      </c>
      <c r="I12">
        <v>3</v>
      </c>
      <c r="J12">
        <v>0</v>
      </c>
      <c r="K12">
        <v>1</v>
      </c>
      <c r="L12" s="36">
        <v>0</v>
      </c>
      <c r="M12" s="38">
        <v>2000</v>
      </c>
      <c r="N12">
        <f t="shared" ref="N12:N13" ca="1" si="4">OFFSET(IF(L12&gt;0,D$4,F$4),K12,0)</f>
        <v>2003</v>
      </c>
      <c r="O12" s="36">
        <f t="shared" ref="O12:P13" ca="1" si="5">INT($N12*L12/1000)</f>
        <v>0</v>
      </c>
      <c r="P12" s="37">
        <f t="shared" ca="1" si="5"/>
        <v>4006</v>
      </c>
      <c r="Q12">
        <f>L12+Q11</f>
        <v>1000</v>
      </c>
      <c r="R12">
        <f>M12+R11</f>
        <v>2000</v>
      </c>
      <c r="S12">
        <f ca="1">INT(L12*N12/1000)+S11</f>
        <v>448</v>
      </c>
      <c r="T12">
        <f ca="1">INT(M12*N12/1000)+T11</f>
        <v>4006</v>
      </c>
      <c r="U12" s="1">
        <f ca="1">S12-R12</f>
        <v>-1552</v>
      </c>
      <c r="V12" s="1">
        <f ca="1">T12-Q12</f>
        <v>3006</v>
      </c>
      <c r="W12" s="1">
        <f t="shared" ref="W12:W13" ca="1" si="6">MAX(0,U12:V12)</f>
        <v>3006</v>
      </c>
      <c r="X12" s="1">
        <f ca="1">X11+(W12-W11)</f>
        <v>3006</v>
      </c>
      <c r="Y12" s="1">
        <f>SUM(L12:M12)+Y11</f>
        <v>7000</v>
      </c>
      <c r="Z12" s="1">
        <v>0</v>
      </c>
      <c r="AA12" s="1">
        <f>M12</f>
        <v>2000</v>
      </c>
      <c r="AB12" s="1">
        <v>0</v>
      </c>
      <c r="AC12" s="1">
        <f ca="1">M12+P12</f>
        <v>6006</v>
      </c>
    </row>
    <row r="13" spans="1:32" x14ac:dyDescent="0.25">
      <c r="A13">
        <f t="shared" si="0"/>
        <v>51020</v>
      </c>
      <c r="B13">
        <v>9</v>
      </c>
      <c r="C13" t="s">
        <v>10</v>
      </c>
      <c r="D13">
        <v>960</v>
      </c>
      <c r="E13" s="5">
        <v>1621266400</v>
      </c>
      <c r="F13">
        <f t="shared" si="1"/>
        <v>958</v>
      </c>
      <c r="G13" s="36">
        <v>1000</v>
      </c>
      <c r="H13" s="37">
        <v>0</v>
      </c>
      <c r="I13">
        <v>2</v>
      </c>
      <c r="J13">
        <v>0</v>
      </c>
      <c r="K13">
        <v>1</v>
      </c>
      <c r="L13" s="36">
        <v>1000</v>
      </c>
      <c r="M13" s="37">
        <v>0</v>
      </c>
      <c r="N13">
        <f t="shared" ca="1" si="4"/>
        <v>448</v>
      </c>
      <c r="O13" s="36">
        <f t="shared" ca="1" si="5"/>
        <v>448</v>
      </c>
      <c r="P13" s="37">
        <f t="shared" ca="1" si="5"/>
        <v>0</v>
      </c>
      <c r="Q13">
        <f>L13+Q12</f>
        <v>2000</v>
      </c>
      <c r="R13" s="25">
        <f>M13+R12</f>
        <v>2000</v>
      </c>
      <c r="S13">
        <f ca="1">INT(L13*N13/1000)+S12</f>
        <v>896</v>
      </c>
      <c r="T13">
        <f ca="1">INT(M13*N13/1000)+T12</f>
        <v>4006</v>
      </c>
      <c r="U13" s="1">
        <f ca="1">S13-R13</f>
        <v>-1104</v>
      </c>
      <c r="V13" s="1">
        <f ca="1">T13-Q13</f>
        <v>2006</v>
      </c>
      <c r="W13" s="1">
        <f t="shared" ca="1" si="6"/>
        <v>2006</v>
      </c>
      <c r="X13" s="1">
        <f ca="1">X12+(W13-W12)</f>
        <v>2006</v>
      </c>
      <c r="Y13" s="1">
        <f>SUM(L13:M13)+Y12</f>
        <v>8000</v>
      </c>
      <c r="Z13" s="1">
        <f>L13</f>
        <v>1000</v>
      </c>
      <c r="AA13" s="1">
        <v>0</v>
      </c>
      <c r="AB13" s="1">
        <v>0</v>
      </c>
      <c r="AC13" s="1">
        <v>0</v>
      </c>
    </row>
    <row r="14" spans="1:32" x14ac:dyDescent="0.25">
      <c r="A14">
        <f t="shared" si="0"/>
        <v>60606</v>
      </c>
      <c r="B14">
        <v>10</v>
      </c>
      <c r="C14" t="s">
        <v>11</v>
      </c>
      <c r="D14">
        <v>650</v>
      </c>
      <c r="E14" s="5">
        <v>1621266400</v>
      </c>
      <c r="F14">
        <f t="shared" si="1"/>
        <v>1406</v>
      </c>
      <c r="G14" s="36"/>
      <c r="H14" s="37"/>
      <c r="L14" s="36"/>
      <c r="M14" s="37"/>
      <c r="O14" s="36"/>
      <c r="P14" s="37"/>
      <c r="U14" s="1"/>
      <c r="V14" s="1"/>
      <c r="W14" s="1"/>
      <c r="X14" s="1"/>
      <c r="Y14" s="1"/>
      <c r="Z14" s="1"/>
      <c r="AA14" s="1"/>
      <c r="AB14" s="1"/>
      <c r="AC14" s="1"/>
    </row>
    <row r="15" spans="1:32" x14ac:dyDescent="0.25">
      <c r="A15">
        <f t="shared" si="0"/>
        <v>59241</v>
      </c>
      <c r="B15">
        <v>11</v>
      </c>
      <c r="C15" t="s">
        <v>12</v>
      </c>
      <c r="D15">
        <v>688</v>
      </c>
      <c r="E15" s="5">
        <v>1621266400</v>
      </c>
      <c r="F15">
        <f t="shared" si="1"/>
        <v>1330</v>
      </c>
      <c r="G15" s="36"/>
      <c r="H15" s="37"/>
      <c r="L15" s="36"/>
      <c r="M15" s="37"/>
      <c r="O15" s="36"/>
      <c r="P15" s="37"/>
      <c r="R15" s="21"/>
      <c r="U15" s="1"/>
      <c r="V15" s="1"/>
      <c r="W15" s="1" t="s">
        <v>40</v>
      </c>
      <c r="X15" s="1"/>
      <c r="Y15" s="1"/>
      <c r="Z15" s="1"/>
      <c r="AA15" s="1"/>
      <c r="AB15" s="1"/>
      <c r="AC15" s="1"/>
    </row>
    <row r="16" spans="1:32" x14ac:dyDescent="0.25">
      <c r="A16">
        <f t="shared" si="0"/>
        <v>50761</v>
      </c>
      <c r="B16">
        <v>12</v>
      </c>
      <c r="C16" t="s">
        <v>13</v>
      </c>
      <c r="D16">
        <v>970</v>
      </c>
      <c r="E16" s="5">
        <v>1621266400</v>
      </c>
      <c r="F16">
        <f t="shared" si="1"/>
        <v>948</v>
      </c>
      <c r="G16" s="36"/>
      <c r="H16" s="37"/>
      <c r="L16" s="36"/>
      <c r="M16" s="37"/>
      <c r="O16" s="36"/>
      <c r="P16" s="37"/>
      <c r="U16" s="1"/>
      <c r="V16" s="1"/>
      <c r="W16" s="1"/>
      <c r="X16" s="1"/>
      <c r="Y16" s="1"/>
      <c r="Z16" s="1"/>
      <c r="AA16" s="1"/>
      <c r="AB16" s="1"/>
      <c r="AC16" s="1"/>
    </row>
    <row r="17" spans="1:32" x14ac:dyDescent="0.25">
      <c r="A17">
        <f t="shared" si="0"/>
        <v>57803</v>
      </c>
      <c r="B17">
        <v>13</v>
      </c>
      <c r="C17" t="s">
        <v>14</v>
      </c>
      <c r="D17">
        <v>730</v>
      </c>
      <c r="E17" s="5">
        <v>1621266400</v>
      </c>
      <c r="F17">
        <f t="shared" si="1"/>
        <v>1256</v>
      </c>
      <c r="G17" s="34" t="s">
        <v>34</v>
      </c>
      <c r="H17" s="35" t="s">
        <v>35</v>
      </c>
      <c r="K17" s="2" t="s">
        <v>33</v>
      </c>
      <c r="L17" s="34" t="s">
        <v>34</v>
      </c>
      <c r="M17" s="35" t="s">
        <v>35</v>
      </c>
      <c r="N17" s="2" t="s">
        <v>28</v>
      </c>
      <c r="O17" s="34" t="s">
        <v>31</v>
      </c>
      <c r="P17" s="35" t="s">
        <v>32</v>
      </c>
      <c r="Q17" s="2" t="s">
        <v>29</v>
      </c>
      <c r="R17" s="2" t="s">
        <v>30</v>
      </c>
      <c r="S17" s="2" t="s">
        <v>31</v>
      </c>
      <c r="T17" s="2" t="s">
        <v>32</v>
      </c>
      <c r="U17" s="2" t="s">
        <v>36</v>
      </c>
      <c r="V17" s="2" t="s">
        <v>37</v>
      </c>
      <c r="W17" s="2" t="s">
        <v>38</v>
      </c>
      <c r="X17" s="2" t="s">
        <v>117</v>
      </c>
      <c r="Y17" s="2" t="s">
        <v>116</v>
      </c>
      <c r="Z17" s="1"/>
      <c r="AA17" s="2"/>
      <c r="AB17" s="1"/>
      <c r="AC17" s="2"/>
      <c r="AE17" s="2"/>
      <c r="AF17" s="2"/>
    </row>
    <row r="18" spans="1:32" x14ac:dyDescent="0.25">
      <c r="A18">
        <f t="shared" si="0"/>
        <v>58858</v>
      </c>
      <c r="B18">
        <v>14</v>
      </c>
      <c r="C18" t="s">
        <v>15</v>
      </c>
      <c r="D18">
        <v>699</v>
      </c>
      <c r="E18" s="5">
        <v>1621266400</v>
      </c>
      <c r="F18">
        <f t="shared" si="1"/>
        <v>1310</v>
      </c>
      <c r="G18" s="39">
        <v>1000</v>
      </c>
      <c r="H18" s="37">
        <v>0</v>
      </c>
      <c r="I18">
        <v>2</v>
      </c>
      <c r="J18">
        <v>2</v>
      </c>
      <c r="K18">
        <v>2</v>
      </c>
      <c r="L18" s="39">
        <v>1000</v>
      </c>
      <c r="M18" s="37">
        <v>0</v>
      </c>
      <c r="N18">
        <f ca="1">OFFSET(IF(L18&gt;0,D$4,F$4),K18,0)</f>
        <v>500</v>
      </c>
      <c r="O18" s="36">
        <f ca="1">INT($N18*L18/1000)</f>
        <v>500</v>
      </c>
      <c r="P18" s="37">
        <f ca="1">INT($N18*M18/1000)</f>
        <v>0</v>
      </c>
      <c r="Q18">
        <f>L18</f>
        <v>1000</v>
      </c>
      <c r="R18">
        <f>M18</f>
        <v>0</v>
      </c>
      <c r="S18">
        <f ca="1">INT(L18*N18/1000)</f>
        <v>500</v>
      </c>
      <c r="T18">
        <f ca="1">INT(M18*N18/1000)</f>
        <v>0</v>
      </c>
      <c r="U18" s="1">
        <f ca="1">S18-R18</f>
        <v>500</v>
      </c>
      <c r="V18" s="1">
        <f ca="1">T18-Q18</f>
        <v>-1000</v>
      </c>
      <c r="W18" s="1">
        <f ca="1">MAX(0,U18:V18)</f>
        <v>500</v>
      </c>
      <c r="X18" s="1">
        <f ca="1">W18+X13</f>
        <v>2506</v>
      </c>
      <c r="Y18" s="1">
        <f>SUM(L18:M18)+Y13</f>
        <v>9000</v>
      </c>
      <c r="Z18" s="1">
        <f>L18</f>
        <v>1000</v>
      </c>
      <c r="AA18" s="1">
        <v>0</v>
      </c>
      <c r="AB18" s="1">
        <f ca="1">L18+INT(O18)</f>
        <v>1500</v>
      </c>
      <c r="AC18" s="1">
        <v>0</v>
      </c>
    </row>
    <row r="19" spans="1:32" x14ac:dyDescent="0.25">
      <c r="A19">
        <f t="shared" si="0"/>
        <v>53078</v>
      </c>
      <c r="B19">
        <v>15</v>
      </c>
      <c r="C19" t="s">
        <v>16</v>
      </c>
      <c r="D19">
        <v>884</v>
      </c>
      <c r="E19" s="5">
        <v>1621266400</v>
      </c>
      <c r="F19">
        <f t="shared" si="1"/>
        <v>1040</v>
      </c>
      <c r="G19" s="36">
        <v>0</v>
      </c>
      <c r="H19" s="37">
        <v>2000</v>
      </c>
      <c r="I19">
        <v>3</v>
      </c>
      <c r="J19">
        <v>2</v>
      </c>
      <c r="K19">
        <v>2</v>
      </c>
      <c r="L19" s="36">
        <v>0</v>
      </c>
      <c r="M19" s="37">
        <v>2000</v>
      </c>
      <c r="N19">
        <f t="shared" ref="N19:N20" ca="1" si="7">OFFSET(IF(L19&gt;0,D$4,F$4),K19,0)</f>
        <v>1807</v>
      </c>
      <c r="O19" s="36">
        <f t="shared" ref="O19:P20" ca="1" si="8">INT($N19*L19/1000)</f>
        <v>0</v>
      </c>
      <c r="P19" s="37">
        <f t="shared" ca="1" si="8"/>
        <v>3614</v>
      </c>
      <c r="Q19">
        <f>L19+Q18</f>
        <v>1000</v>
      </c>
      <c r="R19">
        <f>M19+R18</f>
        <v>2000</v>
      </c>
      <c r="S19">
        <f ca="1">INT(L19*N19/1000)+S18</f>
        <v>500</v>
      </c>
      <c r="T19">
        <f ca="1">INT(M19*N19/1000)+T18</f>
        <v>3614</v>
      </c>
      <c r="U19" s="1">
        <f ca="1">S19-R19</f>
        <v>-1500</v>
      </c>
      <c r="V19" s="1">
        <f ca="1">T19-Q19</f>
        <v>2614</v>
      </c>
      <c r="W19" s="1">
        <f t="shared" ref="W19" ca="1" si="9">MAX(0,U19:V19)</f>
        <v>2614</v>
      </c>
      <c r="X19" s="1">
        <f ca="1">X18+(W19-W18)</f>
        <v>4620</v>
      </c>
      <c r="Y19" s="1">
        <f>SUM(L19:M19)+Y18</f>
        <v>11000</v>
      </c>
      <c r="Z19" s="1">
        <v>0</v>
      </c>
      <c r="AA19" s="1">
        <f>M19</f>
        <v>2000</v>
      </c>
      <c r="AB19" s="1">
        <v>0</v>
      </c>
      <c r="AC19" s="1">
        <v>0</v>
      </c>
    </row>
    <row r="20" spans="1:32" x14ac:dyDescent="0.25">
      <c r="A20">
        <f t="shared" si="0"/>
        <v>65789</v>
      </c>
      <c r="B20">
        <v>16</v>
      </c>
      <c r="C20" t="s">
        <v>17</v>
      </c>
      <c r="D20">
        <v>520</v>
      </c>
      <c r="E20" s="5">
        <v>1621266400</v>
      </c>
      <c r="F20">
        <f t="shared" si="1"/>
        <v>1741</v>
      </c>
      <c r="G20" s="39">
        <v>1000</v>
      </c>
      <c r="H20" s="37">
        <v>0</v>
      </c>
      <c r="I20">
        <v>2</v>
      </c>
      <c r="J20">
        <v>2</v>
      </c>
      <c r="K20">
        <v>2</v>
      </c>
      <c r="L20" s="39">
        <v>1000</v>
      </c>
      <c r="M20" s="37">
        <v>0</v>
      </c>
      <c r="N20">
        <f t="shared" ca="1" si="7"/>
        <v>500</v>
      </c>
      <c r="O20" s="36">
        <f t="shared" ca="1" si="8"/>
        <v>500</v>
      </c>
      <c r="P20" s="37">
        <f t="shared" ca="1" si="8"/>
        <v>0</v>
      </c>
      <c r="Q20" s="25">
        <f>L20+Q19</f>
        <v>2000</v>
      </c>
      <c r="R20">
        <f>M20+R19</f>
        <v>2000</v>
      </c>
      <c r="S20">
        <f ca="1">INT(L20*N20/1000)+S19</f>
        <v>1000</v>
      </c>
      <c r="T20">
        <f ca="1">INT(M20*N20/1000)+T19</f>
        <v>3614</v>
      </c>
      <c r="U20" s="1">
        <f ca="1">S20-R20</f>
        <v>-1000</v>
      </c>
      <c r="V20" s="1">
        <f ca="1">T20-Q20</f>
        <v>1614</v>
      </c>
      <c r="W20" s="1">
        <f ca="1">MAX(0,U20:V20)</f>
        <v>1614</v>
      </c>
      <c r="X20" s="1">
        <f ca="1">X19+(W20-W19)</f>
        <v>3620</v>
      </c>
      <c r="Y20" s="1">
        <f>SUM(L20:M20)+Y19</f>
        <v>12000</v>
      </c>
      <c r="Z20" s="1">
        <f>L20</f>
        <v>1000</v>
      </c>
      <c r="AA20" s="1">
        <v>0</v>
      </c>
      <c r="AB20" s="1">
        <f ca="1">L20+INT(O20)</f>
        <v>1500</v>
      </c>
      <c r="AC20" s="1">
        <v>0</v>
      </c>
    </row>
    <row r="21" spans="1:32" x14ac:dyDescent="0.25">
      <c r="A21">
        <f t="shared" si="0"/>
        <v>52603</v>
      </c>
      <c r="B21">
        <v>17</v>
      </c>
      <c r="C21" t="s">
        <v>18</v>
      </c>
      <c r="D21">
        <v>901</v>
      </c>
      <c r="E21" s="5">
        <v>1621266400</v>
      </c>
      <c r="F21">
        <f t="shared" si="1"/>
        <v>1020</v>
      </c>
      <c r="G21" s="36"/>
      <c r="H21" s="37"/>
      <c r="L21" s="36"/>
      <c r="M21" s="37"/>
      <c r="O21" s="36"/>
      <c r="P21" s="37"/>
      <c r="U21" s="1"/>
      <c r="V21" s="1"/>
      <c r="W21" s="1"/>
      <c r="X21" s="1">
        <f ca="1">X20-X13</f>
        <v>1614</v>
      </c>
      <c r="Y21" s="1"/>
      <c r="Z21" s="1"/>
      <c r="AA21" s="1"/>
      <c r="AB21" s="1"/>
      <c r="AC21" s="1"/>
    </row>
    <row r="22" spans="1:32" x14ac:dyDescent="0.25">
      <c r="A22">
        <f t="shared" si="0"/>
        <v>61728</v>
      </c>
      <c r="B22">
        <v>18</v>
      </c>
      <c r="C22" t="s">
        <v>19</v>
      </c>
      <c r="D22">
        <v>620</v>
      </c>
      <c r="E22" s="5">
        <v>1621266400</v>
      </c>
      <c r="F22">
        <f t="shared" si="1"/>
        <v>1471</v>
      </c>
      <c r="G22" s="36"/>
      <c r="H22" s="37"/>
      <c r="L22" s="36"/>
      <c r="M22" s="37"/>
      <c r="O22" s="36"/>
      <c r="P22" s="37"/>
      <c r="T22" s="21"/>
      <c r="U22" s="1"/>
      <c r="V22" s="1"/>
      <c r="W22" s="1"/>
      <c r="X22" s="1"/>
      <c r="Y22" s="1"/>
      <c r="Z22" s="1"/>
      <c r="AA22" s="1"/>
      <c r="AB22" s="1"/>
      <c r="AC22" s="1"/>
    </row>
    <row r="23" spans="1:32" x14ac:dyDescent="0.25">
      <c r="A23">
        <f t="shared" si="0"/>
        <v>56689</v>
      </c>
      <c r="B23">
        <v>19</v>
      </c>
      <c r="C23" t="s">
        <v>20</v>
      </c>
      <c r="D23">
        <v>764</v>
      </c>
      <c r="E23" s="5">
        <v>1621266400</v>
      </c>
      <c r="F23">
        <f t="shared" si="1"/>
        <v>1201</v>
      </c>
      <c r="G23" s="36"/>
      <c r="H23" s="37"/>
      <c r="L23" s="36"/>
      <c r="M23" s="37"/>
      <c r="O23" s="36"/>
      <c r="P23" s="37"/>
      <c r="U23" s="1"/>
      <c r="V23" s="1"/>
      <c r="W23" s="2"/>
      <c r="X23" s="1"/>
      <c r="Y23" s="1"/>
      <c r="Z23" s="1"/>
      <c r="AA23" s="1"/>
      <c r="AB23" s="1"/>
      <c r="AC23" s="1"/>
    </row>
    <row r="24" spans="1:32" x14ac:dyDescent="0.25">
      <c r="A24">
        <f t="shared" si="0"/>
        <v>54024</v>
      </c>
      <c r="B24">
        <v>20</v>
      </c>
      <c r="C24" t="s">
        <v>21</v>
      </c>
      <c r="D24">
        <v>851</v>
      </c>
      <c r="E24" s="5">
        <v>1621266400</v>
      </c>
      <c r="F24">
        <f t="shared" si="1"/>
        <v>1080</v>
      </c>
      <c r="G24" s="34" t="s">
        <v>34</v>
      </c>
      <c r="H24" s="35" t="s">
        <v>35</v>
      </c>
      <c r="K24" s="2" t="s">
        <v>33</v>
      </c>
      <c r="L24" s="34" t="s">
        <v>34</v>
      </c>
      <c r="M24" s="35" t="s">
        <v>35</v>
      </c>
      <c r="N24" s="2" t="s">
        <v>28</v>
      </c>
      <c r="O24" s="34" t="s">
        <v>31</v>
      </c>
      <c r="P24" s="35" t="s">
        <v>32</v>
      </c>
      <c r="Q24" s="2" t="s">
        <v>29</v>
      </c>
      <c r="R24" s="2" t="s">
        <v>30</v>
      </c>
      <c r="S24" s="2" t="s">
        <v>31</v>
      </c>
      <c r="T24" s="2" t="s">
        <v>32</v>
      </c>
      <c r="U24" s="2" t="s">
        <v>36</v>
      </c>
      <c r="V24" s="2" t="s">
        <v>37</v>
      </c>
      <c r="W24" s="2" t="s">
        <v>38</v>
      </c>
      <c r="X24" s="2" t="s">
        <v>117</v>
      </c>
      <c r="Y24" s="2" t="s">
        <v>116</v>
      </c>
      <c r="Z24" s="1"/>
      <c r="AA24" s="2"/>
      <c r="AB24" s="1"/>
      <c r="AC24" s="2"/>
      <c r="AE24" s="2"/>
      <c r="AF24" s="2"/>
    </row>
    <row r="25" spans="1:32" x14ac:dyDescent="0.25">
      <c r="A25">
        <f t="shared" si="0"/>
        <v>54945</v>
      </c>
      <c r="B25">
        <v>21</v>
      </c>
      <c r="C25" t="s">
        <v>102</v>
      </c>
      <c r="D25">
        <v>820</v>
      </c>
      <c r="E25" s="5">
        <v>1621266400</v>
      </c>
      <c r="F25">
        <f t="shared" si="1"/>
        <v>1120</v>
      </c>
      <c r="G25" s="39">
        <v>1000</v>
      </c>
      <c r="H25" s="37"/>
      <c r="I25">
        <v>2</v>
      </c>
      <c r="J25">
        <v>1</v>
      </c>
      <c r="K25">
        <v>3</v>
      </c>
      <c r="L25" s="39">
        <v>1000</v>
      </c>
      <c r="M25" s="37"/>
      <c r="N25">
        <f ca="1">OFFSET(IF(L25&gt;0,D$4,F$4),K25,0)</f>
        <v>919</v>
      </c>
      <c r="O25" s="36">
        <f ca="1">INT($N25*L25/1000)</f>
        <v>919</v>
      </c>
      <c r="P25" s="37">
        <f ca="1">INT($N25*M25/1000)</f>
        <v>0</v>
      </c>
      <c r="Q25">
        <f>L25</f>
        <v>1000</v>
      </c>
      <c r="R25">
        <f>M25</f>
        <v>0</v>
      </c>
      <c r="S25">
        <f ca="1">INT(L25*N25/1000)</f>
        <v>919</v>
      </c>
      <c r="T25">
        <f ca="1">INT(M25*N25/1000)</f>
        <v>0</v>
      </c>
      <c r="U25" s="1">
        <f ca="1">S25-R25</f>
        <v>919</v>
      </c>
      <c r="V25" s="1">
        <f ca="1">T25-Q25</f>
        <v>-1000</v>
      </c>
      <c r="W25" s="1">
        <f ca="1">MAX(0,U25:V25)</f>
        <v>919</v>
      </c>
      <c r="X25" s="1">
        <f ca="1">W25+X20</f>
        <v>4539</v>
      </c>
      <c r="Y25" s="1">
        <f>SUM(L25:M25)+Y20</f>
        <v>13000</v>
      </c>
      <c r="Z25" s="1">
        <f>L25</f>
        <v>1000</v>
      </c>
      <c r="AA25" s="1">
        <v>0</v>
      </c>
      <c r="AB25" s="1">
        <f t="shared" ref="AB25:AC27" si="10">L25</f>
        <v>1000</v>
      </c>
      <c r="AC25" s="1">
        <f t="shared" si="10"/>
        <v>0</v>
      </c>
    </row>
    <row r="26" spans="1:32" x14ac:dyDescent="0.25">
      <c r="A26">
        <f t="shared" si="0"/>
        <v>56497</v>
      </c>
      <c r="B26">
        <v>22</v>
      </c>
      <c r="C26" t="s">
        <v>103</v>
      </c>
      <c r="D26">
        <v>770</v>
      </c>
      <c r="E26" s="5">
        <v>1621266400</v>
      </c>
      <c r="F26">
        <f t="shared" si="1"/>
        <v>1192</v>
      </c>
      <c r="G26" s="39">
        <v>1000</v>
      </c>
      <c r="H26" s="37"/>
      <c r="I26">
        <v>2</v>
      </c>
      <c r="J26">
        <v>1</v>
      </c>
      <c r="K26">
        <v>3</v>
      </c>
      <c r="L26" s="39">
        <v>1000</v>
      </c>
      <c r="M26" s="37"/>
      <c r="N26">
        <f t="shared" ref="N26" ca="1" si="11">OFFSET(IF(L26&gt;0,D$4,F$4),K26,0)</f>
        <v>919</v>
      </c>
      <c r="O26" s="36">
        <f t="shared" ref="O26:P27" ca="1" si="12">INT($N26*L26/1000)</f>
        <v>919</v>
      </c>
      <c r="P26" s="37">
        <f t="shared" ca="1" si="12"/>
        <v>0</v>
      </c>
      <c r="Q26">
        <f>L26+Q25</f>
        <v>2000</v>
      </c>
      <c r="R26">
        <f>M26+R25</f>
        <v>0</v>
      </c>
      <c r="S26">
        <f ca="1">INT(L26*N26/1000)+S25</f>
        <v>1838</v>
      </c>
      <c r="T26">
        <f ca="1">INT(M26*N26/1000)+T25</f>
        <v>0</v>
      </c>
      <c r="U26" s="1">
        <f ca="1">S26-R26</f>
        <v>1838</v>
      </c>
      <c r="V26" s="1">
        <f ca="1">T26-Q26</f>
        <v>-2000</v>
      </c>
      <c r="W26" s="1">
        <f t="shared" ref="W26" ca="1" si="13">MAX(0,U26:V26)</f>
        <v>1838</v>
      </c>
      <c r="X26" s="1">
        <f ca="1">X25+(W26-W25)</f>
        <v>5458</v>
      </c>
      <c r="Y26" s="1">
        <f>SUM(L26:M26)+Y25</f>
        <v>14000</v>
      </c>
      <c r="Z26" s="1">
        <v>100</v>
      </c>
      <c r="AA26" s="1">
        <f>M26</f>
        <v>0</v>
      </c>
      <c r="AB26" s="1">
        <f t="shared" si="10"/>
        <v>1000</v>
      </c>
      <c r="AC26" s="1">
        <f t="shared" si="10"/>
        <v>0</v>
      </c>
    </row>
    <row r="27" spans="1:32" ht="15.75" thickBot="1" x14ac:dyDescent="0.3">
      <c r="A27">
        <f t="shared" si="0"/>
        <v>55865</v>
      </c>
      <c r="B27">
        <v>23</v>
      </c>
      <c r="C27" t="s">
        <v>104</v>
      </c>
      <c r="D27">
        <v>790</v>
      </c>
      <c r="E27" s="5">
        <v>1621266400</v>
      </c>
      <c r="F27">
        <f t="shared" si="1"/>
        <v>1162</v>
      </c>
      <c r="G27" s="40"/>
      <c r="H27" s="41">
        <v>1000</v>
      </c>
      <c r="I27">
        <v>3</v>
      </c>
      <c r="J27">
        <v>1</v>
      </c>
      <c r="K27">
        <v>3</v>
      </c>
      <c r="L27" s="40"/>
      <c r="M27" s="41">
        <v>1000</v>
      </c>
      <c r="N27">
        <f ca="1">OFFSET(IF(L27&gt;0,D$4,F$4),K27,0)</f>
        <v>1000</v>
      </c>
      <c r="O27" s="40">
        <f t="shared" ca="1" si="12"/>
        <v>0</v>
      </c>
      <c r="P27" s="42">
        <f t="shared" ca="1" si="12"/>
        <v>1000</v>
      </c>
      <c r="Q27" s="26">
        <f>L27+Q26</f>
        <v>2000</v>
      </c>
      <c r="R27" s="26">
        <f>M27+R26</f>
        <v>1000</v>
      </c>
      <c r="S27">
        <f ca="1">INT(L27*N27/1000)+S26</f>
        <v>1838</v>
      </c>
      <c r="T27">
        <f ca="1">INT(M27*N27/1000)+T26</f>
        <v>1000</v>
      </c>
      <c r="U27" s="1">
        <f ca="1">S27-R27</f>
        <v>838</v>
      </c>
      <c r="V27" s="1">
        <f ca="1">T27-Q27</f>
        <v>-1000</v>
      </c>
      <c r="W27" s="1">
        <f ca="1">MAX(0,U27:V27)</f>
        <v>838</v>
      </c>
      <c r="X27" s="1">
        <f ca="1">X26+(W27-W26)</f>
        <v>4458</v>
      </c>
      <c r="Y27" s="1">
        <f>SUM(L27:M27)+Y26</f>
        <v>15000</v>
      </c>
      <c r="Z27" s="1">
        <f>L27</f>
        <v>0</v>
      </c>
      <c r="AA27" s="1">
        <f>M27</f>
        <v>1000</v>
      </c>
      <c r="AB27" s="1">
        <f t="shared" si="10"/>
        <v>0</v>
      </c>
      <c r="AC27" s="1">
        <f t="shared" si="10"/>
        <v>1000</v>
      </c>
    </row>
    <row r="28" spans="1:32" x14ac:dyDescent="0.25">
      <c r="A28">
        <f t="shared" si="0"/>
        <v>57803</v>
      </c>
      <c r="B28">
        <v>24</v>
      </c>
      <c r="C28" t="s">
        <v>105</v>
      </c>
      <c r="D28">
        <v>730</v>
      </c>
      <c r="E28" s="5">
        <v>1621266400</v>
      </c>
      <c r="F28">
        <f t="shared" si="1"/>
        <v>1256</v>
      </c>
      <c r="U28" s="1"/>
      <c r="V28" s="1"/>
      <c r="W28" s="1"/>
      <c r="X28" s="1"/>
      <c r="Y28" s="1"/>
      <c r="AA28" s="6"/>
      <c r="AC28" s="6"/>
    </row>
    <row r="29" spans="1:32" x14ac:dyDescent="0.25">
      <c r="A29">
        <f t="shared" si="0"/>
        <v>59171</v>
      </c>
      <c r="B29">
        <v>25</v>
      </c>
      <c r="C29" t="s">
        <v>106</v>
      </c>
      <c r="D29">
        <v>690</v>
      </c>
      <c r="E29" s="5">
        <v>1621266400</v>
      </c>
      <c r="F29">
        <f t="shared" si="1"/>
        <v>1326</v>
      </c>
      <c r="V29" t="s">
        <v>82</v>
      </c>
      <c r="X29" s="6"/>
      <c r="Y29" s="1"/>
      <c r="Z29" s="1">
        <f>SUM(Z4:Z27)</f>
        <v>7100</v>
      </c>
      <c r="AA29" s="1">
        <f>SUM(AA4:AA27)</f>
        <v>7000</v>
      </c>
      <c r="AB29" s="1">
        <f ca="1">SUM(AB4:AB27)</f>
        <v>5000</v>
      </c>
      <c r="AC29" s="1">
        <f ca="1">SUM(AC4:AC27)</f>
        <v>10846</v>
      </c>
    </row>
    <row r="30" spans="1:32" x14ac:dyDescent="0.25">
      <c r="A30">
        <f t="shared" si="0"/>
        <v>50761</v>
      </c>
      <c r="B30">
        <v>26</v>
      </c>
      <c r="C30" t="s">
        <v>22</v>
      </c>
      <c r="D30">
        <v>970</v>
      </c>
      <c r="E30" s="5">
        <v>1621266400</v>
      </c>
      <c r="F30">
        <f t="shared" si="1"/>
        <v>948</v>
      </c>
      <c r="L30" s="4"/>
      <c r="R30" t="s">
        <v>136</v>
      </c>
      <c r="V30" s="2" t="s">
        <v>33</v>
      </c>
      <c r="W30" s="2" t="s">
        <v>83</v>
      </c>
      <c r="X30" s="6"/>
      <c r="Y30" s="6"/>
      <c r="Z30" s="6"/>
      <c r="AA30" s="6"/>
      <c r="AB30" s="6"/>
    </row>
    <row r="31" spans="1:32" x14ac:dyDescent="0.25">
      <c r="A31">
        <f t="shared" si="0"/>
        <v>56818</v>
      </c>
      <c r="B31">
        <v>27</v>
      </c>
      <c r="C31" t="s">
        <v>23</v>
      </c>
      <c r="D31">
        <v>760</v>
      </c>
      <c r="E31" s="5">
        <v>1621266400</v>
      </c>
      <c r="F31">
        <f t="shared" si="1"/>
        <v>1207</v>
      </c>
      <c r="L31" s="4"/>
      <c r="M31" s="2"/>
      <c r="N31" s="2"/>
      <c r="O31" s="2"/>
      <c r="P31" s="2"/>
      <c r="Q31" s="2"/>
      <c r="R31" t="s">
        <v>134</v>
      </c>
      <c r="S31" s="7">
        <v>10000</v>
      </c>
      <c r="T31" s="7"/>
      <c r="U31" s="7"/>
      <c r="V31" s="2">
        <v>0</v>
      </c>
      <c r="W31">
        <v>0</v>
      </c>
      <c r="Z31" s="4">
        <f>Z29+AA29</f>
        <v>14100</v>
      </c>
      <c r="AA31" s="4"/>
      <c r="AB31" s="4">
        <f ca="1">AB29+AC29</f>
        <v>15846</v>
      </c>
      <c r="AE31" s="2"/>
      <c r="AF31" s="2"/>
    </row>
    <row r="32" spans="1:32" x14ac:dyDescent="0.25">
      <c r="A32">
        <f t="shared" si="0"/>
        <v>52110</v>
      </c>
      <c r="B32">
        <v>28</v>
      </c>
      <c r="C32" t="s">
        <v>24</v>
      </c>
      <c r="D32">
        <v>919</v>
      </c>
      <c r="E32" s="5">
        <v>1621266400</v>
      </c>
      <c r="F32">
        <f t="shared" si="1"/>
        <v>1000</v>
      </c>
      <c r="N32" s="1"/>
      <c r="O32" s="1"/>
      <c r="P32" s="1"/>
      <c r="Q32" s="1"/>
      <c r="R32" t="s">
        <v>135</v>
      </c>
      <c r="S32" s="6">
        <v>10000</v>
      </c>
      <c r="T32" s="6"/>
      <c r="U32" s="6"/>
      <c r="V32" s="2">
        <v>1</v>
      </c>
      <c r="W32">
        <v>0</v>
      </c>
      <c r="Z32" s="4"/>
      <c r="AA32" s="4"/>
      <c r="AB32" s="4"/>
    </row>
    <row r="33" spans="1:29" x14ac:dyDescent="0.25">
      <c r="A33">
        <f t="shared" si="0"/>
        <v>58139</v>
      </c>
      <c r="B33">
        <v>29</v>
      </c>
      <c r="C33" t="s">
        <v>25</v>
      </c>
      <c r="D33">
        <v>720</v>
      </c>
      <c r="E33" s="5">
        <v>1621266400</v>
      </c>
      <c r="F33">
        <f t="shared" si="1"/>
        <v>1273</v>
      </c>
      <c r="N33" s="1"/>
      <c r="O33" s="1"/>
      <c r="P33" s="1"/>
      <c r="Q33" s="1"/>
      <c r="R33" s="1"/>
      <c r="U33" s="6"/>
      <c r="V33" s="2">
        <v>2</v>
      </c>
      <c r="W33" s="2" t="s">
        <v>84</v>
      </c>
      <c r="AB33" s="6"/>
    </row>
    <row r="34" spans="1:29" x14ac:dyDescent="0.25">
      <c r="A34">
        <f t="shared" si="0"/>
        <v>59808</v>
      </c>
      <c r="B34">
        <v>30</v>
      </c>
      <c r="C34" t="s">
        <v>26</v>
      </c>
      <c r="D34">
        <v>672</v>
      </c>
      <c r="E34" s="5">
        <v>1621266400</v>
      </c>
      <c r="F34">
        <f t="shared" si="1"/>
        <v>1361</v>
      </c>
      <c r="N34" s="1"/>
      <c r="O34" s="1"/>
      <c r="P34" s="1"/>
      <c r="Q34" s="1"/>
      <c r="S34" s="6"/>
      <c r="T34" s="6"/>
      <c r="U34" s="6"/>
      <c r="V34" s="2">
        <v>3</v>
      </c>
      <c r="W34" s="2">
        <v>1</v>
      </c>
      <c r="AB34" s="6"/>
    </row>
    <row r="35" spans="1:29" ht="15.75" thickBot="1" x14ac:dyDescent="0.3">
      <c r="A35">
        <f t="shared" si="0"/>
        <v>55555</v>
      </c>
      <c r="B35">
        <v>31</v>
      </c>
      <c r="C35" t="s">
        <v>27</v>
      </c>
      <c r="D35">
        <v>800</v>
      </c>
      <c r="E35" s="5">
        <v>1621266400</v>
      </c>
      <c r="F35">
        <f t="shared" si="1"/>
        <v>1148</v>
      </c>
      <c r="N35" s="1"/>
      <c r="O35" s="1"/>
      <c r="P35" s="1"/>
      <c r="Q35" s="1"/>
      <c r="S35" t="s">
        <v>124</v>
      </c>
      <c r="T35" s="2" t="s">
        <v>46</v>
      </c>
      <c r="U35" s="2" t="s">
        <v>47</v>
      </c>
      <c r="AB35" s="6"/>
    </row>
    <row r="36" spans="1:29" x14ac:dyDescent="0.25">
      <c r="N36" s="1"/>
      <c r="O36" s="1"/>
      <c r="P36" s="1"/>
      <c r="Q36" s="1"/>
      <c r="R36" s="1" t="s">
        <v>119</v>
      </c>
      <c r="S36" s="91">
        <v>30000</v>
      </c>
      <c r="T36" s="43">
        <v>30000</v>
      </c>
      <c r="U36" s="125">
        <f ca="1">T36+T38-N38</f>
        <v>32106</v>
      </c>
      <c r="V36" t="s">
        <v>48</v>
      </c>
    </row>
    <row r="37" spans="1:29" x14ac:dyDescent="0.25">
      <c r="O37" s="1"/>
      <c r="P37" s="1"/>
      <c r="Q37" s="1"/>
      <c r="R37" s="1" t="s">
        <v>117</v>
      </c>
      <c r="S37" s="92">
        <f ca="1">W27+W20+W13</f>
        <v>4458</v>
      </c>
      <c r="T37" s="45">
        <f ca="1">X27</f>
        <v>4458</v>
      </c>
      <c r="U37" s="46">
        <v>0</v>
      </c>
      <c r="V37" t="s">
        <v>89</v>
      </c>
      <c r="AB37" s="7"/>
      <c r="AC37" s="7"/>
    </row>
    <row r="38" spans="1:29" x14ac:dyDescent="0.25">
      <c r="M38" s="12" t="s">
        <v>172</v>
      </c>
      <c r="N38" s="4">
        <f ca="1">$Q$6+$S$6+$Q$13+$S$13+$Q$20+R20+T27+$R$27</f>
        <v>12894</v>
      </c>
      <c r="P38" s="4"/>
      <c r="Q38" s="1"/>
      <c r="R38" s="1" t="s">
        <v>116</v>
      </c>
      <c r="S38" s="93">
        <f>SUM(L4:M27)</f>
        <v>15000</v>
      </c>
      <c r="T38" s="45">
        <f>SUM(L4:M28)</f>
        <v>15000</v>
      </c>
      <c r="U38" s="46">
        <v>0</v>
      </c>
      <c r="V38" t="s">
        <v>89</v>
      </c>
      <c r="AB38" s="6"/>
      <c r="AC38" s="6"/>
    </row>
    <row r="39" spans="1:29" x14ac:dyDescent="0.25">
      <c r="D39" s="1"/>
      <c r="M39" s="12" t="s">
        <v>171</v>
      </c>
      <c r="N39" s="4">
        <f ca="1">+$S$6+$S$13+T27</f>
        <v>3894</v>
      </c>
      <c r="O39" s="1"/>
      <c r="P39" s="1"/>
      <c r="Q39" s="1"/>
      <c r="R39" s="1" t="s">
        <v>88</v>
      </c>
      <c r="S39" s="123">
        <v>0</v>
      </c>
      <c r="T39" s="119">
        <v>0</v>
      </c>
      <c r="U39" s="120">
        <f ca="1">(S6+S13+T27)*0.05/10</f>
        <v>19.470000000000002</v>
      </c>
      <c r="AC39" s="6"/>
    </row>
    <row r="40" spans="1:29" ht="15.75" thickBot="1" x14ac:dyDescent="0.3">
      <c r="M40" s="12" t="s">
        <v>41</v>
      </c>
      <c r="N40" s="8">
        <f ca="1">0.05*N39</f>
        <v>194.70000000000002</v>
      </c>
      <c r="O40" s="1"/>
      <c r="P40" s="1"/>
      <c r="Q40" s="1"/>
      <c r="R40" s="1" t="s">
        <v>127</v>
      </c>
      <c r="S40" s="124"/>
      <c r="T40" s="121">
        <v>5000</v>
      </c>
      <c r="U40" s="122">
        <f ca="1">T40-N40/10</f>
        <v>4980.53</v>
      </c>
      <c r="AB40" s="6"/>
      <c r="AC40" s="6"/>
    </row>
    <row r="41" spans="1:29" x14ac:dyDescent="0.25">
      <c r="N41" s="16">
        <f ca="1">N39+N40</f>
        <v>4088.7</v>
      </c>
      <c r="P41" s="27"/>
      <c r="Q41" s="1"/>
      <c r="R41" s="1" t="s">
        <v>130</v>
      </c>
      <c r="U41" s="3">
        <f ca="1">INT(0.95*(O4))+INT(0.95*O6)+INT(0.95*O11)+INT(0.95*O13)-L25-L26+S31</f>
        <v>10748</v>
      </c>
    </row>
    <row r="42" spans="1:29" x14ac:dyDescent="0.25">
      <c r="E42" s="31"/>
      <c r="R42" s="1" t="s">
        <v>173</v>
      </c>
      <c r="U42" s="4">
        <f ca="1">(P27)*0.95-M5-M12+S32</f>
        <v>6950</v>
      </c>
    </row>
    <row r="43" spans="1:29" x14ac:dyDescent="0.25">
      <c r="E43" s="30"/>
      <c r="U43" s="54"/>
    </row>
    <row r="45" spans="1:29" x14ac:dyDescent="0.25">
      <c r="D45" s="4"/>
      <c r="U45" s="16"/>
    </row>
    <row r="47" spans="1:29" x14ac:dyDescent="0.25">
      <c r="E47" s="28"/>
    </row>
    <row r="48" spans="1:29" x14ac:dyDescent="0.25">
      <c r="E48" s="28"/>
    </row>
    <row r="49" spans="5:5" x14ac:dyDescent="0.25">
      <c r="E49" s="28"/>
    </row>
  </sheetData>
  <mergeCells count="2">
    <mergeCell ref="Z2:AA2"/>
    <mergeCell ref="AB2:AC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8E9D9-AC16-4689-B9CF-A5C6333B8159}">
  <sheetPr codeName="Sheet13"/>
  <dimension ref="A1:AF49"/>
  <sheetViews>
    <sheetView zoomScale="75" zoomScaleNormal="75" workbookViewId="0">
      <selection activeCell="G1" sqref="G1:H30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8" width="9.140625" customWidth="1"/>
    <col min="12" max="12" width="13" customWidth="1"/>
    <col min="14" max="16" width="13.28515625" customWidth="1"/>
    <col min="17" max="17" width="16.7109375" customWidth="1"/>
    <col min="18" max="18" width="13.28515625" customWidth="1"/>
    <col min="19" max="19" width="26.7109375" customWidth="1"/>
    <col min="20" max="20" width="11.140625" customWidth="1"/>
    <col min="21" max="21" width="16.5703125" customWidth="1"/>
    <col min="22" max="23" width="15" customWidth="1"/>
    <col min="24" max="24" width="17.140625" customWidth="1"/>
    <col min="25" max="25" width="14.85546875" customWidth="1"/>
    <col min="26" max="26" width="14.7109375" customWidth="1"/>
    <col min="27" max="27" width="13.42578125" customWidth="1"/>
    <col min="28" max="28" width="14.7109375" customWidth="1"/>
    <col min="29" max="29" width="11" customWidth="1"/>
    <col min="31" max="33" width="10.28515625" bestFit="1" customWidth="1"/>
    <col min="34" max="36" width="11.42578125" customWidth="1"/>
    <col min="37" max="42" width="12" customWidth="1"/>
    <col min="43" max="43" width="12" bestFit="1" customWidth="1"/>
    <col min="44" max="44" width="12.5703125" bestFit="1" customWidth="1"/>
    <col min="45" max="45" width="11.42578125" customWidth="1"/>
    <col min="51" max="51" width="12" bestFit="1" customWidth="1"/>
    <col min="53" max="53" width="10.5703125" bestFit="1" customWidth="1"/>
    <col min="59" max="59" width="12" bestFit="1" customWidth="1"/>
    <col min="61" max="61" width="10.5703125" bestFit="1" customWidth="1"/>
  </cols>
  <sheetData>
    <row r="1" spans="1:32" x14ac:dyDescent="0.25">
      <c r="C1" s="1" t="s">
        <v>50</v>
      </c>
      <c r="L1" s="32"/>
      <c r="M1" s="33"/>
      <c r="O1" s="32"/>
      <c r="P1" s="33"/>
    </row>
    <row r="2" spans="1:32" x14ac:dyDescent="0.25">
      <c r="L2" s="34" t="s">
        <v>0</v>
      </c>
      <c r="M2" s="35"/>
      <c r="N2" s="2"/>
      <c r="O2" s="34" t="s">
        <v>118</v>
      </c>
      <c r="P2" s="35"/>
      <c r="Q2" s="2" t="s">
        <v>126</v>
      </c>
      <c r="R2" s="2"/>
      <c r="S2" s="2" t="s">
        <v>125</v>
      </c>
      <c r="T2" s="2"/>
      <c r="W2" s="2" t="s">
        <v>39</v>
      </c>
      <c r="Z2" s="156" t="s">
        <v>122</v>
      </c>
      <c r="AA2" s="156"/>
      <c r="AB2" s="156" t="s">
        <v>123</v>
      </c>
      <c r="AC2" s="156"/>
    </row>
    <row r="3" spans="1:32" x14ac:dyDescent="0.25">
      <c r="I3" s="2" t="s">
        <v>120</v>
      </c>
      <c r="J3" s="2" t="s">
        <v>121</v>
      </c>
      <c r="K3" s="2" t="s">
        <v>33</v>
      </c>
      <c r="L3" s="34" t="s">
        <v>34</v>
      </c>
      <c r="M3" s="35" t="s">
        <v>35</v>
      </c>
      <c r="N3" s="2" t="s">
        <v>95</v>
      </c>
      <c r="O3" s="34" t="s">
        <v>31</v>
      </c>
      <c r="P3" s="35" t="s">
        <v>32</v>
      </c>
      <c r="Q3" s="2" t="s">
        <v>29</v>
      </c>
      <c r="R3" s="2" t="s">
        <v>30</v>
      </c>
      <c r="S3" s="2" t="s">
        <v>31</v>
      </c>
      <c r="T3" s="2"/>
      <c r="U3" s="2" t="s">
        <v>36</v>
      </c>
      <c r="V3" s="2" t="s">
        <v>37</v>
      </c>
      <c r="W3" s="2" t="s">
        <v>38</v>
      </c>
      <c r="X3" s="2" t="s">
        <v>117</v>
      </c>
      <c r="Y3" s="2" t="s">
        <v>116</v>
      </c>
      <c r="Z3" s="2" t="s">
        <v>90</v>
      </c>
      <c r="AA3" s="2" t="s">
        <v>91</v>
      </c>
      <c r="AB3" s="2" t="s">
        <v>90</v>
      </c>
      <c r="AC3" s="2" t="s">
        <v>91</v>
      </c>
      <c r="AE3" s="2"/>
      <c r="AF3" s="2"/>
    </row>
    <row r="4" spans="1:32" x14ac:dyDescent="0.25">
      <c r="A4">
        <f>INT(100000/(1+D4/1000))</f>
        <v>50025</v>
      </c>
      <c r="B4">
        <v>0</v>
      </c>
      <c r="C4" t="s">
        <v>1</v>
      </c>
      <c r="D4">
        <v>999</v>
      </c>
      <c r="E4" s="5">
        <v>1621266400</v>
      </c>
      <c r="F4">
        <f>INT(1000000/(D4+41)-41)</f>
        <v>920</v>
      </c>
      <c r="I4">
        <v>2</v>
      </c>
      <c r="J4">
        <v>1</v>
      </c>
      <c r="K4">
        <v>0</v>
      </c>
      <c r="L4" s="36">
        <v>1000</v>
      </c>
      <c r="M4" s="37">
        <v>0</v>
      </c>
      <c r="N4">
        <f ca="1">OFFSET(IF(L4&gt;0,D$4,F$4),K4,0)</f>
        <v>999</v>
      </c>
      <c r="O4" s="36">
        <f ca="1">INT($N4*L4/1000)</f>
        <v>999</v>
      </c>
      <c r="P4" s="37">
        <f ca="1">INT($N4*M4/1000)</f>
        <v>0</v>
      </c>
      <c r="Q4">
        <f>L4</f>
        <v>1000</v>
      </c>
      <c r="R4">
        <f>M4</f>
        <v>0</v>
      </c>
      <c r="S4">
        <f ca="1">INT(L4*$N4/1000)</f>
        <v>999</v>
      </c>
      <c r="T4">
        <f ca="1">INT(M4*$N4/1000)</f>
        <v>0</v>
      </c>
      <c r="U4" s="1">
        <f ca="1">S4-R4</f>
        <v>999</v>
      </c>
      <c r="V4" s="1">
        <f ca="1">T4-Q4</f>
        <v>-1000</v>
      </c>
      <c r="W4" s="1">
        <f ca="1">MAX(0,U4:V4)</f>
        <v>999</v>
      </c>
      <c r="X4" s="1">
        <f ca="1">W4</f>
        <v>999</v>
      </c>
      <c r="Y4" s="1">
        <f>SUM(L4:M4)</f>
        <v>1000</v>
      </c>
      <c r="Z4" s="1">
        <f>L4</f>
        <v>1000</v>
      </c>
      <c r="AA4" s="1">
        <v>0</v>
      </c>
      <c r="AB4" s="1">
        <v>0</v>
      </c>
      <c r="AC4" s="1">
        <v>0</v>
      </c>
    </row>
    <row r="5" spans="1:32" x14ac:dyDescent="0.25">
      <c r="A5">
        <f t="shared" ref="A5:A35" si="0">INT(100000/(1+D5/1000))</f>
        <v>69060</v>
      </c>
      <c r="B5">
        <v>1</v>
      </c>
      <c r="C5" t="s">
        <v>2</v>
      </c>
      <c r="D5" s="114">
        <v>448</v>
      </c>
      <c r="E5" s="5">
        <v>1621266400</v>
      </c>
      <c r="F5">
        <f t="shared" ref="F5:F35" si="1">INT(1000000/(D5+41)-41)</f>
        <v>2003</v>
      </c>
      <c r="I5">
        <v>3</v>
      </c>
      <c r="J5">
        <v>1</v>
      </c>
      <c r="K5">
        <f>K4</f>
        <v>0</v>
      </c>
      <c r="L5" s="36">
        <v>0</v>
      </c>
      <c r="M5" s="38">
        <v>2000</v>
      </c>
      <c r="N5">
        <f ca="1">OFFSET(IF(L5&gt;0,D$4,F$4),K5,0)</f>
        <v>920</v>
      </c>
      <c r="O5" s="36">
        <f t="shared" ref="O5:P6" ca="1" si="2">INT($N5*L5/1000)</f>
        <v>0</v>
      </c>
      <c r="P5" s="37">
        <f ca="1">INT($N5*M5/1000)</f>
        <v>1840</v>
      </c>
      <c r="Q5">
        <f>L5+Q4</f>
        <v>1000</v>
      </c>
      <c r="R5">
        <f>M5+R4</f>
        <v>2000</v>
      </c>
      <c r="S5">
        <f ca="1">INT(L5*N5/1000)+S4</f>
        <v>999</v>
      </c>
      <c r="T5">
        <f ca="1">INT(M5*N5/1000)+T4</f>
        <v>1840</v>
      </c>
      <c r="U5" s="1">
        <f ca="1">S5-R5</f>
        <v>-1001</v>
      </c>
      <c r="V5" s="1">
        <f ca="1">T5-Q5</f>
        <v>840</v>
      </c>
      <c r="W5" s="1">
        <f t="shared" ref="W5:W6" ca="1" si="3">MAX(0,U5:V5)</f>
        <v>840</v>
      </c>
      <c r="X5" s="1">
        <f ca="1">X4+(W5-W4)</f>
        <v>840</v>
      </c>
      <c r="Y5" s="1">
        <f>SUM(L5:M5)+Y4</f>
        <v>3000</v>
      </c>
      <c r="Z5" s="1">
        <v>0</v>
      </c>
      <c r="AA5" s="1">
        <f>M5</f>
        <v>2000</v>
      </c>
      <c r="AB5" s="1">
        <v>0</v>
      </c>
      <c r="AC5" s="1">
        <f ca="1">M5+P5</f>
        <v>3840</v>
      </c>
    </row>
    <row r="6" spans="1:32" x14ac:dyDescent="0.25">
      <c r="A6">
        <f t="shared" si="0"/>
        <v>66666</v>
      </c>
      <c r="B6">
        <v>2</v>
      </c>
      <c r="C6" t="s">
        <v>3</v>
      </c>
      <c r="D6">
        <v>500</v>
      </c>
      <c r="E6" s="5">
        <v>1621266400</v>
      </c>
      <c r="F6">
        <f t="shared" si="1"/>
        <v>1807</v>
      </c>
      <c r="I6">
        <v>2</v>
      </c>
      <c r="J6">
        <v>1</v>
      </c>
      <c r="K6">
        <v>0</v>
      </c>
      <c r="L6" s="36">
        <v>1000</v>
      </c>
      <c r="M6" s="37">
        <v>0</v>
      </c>
      <c r="N6">
        <f ca="1">OFFSET(IF(L6&gt;0,D$4,F$4),K6,0)</f>
        <v>999</v>
      </c>
      <c r="O6" s="36">
        <f t="shared" ca="1" si="2"/>
        <v>999</v>
      </c>
      <c r="P6" s="37">
        <f t="shared" ca="1" si="2"/>
        <v>0</v>
      </c>
      <c r="Q6" s="15">
        <f>L6+Q5</f>
        <v>2000</v>
      </c>
      <c r="R6">
        <f>M6+R5</f>
        <v>2000</v>
      </c>
      <c r="S6" s="15">
        <f ca="1">INT(L6*N6/1000)+S5</f>
        <v>1998</v>
      </c>
      <c r="T6">
        <f ca="1">INT(M6*N6/1000)+T5</f>
        <v>1840</v>
      </c>
      <c r="U6" s="1">
        <f ca="1">S6-R6</f>
        <v>-2</v>
      </c>
      <c r="V6" s="1">
        <f ca="1">T6-Q6</f>
        <v>-160</v>
      </c>
      <c r="W6" s="1">
        <f t="shared" ca="1" si="3"/>
        <v>0</v>
      </c>
      <c r="X6" s="1">
        <f ca="1">X5+(W6-W5)</f>
        <v>0</v>
      </c>
      <c r="Y6" s="1">
        <f>SUM(L6:M6)+Y5</f>
        <v>4000</v>
      </c>
      <c r="Z6" s="1">
        <f>L6</f>
        <v>1000</v>
      </c>
      <c r="AA6" s="1">
        <v>0</v>
      </c>
      <c r="AB6" s="1">
        <v>0</v>
      </c>
      <c r="AC6" s="1">
        <v>0</v>
      </c>
    </row>
    <row r="7" spans="1:32" x14ac:dyDescent="0.25">
      <c r="A7">
        <f t="shared" si="0"/>
        <v>52110</v>
      </c>
      <c r="B7">
        <v>3</v>
      </c>
      <c r="C7" t="s">
        <v>4</v>
      </c>
      <c r="D7" s="114">
        <v>919</v>
      </c>
      <c r="E7" s="5">
        <v>1621266400</v>
      </c>
      <c r="F7">
        <f t="shared" si="1"/>
        <v>1000</v>
      </c>
      <c r="L7" s="36"/>
      <c r="M7" s="37"/>
      <c r="O7" s="36"/>
      <c r="P7" s="37"/>
      <c r="U7" s="1"/>
      <c r="V7" s="1"/>
      <c r="W7" s="1"/>
      <c r="X7" s="1"/>
      <c r="Y7" s="1"/>
      <c r="Z7" s="1"/>
      <c r="AA7" s="1"/>
      <c r="AB7" s="1"/>
      <c r="AC7" s="1"/>
    </row>
    <row r="8" spans="1:32" x14ac:dyDescent="0.25">
      <c r="A8">
        <f t="shared" si="0"/>
        <v>52383</v>
      </c>
      <c r="B8">
        <v>4</v>
      </c>
      <c r="C8" t="s">
        <v>5</v>
      </c>
      <c r="D8">
        <v>909</v>
      </c>
      <c r="E8" s="5">
        <v>1621266400</v>
      </c>
      <c r="F8">
        <f t="shared" si="1"/>
        <v>1011</v>
      </c>
      <c r="L8" s="36"/>
      <c r="M8" s="37"/>
      <c r="O8" s="36"/>
      <c r="P8" s="37"/>
      <c r="U8" s="1"/>
      <c r="V8" s="1"/>
      <c r="W8" s="1"/>
      <c r="X8" s="1"/>
      <c r="Y8" s="1"/>
      <c r="Z8" s="1"/>
      <c r="AA8" s="1"/>
      <c r="AB8" s="1"/>
      <c r="AC8" s="1"/>
    </row>
    <row r="9" spans="1:32" x14ac:dyDescent="0.25">
      <c r="A9">
        <f t="shared" si="0"/>
        <v>55555</v>
      </c>
      <c r="B9">
        <v>5</v>
      </c>
      <c r="C9" t="s">
        <v>6</v>
      </c>
      <c r="D9">
        <v>800</v>
      </c>
      <c r="E9" s="5">
        <v>1621266400</v>
      </c>
      <c r="F9">
        <f t="shared" si="1"/>
        <v>1148</v>
      </c>
      <c r="L9" s="36"/>
      <c r="M9" s="37"/>
      <c r="O9" s="36"/>
      <c r="P9" s="37"/>
      <c r="U9" s="1"/>
      <c r="V9" s="1"/>
      <c r="W9" s="1"/>
      <c r="X9" s="1"/>
      <c r="Y9" s="1"/>
      <c r="Z9" s="1"/>
      <c r="AA9" s="1"/>
      <c r="AB9" s="1"/>
      <c r="AC9" s="1"/>
    </row>
    <row r="10" spans="1:32" x14ac:dyDescent="0.25">
      <c r="A10">
        <f t="shared" si="0"/>
        <v>66225</v>
      </c>
      <c r="B10">
        <v>6</v>
      </c>
      <c r="C10" t="s">
        <v>7</v>
      </c>
      <c r="D10">
        <v>510</v>
      </c>
      <c r="E10" s="5">
        <v>1621266400</v>
      </c>
      <c r="F10">
        <f t="shared" si="1"/>
        <v>1773</v>
      </c>
      <c r="K10" s="2" t="s">
        <v>33</v>
      </c>
      <c r="L10" s="34" t="s">
        <v>34</v>
      </c>
      <c r="M10" s="35" t="s">
        <v>35</v>
      </c>
      <c r="N10" s="2" t="s">
        <v>28</v>
      </c>
      <c r="O10" s="34" t="s">
        <v>31</v>
      </c>
      <c r="P10" s="35" t="s">
        <v>32</v>
      </c>
      <c r="Q10" s="2" t="s">
        <v>29</v>
      </c>
      <c r="R10" s="2" t="s">
        <v>30</v>
      </c>
      <c r="S10" s="2" t="s">
        <v>31</v>
      </c>
      <c r="T10" s="2" t="s">
        <v>32</v>
      </c>
      <c r="U10" s="2" t="s">
        <v>36</v>
      </c>
      <c r="V10" s="2" t="s">
        <v>37</v>
      </c>
      <c r="W10" s="2" t="s">
        <v>38</v>
      </c>
      <c r="X10" s="2" t="s">
        <v>117</v>
      </c>
      <c r="Y10" s="2" t="s">
        <v>116</v>
      </c>
      <c r="Z10" s="1"/>
      <c r="AA10" s="2"/>
      <c r="AB10" s="1"/>
      <c r="AC10" s="2"/>
      <c r="AE10" s="2"/>
      <c r="AF10" s="2"/>
    </row>
    <row r="11" spans="1:32" x14ac:dyDescent="0.25">
      <c r="A11">
        <f t="shared" si="0"/>
        <v>57504</v>
      </c>
      <c r="B11">
        <v>7</v>
      </c>
      <c r="C11" t="s">
        <v>8</v>
      </c>
      <c r="D11">
        <v>739</v>
      </c>
      <c r="E11" s="5">
        <v>1621266400</v>
      </c>
      <c r="F11">
        <f t="shared" si="1"/>
        <v>1241</v>
      </c>
      <c r="I11">
        <v>2</v>
      </c>
      <c r="J11">
        <v>1</v>
      </c>
      <c r="K11">
        <v>1</v>
      </c>
      <c r="L11" s="36">
        <v>1000</v>
      </c>
      <c r="M11" s="37">
        <v>0</v>
      </c>
      <c r="N11">
        <f ca="1">OFFSET(IF(L11&gt;0,D$4,F$4),K11,0)</f>
        <v>448</v>
      </c>
      <c r="O11" s="36">
        <f ca="1">INT($N11*L11/1000)</f>
        <v>448</v>
      </c>
      <c r="P11" s="37">
        <f ca="1">INT($N11*M11/1000)</f>
        <v>0</v>
      </c>
      <c r="Q11">
        <f>L11</f>
        <v>1000</v>
      </c>
      <c r="R11">
        <f>M11</f>
        <v>0</v>
      </c>
      <c r="S11">
        <f ca="1">INT(L11*N11/1000)</f>
        <v>448</v>
      </c>
      <c r="T11">
        <f ca="1">INT(M11*N11/1000)</f>
        <v>0</v>
      </c>
      <c r="U11" s="1">
        <f ca="1">S11-R11</f>
        <v>448</v>
      </c>
      <c r="V11" s="1">
        <f ca="1">T11-Q11</f>
        <v>-1000</v>
      </c>
      <c r="W11" s="1">
        <f ca="1">MAX(0,U11:V11)</f>
        <v>448</v>
      </c>
      <c r="X11" s="1">
        <f ca="1">W11+X6</f>
        <v>448</v>
      </c>
      <c r="Y11" s="1">
        <f>SUM(L11:M11)+Y6</f>
        <v>5000</v>
      </c>
      <c r="Z11" s="1">
        <f>L11</f>
        <v>1000</v>
      </c>
      <c r="AA11" s="1">
        <v>0</v>
      </c>
      <c r="AB11" s="1">
        <v>0</v>
      </c>
      <c r="AC11" s="1">
        <v>0</v>
      </c>
    </row>
    <row r="12" spans="1:32" x14ac:dyDescent="0.25">
      <c r="A12">
        <f t="shared" si="0"/>
        <v>61728</v>
      </c>
      <c r="B12">
        <v>8</v>
      </c>
      <c r="C12" t="s">
        <v>9</v>
      </c>
      <c r="D12">
        <v>620</v>
      </c>
      <c r="E12" s="5">
        <v>1621266400</v>
      </c>
      <c r="F12">
        <f t="shared" si="1"/>
        <v>1471</v>
      </c>
      <c r="I12">
        <v>3</v>
      </c>
      <c r="J12">
        <v>1</v>
      </c>
      <c r="K12">
        <v>1</v>
      </c>
      <c r="L12" s="36">
        <v>0</v>
      </c>
      <c r="M12" s="38">
        <v>2000</v>
      </c>
      <c r="N12">
        <f t="shared" ref="N12:N13" ca="1" si="4">OFFSET(IF(L12&gt;0,D$4,F$4),K12,0)</f>
        <v>2003</v>
      </c>
      <c r="O12" s="36">
        <f t="shared" ref="O12:P13" ca="1" si="5">INT($N12*L12/1000)</f>
        <v>0</v>
      </c>
      <c r="P12" s="37">
        <f t="shared" ca="1" si="5"/>
        <v>4006</v>
      </c>
      <c r="Q12">
        <f>L12+Q11</f>
        <v>1000</v>
      </c>
      <c r="R12">
        <f>M12+R11</f>
        <v>2000</v>
      </c>
      <c r="S12">
        <f ca="1">INT(L12*N12/1000)+S11</f>
        <v>448</v>
      </c>
      <c r="T12">
        <f ca="1">INT(M12*N12/1000)+T11</f>
        <v>4006</v>
      </c>
      <c r="U12" s="1">
        <f ca="1">S12-R12</f>
        <v>-1552</v>
      </c>
      <c r="V12" s="1">
        <f ca="1">T12-Q12</f>
        <v>3006</v>
      </c>
      <c r="W12" s="1">
        <f t="shared" ref="W12:W13" ca="1" si="6">MAX(0,U12:V12)</f>
        <v>3006</v>
      </c>
      <c r="X12" s="1">
        <f ca="1">X11+(W12-W11)</f>
        <v>3006</v>
      </c>
      <c r="Y12" s="1">
        <f>SUM(L12:M12)+Y11</f>
        <v>7000</v>
      </c>
      <c r="Z12" s="1">
        <v>0</v>
      </c>
      <c r="AA12" s="1">
        <f>M12</f>
        <v>2000</v>
      </c>
      <c r="AB12" s="1">
        <v>0</v>
      </c>
      <c r="AC12" s="1">
        <f ca="1">M12+P12</f>
        <v>6006</v>
      </c>
    </row>
    <row r="13" spans="1:32" x14ac:dyDescent="0.25">
      <c r="A13">
        <f t="shared" si="0"/>
        <v>51020</v>
      </c>
      <c r="B13">
        <v>9</v>
      </c>
      <c r="C13" t="s">
        <v>10</v>
      </c>
      <c r="D13">
        <v>960</v>
      </c>
      <c r="E13" s="5">
        <v>1621266400</v>
      </c>
      <c r="F13">
        <f t="shared" si="1"/>
        <v>958</v>
      </c>
      <c r="I13">
        <v>2</v>
      </c>
      <c r="J13">
        <v>1</v>
      </c>
      <c r="K13">
        <v>1</v>
      </c>
      <c r="L13" s="36">
        <v>1000</v>
      </c>
      <c r="M13" s="37">
        <v>0</v>
      </c>
      <c r="N13">
        <f t="shared" ca="1" si="4"/>
        <v>448</v>
      </c>
      <c r="O13" s="36">
        <f t="shared" ca="1" si="5"/>
        <v>448</v>
      </c>
      <c r="P13" s="37">
        <f t="shared" ca="1" si="5"/>
        <v>0</v>
      </c>
      <c r="Q13" s="15">
        <f>L13+Q12</f>
        <v>2000</v>
      </c>
      <c r="R13">
        <f>M13+R12</f>
        <v>2000</v>
      </c>
      <c r="S13" s="15">
        <f ca="1">INT(L13*N13/1000)+S12</f>
        <v>896</v>
      </c>
      <c r="T13">
        <f ca="1">INT(M13*N13/1000)+T12</f>
        <v>4006</v>
      </c>
      <c r="U13" s="1">
        <f ca="1">S13-R13</f>
        <v>-1104</v>
      </c>
      <c r="V13" s="1">
        <f ca="1">T13-Q13</f>
        <v>2006</v>
      </c>
      <c r="W13" s="1">
        <f t="shared" ca="1" si="6"/>
        <v>2006</v>
      </c>
      <c r="X13" s="1">
        <f ca="1">X12+(W13-W12)</f>
        <v>2006</v>
      </c>
      <c r="Y13" s="1">
        <f>SUM(L13:M13)+Y12</f>
        <v>8000</v>
      </c>
      <c r="Z13" s="1">
        <f>L13</f>
        <v>1000</v>
      </c>
      <c r="AA13" s="1">
        <v>0</v>
      </c>
      <c r="AB13" s="1">
        <v>0</v>
      </c>
      <c r="AC13" s="1">
        <v>0</v>
      </c>
    </row>
    <row r="14" spans="1:32" x14ac:dyDescent="0.25">
      <c r="A14">
        <f t="shared" si="0"/>
        <v>60606</v>
      </c>
      <c r="B14">
        <v>10</v>
      </c>
      <c r="C14" t="s">
        <v>11</v>
      </c>
      <c r="D14">
        <v>650</v>
      </c>
      <c r="E14" s="5">
        <v>1621266400</v>
      </c>
      <c r="F14">
        <f t="shared" si="1"/>
        <v>1406</v>
      </c>
      <c r="L14" s="36"/>
      <c r="M14" s="37"/>
      <c r="O14" s="36"/>
      <c r="P14" s="37"/>
      <c r="U14" s="1"/>
      <c r="V14" s="1"/>
      <c r="W14" s="1"/>
      <c r="X14" s="1"/>
      <c r="Y14" s="1"/>
      <c r="Z14" s="1"/>
      <c r="AA14" s="1"/>
      <c r="AB14" s="1"/>
      <c r="AC14" s="1"/>
    </row>
    <row r="15" spans="1:32" x14ac:dyDescent="0.25">
      <c r="A15">
        <f t="shared" si="0"/>
        <v>59241</v>
      </c>
      <c r="B15">
        <v>11</v>
      </c>
      <c r="C15" t="s">
        <v>12</v>
      </c>
      <c r="D15">
        <v>688</v>
      </c>
      <c r="E15" s="5">
        <v>1621266400</v>
      </c>
      <c r="F15">
        <f t="shared" si="1"/>
        <v>1330</v>
      </c>
      <c r="L15" s="36"/>
      <c r="M15" s="37"/>
      <c r="O15" s="36"/>
      <c r="P15" s="37"/>
      <c r="R15" s="21"/>
      <c r="U15" s="1"/>
      <c r="V15" s="1"/>
      <c r="W15" s="1" t="s">
        <v>40</v>
      </c>
      <c r="X15" s="1"/>
      <c r="Y15" s="1"/>
      <c r="Z15" s="1"/>
      <c r="AA15" s="1"/>
      <c r="AB15" s="1"/>
      <c r="AC15" s="1"/>
    </row>
    <row r="16" spans="1:32" x14ac:dyDescent="0.25">
      <c r="A16">
        <f t="shared" si="0"/>
        <v>50761</v>
      </c>
      <c r="B16">
        <v>12</v>
      </c>
      <c r="C16" t="s">
        <v>13</v>
      </c>
      <c r="D16">
        <v>970</v>
      </c>
      <c r="E16" s="5">
        <v>1621266400</v>
      </c>
      <c r="F16">
        <f t="shared" si="1"/>
        <v>948</v>
      </c>
      <c r="L16" s="36"/>
      <c r="M16" s="37"/>
      <c r="O16" s="36"/>
      <c r="P16" s="37"/>
      <c r="U16" s="1"/>
      <c r="V16" s="1"/>
      <c r="W16" s="1"/>
      <c r="X16" s="1"/>
      <c r="Y16" s="1"/>
      <c r="Z16" s="1"/>
      <c r="AA16" s="1"/>
      <c r="AB16" s="1"/>
      <c r="AC16" s="1"/>
    </row>
    <row r="17" spans="1:32" x14ac:dyDescent="0.25">
      <c r="A17">
        <f t="shared" si="0"/>
        <v>57803</v>
      </c>
      <c r="B17">
        <v>13</v>
      </c>
      <c r="C17" t="s">
        <v>14</v>
      </c>
      <c r="D17">
        <v>730</v>
      </c>
      <c r="E17" s="5">
        <v>1621266400</v>
      </c>
      <c r="F17">
        <f t="shared" si="1"/>
        <v>1256</v>
      </c>
      <c r="K17" s="2" t="s">
        <v>33</v>
      </c>
      <c r="L17" s="34" t="s">
        <v>34</v>
      </c>
      <c r="M17" s="35" t="s">
        <v>35</v>
      </c>
      <c r="N17" s="2" t="s">
        <v>28</v>
      </c>
      <c r="O17" s="34" t="s">
        <v>31</v>
      </c>
      <c r="P17" s="35" t="s">
        <v>32</v>
      </c>
      <c r="Q17" s="2" t="s">
        <v>29</v>
      </c>
      <c r="R17" s="2" t="s">
        <v>30</v>
      </c>
      <c r="S17" s="2" t="s">
        <v>31</v>
      </c>
      <c r="T17" s="2" t="s">
        <v>32</v>
      </c>
      <c r="U17" s="2" t="s">
        <v>36</v>
      </c>
      <c r="V17" s="2" t="s">
        <v>37</v>
      </c>
      <c r="W17" s="2" t="s">
        <v>38</v>
      </c>
      <c r="X17" s="2" t="s">
        <v>117</v>
      </c>
      <c r="Y17" s="2" t="s">
        <v>116</v>
      </c>
      <c r="Z17" s="1"/>
      <c r="AA17" s="2"/>
      <c r="AB17" s="1"/>
      <c r="AC17" s="2"/>
      <c r="AE17" s="2"/>
      <c r="AF17" s="2"/>
    </row>
    <row r="18" spans="1:32" x14ac:dyDescent="0.25">
      <c r="A18">
        <f t="shared" si="0"/>
        <v>58858</v>
      </c>
      <c r="B18">
        <v>14</v>
      </c>
      <c r="C18" t="s">
        <v>15</v>
      </c>
      <c r="D18">
        <v>699</v>
      </c>
      <c r="E18" s="5">
        <v>1621266400</v>
      </c>
      <c r="F18">
        <f t="shared" si="1"/>
        <v>1310</v>
      </c>
      <c r="I18">
        <v>2</v>
      </c>
      <c r="J18">
        <v>0</v>
      </c>
      <c r="K18">
        <v>2</v>
      </c>
      <c r="L18" s="39">
        <v>1000</v>
      </c>
      <c r="M18" s="37">
        <v>0</v>
      </c>
      <c r="N18">
        <f ca="1">OFFSET(IF(L18&gt;0,D$4,F$4),K18,0)</f>
        <v>500</v>
      </c>
      <c r="O18" s="36">
        <f ca="1">INT($N18*L18/1000)</f>
        <v>500</v>
      </c>
      <c r="P18" s="37">
        <f ca="1">INT($N18*M18/1000)</f>
        <v>0</v>
      </c>
      <c r="Q18">
        <f>L18</f>
        <v>1000</v>
      </c>
      <c r="R18">
        <f>M18</f>
        <v>0</v>
      </c>
      <c r="S18">
        <f ca="1">INT(L18*N18/1000)</f>
        <v>500</v>
      </c>
      <c r="T18">
        <f ca="1">INT(M18*N18/1000)</f>
        <v>0</v>
      </c>
      <c r="U18" s="1">
        <f ca="1">S18-R18</f>
        <v>500</v>
      </c>
      <c r="V18" s="1">
        <f ca="1">T18-Q18</f>
        <v>-1000</v>
      </c>
      <c r="W18" s="1">
        <f ca="1">MAX(0,U18:V18)</f>
        <v>500</v>
      </c>
      <c r="X18" s="1">
        <f ca="1">W18+X13</f>
        <v>2506</v>
      </c>
      <c r="Y18" s="1">
        <f>SUM(L18:M18)+Y13</f>
        <v>9000</v>
      </c>
      <c r="Z18" s="1">
        <f>L18</f>
        <v>1000</v>
      </c>
      <c r="AA18" s="1">
        <v>0</v>
      </c>
      <c r="AB18" s="1">
        <f ca="1">L18+INT(O18)</f>
        <v>1500</v>
      </c>
      <c r="AC18" s="1">
        <v>0</v>
      </c>
    </row>
    <row r="19" spans="1:32" x14ac:dyDescent="0.25">
      <c r="A19">
        <f t="shared" si="0"/>
        <v>53078</v>
      </c>
      <c r="B19">
        <v>15</v>
      </c>
      <c r="C19" t="s">
        <v>16</v>
      </c>
      <c r="D19">
        <v>884</v>
      </c>
      <c r="E19" s="5">
        <v>1621266400</v>
      </c>
      <c r="F19">
        <f t="shared" si="1"/>
        <v>1040</v>
      </c>
      <c r="I19">
        <v>3</v>
      </c>
      <c r="J19">
        <v>0</v>
      </c>
      <c r="K19">
        <v>2</v>
      </c>
      <c r="L19" s="36">
        <v>0</v>
      </c>
      <c r="M19" s="37">
        <v>2000</v>
      </c>
      <c r="N19">
        <f t="shared" ref="N19:N20" ca="1" si="7">OFFSET(IF(L19&gt;0,D$4,F$4),K19,0)</f>
        <v>1807</v>
      </c>
      <c r="O19" s="36">
        <f t="shared" ref="O19:P20" ca="1" si="8">INT($N19*L19/1000)</f>
        <v>0</v>
      </c>
      <c r="P19" s="37">
        <f t="shared" ca="1" si="8"/>
        <v>3614</v>
      </c>
      <c r="Q19">
        <f>L19+Q18</f>
        <v>1000</v>
      </c>
      <c r="R19">
        <f>M19+R18</f>
        <v>2000</v>
      </c>
      <c r="S19">
        <f ca="1">INT(L19*N19/1000)+S18</f>
        <v>500</v>
      </c>
      <c r="T19">
        <f ca="1">INT(M19*N19/1000)+T18</f>
        <v>3614</v>
      </c>
      <c r="U19" s="1">
        <f ca="1">S19-R19</f>
        <v>-1500</v>
      </c>
      <c r="V19" s="1">
        <f ca="1">T19-Q19</f>
        <v>2614</v>
      </c>
      <c r="W19" s="1">
        <f t="shared" ref="W19" ca="1" si="9">MAX(0,U19:V19)</f>
        <v>2614</v>
      </c>
      <c r="X19" s="1">
        <f ca="1">X18+(W19-W18)</f>
        <v>4620</v>
      </c>
      <c r="Y19" s="1">
        <f>SUM(L19:M19)+Y18</f>
        <v>11000</v>
      </c>
      <c r="Z19" s="1">
        <v>0</v>
      </c>
      <c r="AA19" s="1">
        <f>M19</f>
        <v>2000</v>
      </c>
      <c r="AB19" s="1">
        <v>0</v>
      </c>
      <c r="AC19" s="1">
        <v>0</v>
      </c>
    </row>
    <row r="20" spans="1:32" x14ac:dyDescent="0.25">
      <c r="A20">
        <f t="shared" si="0"/>
        <v>65789</v>
      </c>
      <c r="B20">
        <v>16</v>
      </c>
      <c r="C20" t="s">
        <v>17</v>
      </c>
      <c r="D20">
        <v>520</v>
      </c>
      <c r="E20" s="5">
        <v>1621266400</v>
      </c>
      <c r="F20">
        <f t="shared" si="1"/>
        <v>1741</v>
      </c>
      <c r="I20">
        <v>2</v>
      </c>
      <c r="J20">
        <v>0</v>
      </c>
      <c r="K20">
        <v>2</v>
      </c>
      <c r="L20" s="39">
        <v>1000</v>
      </c>
      <c r="M20" s="37">
        <v>0</v>
      </c>
      <c r="N20">
        <f t="shared" ca="1" si="7"/>
        <v>500</v>
      </c>
      <c r="O20" s="36">
        <f t="shared" ca="1" si="8"/>
        <v>500</v>
      </c>
      <c r="P20" s="37">
        <f t="shared" ca="1" si="8"/>
        <v>0</v>
      </c>
      <c r="Q20">
        <f>L20+Q19</f>
        <v>2000</v>
      </c>
      <c r="R20" s="15">
        <f>M20+R19</f>
        <v>2000</v>
      </c>
      <c r="S20">
        <f ca="1">INT(L20*N20/1000)+S19</f>
        <v>1000</v>
      </c>
      <c r="T20" s="15">
        <f ca="1">INT(M20*N20/1000)+T19</f>
        <v>3614</v>
      </c>
      <c r="U20" s="1">
        <f ca="1">S20-R20</f>
        <v>-1000</v>
      </c>
      <c r="V20" s="1">
        <f ca="1">T20-Q20</f>
        <v>1614</v>
      </c>
      <c r="W20" s="1">
        <f ca="1">MAX(0,U20:V20)</f>
        <v>1614</v>
      </c>
      <c r="X20" s="1">
        <f ca="1">X19+(W20-W19)</f>
        <v>3620</v>
      </c>
      <c r="Y20" s="1">
        <f>SUM(L20:M20)+Y19</f>
        <v>12000</v>
      </c>
      <c r="Z20" s="1">
        <f>L20</f>
        <v>1000</v>
      </c>
      <c r="AA20" s="1">
        <v>0</v>
      </c>
      <c r="AB20" s="1">
        <f ca="1">L20+INT(O20)</f>
        <v>1500</v>
      </c>
      <c r="AC20" s="1">
        <v>0</v>
      </c>
    </row>
    <row r="21" spans="1:32" x14ac:dyDescent="0.25">
      <c r="A21">
        <f t="shared" si="0"/>
        <v>52603</v>
      </c>
      <c r="B21">
        <v>17</v>
      </c>
      <c r="C21" t="s">
        <v>18</v>
      </c>
      <c r="D21">
        <v>901</v>
      </c>
      <c r="E21" s="5">
        <v>1621266400</v>
      </c>
      <c r="F21">
        <f t="shared" si="1"/>
        <v>1020</v>
      </c>
      <c r="L21" s="36"/>
      <c r="M21" s="37"/>
      <c r="O21" s="36"/>
      <c r="P21" s="37"/>
      <c r="U21" s="1"/>
      <c r="V21" s="1"/>
      <c r="W21" s="1"/>
      <c r="X21" s="1"/>
      <c r="Y21" s="1"/>
      <c r="Z21" s="1"/>
      <c r="AA21" s="1"/>
      <c r="AB21" s="1"/>
      <c r="AC21" s="1"/>
    </row>
    <row r="22" spans="1:32" x14ac:dyDescent="0.25">
      <c r="A22">
        <f t="shared" si="0"/>
        <v>61728</v>
      </c>
      <c r="B22">
        <v>18</v>
      </c>
      <c r="C22" t="s">
        <v>19</v>
      </c>
      <c r="D22">
        <v>620</v>
      </c>
      <c r="E22" s="5">
        <v>1621266400</v>
      </c>
      <c r="F22">
        <f t="shared" si="1"/>
        <v>1471</v>
      </c>
      <c r="L22" s="36"/>
      <c r="M22" s="37"/>
      <c r="O22" s="36"/>
      <c r="P22" s="37"/>
      <c r="T22" s="21"/>
      <c r="U22" s="1"/>
      <c r="V22" s="1"/>
      <c r="W22" s="1"/>
      <c r="X22" s="1"/>
      <c r="Y22" s="1"/>
      <c r="Z22" s="1"/>
      <c r="AA22" s="1"/>
      <c r="AB22" s="1"/>
      <c r="AC22" s="1"/>
    </row>
    <row r="23" spans="1:32" x14ac:dyDescent="0.25">
      <c r="A23">
        <f t="shared" si="0"/>
        <v>56689</v>
      </c>
      <c r="B23">
        <v>19</v>
      </c>
      <c r="C23" t="s">
        <v>20</v>
      </c>
      <c r="D23">
        <v>764</v>
      </c>
      <c r="E23" s="5">
        <v>1621266400</v>
      </c>
      <c r="F23">
        <f t="shared" si="1"/>
        <v>1201</v>
      </c>
      <c r="L23" s="36"/>
      <c r="M23" s="37"/>
      <c r="O23" s="36"/>
      <c r="P23" s="37"/>
      <c r="U23" s="1"/>
      <c r="V23" s="1"/>
      <c r="W23" s="2"/>
      <c r="X23" s="1"/>
      <c r="Y23" s="1"/>
      <c r="Z23" s="1"/>
      <c r="AA23" s="1"/>
      <c r="AB23" s="1"/>
      <c r="AC23" s="1"/>
    </row>
    <row r="24" spans="1:32" x14ac:dyDescent="0.25">
      <c r="A24">
        <f t="shared" si="0"/>
        <v>54024</v>
      </c>
      <c r="B24">
        <v>20</v>
      </c>
      <c r="C24" t="s">
        <v>21</v>
      </c>
      <c r="D24">
        <v>851</v>
      </c>
      <c r="E24" s="5">
        <v>1621266400</v>
      </c>
      <c r="F24">
        <f t="shared" si="1"/>
        <v>1080</v>
      </c>
      <c r="K24" s="2" t="s">
        <v>33</v>
      </c>
      <c r="L24" s="34" t="s">
        <v>34</v>
      </c>
      <c r="M24" s="35" t="s">
        <v>35</v>
      </c>
      <c r="N24" s="2" t="s">
        <v>28</v>
      </c>
      <c r="O24" s="34" t="s">
        <v>31</v>
      </c>
      <c r="P24" s="35" t="s">
        <v>32</v>
      </c>
      <c r="Q24" s="2" t="s">
        <v>29</v>
      </c>
      <c r="R24" s="2" t="s">
        <v>30</v>
      </c>
      <c r="S24" s="2" t="s">
        <v>31</v>
      </c>
      <c r="T24" s="2" t="s">
        <v>32</v>
      </c>
      <c r="U24" s="2" t="s">
        <v>36</v>
      </c>
      <c r="V24" s="2" t="s">
        <v>37</v>
      </c>
      <c r="W24" s="2" t="s">
        <v>38</v>
      </c>
      <c r="X24" s="2" t="s">
        <v>117</v>
      </c>
      <c r="Y24" s="2" t="s">
        <v>116</v>
      </c>
      <c r="Z24" s="1"/>
      <c r="AA24" s="2"/>
      <c r="AB24" s="1"/>
      <c r="AC24" s="2"/>
      <c r="AE24" s="2"/>
      <c r="AF24" s="2"/>
    </row>
    <row r="25" spans="1:32" x14ac:dyDescent="0.25">
      <c r="A25">
        <f t="shared" si="0"/>
        <v>54945</v>
      </c>
      <c r="B25">
        <v>21</v>
      </c>
      <c r="C25" t="s">
        <v>102</v>
      </c>
      <c r="D25">
        <v>820</v>
      </c>
      <c r="E25" s="5">
        <v>1621266400</v>
      </c>
      <c r="F25">
        <f t="shared" si="1"/>
        <v>1120</v>
      </c>
      <c r="I25">
        <v>2</v>
      </c>
      <c r="K25">
        <v>3</v>
      </c>
      <c r="L25" s="39">
        <v>1000</v>
      </c>
      <c r="M25" s="37"/>
      <c r="N25">
        <f ca="1">OFFSET(IF(L25&gt;0,D$4,F$4),K25,0)</f>
        <v>919</v>
      </c>
      <c r="O25" s="36">
        <f ca="1">INT($N25*L25/1000)</f>
        <v>919</v>
      </c>
      <c r="P25" s="37">
        <f ca="1">INT($N25*M25/1000)</f>
        <v>0</v>
      </c>
      <c r="Q25">
        <f>L25</f>
        <v>1000</v>
      </c>
      <c r="R25">
        <f>M25</f>
        <v>0</v>
      </c>
      <c r="S25">
        <f ca="1">INT(L25*N25/1000)</f>
        <v>919</v>
      </c>
      <c r="T25">
        <f ca="1">INT(M25*N25/1000)</f>
        <v>0</v>
      </c>
      <c r="U25" s="1">
        <f ca="1">S25-R25</f>
        <v>919</v>
      </c>
      <c r="V25" s="1">
        <f ca="1">T25-Q25</f>
        <v>-1000</v>
      </c>
      <c r="W25" s="1">
        <f ca="1">MAX(0,U25:V25)</f>
        <v>919</v>
      </c>
      <c r="X25" s="1">
        <f ca="1">W25+X20</f>
        <v>4539</v>
      </c>
      <c r="Y25" s="1">
        <f>SUM(L25:M25)+Y20</f>
        <v>13000</v>
      </c>
      <c r="Z25" s="1">
        <f>L25</f>
        <v>1000</v>
      </c>
      <c r="AA25" s="1">
        <v>0</v>
      </c>
      <c r="AB25" s="1">
        <f t="shared" ref="AB25:AC27" si="10">L25</f>
        <v>1000</v>
      </c>
      <c r="AC25" s="1">
        <f t="shared" si="10"/>
        <v>0</v>
      </c>
    </row>
    <row r="26" spans="1:32" x14ac:dyDescent="0.25">
      <c r="A26">
        <f t="shared" si="0"/>
        <v>56497</v>
      </c>
      <c r="B26">
        <v>22</v>
      </c>
      <c r="C26" t="s">
        <v>103</v>
      </c>
      <c r="D26">
        <v>770</v>
      </c>
      <c r="E26" s="5">
        <v>1621266400</v>
      </c>
      <c r="F26">
        <f t="shared" si="1"/>
        <v>1192</v>
      </c>
      <c r="I26">
        <v>2</v>
      </c>
      <c r="K26">
        <v>3</v>
      </c>
      <c r="L26" s="39">
        <v>1000</v>
      </c>
      <c r="M26" s="37"/>
      <c r="N26">
        <f t="shared" ref="N26" ca="1" si="11">OFFSET(IF(L26&gt;0,D$4,F$4),K26,0)</f>
        <v>919</v>
      </c>
      <c r="O26" s="36">
        <f t="shared" ref="O26:P27" ca="1" si="12">INT($N26*L26/1000)</f>
        <v>919</v>
      </c>
      <c r="P26" s="37">
        <f t="shared" ca="1" si="12"/>
        <v>0</v>
      </c>
      <c r="Q26">
        <f>L26+Q25</f>
        <v>2000</v>
      </c>
      <c r="R26">
        <f>M26+R25</f>
        <v>0</v>
      </c>
      <c r="S26">
        <f ca="1">INT(L26*N26/1000)+S25</f>
        <v>1838</v>
      </c>
      <c r="T26">
        <f ca="1">INT(M26*N26/1000)+T25</f>
        <v>0</v>
      </c>
      <c r="U26" s="1">
        <f ca="1">S26-R26</f>
        <v>1838</v>
      </c>
      <c r="V26" s="1">
        <f ca="1">T26-Q26</f>
        <v>-2000</v>
      </c>
      <c r="W26" s="1">
        <f t="shared" ref="W26" ca="1" si="13">MAX(0,U26:V26)</f>
        <v>1838</v>
      </c>
      <c r="X26" s="1">
        <f ca="1">X25+(W26-W25)</f>
        <v>5458</v>
      </c>
      <c r="Y26" s="1">
        <f>SUM(L26:M26)+Y25</f>
        <v>14000</v>
      </c>
      <c r="Z26" s="1">
        <v>100</v>
      </c>
      <c r="AA26" s="1">
        <f>M26</f>
        <v>0</v>
      </c>
      <c r="AB26" s="1">
        <f t="shared" si="10"/>
        <v>1000</v>
      </c>
      <c r="AC26" s="1">
        <f t="shared" si="10"/>
        <v>0</v>
      </c>
    </row>
    <row r="27" spans="1:32" ht="15.75" thickBot="1" x14ac:dyDescent="0.3">
      <c r="A27">
        <f t="shared" si="0"/>
        <v>55865</v>
      </c>
      <c r="B27">
        <v>23</v>
      </c>
      <c r="C27" t="s">
        <v>104</v>
      </c>
      <c r="D27">
        <v>790</v>
      </c>
      <c r="E27" s="5">
        <v>1621266400</v>
      </c>
      <c r="F27">
        <f t="shared" si="1"/>
        <v>1162</v>
      </c>
      <c r="I27">
        <v>3</v>
      </c>
      <c r="K27">
        <v>3</v>
      </c>
      <c r="L27" s="40"/>
      <c r="M27" s="41">
        <v>1000</v>
      </c>
      <c r="N27">
        <f ca="1">OFFSET(IF(L27&gt;0,D$4,F$4),K27,0)</f>
        <v>1000</v>
      </c>
      <c r="O27" s="40">
        <f t="shared" ca="1" si="12"/>
        <v>0</v>
      </c>
      <c r="P27" s="42">
        <f t="shared" ca="1" si="12"/>
        <v>1000</v>
      </c>
      <c r="Q27" s="26">
        <f>L27+Q26</f>
        <v>2000</v>
      </c>
      <c r="R27" s="21">
        <f>M27+R26</f>
        <v>1000</v>
      </c>
      <c r="S27" s="15">
        <f ca="1">INT(L27*N27/1000)+S26</f>
        <v>1838</v>
      </c>
      <c r="T27">
        <f ca="1">INT(M27*N27/1000)+T26</f>
        <v>1000</v>
      </c>
      <c r="U27" s="1">
        <f ca="1">S27-R27</f>
        <v>838</v>
      </c>
      <c r="V27" s="1">
        <f ca="1">T27-Q27</f>
        <v>-1000</v>
      </c>
      <c r="W27" s="1">
        <f ca="1">MAX(0,U27:V27)</f>
        <v>838</v>
      </c>
      <c r="X27" s="1">
        <f ca="1">X26+(W27-W26)</f>
        <v>4458</v>
      </c>
      <c r="Y27" s="1">
        <f>SUM(L27:M27)+Y26</f>
        <v>15000</v>
      </c>
      <c r="Z27" s="1">
        <f>L27</f>
        <v>0</v>
      </c>
      <c r="AA27" s="1">
        <f>M27</f>
        <v>1000</v>
      </c>
      <c r="AB27" s="1">
        <f t="shared" si="10"/>
        <v>0</v>
      </c>
      <c r="AC27" s="1">
        <f t="shared" si="10"/>
        <v>1000</v>
      </c>
    </row>
    <row r="28" spans="1:32" x14ac:dyDescent="0.25">
      <c r="A28">
        <f t="shared" si="0"/>
        <v>57803</v>
      </c>
      <c r="B28">
        <v>24</v>
      </c>
      <c r="C28" t="s">
        <v>105</v>
      </c>
      <c r="D28">
        <v>730</v>
      </c>
      <c r="E28" s="5">
        <v>1621266400</v>
      </c>
      <c r="F28">
        <f t="shared" si="1"/>
        <v>1256</v>
      </c>
      <c r="U28" s="1"/>
      <c r="V28" s="1"/>
      <c r="W28" s="1"/>
      <c r="X28" s="1"/>
      <c r="Y28" s="1"/>
      <c r="AA28" s="6"/>
      <c r="AC28" s="6"/>
    </row>
    <row r="29" spans="1:32" x14ac:dyDescent="0.25">
      <c r="A29">
        <f t="shared" si="0"/>
        <v>59171</v>
      </c>
      <c r="B29">
        <v>25</v>
      </c>
      <c r="C29" t="s">
        <v>106</v>
      </c>
      <c r="D29">
        <v>690</v>
      </c>
      <c r="E29" s="5">
        <v>1621266400</v>
      </c>
      <c r="F29">
        <f t="shared" si="1"/>
        <v>1326</v>
      </c>
      <c r="V29" t="s">
        <v>82</v>
      </c>
      <c r="X29" s="6"/>
      <c r="Y29" s="1"/>
      <c r="Z29" s="1">
        <f>SUM(Z4:Z27)</f>
        <v>7100</v>
      </c>
      <c r="AA29" s="1">
        <f>SUM(AA4:AA27)</f>
        <v>7000</v>
      </c>
      <c r="AB29" s="1">
        <f ca="1">SUM(AB4:AB27)</f>
        <v>5000</v>
      </c>
      <c r="AC29" s="1">
        <f ca="1">SUM(AC4:AC27)</f>
        <v>10846</v>
      </c>
    </row>
    <row r="30" spans="1:32" x14ac:dyDescent="0.25">
      <c r="A30">
        <f t="shared" si="0"/>
        <v>50761</v>
      </c>
      <c r="B30">
        <v>26</v>
      </c>
      <c r="C30" t="s">
        <v>22</v>
      </c>
      <c r="D30">
        <v>970</v>
      </c>
      <c r="E30" s="5">
        <v>1621266400</v>
      </c>
      <c r="F30">
        <f t="shared" si="1"/>
        <v>948</v>
      </c>
      <c r="L30" s="4"/>
      <c r="R30" t="s">
        <v>170</v>
      </c>
      <c r="V30" s="2" t="s">
        <v>33</v>
      </c>
      <c r="W30" s="2" t="s">
        <v>83</v>
      </c>
      <c r="X30" s="6"/>
      <c r="Y30" s="6"/>
      <c r="Z30" s="6"/>
      <c r="AA30" s="6"/>
      <c r="AB30" s="6"/>
    </row>
    <row r="31" spans="1:32" x14ac:dyDescent="0.25">
      <c r="A31">
        <f t="shared" si="0"/>
        <v>56818</v>
      </c>
      <c r="B31">
        <v>27</v>
      </c>
      <c r="C31" t="s">
        <v>23</v>
      </c>
      <c r="D31">
        <v>760</v>
      </c>
      <c r="E31" s="5">
        <v>1621266400</v>
      </c>
      <c r="F31">
        <f t="shared" si="1"/>
        <v>1207</v>
      </c>
      <c r="L31" s="4"/>
      <c r="M31" s="2"/>
      <c r="N31" s="2"/>
      <c r="O31" s="2"/>
      <c r="P31" s="2"/>
      <c r="Q31" s="2"/>
      <c r="R31" t="s">
        <v>169</v>
      </c>
      <c r="S31" s="7"/>
      <c r="T31" s="7"/>
      <c r="U31" s="7"/>
      <c r="V31" s="2">
        <v>0</v>
      </c>
      <c r="W31">
        <v>0</v>
      </c>
      <c r="Z31" s="4">
        <f>Z29+AA29</f>
        <v>14100</v>
      </c>
      <c r="AA31" s="4"/>
      <c r="AB31" s="4">
        <f ca="1">AB29+AC29</f>
        <v>15846</v>
      </c>
      <c r="AE31" s="2"/>
      <c r="AF31" s="2"/>
    </row>
    <row r="32" spans="1:32" x14ac:dyDescent="0.25">
      <c r="A32">
        <f t="shared" si="0"/>
        <v>52110</v>
      </c>
      <c r="B32">
        <v>28</v>
      </c>
      <c r="C32" t="s">
        <v>24</v>
      </c>
      <c r="D32">
        <v>919</v>
      </c>
      <c r="E32" s="5">
        <v>1621266400</v>
      </c>
      <c r="F32">
        <f t="shared" si="1"/>
        <v>1000</v>
      </c>
      <c r="N32" s="1"/>
      <c r="O32" s="1"/>
      <c r="P32" s="1"/>
      <c r="Q32" s="1"/>
      <c r="R32" t="s">
        <v>168</v>
      </c>
      <c r="S32" s="6"/>
      <c r="T32" s="6"/>
      <c r="U32" s="6"/>
      <c r="V32" s="2">
        <v>1</v>
      </c>
      <c r="W32">
        <v>0</v>
      </c>
      <c r="Z32" s="4"/>
      <c r="AA32" s="4"/>
      <c r="AB32" s="4"/>
    </row>
    <row r="33" spans="1:29" x14ac:dyDescent="0.25">
      <c r="A33">
        <f t="shared" si="0"/>
        <v>58139</v>
      </c>
      <c r="B33">
        <v>29</v>
      </c>
      <c r="C33" t="s">
        <v>25</v>
      </c>
      <c r="D33">
        <v>720</v>
      </c>
      <c r="E33" s="5">
        <v>1621266400</v>
      </c>
      <c r="F33">
        <f t="shared" si="1"/>
        <v>1273</v>
      </c>
      <c r="N33" s="1"/>
      <c r="O33" s="1"/>
      <c r="P33" s="1"/>
      <c r="Q33" s="1"/>
      <c r="R33" s="1"/>
      <c r="U33" s="6"/>
      <c r="V33" s="2">
        <v>2</v>
      </c>
      <c r="W33">
        <v>1</v>
      </c>
      <c r="AB33" s="6"/>
    </row>
    <row r="34" spans="1:29" x14ac:dyDescent="0.25">
      <c r="A34">
        <f t="shared" si="0"/>
        <v>59808</v>
      </c>
      <c r="B34">
        <v>30</v>
      </c>
      <c r="C34" t="s">
        <v>26</v>
      </c>
      <c r="D34">
        <v>672</v>
      </c>
      <c r="E34" s="5">
        <v>1621266400</v>
      </c>
      <c r="F34">
        <f t="shared" si="1"/>
        <v>1361</v>
      </c>
      <c r="N34" s="1"/>
      <c r="O34" s="1"/>
      <c r="P34" s="1"/>
      <c r="Q34" s="1"/>
      <c r="S34" s="6"/>
      <c r="T34" s="6"/>
      <c r="U34" s="6"/>
      <c r="V34" s="2">
        <v>3</v>
      </c>
      <c r="W34" s="2">
        <v>0</v>
      </c>
      <c r="AB34" s="6"/>
    </row>
    <row r="35" spans="1:29" ht="15.75" thickBot="1" x14ac:dyDescent="0.3">
      <c r="A35">
        <f t="shared" si="0"/>
        <v>55555</v>
      </c>
      <c r="B35">
        <v>31</v>
      </c>
      <c r="C35" t="s">
        <v>27</v>
      </c>
      <c r="D35">
        <v>800</v>
      </c>
      <c r="E35" s="5">
        <v>1621266400</v>
      </c>
      <c r="F35">
        <f t="shared" si="1"/>
        <v>1148</v>
      </c>
      <c r="N35" s="1"/>
      <c r="P35" s="1"/>
      <c r="Q35" s="1"/>
      <c r="S35" t="s">
        <v>124</v>
      </c>
      <c r="T35" s="2" t="s">
        <v>46</v>
      </c>
      <c r="U35" s="2" t="s">
        <v>47</v>
      </c>
      <c r="AB35" s="6"/>
    </row>
    <row r="36" spans="1:29" x14ac:dyDescent="0.25">
      <c r="N36" s="1"/>
      <c r="P36" s="1"/>
      <c r="Q36" s="1"/>
      <c r="R36" s="1" t="s">
        <v>119</v>
      </c>
      <c r="S36" s="91">
        <v>30000</v>
      </c>
      <c r="T36" s="43">
        <v>30000</v>
      </c>
      <c r="U36" s="44">
        <f ca="1">T36+T38-N38</f>
        <v>28654</v>
      </c>
      <c r="V36" t="s">
        <v>48</v>
      </c>
    </row>
    <row r="37" spans="1:29" x14ac:dyDescent="0.25">
      <c r="P37" s="1"/>
      <c r="Q37" s="1"/>
      <c r="R37" s="1" t="s">
        <v>117</v>
      </c>
      <c r="S37" s="92">
        <f ca="1">W27+W20+W13</f>
        <v>4458</v>
      </c>
      <c r="T37" s="45">
        <f ca="1">X27</f>
        <v>4458</v>
      </c>
      <c r="U37" s="46">
        <v>0</v>
      </c>
      <c r="V37" t="s">
        <v>89</v>
      </c>
      <c r="AB37" s="7"/>
      <c r="AC37" s="7"/>
    </row>
    <row r="38" spans="1:29" x14ac:dyDescent="0.25">
      <c r="M38" s="12" t="s">
        <v>172</v>
      </c>
      <c r="N38" s="4">
        <f ca="1">$Q$6+$S$6+$Q$13+$S$13+T20+R20+Q27+S27</f>
        <v>16346</v>
      </c>
      <c r="P38" s="4"/>
      <c r="Q38" s="1"/>
      <c r="R38" s="1" t="s">
        <v>116</v>
      </c>
      <c r="S38" s="93">
        <f>SUM(L4:M27)</f>
        <v>15000</v>
      </c>
      <c r="T38" s="45">
        <f>SUM(L4:M28)</f>
        <v>15000</v>
      </c>
      <c r="U38" s="46">
        <v>0</v>
      </c>
      <c r="V38" t="s">
        <v>89</v>
      </c>
      <c r="AB38" s="6"/>
      <c r="AC38" s="6"/>
    </row>
    <row r="39" spans="1:29" x14ac:dyDescent="0.25">
      <c r="D39" s="1"/>
      <c r="M39" s="12" t="s">
        <v>171</v>
      </c>
      <c r="N39" s="4">
        <f ca="1">+$S$6+$S$13+T20+S27</f>
        <v>8346</v>
      </c>
      <c r="O39" s="1"/>
      <c r="P39" s="4"/>
      <c r="Q39" s="1"/>
      <c r="R39" s="1" t="s">
        <v>88</v>
      </c>
      <c r="S39" s="93">
        <v>0</v>
      </c>
      <c r="T39" s="45">
        <v>0</v>
      </c>
      <c r="U39" s="47">
        <f ca="1">(S6+T20+S13+S27)*0.05/10</f>
        <v>41.730000000000004</v>
      </c>
      <c r="AC39" s="6"/>
    </row>
    <row r="40" spans="1:29" ht="15.75" thickBot="1" x14ac:dyDescent="0.3">
      <c r="M40" s="12" t="s">
        <v>41</v>
      </c>
      <c r="N40" s="8">
        <f ca="1">0.05*N39</f>
        <v>417.3</v>
      </c>
      <c r="O40" s="1"/>
      <c r="P40" s="1"/>
      <c r="Q40" s="1"/>
      <c r="R40" s="1" t="s">
        <v>127</v>
      </c>
      <c r="S40" s="94"/>
      <c r="T40" s="68">
        <v>4500</v>
      </c>
      <c r="U40" s="55">
        <f ca="1">T40-N40/10</f>
        <v>4458.2700000000004</v>
      </c>
      <c r="AB40" s="6"/>
      <c r="AC40" s="6"/>
    </row>
    <row r="41" spans="1:29" x14ac:dyDescent="0.25">
      <c r="P41" s="27"/>
      <c r="Q41" s="1"/>
    </row>
    <row r="42" spans="1:29" x14ac:dyDescent="0.25">
      <c r="E42" s="31"/>
      <c r="O42" s="4"/>
      <c r="S42" t="s">
        <v>90</v>
      </c>
      <c r="T42" s="4">
        <f ca="1">S6*0.95+Q6-R6+S13*0.95+Q13+T20*0.95+R20+S27*0.95+Q27-R13-Q20-R27</f>
        <v>8928.6999999999989</v>
      </c>
    </row>
    <row r="43" spans="1:29" x14ac:dyDescent="0.25">
      <c r="E43" s="30"/>
      <c r="O43" s="4"/>
      <c r="S43" t="s">
        <v>91</v>
      </c>
      <c r="T43" s="27">
        <f ca="1">T42+U36</f>
        <v>37582.699999999997</v>
      </c>
    </row>
    <row r="44" spans="1:29" x14ac:dyDescent="0.25">
      <c r="O44" s="4"/>
      <c r="U44" s="4">
        <v>4500</v>
      </c>
    </row>
    <row r="45" spans="1:29" x14ac:dyDescent="0.25">
      <c r="D45" s="4"/>
      <c r="O45" s="27"/>
      <c r="U45" s="54">
        <f ca="1">U44-U40</f>
        <v>41.729999999999563</v>
      </c>
    </row>
    <row r="47" spans="1:29" x14ac:dyDescent="0.25">
      <c r="E47" s="28"/>
      <c r="U47" s="27">
        <f ca="1">U36-T36</f>
        <v>-1346</v>
      </c>
    </row>
    <row r="48" spans="1:29" x14ac:dyDescent="0.25">
      <c r="E48" s="28"/>
    </row>
    <row r="49" spans="5:5" x14ac:dyDescent="0.25">
      <c r="E49" s="28"/>
    </row>
  </sheetData>
  <mergeCells count="2">
    <mergeCell ref="Z2:AA2"/>
    <mergeCell ref="AB2:AC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7C398-9796-4573-B682-62701181A4C0}">
  <sheetPr codeName="Sheet2"/>
  <dimension ref="A2:AA45"/>
  <sheetViews>
    <sheetView zoomScale="75" zoomScaleNormal="75" workbookViewId="0">
      <selection activeCell="K5" sqref="K5"/>
    </sheetView>
  </sheetViews>
  <sheetFormatPr defaultRowHeight="15" x14ac:dyDescent="0.25"/>
  <cols>
    <col min="2" max="2" width="27.140625" bestFit="1" customWidth="1"/>
    <col min="3" max="3" width="17.42578125" customWidth="1"/>
    <col min="4" max="4" width="16.85546875" bestFit="1" customWidth="1"/>
    <col min="5" max="5" width="13.28515625" customWidth="1"/>
    <col min="6" max="6" width="9.140625" customWidth="1"/>
    <col min="9" max="9" width="15.5703125" customWidth="1"/>
    <col min="10" max="10" width="11.42578125" bestFit="1" customWidth="1"/>
    <col min="11" max="12" width="16.7109375" customWidth="1"/>
    <col min="13" max="13" width="13.28515625" customWidth="1"/>
    <col min="14" max="14" width="21.28515625" customWidth="1"/>
    <col min="15" max="15" width="16.85546875" customWidth="1"/>
    <col min="16" max="16" width="24.7109375" bestFit="1" customWidth="1"/>
    <col min="17" max="17" width="15" customWidth="1"/>
    <col min="18" max="18" width="17.42578125" customWidth="1"/>
    <col min="19" max="19" width="17.140625" customWidth="1"/>
    <col min="20" max="20" width="12.7109375" customWidth="1"/>
    <col min="21" max="21" width="11.28515625" customWidth="1"/>
    <col min="22" max="22" width="12.140625" customWidth="1"/>
    <col min="23" max="23" width="14.7109375" customWidth="1"/>
    <col min="24" max="24" width="11" customWidth="1"/>
    <col min="26" max="28" width="10.28515625" bestFit="1" customWidth="1"/>
    <col min="29" max="31" width="11.42578125" customWidth="1"/>
    <col min="32" max="37" width="12" customWidth="1"/>
    <col min="38" max="38" width="12" bestFit="1" customWidth="1"/>
    <col min="39" max="39" width="12.5703125" bestFit="1" customWidth="1"/>
    <col min="40" max="40" width="11.42578125" customWidth="1"/>
    <col min="46" max="46" width="12" bestFit="1" customWidth="1"/>
    <col min="48" max="48" width="10.5703125" bestFit="1" customWidth="1"/>
    <col min="54" max="54" width="12" bestFit="1" customWidth="1"/>
    <col min="56" max="56" width="10.5703125" bestFit="1" customWidth="1"/>
  </cols>
  <sheetData>
    <row r="2" spans="1:27" x14ac:dyDescent="0.25">
      <c r="R2" s="2"/>
    </row>
    <row r="3" spans="1:27" x14ac:dyDescent="0.25">
      <c r="D3" t="s">
        <v>49</v>
      </c>
      <c r="I3" s="2" t="s">
        <v>34</v>
      </c>
      <c r="J3" s="2"/>
      <c r="K3" s="2" t="s">
        <v>28</v>
      </c>
      <c r="L3" s="2"/>
      <c r="M3" s="2"/>
      <c r="N3" s="2" t="s">
        <v>31</v>
      </c>
      <c r="O3" s="2"/>
      <c r="P3" s="2"/>
      <c r="Q3" s="2"/>
      <c r="R3" s="2"/>
      <c r="S3" s="2"/>
      <c r="T3" s="2"/>
      <c r="U3" s="2"/>
      <c r="V3" s="2"/>
      <c r="W3" s="2"/>
      <c r="Z3" s="2"/>
      <c r="AA3" s="2"/>
    </row>
    <row r="4" spans="1:27" ht="15.75" x14ac:dyDescent="0.25">
      <c r="A4">
        <v>0</v>
      </c>
      <c r="B4" t="s">
        <v>1</v>
      </c>
      <c r="C4">
        <v>999</v>
      </c>
      <c r="D4">
        <v>800</v>
      </c>
      <c r="E4">
        <v>1111</v>
      </c>
      <c r="F4" s="127">
        <v>900</v>
      </c>
      <c r="I4">
        <v>1000</v>
      </c>
      <c r="K4">
        <v>999</v>
      </c>
      <c r="N4">
        <f>INT(I4*K4/1000)</f>
        <v>999</v>
      </c>
      <c r="P4" s="6"/>
      <c r="Q4" s="6"/>
      <c r="R4" s="1"/>
      <c r="S4" s="1"/>
      <c r="T4" s="1"/>
      <c r="U4" s="6"/>
      <c r="V4" s="6"/>
      <c r="W4" s="6"/>
      <c r="X4" s="6"/>
    </row>
    <row r="5" spans="1:27" ht="16.5" thickBot="1" x14ac:dyDescent="0.3">
      <c r="A5">
        <v>1</v>
      </c>
      <c r="B5" t="s">
        <v>2</v>
      </c>
      <c r="C5" s="114">
        <v>448</v>
      </c>
      <c r="E5">
        <f t="shared" ref="E5:E35" si="0">INT(1000000/(C5+41)-41)</f>
        <v>2003</v>
      </c>
      <c r="F5" s="127">
        <v>901</v>
      </c>
      <c r="I5">
        <v>1000</v>
      </c>
      <c r="K5" s="23">
        <v>800</v>
      </c>
      <c r="N5">
        <f>INT(I5*K5/1000)</f>
        <v>800</v>
      </c>
      <c r="P5" s="6"/>
      <c r="Q5" s="6"/>
      <c r="R5" s="1"/>
      <c r="S5" s="1"/>
      <c r="T5" s="1"/>
      <c r="U5" s="6"/>
      <c r="V5" s="6"/>
      <c r="W5" s="6"/>
      <c r="X5" s="6"/>
    </row>
    <row r="6" spans="1:27" ht="16.5" thickBot="1" x14ac:dyDescent="0.3">
      <c r="A6">
        <v>2</v>
      </c>
      <c r="B6" t="s">
        <v>3</v>
      </c>
      <c r="C6">
        <v>800</v>
      </c>
      <c r="E6">
        <f t="shared" si="0"/>
        <v>1148</v>
      </c>
      <c r="F6" s="127">
        <v>902</v>
      </c>
      <c r="K6" s="107">
        <v>3000</v>
      </c>
      <c r="L6" s="108">
        <f>K6+T5-K14</f>
        <v>3000</v>
      </c>
      <c r="N6">
        <f>SUM(N4:N5)</f>
        <v>1799</v>
      </c>
      <c r="P6" s="6"/>
      <c r="Q6" s="6"/>
      <c r="R6" s="1"/>
      <c r="S6" s="1"/>
      <c r="T6" s="1"/>
      <c r="U6" s="6"/>
      <c r="V6" s="6"/>
      <c r="W6" s="6"/>
      <c r="X6" s="6"/>
    </row>
    <row r="7" spans="1:27" ht="15.75" x14ac:dyDescent="0.25">
      <c r="A7">
        <v>3</v>
      </c>
      <c r="B7" t="s">
        <v>4</v>
      </c>
      <c r="C7" s="114">
        <v>919</v>
      </c>
      <c r="E7">
        <f t="shared" si="0"/>
        <v>1000</v>
      </c>
      <c r="F7" s="127">
        <v>903</v>
      </c>
      <c r="K7" t="s">
        <v>131</v>
      </c>
      <c r="L7" s="4">
        <v>10000</v>
      </c>
      <c r="M7" s="98">
        <v>9000</v>
      </c>
      <c r="N7" s="99">
        <f>M7+INT(0.95*K4)+I4</f>
        <v>10949</v>
      </c>
      <c r="S7" s="6"/>
      <c r="T7" s="6"/>
      <c r="U7" s="6"/>
      <c r="V7" s="6"/>
      <c r="W7" s="6"/>
      <c r="X7" s="6"/>
    </row>
    <row r="8" spans="1:27" ht="15.75" x14ac:dyDescent="0.25">
      <c r="A8">
        <v>4</v>
      </c>
      <c r="B8" t="s">
        <v>5</v>
      </c>
      <c r="C8">
        <v>909</v>
      </c>
      <c r="E8">
        <f t="shared" si="0"/>
        <v>1011</v>
      </c>
      <c r="F8" s="127">
        <v>904</v>
      </c>
      <c r="K8" t="s">
        <v>132</v>
      </c>
      <c r="L8" s="4">
        <v>10000</v>
      </c>
      <c r="M8" s="100">
        <v>9000</v>
      </c>
      <c r="N8" s="101">
        <f>M8+INT(0.95*K5)+I5</f>
        <v>10760</v>
      </c>
      <c r="P8" s="6"/>
      <c r="Q8" s="6"/>
      <c r="R8" s="6"/>
      <c r="S8" s="6"/>
      <c r="T8" s="1"/>
      <c r="U8" s="6"/>
      <c r="V8" s="6"/>
      <c r="W8" s="6"/>
      <c r="X8" s="6"/>
    </row>
    <row r="9" spans="1:27" ht="15.75" x14ac:dyDescent="0.25">
      <c r="A9">
        <v>5</v>
      </c>
      <c r="B9" t="s">
        <v>6</v>
      </c>
      <c r="C9">
        <v>800</v>
      </c>
      <c r="E9">
        <f t="shared" si="0"/>
        <v>1148</v>
      </c>
      <c r="F9" s="127">
        <v>905</v>
      </c>
      <c r="K9" t="s">
        <v>137</v>
      </c>
      <c r="M9" s="100">
        <f>I4+I5</f>
        <v>2000</v>
      </c>
      <c r="N9" s="102"/>
      <c r="Q9" s="6"/>
      <c r="R9" s="6"/>
      <c r="S9" s="6"/>
      <c r="T9" s="1"/>
      <c r="U9" s="6"/>
      <c r="V9" s="6"/>
      <c r="W9" s="6"/>
      <c r="X9" s="6"/>
    </row>
    <row r="10" spans="1:27" ht="15.75" x14ac:dyDescent="0.25">
      <c r="A10">
        <v>6</v>
      </c>
      <c r="B10" t="s">
        <v>7</v>
      </c>
      <c r="C10">
        <v>510</v>
      </c>
      <c r="E10">
        <f t="shared" si="0"/>
        <v>1773</v>
      </c>
      <c r="F10" s="127">
        <v>906</v>
      </c>
      <c r="K10" t="s">
        <v>117</v>
      </c>
      <c r="M10" s="100">
        <f>N4+N5</f>
        <v>1799</v>
      </c>
      <c r="N10" s="102"/>
      <c r="Q10" s="20"/>
      <c r="R10" s="7"/>
      <c r="S10" s="6"/>
      <c r="T10" s="1"/>
      <c r="X10" s="6"/>
      <c r="Z10" s="2"/>
      <c r="AA10" s="2"/>
    </row>
    <row r="11" spans="1:27" ht="15.75" x14ac:dyDescent="0.25">
      <c r="A11">
        <v>7</v>
      </c>
      <c r="B11" t="s">
        <v>8</v>
      </c>
      <c r="C11">
        <v>739</v>
      </c>
      <c r="E11">
        <f t="shared" si="0"/>
        <v>1241</v>
      </c>
      <c r="F11" s="127">
        <v>739</v>
      </c>
      <c r="I11" s="9"/>
      <c r="K11" s="1" t="s">
        <v>88</v>
      </c>
      <c r="L11">
        <v>0</v>
      </c>
      <c r="M11" s="103">
        <v>0</v>
      </c>
      <c r="N11" s="104">
        <f>5/100*(N4+N5)/10</f>
        <v>8.995000000000001</v>
      </c>
      <c r="P11" s="2"/>
      <c r="Q11" s="20"/>
      <c r="R11" s="3"/>
      <c r="X11" s="6"/>
    </row>
    <row r="12" spans="1:27" ht="16.5" thickBot="1" x14ac:dyDescent="0.3">
      <c r="A12">
        <v>8</v>
      </c>
      <c r="B12" t="s">
        <v>9</v>
      </c>
      <c r="C12">
        <v>620</v>
      </c>
      <c r="E12">
        <f t="shared" si="0"/>
        <v>1471</v>
      </c>
      <c r="F12" s="127">
        <v>620</v>
      </c>
      <c r="H12" s="2"/>
      <c r="I12" s="9"/>
      <c r="K12" s="1" t="s">
        <v>133</v>
      </c>
      <c r="L12" s="4">
        <v>30000</v>
      </c>
      <c r="M12" s="105">
        <v>30000</v>
      </c>
      <c r="N12" s="106">
        <f>M12-N4-N5</f>
        <v>28201</v>
      </c>
      <c r="X12" s="6"/>
    </row>
    <row r="13" spans="1:27" ht="15.75" x14ac:dyDescent="0.25">
      <c r="A13">
        <v>9</v>
      </c>
      <c r="B13" t="s">
        <v>10</v>
      </c>
      <c r="C13">
        <v>960</v>
      </c>
      <c r="E13">
        <f t="shared" si="0"/>
        <v>958</v>
      </c>
      <c r="F13" s="127">
        <v>960</v>
      </c>
      <c r="I13" s="1"/>
      <c r="K13" s="1"/>
      <c r="L13" s="1"/>
      <c r="X13" s="6"/>
    </row>
    <row r="14" spans="1:27" ht="15.75" x14ac:dyDescent="0.25">
      <c r="A14">
        <v>10</v>
      </c>
      <c r="B14" t="s">
        <v>11</v>
      </c>
      <c r="C14">
        <v>650</v>
      </c>
      <c r="E14">
        <f t="shared" si="0"/>
        <v>1406</v>
      </c>
      <c r="F14" s="127">
        <v>650</v>
      </c>
      <c r="I14" s="1"/>
      <c r="K14" s="19"/>
      <c r="N14" s="27"/>
      <c r="X14" s="6"/>
    </row>
    <row r="15" spans="1:27" ht="15.75" x14ac:dyDescent="0.25">
      <c r="A15">
        <v>11</v>
      </c>
      <c r="B15" t="s">
        <v>12</v>
      </c>
      <c r="C15">
        <v>688</v>
      </c>
      <c r="E15">
        <f t="shared" si="0"/>
        <v>1330</v>
      </c>
      <c r="F15" s="127">
        <v>688</v>
      </c>
      <c r="I15" s="1"/>
      <c r="K15" s="19" t="s">
        <v>138</v>
      </c>
      <c r="M15">
        <v>5000</v>
      </c>
      <c r="N15" s="54">
        <f>M15-N11</f>
        <v>4991.0050000000001</v>
      </c>
      <c r="X15" s="6"/>
    </row>
    <row r="16" spans="1:27" ht="15.75" x14ac:dyDescent="0.25">
      <c r="A16">
        <v>12</v>
      </c>
      <c r="B16" t="s">
        <v>13</v>
      </c>
      <c r="C16">
        <v>970</v>
      </c>
      <c r="E16">
        <f t="shared" si="0"/>
        <v>948</v>
      </c>
      <c r="F16" s="127">
        <v>970</v>
      </c>
      <c r="I16" s="1"/>
      <c r="X16" s="6"/>
    </row>
    <row r="17" spans="1:27" ht="15.75" x14ac:dyDescent="0.25">
      <c r="A17">
        <v>13</v>
      </c>
      <c r="B17" t="s">
        <v>14</v>
      </c>
      <c r="C17">
        <v>730</v>
      </c>
      <c r="E17">
        <f t="shared" si="0"/>
        <v>1256</v>
      </c>
      <c r="F17" s="127">
        <v>730</v>
      </c>
      <c r="I17" s="1"/>
      <c r="X17" s="6"/>
      <c r="Z17" s="2"/>
      <c r="AA17" s="2"/>
    </row>
    <row r="18" spans="1:27" ht="15.75" x14ac:dyDescent="0.25">
      <c r="A18">
        <v>14</v>
      </c>
      <c r="B18" t="s">
        <v>15</v>
      </c>
      <c r="C18">
        <v>699</v>
      </c>
      <c r="E18">
        <f t="shared" si="0"/>
        <v>1310</v>
      </c>
      <c r="F18" s="127">
        <v>699</v>
      </c>
      <c r="N18" s="27"/>
      <c r="X18" s="6"/>
    </row>
    <row r="19" spans="1:27" ht="15.75" x14ac:dyDescent="0.25">
      <c r="A19">
        <v>15</v>
      </c>
      <c r="B19" t="s">
        <v>16</v>
      </c>
      <c r="C19">
        <v>884</v>
      </c>
      <c r="E19">
        <f t="shared" si="0"/>
        <v>1040</v>
      </c>
      <c r="F19" s="127">
        <v>884</v>
      </c>
      <c r="X19" s="6"/>
    </row>
    <row r="20" spans="1:27" ht="15.75" x14ac:dyDescent="0.25">
      <c r="A20">
        <v>16</v>
      </c>
      <c r="B20" t="s">
        <v>17</v>
      </c>
      <c r="C20">
        <v>520</v>
      </c>
      <c r="E20">
        <f t="shared" si="0"/>
        <v>1741</v>
      </c>
      <c r="F20" s="127">
        <v>520</v>
      </c>
      <c r="X20" s="6"/>
    </row>
    <row r="21" spans="1:27" ht="15.75" x14ac:dyDescent="0.25">
      <c r="A21">
        <v>17</v>
      </c>
      <c r="B21" t="s">
        <v>17</v>
      </c>
      <c r="C21">
        <v>901</v>
      </c>
      <c r="E21">
        <f t="shared" si="0"/>
        <v>1020</v>
      </c>
      <c r="F21" s="127">
        <v>901</v>
      </c>
      <c r="X21" s="6"/>
    </row>
    <row r="22" spans="1:27" ht="15.75" x14ac:dyDescent="0.25">
      <c r="A22">
        <v>18</v>
      </c>
      <c r="B22" t="s">
        <v>18</v>
      </c>
      <c r="C22">
        <v>620</v>
      </c>
      <c r="E22">
        <f t="shared" si="0"/>
        <v>1471</v>
      </c>
      <c r="F22" s="127">
        <v>620</v>
      </c>
      <c r="L22" s="3"/>
      <c r="X22" s="6"/>
    </row>
    <row r="23" spans="1:27" ht="15.75" x14ac:dyDescent="0.25">
      <c r="A23">
        <v>19</v>
      </c>
      <c r="B23" t="s">
        <v>19</v>
      </c>
      <c r="C23">
        <v>764</v>
      </c>
      <c r="E23">
        <f t="shared" si="0"/>
        <v>1201</v>
      </c>
      <c r="F23" s="127">
        <v>764</v>
      </c>
      <c r="L23" s="3"/>
    </row>
    <row r="24" spans="1:27" ht="15.75" x14ac:dyDescent="0.25">
      <c r="A24">
        <v>20</v>
      </c>
      <c r="B24" t="s">
        <v>20</v>
      </c>
      <c r="C24">
        <v>851</v>
      </c>
      <c r="E24">
        <f t="shared" si="0"/>
        <v>1080</v>
      </c>
      <c r="F24" s="127">
        <v>851</v>
      </c>
    </row>
    <row r="25" spans="1:27" ht="15.75" x14ac:dyDescent="0.25">
      <c r="A25">
        <v>21</v>
      </c>
      <c r="B25" t="s">
        <v>21</v>
      </c>
      <c r="C25">
        <v>820</v>
      </c>
      <c r="E25">
        <f t="shared" si="0"/>
        <v>1120</v>
      </c>
      <c r="F25" s="127">
        <v>820</v>
      </c>
    </row>
    <row r="26" spans="1:27" ht="15.75" x14ac:dyDescent="0.25">
      <c r="A26">
        <v>22</v>
      </c>
      <c r="B26" t="s">
        <v>102</v>
      </c>
      <c r="C26">
        <v>770</v>
      </c>
      <c r="E26">
        <f t="shared" si="0"/>
        <v>1192</v>
      </c>
      <c r="F26" s="127">
        <v>770</v>
      </c>
    </row>
    <row r="27" spans="1:27" ht="15.75" x14ac:dyDescent="0.25">
      <c r="A27">
        <v>23</v>
      </c>
      <c r="B27" t="s">
        <v>103</v>
      </c>
      <c r="C27">
        <v>790</v>
      </c>
      <c r="E27">
        <f t="shared" si="0"/>
        <v>1162</v>
      </c>
      <c r="F27" s="127">
        <v>790</v>
      </c>
    </row>
    <row r="28" spans="1:27" ht="15.75" x14ac:dyDescent="0.25">
      <c r="A28">
        <v>24</v>
      </c>
      <c r="B28" t="s">
        <v>104</v>
      </c>
      <c r="C28">
        <v>730</v>
      </c>
      <c r="E28">
        <f t="shared" si="0"/>
        <v>1256</v>
      </c>
      <c r="F28" s="127">
        <v>730</v>
      </c>
    </row>
    <row r="29" spans="1:27" ht="15.75" x14ac:dyDescent="0.25">
      <c r="A29">
        <v>25</v>
      </c>
      <c r="B29" t="s">
        <v>105</v>
      </c>
      <c r="C29">
        <v>690</v>
      </c>
      <c r="E29">
        <f t="shared" si="0"/>
        <v>1326</v>
      </c>
      <c r="F29" s="127">
        <v>690</v>
      </c>
    </row>
    <row r="30" spans="1:27" ht="15.75" x14ac:dyDescent="0.25">
      <c r="A30">
        <v>26</v>
      </c>
      <c r="B30" t="s">
        <v>106</v>
      </c>
      <c r="C30">
        <v>970</v>
      </c>
      <c r="E30">
        <f t="shared" si="0"/>
        <v>948</v>
      </c>
      <c r="F30" s="127">
        <v>970</v>
      </c>
    </row>
    <row r="31" spans="1:27" ht="15.75" x14ac:dyDescent="0.25">
      <c r="A31">
        <v>27</v>
      </c>
      <c r="B31" t="s">
        <v>22</v>
      </c>
      <c r="C31">
        <v>760</v>
      </c>
      <c r="E31">
        <f t="shared" si="0"/>
        <v>1207</v>
      </c>
      <c r="F31" s="127">
        <v>760</v>
      </c>
    </row>
    <row r="32" spans="1:27" ht="15.75" x14ac:dyDescent="0.25">
      <c r="A32">
        <v>28</v>
      </c>
      <c r="B32" t="s">
        <v>23</v>
      </c>
      <c r="C32">
        <v>919</v>
      </c>
      <c r="E32">
        <f t="shared" si="0"/>
        <v>1000</v>
      </c>
      <c r="F32" s="127">
        <v>919</v>
      </c>
    </row>
    <row r="33" spans="1:12" ht="15.75" x14ac:dyDescent="0.25">
      <c r="A33">
        <v>29</v>
      </c>
      <c r="B33" t="s">
        <v>24</v>
      </c>
      <c r="C33">
        <v>720</v>
      </c>
      <c r="E33">
        <f t="shared" si="0"/>
        <v>1273</v>
      </c>
      <c r="F33" s="127">
        <v>720</v>
      </c>
      <c r="K33" s="9"/>
      <c r="L33" s="9"/>
    </row>
    <row r="34" spans="1:12" ht="15.75" x14ac:dyDescent="0.25">
      <c r="A34">
        <v>30</v>
      </c>
      <c r="B34" t="s">
        <v>25</v>
      </c>
      <c r="C34">
        <v>672</v>
      </c>
      <c r="E34">
        <f t="shared" si="0"/>
        <v>1361</v>
      </c>
      <c r="F34" s="127">
        <v>672</v>
      </c>
      <c r="K34" s="1"/>
      <c r="L34" s="8"/>
    </row>
    <row r="35" spans="1:12" ht="15.75" x14ac:dyDescent="0.25">
      <c r="A35">
        <v>31</v>
      </c>
      <c r="B35" t="s">
        <v>26</v>
      </c>
      <c r="C35">
        <v>800</v>
      </c>
      <c r="E35">
        <f t="shared" si="0"/>
        <v>1148</v>
      </c>
      <c r="F35" s="127">
        <v>800</v>
      </c>
      <c r="K35" s="1"/>
      <c r="L35" s="8"/>
    </row>
    <row r="36" spans="1:12" x14ac:dyDescent="0.25">
      <c r="B36" t="s">
        <v>27</v>
      </c>
      <c r="K36" s="1"/>
      <c r="L36" s="8"/>
    </row>
    <row r="37" spans="1:12" x14ac:dyDescent="0.25">
      <c r="K37" s="1"/>
      <c r="L37" s="8"/>
    </row>
    <row r="38" spans="1:12" x14ac:dyDescent="0.25">
      <c r="K38" s="1"/>
      <c r="L38" s="8"/>
    </row>
    <row r="39" spans="1:12" x14ac:dyDescent="0.25">
      <c r="K39" s="2"/>
      <c r="L39" s="3"/>
    </row>
    <row r="45" spans="1:12" x14ac:dyDescent="0.25">
      <c r="D45" s="4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A6C5E-91EE-4299-8FE0-BE203C94C1B8}">
  <sheetPr codeName="Sheet9"/>
  <dimension ref="A1:AA45"/>
  <sheetViews>
    <sheetView zoomScale="75" zoomScaleNormal="75" workbookViewId="0">
      <selection activeCell="J14" sqref="J14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6" width="9.140625" customWidth="1"/>
    <col min="7" max="7" width="11.85546875" customWidth="1"/>
    <col min="9" max="9" width="12.7109375" customWidth="1"/>
    <col min="10" max="10" width="13" customWidth="1"/>
    <col min="11" max="11" width="13.28515625" customWidth="1"/>
    <col min="12" max="12" width="16.7109375" customWidth="1"/>
    <col min="13" max="13" width="23.5703125" customWidth="1"/>
    <col min="14" max="14" width="16.85546875" customWidth="1"/>
    <col min="15" max="15" width="23.7109375" bestFit="1" customWidth="1"/>
    <col min="16" max="16" width="20.5703125" customWidth="1"/>
    <col min="17" max="17" width="18.5703125" customWidth="1"/>
    <col min="18" max="18" width="15" customWidth="1"/>
    <col min="19" max="19" width="17.140625" customWidth="1"/>
    <col min="20" max="20" width="12.7109375" customWidth="1"/>
    <col min="21" max="21" width="11.28515625" customWidth="1"/>
    <col min="22" max="22" width="12.140625" customWidth="1"/>
    <col min="23" max="23" width="14.7109375" customWidth="1"/>
    <col min="24" max="24" width="11" customWidth="1"/>
    <col min="26" max="28" width="10.28515625" bestFit="1" customWidth="1"/>
    <col min="29" max="31" width="11.42578125" customWidth="1"/>
    <col min="32" max="37" width="12" customWidth="1"/>
    <col min="38" max="38" width="12" bestFit="1" customWidth="1"/>
    <col min="39" max="39" width="12.5703125" bestFit="1" customWidth="1"/>
    <col min="40" max="40" width="11.42578125" customWidth="1"/>
    <col min="46" max="46" width="12" bestFit="1" customWidth="1"/>
    <col min="48" max="48" width="10.5703125" bestFit="1" customWidth="1"/>
    <col min="54" max="54" width="12" bestFit="1" customWidth="1"/>
    <col min="56" max="56" width="10.5703125" bestFit="1" customWidth="1"/>
  </cols>
  <sheetData>
    <row r="1" spans="1:27" x14ac:dyDescent="0.25">
      <c r="C1" s="1" t="s">
        <v>52</v>
      </c>
    </row>
    <row r="2" spans="1:27" x14ac:dyDescent="0.25">
      <c r="I2" t="s">
        <v>0</v>
      </c>
      <c r="J2" t="s">
        <v>0</v>
      </c>
      <c r="R2" s="2"/>
    </row>
    <row r="3" spans="1:27" x14ac:dyDescent="0.25">
      <c r="G3" s="2" t="s">
        <v>152</v>
      </c>
      <c r="H3" s="2" t="s">
        <v>33</v>
      </c>
      <c r="I3" s="2" t="s">
        <v>228</v>
      </c>
      <c r="J3" s="2" t="s">
        <v>229</v>
      </c>
      <c r="K3" s="2" t="s">
        <v>28</v>
      </c>
      <c r="L3" s="2" t="s">
        <v>122</v>
      </c>
      <c r="M3" s="2" t="s">
        <v>83</v>
      </c>
      <c r="N3" s="2" t="s">
        <v>189</v>
      </c>
      <c r="O3" s="2" t="s">
        <v>243</v>
      </c>
      <c r="P3" s="2"/>
      <c r="Q3" s="2"/>
      <c r="R3" s="2"/>
      <c r="S3" s="2"/>
      <c r="T3" s="2"/>
      <c r="U3" s="2"/>
      <c r="V3" s="2"/>
      <c r="W3" s="2"/>
      <c r="Z3" s="2"/>
      <c r="AA3" s="2"/>
    </row>
    <row r="4" spans="1:27" x14ac:dyDescent="0.25">
      <c r="A4">
        <f t="shared" ref="A4:A35" si="0">INT(100000/(1+D4/1000))</f>
        <v>50025</v>
      </c>
      <c r="B4">
        <v>0</v>
      </c>
      <c r="C4" t="s">
        <v>1</v>
      </c>
      <c r="D4">
        <v>999</v>
      </c>
      <c r="E4" s="5">
        <v>1611266400</v>
      </c>
      <c r="F4">
        <f>INT(1000000/(D4+41)-41)</f>
        <v>920</v>
      </c>
      <c r="G4">
        <v>3</v>
      </c>
      <c r="H4">
        <v>0</v>
      </c>
      <c r="I4">
        <v>0</v>
      </c>
      <c r="J4">
        <v>1000</v>
      </c>
      <c r="K4">
        <f ca="1">OFFSET(IF(I4&gt;0,D$4,F$4),H4,0)</f>
        <v>920</v>
      </c>
      <c r="L4">
        <f ca="1">J4*K4/1000</f>
        <v>920</v>
      </c>
      <c r="M4" t="b">
        <v>0</v>
      </c>
      <c r="N4">
        <v>0</v>
      </c>
      <c r="O4">
        <v>0</v>
      </c>
      <c r="P4" s="48"/>
      <c r="Q4" s="48"/>
      <c r="R4" s="6"/>
      <c r="S4" s="6"/>
      <c r="T4" s="6"/>
      <c r="U4" s="6"/>
      <c r="V4" s="6"/>
      <c r="W4" s="6"/>
      <c r="X4" s="6"/>
    </row>
    <row r="5" spans="1:27" x14ac:dyDescent="0.25">
      <c r="A5">
        <f t="shared" si="0"/>
        <v>69060</v>
      </c>
      <c r="B5">
        <v>1</v>
      </c>
      <c r="C5" t="s">
        <v>2</v>
      </c>
      <c r="D5">
        <v>448</v>
      </c>
      <c r="E5" s="5">
        <v>1611266400</v>
      </c>
      <c r="F5">
        <f t="shared" ref="F5:F6" si="1">INT(1000000/(D5+41)-41)</f>
        <v>2003</v>
      </c>
      <c r="G5">
        <v>3</v>
      </c>
      <c r="H5">
        <v>3</v>
      </c>
      <c r="I5">
        <v>0</v>
      </c>
      <c r="J5">
        <v>1000</v>
      </c>
      <c r="K5">
        <f>D7</f>
        <v>919</v>
      </c>
      <c r="L5">
        <f t="shared" ref="L5:L6" si="2">J5*K5/1000</f>
        <v>919</v>
      </c>
      <c r="M5" t="s">
        <v>84</v>
      </c>
      <c r="N5">
        <v>0</v>
      </c>
      <c r="O5">
        <f>J5</f>
        <v>1000</v>
      </c>
      <c r="P5" s="48"/>
      <c r="Q5" s="48"/>
      <c r="R5" s="6"/>
      <c r="S5" s="6"/>
      <c r="T5" s="6"/>
      <c r="U5" s="6"/>
      <c r="V5" s="6"/>
      <c r="W5" s="6"/>
      <c r="X5" s="6"/>
    </row>
    <row r="6" spans="1:27" x14ac:dyDescent="0.25">
      <c r="A6">
        <f t="shared" si="0"/>
        <v>66666</v>
      </c>
      <c r="B6">
        <v>2</v>
      </c>
      <c r="C6" t="s">
        <v>3</v>
      </c>
      <c r="D6">
        <v>500</v>
      </c>
      <c r="E6" s="5">
        <v>1611266400</v>
      </c>
      <c r="F6">
        <f t="shared" si="1"/>
        <v>1807</v>
      </c>
      <c r="G6">
        <v>3</v>
      </c>
      <c r="H6">
        <v>3</v>
      </c>
      <c r="I6">
        <v>1</v>
      </c>
      <c r="J6">
        <v>1000</v>
      </c>
      <c r="K6">
        <f>F7</f>
        <v>919</v>
      </c>
      <c r="L6">
        <f t="shared" si="2"/>
        <v>919</v>
      </c>
      <c r="M6" t="s">
        <v>84</v>
      </c>
      <c r="N6">
        <v>0</v>
      </c>
      <c r="O6">
        <f>J6</f>
        <v>1000</v>
      </c>
      <c r="P6" s="48"/>
      <c r="Q6" s="48"/>
      <c r="R6" s="6"/>
      <c r="T6" s="6"/>
      <c r="U6" s="6"/>
      <c r="V6" s="6"/>
      <c r="W6" s="6"/>
      <c r="X6" s="6"/>
    </row>
    <row r="7" spans="1:27" x14ac:dyDescent="0.25">
      <c r="A7">
        <f t="shared" si="0"/>
        <v>52110</v>
      </c>
      <c r="B7">
        <v>3</v>
      </c>
      <c r="C7" t="s">
        <v>4</v>
      </c>
      <c r="D7">
        <v>919</v>
      </c>
      <c r="E7" s="5">
        <v>1611266400</v>
      </c>
      <c r="F7">
        <v>919</v>
      </c>
      <c r="T7" s="6"/>
      <c r="U7" s="6"/>
      <c r="V7" s="6"/>
      <c r="W7" s="6"/>
      <c r="X7" s="6"/>
    </row>
    <row r="8" spans="1:27" x14ac:dyDescent="0.25">
      <c r="A8">
        <f t="shared" si="0"/>
        <v>52383</v>
      </c>
      <c r="B8">
        <v>4</v>
      </c>
      <c r="C8" t="s">
        <v>5</v>
      </c>
      <c r="D8">
        <v>909</v>
      </c>
      <c r="E8" s="5">
        <v>1611266400</v>
      </c>
      <c r="F8">
        <v>1011</v>
      </c>
      <c r="O8" t="s">
        <v>128</v>
      </c>
      <c r="P8" s="48"/>
      <c r="Q8" s="48"/>
      <c r="R8" s="6"/>
      <c r="S8" s="6"/>
      <c r="T8" s="2"/>
      <c r="U8" s="2"/>
      <c r="V8" s="6"/>
      <c r="W8" s="6"/>
      <c r="X8" s="6"/>
    </row>
    <row r="9" spans="1:27" x14ac:dyDescent="0.25">
      <c r="A9">
        <f t="shared" si="0"/>
        <v>55555</v>
      </c>
      <c r="B9">
        <v>5</v>
      </c>
      <c r="C9" t="s">
        <v>6</v>
      </c>
      <c r="D9">
        <v>800</v>
      </c>
      <c r="E9" s="5">
        <v>1609290000</v>
      </c>
      <c r="F9">
        <v>1148</v>
      </c>
      <c r="O9" s="11"/>
      <c r="P9" s="48"/>
      <c r="Q9" s="48"/>
      <c r="R9" s="6"/>
      <c r="S9" s="6"/>
      <c r="T9" s="6"/>
      <c r="U9" s="6"/>
      <c r="V9" s="6"/>
      <c r="W9" s="6"/>
      <c r="X9" s="6"/>
    </row>
    <row r="10" spans="1:27" x14ac:dyDescent="0.25">
      <c r="A10">
        <f t="shared" si="0"/>
        <v>66225</v>
      </c>
      <c r="B10">
        <v>6</v>
      </c>
      <c r="C10" t="s">
        <v>7</v>
      </c>
      <c r="D10">
        <v>510</v>
      </c>
      <c r="E10" s="5">
        <v>1611266400</v>
      </c>
      <c r="F10">
        <v>1449</v>
      </c>
      <c r="G10" s="2" t="s">
        <v>152</v>
      </c>
      <c r="H10" s="2" t="s">
        <v>33</v>
      </c>
      <c r="I10" s="2" t="s">
        <v>228</v>
      </c>
      <c r="J10" s="2" t="s">
        <v>229</v>
      </c>
      <c r="K10" s="2" t="s">
        <v>28</v>
      </c>
      <c r="L10" s="2" t="s">
        <v>122</v>
      </c>
      <c r="M10" s="2" t="s">
        <v>83</v>
      </c>
      <c r="N10" s="2" t="s">
        <v>189</v>
      </c>
      <c r="O10" s="2" t="s">
        <v>243</v>
      </c>
      <c r="P10" s="49"/>
      <c r="Q10" s="49"/>
      <c r="R10" s="2"/>
      <c r="S10" s="2"/>
      <c r="T10" s="6"/>
      <c r="U10" s="6"/>
      <c r="V10" s="6"/>
      <c r="W10" s="6"/>
      <c r="X10" s="6"/>
      <c r="Z10" s="2"/>
      <c r="AA10" s="2"/>
    </row>
    <row r="11" spans="1:27" x14ac:dyDescent="0.25">
      <c r="A11">
        <f t="shared" si="0"/>
        <v>57504</v>
      </c>
      <c r="B11">
        <v>7</v>
      </c>
      <c r="C11" t="s">
        <v>8</v>
      </c>
      <c r="D11">
        <v>739</v>
      </c>
      <c r="E11" s="5">
        <v>1611266400</v>
      </c>
      <c r="F11">
        <v>1162</v>
      </c>
      <c r="G11">
        <v>2</v>
      </c>
      <c r="H11">
        <v>0</v>
      </c>
      <c r="I11">
        <v>1</v>
      </c>
      <c r="J11" s="15">
        <v>1000</v>
      </c>
      <c r="K11">
        <f>F4</f>
        <v>920</v>
      </c>
      <c r="L11">
        <f>K11/1000*J11</f>
        <v>920</v>
      </c>
      <c r="M11" t="b">
        <v>1</v>
      </c>
      <c r="N11" s="3">
        <f>L11*0.05</f>
        <v>46</v>
      </c>
      <c r="O11">
        <f>L11-N11+J11</f>
        <v>1874</v>
      </c>
      <c r="P11" s="48"/>
      <c r="Q11" s="48"/>
      <c r="R11" s="6"/>
      <c r="S11" s="6"/>
      <c r="T11" s="6"/>
      <c r="U11" s="6"/>
      <c r="V11" s="6"/>
      <c r="W11" s="6"/>
      <c r="X11" s="6"/>
    </row>
    <row r="12" spans="1:27" x14ac:dyDescent="0.25">
      <c r="A12">
        <f t="shared" si="0"/>
        <v>61728</v>
      </c>
      <c r="B12">
        <v>8</v>
      </c>
      <c r="C12" t="s">
        <v>9</v>
      </c>
      <c r="D12">
        <v>620</v>
      </c>
      <c r="E12" s="5">
        <v>1611266400</v>
      </c>
      <c r="F12">
        <v>1519</v>
      </c>
      <c r="G12">
        <v>2</v>
      </c>
      <c r="H12">
        <v>2</v>
      </c>
      <c r="I12">
        <v>1</v>
      </c>
      <c r="J12">
        <v>1000</v>
      </c>
      <c r="K12">
        <f>F6</f>
        <v>1807</v>
      </c>
      <c r="L12">
        <f>K12/1000*J12</f>
        <v>1807</v>
      </c>
      <c r="M12" t="b">
        <v>1</v>
      </c>
      <c r="N12" s="3">
        <f>(L12*0.05)</f>
        <v>90.350000000000009</v>
      </c>
      <c r="O12">
        <f t="shared" ref="O12" si="3">L12-N12+J12</f>
        <v>2716.65</v>
      </c>
      <c r="P12" s="48"/>
      <c r="Q12" s="48"/>
      <c r="R12" s="6"/>
      <c r="S12" s="6"/>
      <c r="T12" s="6"/>
      <c r="U12" s="6"/>
      <c r="V12" s="6"/>
      <c r="W12" s="6"/>
      <c r="X12" s="6"/>
    </row>
    <row r="13" spans="1:27" x14ac:dyDescent="0.25">
      <c r="A13">
        <f t="shared" si="0"/>
        <v>51020</v>
      </c>
      <c r="B13">
        <v>9</v>
      </c>
      <c r="C13" t="s">
        <v>10</v>
      </c>
      <c r="D13">
        <v>960</v>
      </c>
      <c r="E13" s="5">
        <v>1611266400</v>
      </c>
      <c r="F13">
        <v>1056</v>
      </c>
      <c r="O13" s="4"/>
      <c r="P13" s="6"/>
      <c r="Q13" s="6"/>
      <c r="R13" s="50"/>
      <c r="S13" s="6"/>
      <c r="T13" s="6"/>
      <c r="U13" s="6"/>
      <c r="V13" s="6"/>
      <c r="W13" s="6"/>
      <c r="X13" s="6"/>
    </row>
    <row r="14" spans="1:27" x14ac:dyDescent="0.25">
      <c r="A14">
        <f t="shared" si="0"/>
        <v>60606</v>
      </c>
      <c r="B14">
        <v>10</v>
      </c>
      <c r="C14" t="s">
        <v>11</v>
      </c>
      <c r="D14">
        <v>650</v>
      </c>
      <c r="E14" s="5">
        <v>1609290000</v>
      </c>
      <c r="F14">
        <v>1569</v>
      </c>
      <c r="N14" s="2" t="s">
        <v>235</v>
      </c>
      <c r="O14" s="2" t="s">
        <v>238</v>
      </c>
      <c r="R14" s="2"/>
      <c r="S14" s="6"/>
      <c r="T14" s="7"/>
      <c r="U14" s="7"/>
      <c r="V14" s="6"/>
      <c r="W14" s="6"/>
    </row>
    <row r="15" spans="1:27" x14ac:dyDescent="0.25">
      <c r="A15">
        <f t="shared" si="0"/>
        <v>59241</v>
      </c>
      <c r="B15">
        <v>11</v>
      </c>
      <c r="C15" t="s">
        <v>12</v>
      </c>
      <c r="D15">
        <v>688</v>
      </c>
      <c r="E15" s="5">
        <v>1611266400</v>
      </c>
      <c r="F15">
        <v>677</v>
      </c>
      <c r="L15" s="59"/>
      <c r="M15" t="s">
        <v>227</v>
      </c>
      <c r="N15" s="4">
        <v>30000</v>
      </c>
      <c r="O15" s="4">
        <f>N15+SUM(J4:J12)-J5-J6-J11-J12-L11-L12</f>
        <v>28273</v>
      </c>
      <c r="S15" s="6"/>
      <c r="T15" s="6"/>
      <c r="U15" s="6"/>
      <c r="V15" s="7"/>
      <c r="W15" s="6"/>
    </row>
    <row r="16" spans="1:27" x14ac:dyDescent="0.25">
      <c r="A16">
        <f t="shared" si="0"/>
        <v>50761</v>
      </c>
      <c r="B16">
        <v>12</v>
      </c>
      <c r="C16" t="s">
        <v>13</v>
      </c>
      <c r="D16">
        <v>970</v>
      </c>
      <c r="E16" s="5">
        <v>1611266400</v>
      </c>
      <c r="F16">
        <v>710</v>
      </c>
      <c r="M16" t="s">
        <v>90</v>
      </c>
      <c r="N16" s="4">
        <v>2000</v>
      </c>
      <c r="O16" s="3">
        <f>INT(N16+L11+L12-N11-N12)</f>
        <v>4590</v>
      </c>
      <c r="S16" s="7"/>
      <c r="T16" s="6"/>
      <c r="U16" s="6"/>
      <c r="V16" s="6"/>
      <c r="W16" s="6"/>
    </row>
    <row r="17" spans="1:27" x14ac:dyDescent="0.25">
      <c r="A17">
        <f t="shared" si="0"/>
        <v>57803</v>
      </c>
      <c r="B17">
        <v>13</v>
      </c>
      <c r="C17" t="s">
        <v>14</v>
      </c>
      <c r="D17">
        <v>730</v>
      </c>
      <c r="E17" s="5">
        <v>1611266400</v>
      </c>
      <c r="F17">
        <v>1651</v>
      </c>
      <c r="J17" s="1"/>
      <c r="K17" s="1"/>
      <c r="M17" t="s">
        <v>91</v>
      </c>
      <c r="N17" s="4">
        <v>3000</v>
      </c>
      <c r="O17" s="4">
        <f>N17-J4</f>
        <v>2000</v>
      </c>
      <c r="P17" s="6"/>
      <c r="Q17" s="6"/>
      <c r="S17" s="6"/>
      <c r="T17" s="6"/>
      <c r="U17" s="6"/>
      <c r="V17" s="6"/>
      <c r="W17" s="6"/>
      <c r="Z17" s="2"/>
      <c r="AA17" s="2"/>
    </row>
    <row r="18" spans="1:27" x14ac:dyDescent="0.25">
      <c r="A18">
        <f t="shared" si="0"/>
        <v>58858</v>
      </c>
      <c r="B18">
        <v>14</v>
      </c>
      <c r="C18" t="s">
        <v>15</v>
      </c>
      <c r="D18">
        <v>699</v>
      </c>
      <c r="E18" s="5">
        <v>1611266400</v>
      </c>
      <c r="F18">
        <v>752</v>
      </c>
      <c r="J18" s="1"/>
      <c r="K18" s="1"/>
      <c r="M18" s="89"/>
      <c r="S18" s="6"/>
      <c r="T18" s="6"/>
      <c r="U18" s="6"/>
      <c r="V18" s="6"/>
      <c r="W18" s="6"/>
      <c r="X18" s="7"/>
    </row>
    <row r="19" spans="1:27" x14ac:dyDescent="0.25">
      <c r="A19">
        <f t="shared" si="0"/>
        <v>53078</v>
      </c>
      <c r="B19">
        <v>15</v>
      </c>
      <c r="C19" t="s">
        <v>16</v>
      </c>
      <c r="D19">
        <v>884</v>
      </c>
      <c r="E19" s="5">
        <v>1609290000</v>
      </c>
      <c r="F19">
        <v>1680</v>
      </c>
      <c r="J19" s="1"/>
      <c r="K19" s="1"/>
      <c r="M19" s="89"/>
      <c r="N19" s="4">
        <f>SUM(N15:N18)</f>
        <v>35000</v>
      </c>
      <c r="O19" s="4">
        <f>SUM(O15:O18)</f>
        <v>34863</v>
      </c>
      <c r="S19" s="6"/>
      <c r="T19" s="6"/>
      <c r="U19" s="6"/>
      <c r="W19" s="6"/>
      <c r="X19" s="6"/>
    </row>
    <row r="20" spans="1:27" x14ac:dyDescent="0.25">
      <c r="A20">
        <f t="shared" si="0"/>
        <v>65789</v>
      </c>
      <c r="B20">
        <v>16</v>
      </c>
      <c r="C20" t="s">
        <v>17</v>
      </c>
      <c r="D20">
        <v>520</v>
      </c>
      <c r="E20" s="5">
        <v>1611266400</v>
      </c>
      <c r="F20">
        <v>727</v>
      </c>
      <c r="J20" s="18"/>
      <c r="M20" t="s">
        <v>233</v>
      </c>
      <c r="N20">
        <v>200</v>
      </c>
      <c r="O20" s="66">
        <v>1000000000</v>
      </c>
      <c r="S20" s="6"/>
      <c r="T20" s="7"/>
      <c r="U20" s="7"/>
      <c r="W20" s="6"/>
      <c r="X20" s="6"/>
    </row>
    <row r="21" spans="1:27" x14ac:dyDescent="0.25">
      <c r="A21">
        <f t="shared" si="0"/>
        <v>52603</v>
      </c>
      <c r="B21">
        <v>17</v>
      </c>
      <c r="C21" t="s">
        <v>18</v>
      </c>
      <c r="D21">
        <v>901</v>
      </c>
      <c r="E21" s="5">
        <v>1611266400</v>
      </c>
      <c r="F21">
        <v>752</v>
      </c>
      <c r="J21" s="18"/>
      <c r="M21" t="s">
        <v>53</v>
      </c>
      <c r="N21" s="4">
        <v>33491</v>
      </c>
      <c r="S21" s="6"/>
      <c r="T21" s="6"/>
      <c r="U21" s="6"/>
      <c r="W21" s="6"/>
      <c r="X21" s="6"/>
    </row>
    <row r="22" spans="1:27" x14ac:dyDescent="0.25">
      <c r="A22">
        <f t="shared" si="0"/>
        <v>61728</v>
      </c>
      <c r="B22">
        <v>18</v>
      </c>
      <c r="C22" t="s">
        <v>19</v>
      </c>
      <c r="D22">
        <v>620</v>
      </c>
      <c r="E22" s="5">
        <v>1611266400</v>
      </c>
      <c r="F22">
        <v>798</v>
      </c>
      <c r="G22" s="2"/>
      <c r="J22" s="18"/>
      <c r="M22" t="s">
        <v>85</v>
      </c>
      <c r="N22" s="3">
        <f>N21*N20*O20/O22</f>
        <v>6.6981999999999999</v>
      </c>
      <c r="O22" s="66">
        <v>1000000000000000</v>
      </c>
      <c r="S22" s="7"/>
      <c r="X22" s="6"/>
    </row>
    <row r="23" spans="1:27" ht="15.75" thickBot="1" x14ac:dyDescent="0.3">
      <c r="A23">
        <f t="shared" si="0"/>
        <v>56689</v>
      </c>
      <c r="B23">
        <v>19</v>
      </c>
      <c r="C23" t="s">
        <v>20</v>
      </c>
      <c r="D23">
        <v>764</v>
      </c>
      <c r="E23" s="5">
        <v>1611266400</v>
      </c>
      <c r="F23">
        <v>928</v>
      </c>
      <c r="M23" s="3"/>
      <c r="S23" s="6"/>
      <c r="T23" s="2"/>
      <c r="U23" s="13"/>
      <c r="V23" s="7"/>
      <c r="X23" s="6"/>
    </row>
    <row r="24" spans="1:27" x14ac:dyDescent="0.25">
      <c r="A24">
        <f t="shared" si="0"/>
        <v>54024</v>
      </c>
      <c r="B24">
        <v>20</v>
      </c>
      <c r="C24" t="s">
        <v>21</v>
      </c>
      <c r="D24">
        <v>851</v>
      </c>
      <c r="E24" s="5">
        <v>1609290000</v>
      </c>
      <c r="F24">
        <v>1569</v>
      </c>
      <c r="M24" s="128" t="s">
        <v>230</v>
      </c>
      <c r="N24" s="129">
        <f>(N11+N12)/10</f>
        <v>13.635000000000002</v>
      </c>
      <c r="O24" s="130"/>
      <c r="S24" s="50"/>
      <c r="T24" s="6"/>
      <c r="U24" s="6"/>
      <c r="V24" s="6"/>
      <c r="X24" s="6"/>
      <c r="Z24" s="2"/>
      <c r="AA24" s="2"/>
    </row>
    <row r="25" spans="1:27" x14ac:dyDescent="0.25">
      <c r="A25">
        <f t="shared" si="0"/>
        <v>54945</v>
      </c>
      <c r="B25">
        <v>21</v>
      </c>
      <c r="C25" t="s">
        <v>102</v>
      </c>
      <c r="D25">
        <v>820</v>
      </c>
      <c r="E25" s="5">
        <v>1611266400</v>
      </c>
      <c r="F25">
        <v>1120</v>
      </c>
      <c r="M25" s="131" t="s">
        <v>231</v>
      </c>
      <c r="N25" s="132">
        <f>(N17+N16+N15-N24*10)/10</f>
        <v>3486.3650000000002</v>
      </c>
      <c r="O25" s="133" t="s">
        <v>240</v>
      </c>
      <c r="T25" s="3"/>
      <c r="U25" s="3"/>
      <c r="V25" s="6"/>
      <c r="X25" s="6"/>
    </row>
    <row r="26" spans="1:27" x14ac:dyDescent="0.25">
      <c r="A26">
        <f t="shared" si="0"/>
        <v>56497</v>
      </c>
      <c r="B26">
        <v>22</v>
      </c>
      <c r="C26" t="s">
        <v>103</v>
      </c>
      <c r="D26">
        <v>770</v>
      </c>
      <c r="E26" s="5">
        <v>1611266400</v>
      </c>
      <c r="F26">
        <v>859</v>
      </c>
      <c r="M26" s="131" t="s">
        <v>239</v>
      </c>
      <c r="N26" s="135">
        <f>O16</f>
        <v>4590</v>
      </c>
      <c r="O26" s="133" t="s">
        <v>240</v>
      </c>
      <c r="S26" s="17"/>
      <c r="T26" s="3"/>
      <c r="U26" s="3"/>
      <c r="V26" s="6"/>
      <c r="W26" s="7"/>
    </row>
    <row r="27" spans="1:27" x14ac:dyDescent="0.25">
      <c r="A27">
        <f t="shared" si="0"/>
        <v>55865</v>
      </c>
      <c r="B27">
        <v>23</v>
      </c>
      <c r="C27" t="s">
        <v>104</v>
      </c>
      <c r="D27">
        <v>790</v>
      </c>
      <c r="E27" s="5">
        <v>1611266400</v>
      </c>
      <c r="F27">
        <v>1519</v>
      </c>
      <c r="M27" s="131" t="s">
        <v>231</v>
      </c>
      <c r="N27" s="132">
        <f>N25</f>
        <v>3486.3650000000002</v>
      </c>
      <c r="O27" s="133" t="s">
        <v>241</v>
      </c>
      <c r="S27" s="17"/>
      <c r="T27" s="6"/>
      <c r="U27" s="6"/>
      <c r="W27" s="6"/>
    </row>
    <row r="28" spans="1:27" x14ac:dyDescent="0.25">
      <c r="A28">
        <f t="shared" si="0"/>
        <v>57803</v>
      </c>
      <c r="B28">
        <v>24</v>
      </c>
      <c r="C28" t="s">
        <v>105</v>
      </c>
      <c r="D28">
        <v>730</v>
      </c>
      <c r="E28" s="5">
        <v>1611266400</v>
      </c>
      <c r="F28">
        <v>1207</v>
      </c>
      <c r="L28" s="3"/>
      <c r="M28" s="131" t="s">
        <v>239</v>
      </c>
      <c r="N28" s="135">
        <f>N26</f>
        <v>4590</v>
      </c>
      <c r="O28" s="133" t="s">
        <v>241</v>
      </c>
      <c r="P28" s="58"/>
      <c r="Q28" s="9"/>
      <c r="T28" s="3"/>
      <c r="U28" s="3"/>
      <c r="W28" s="6"/>
    </row>
    <row r="29" spans="1:27" x14ac:dyDescent="0.25">
      <c r="A29">
        <f t="shared" si="0"/>
        <v>59171</v>
      </c>
      <c r="B29">
        <v>25</v>
      </c>
      <c r="C29" t="s">
        <v>106</v>
      </c>
      <c r="D29">
        <v>690</v>
      </c>
      <c r="E29" s="5">
        <v>1609290000</v>
      </c>
      <c r="F29">
        <v>1385</v>
      </c>
      <c r="M29" s="134" t="s">
        <v>232</v>
      </c>
      <c r="N29" s="135">
        <f>O16/10</f>
        <v>459</v>
      </c>
      <c r="O29" s="133"/>
      <c r="P29" s="8"/>
      <c r="Q29" s="8"/>
      <c r="T29" s="3"/>
      <c r="U29" s="3"/>
      <c r="W29" s="6"/>
    </row>
    <row r="30" spans="1:27" x14ac:dyDescent="0.25">
      <c r="A30">
        <f t="shared" si="0"/>
        <v>50761</v>
      </c>
      <c r="B30">
        <v>26</v>
      </c>
      <c r="C30" t="s">
        <v>22</v>
      </c>
      <c r="D30">
        <v>970</v>
      </c>
      <c r="E30" s="5">
        <v>1611266400</v>
      </c>
      <c r="F30">
        <v>1680</v>
      </c>
      <c r="K30" s="12"/>
      <c r="M30" s="131" t="s">
        <v>234</v>
      </c>
      <c r="N30" s="135">
        <f>N29-N22</f>
        <v>452.30180000000001</v>
      </c>
      <c r="O30" s="133" t="s">
        <v>236</v>
      </c>
      <c r="P30" s="8"/>
      <c r="Q30" s="8"/>
      <c r="X30" s="6"/>
    </row>
    <row r="31" spans="1:27" ht="15.75" thickBot="1" x14ac:dyDescent="0.3">
      <c r="A31">
        <f t="shared" si="0"/>
        <v>56818</v>
      </c>
      <c r="B31">
        <v>27</v>
      </c>
      <c r="C31" t="s">
        <v>23</v>
      </c>
      <c r="D31">
        <v>760</v>
      </c>
      <c r="E31" s="5">
        <v>1611266400</v>
      </c>
      <c r="F31">
        <v>672</v>
      </c>
      <c r="M31" s="136" t="s">
        <v>237</v>
      </c>
      <c r="N31" s="137">
        <f>N25-N29</f>
        <v>3027.3650000000002</v>
      </c>
      <c r="O31" s="138" t="s">
        <v>242</v>
      </c>
      <c r="P31" s="8"/>
      <c r="Q31" s="8"/>
      <c r="T31" s="9"/>
      <c r="Z31" s="2"/>
      <c r="AA31" s="2"/>
    </row>
    <row r="32" spans="1:27" x14ac:dyDescent="0.25">
      <c r="A32">
        <f t="shared" si="0"/>
        <v>52110</v>
      </c>
      <c r="B32">
        <v>28</v>
      </c>
      <c r="C32" t="s">
        <v>24</v>
      </c>
      <c r="D32">
        <v>919</v>
      </c>
      <c r="E32" s="5">
        <v>1611266400</v>
      </c>
      <c r="F32">
        <v>1056</v>
      </c>
      <c r="M32" s="8"/>
      <c r="O32" s="1"/>
      <c r="P32" s="8"/>
      <c r="Q32" s="8"/>
      <c r="T32" s="9"/>
    </row>
    <row r="33" spans="1:23" x14ac:dyDescent="0.25">
      <c r="A33">
        <f t="shared" si="0"/>
        <v>58139</v>
      </c>
      <c r="B33">
        <v>29</v>
      </c>
      <c r="C33" t="s">
        <v>25</v>
      </c>
      <c r="D33">
        <v>720</v>
      </c>
      <c r="E33" s="5">
        <v>1611266400</v>
      </c>
      <c r="F33">
        <v>1094</v>
      </c>
      <c r="I33" s="1"/>
      <c r="J33" s="1"/>
      <c r="K33" s="10"/>
      <c r="L33" s="14"/>
      <c r="M33" s="8"/>
      <c r="O33" s="1"/>
      <c r="P33" s="8"/>
      <c r="Q33" s="8"/>
      <c r="T33" s="3"/>
    </row>
    <row r="34" spans="1:23" x14ac:dyDescent="0.25">
      <c r="A34">
        <f t="shared" si="0"/>
        <v>59808</v>
      </c>
      <c r="B34">
        <v>30</v>
      </c>
      <c r="C34" t="s">
        <v>26</v>
      </c>
      <c r="D34">
        <v>672</v>
      </c>
      <c r="E34" s="5">
        <v>1609290000</v>
      </c>
      <c r="F34">
        <v>1595</v>
      </c>
      <c r="I34" s="1"/>
      <c r="J34" s="1"/>
      <c r="K34" s="10"/>
      <c r="L34" s="14"/>
      <c r="M34" s="3"/>
      <c r="O34" s="2"/>
      <c r="P34" s="3"/>
      <c r="Q34" s="3"/>
      <c r="T34" s="3"/>
    </row>
    <row r="35" spans="1:23" x14ac:dyDescent="0.25">
      <c r="A35">
        <f t="shared" si="0"/>
        <v>55555</v>
      </c>
      <c r="B35">
        <v>31</v>
      </c>
      <c r="C35" t="s">
        <v>27</v>
      </c>
      <c r="D35">
        <v>800</v>
      </c>
      <c r="E35" s="5">
        <v>1611266400</v>
      </c>
      <c r="F35">
        <v>448</v>
      </c>
      <c r="I35" s="1"/>
      <c r="J35" s="1"/>
      <c r="K35" s="10"/>
      <c r="L35" s="1"/>
      <c r="T35" s="3"/>
      <c r="U35" s="6"/>
      <c r="V35" s="6"/>
    </row>
    <row r="36" spans="1:23" x14ac:dyDescent="0.25">
      <c r="I36" s="1"/>
      <c r="J36" s="1"/>
      <c r="K36" s="10"/>
      <c r="L36" s="1"/>
      <c r="T36" s="3"/>
    </row>
    <row r="37" spans="1:23" x14ac:dyDescent="0.25">
      <c r="I37" s="1"/>
      <c r="J37" s="1"/>
      <c r="K37" s="2"/>
      <c r="L37" s="1"/>
      <c r="T37" s="3"/>
    </row>
    <row r="38" spans="1:23" x14ac:dyDescent="0.25">
      <c r="E38" s="5"/>
      <c r="W38" s="6"/>
    </row>
    <row r="39" spans="1:23" x14ac:dyDescent="0.25">
      <c r="K39" s="9"/>
      <c r="L39" s="9"/>
    </row>
    <row r="40" spans="1:23" x14ac:dyDescent="0.25">
      <c r="K40" s="1"/>
      <c r="L40" s="8"/>
    </row>
    <row r="41" spans="1:23" x14ac:dyDescent="0.25">
      <c r="K41" s="1"/>
      <c r="L41" s="8"/>
    </row>
    <row r="42" spans="1:23" x14ac:dyDescent="0.25">
      <c r="K42" s="1"/>
      <c r="L42" s="8"/>
    </row>
    <row r="43" spans="1:23" x14ac:dyDescent="0.25">
      <c r="K43" s="1"/>
      <c r="L43" s="8"/>
    </row>
    <row r="44" spans="1:23" x14ac:dyDescent="0.25">
      <c r="I44" s="4"/>
      <c r="K44" s="1"/>
      <c r="L44" s="8"/>
    </row>
    <row r="45" spans="1:23" x14ac:dyDescent="0.25">
      <c r="D45" s="4"/>
      <c r="K45" s="2"/>
      <c r="L45" s="3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FE2B8-0133-42FC-B8F8-CFAFB6B75C79}">
  <sheetPr codeName="Sheet5"/>
  <dimension ref="B1:V65"/>
  <sheetViews>
    <sheetView tabSelected="1" zoomScale="75" zoomScaleNormal="75" workbookViewId="0">
      <selection activeCell="D7" sqref="D7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6" width="9.140625" customWidth="1"/>
    <col min="7" max="8" width="11.85546875" customWidth="1"/>
    <col min="10" max="10" width="10.28515625" customWidth="1"/>
    <col min="11" max="11" width="12.7109375" customWidth="1"/>
    <col min="12" max="12" width="20.5703125" customWidth="1"/>
    <col min="13" max="13" width="13.28515625" customWidth="1"/>
    <col min="14" max="14" width="16.7109375" customWidth="1"/>
    <col min="15" max="15" width="25" customWidth="1"/>
    <col min="16" max="16" width="16.85546875" customWidth="1"/>
    <col min="17" max="17" width="16.7109375" customWidth="1"/>
    <col min="18" max="18" width="14.7109375" customWidth="1"/>
    <col min="19" max="19" width="11" customWidth="1"/>
    <col min="21" max="23" width="10.28515625" bestFit="1" customWidth="1"/>
    <col min="24" max="26" width="11.42578125" customWidth="1"/>
    <col min="27" max="32" width="12" customWidth="1"/>
    <col min="33" max="33" width="12" bestFit="1" customWidth="1"/>
    <col min="34" max="34" width="12.5703125" bestFit="1" customWidth="1"/>
    <col min="35" max="35" width="11.42578125" customWidth="1"/>
    <col min="41" max="41" width="12" bestFit="1" customWidth="1"/>
    <col min="43" max="43" width="10.5703125" bestFit="1" customWidth="1"/>
    <col min="49" max="49" width="12" bestFit="1" customWidth="1"/>
    <col min="51" max="51" width="10.5703125" bestFit="1" customWidth="1"/>
  </cols>
  <sheetData>
    <row r="1" spans="2:22" x14ac:dyDescent="0.25">
      <c r="C1" s="1" t="s">
        <v>52</v>
      </c>
      <c r="E1" s="163" t="s">
        <v>272</v>
      </c>
      <c r="F1" s="114"/>
      <c r="G1" s="114"/>
    </row>
    <row r="2" spans="2:22" x14ac:dyDescent="0.25">
      <c r="M2">
        <v>1</v>
      </c>
    </row>
    <row r="3" spans="2:22" x14ac:dyDescent="0.25">
      <c r="S3" s="2"/>
      <c r="U3" s="2"/>
      <c r="V3" s="2"/>
    </row>
    <row r="4" spans="2:22" x14ac:dyDescent="0.25">
      <c r="B4">
        <v>0</v>
      </c>
      <c r="C4" t="s">
        <v>1</v>
      </c>
      <c r="D4">
        <v>999</v>
      </c>
      <c r="E4" s="5">
        <v>1611266400</v>
      </c>
      <c r="F4">
        <f t="shared" ref="F4:F35" si="0">INT(1000000/(D4+41)-41)</f>
        <v>920</v>
      </c>
      <c r="S4" s="6"/>
    </row>
    <row r="5" spans="2:22" ht="15.75" thickBot="1" x14ac:dyDescent="0.3">
      <c r="B5">
        <v>1</v>
      </c>
      <c r="C5" t="s">
        <v>2</v>
      </c>
      <c r="D5">
        <v>448</v>
      </c>
      <c r="E5" s="5">
        <v>1611266400</v>
      </c>
      <c r="F5">
        <f>INT(1000000/(D5+41)-41)</f>
        <v>2003</v>
      </c>
      <c r="H5" s="2" t="s">
        <v>120</v>
      </c>
      <c r="I5" s="2" t="s">
        <v>244</v>
      </c>
      <c r="J5" s="2" t="s">
        <v>228</v>
      </c>
      <c r="K5" s="2" t="s">
        <v>245</v>
      </c>
      <c r="L5" s="2" t="s">
        <v>246</v>
      </c>
      <c r="M5" s="2" t="s">
        <v>267</v>
      </c>
      <c r="N5" s="2" t="s">
        <v>249</v>
      </c>
      <c r="O5" s="2" t="s">
        <v>90</v>
      </c>
      <c r="P5" s="2" t="s">
        <v>91</v>
      </c>
      <c r="S5" s="6"/>
    </row>
    <row r="6" spans="2:22" x14ac:dyDescent="0.25">
      <c r="B6">
        <v>2</v>
      </c>
      <c r="C6" t="s">
        <v>3</v>
      </c>
      <c r="D6">
        <v>500</v>
      </c>
      <c r="E6" s="5">
        <v>1611266400</v>
      </c>
      <c r="F6">
        <f t="shared" si="0"/>
        <v>1807</v>
      </c>
      <c r="H6" s="141">
        <v>3</v>
      </c>
      <c r="I6" s="77">
        <v>0</v>
      </c>
      <c r="J6" s="77">
        <v>0</v>
      </c>
      <c r="K6" s="77">
        <v>1000</v>
      </c>
      <c r="L6" s="77">
        <f>D4</f>
        <v>999</v>
      </c>
      <c r="M6" s="77"/>
      <c r="N6" s="77"/>
      <c r="O6" t="s">
        <v>269</v>
      </c>
      <c r="S6" s="6"/>
    </row>
    <row r="7" spans="2:22" x14ac:dyDescent="0.25">
      <c r="B7">
        <v>3</v>
      </c>
      <c r="C7" t="s">
        <v>4</v>
      </c>
      <c r="D7">
        <v>919</v>
      </c>
      <c r="E7" s="5">
        <v>1611266400</v>
      </c>
      <c r="F7">
        <f t="shared" si="0"/>
        <v>1000</v>
      </c>
      <c r="H7" s="147">
        <v>2</v>
      </c>
      <c r="I7">
        <v>0</v>
      </c>
      <c r="J7">
        <v>1</v>
      </c>
      <c r="K7">
        <v>1000</v>
      </c>
      <c r="L7">
        <f>F4</f>
        <v>920</v>
      </c>
      <c r="M7" s="4">
        <f>INT(K7+L7*0.95)</f>
        <v>1874</v>
      </c>
      <c r="N7" s="161">
        <f>L7*K7/1000*0.05</f>
        <v>46</v>
      </c>
      <c r="O7" s="27" t="s">
        <v>83</v>
      </c>
      <c r="S7" s="6"/>
    </row>
    <row r="8" spans="2:22" ht="15.75" thickBot="1" x14ac:dyDescent="0.3">
      <c r="B8">
        <v>4</v>
      </c>
      <c r="C8" t="s">
        <v>5</v>
      </c>
      <c r="D8">
        <v>909</v>
      </c>
      <c r="E8" s="5">
        <v>1611266400</v>
      </c>
      <c r="F8">
        <f t="shared" si="0"/>
        <v>1011</v>
      </c>
      <c r="H8" s="143">
        <v>2</v>
      </c>
      <c r="I8" s="144">
        <v>2</v>
      </c>
      <c r="J8" s="144">
        <v>1</v>
      </c>
      <c r="K8" s="144">
        <v>1000</v>
      </c>
      <c r="L8" s="148">
        <f>F6</f>
        <v>1807</v>
      </c>
      <c r="M8" s="63">
        <f>INT(K8+L8*0.95)</f>
        <v>2716</v>
      </c>
      <c r="N8" s="145">
        <f>L8*K8/1000*0.05</f>
        <v>90.350000000000009</v>
      </c>
      <c r="O8" s="27" t="s">
        <v>121</v>
      </c>
      <c r="S8" s="6"/>
    </row>
    <row r="9" spans="2:22" x14ac:dyDescent="0.25">
      <c r="B9">
        <v>5</v>
      </c>
      <c r="C9" t="s">
        <v>6</v>
      </c>
      <c r="D9">
        <v>800</v>
      </c>
      <c r="E9" s="5">
        <v>1609290000</v>
      </c>
      <c r="F9">
        <f t="shared" si="0"/>
        <v>1148</v>
      </c>
      <c r="H9" s="162"/>
      <c r="K9" s="4">
        <f>SUM(K6:K8)</f>
        <v>3000</v>
      </c>
      <c r="L9" s="4">
        <f>SUM(L6:L8)</f>
        <v>3726</v>
      </c>
      <c r="M9" s="140">
        <f>M8+M7</f>
        <v>4590</v>
      </c>
      <c r="N9" s="4"/>
      <c r="S9" s="6"/>
    </row>
    <row r="10" spans="2:22" x14ac:dyDescent="0.25">
      <c r="B10">
        <v>6</v>
      </c>
      <c r="C10" t="s">
        <v>7</v>
      </c>
      <c r="D10">
        <v>510</v>
      </c>
      <c r="E10" s="5">
        <v>1611266400</v>
      </c>
      <c r="F10">
        <f t="shared" si="0"/>
        <v>1773</v>
      </c>
      <c r="S10" s="6"/>
      <c r="U10" s="2"/>
      <c r="V10" s="2"/>
    </row>
    <row r="11" spans="2:22" x14ac:dyDescent="0.25">
      <c r="B11">
        <v>7</v>
      </c>
      <c r="C11" t="s">
        <v>8</v>
      </c>
      <c r="D11">
        <v>739</v>
      </c>
      <c r="E11" s="5">
        <v>1611266400</v>
      </c>
      <c r="F11">
        <f t="shared" si="0"/>
        <v>1241</v>
      </c>
      <c r="J11" s="1" t="s">
        <v>270</v>
      </c>
      <c r="S11" s="6"/>
    </row>
    <row r="12" spans="2:22" x14ac:dyDescent="0.25">
      <c r="B12">
        <v>8</v>
      </c>
      <c r="C12" t="s">
        <v>9</v>
      </c>
      <c r="D12">
        <v>620</v>
      </c>
      <c r="E12" s="5">
        <v>1611266400</v>
      </c>
      <c r="F12">
        <f t="shared" si="0"/>
        <v>1471</v>
      </c>
      <c r="H12" s="2" t="s">
        <v>120</v>
      </c>
      <c r="I12" s="2" t="s">
        <v>244</v>
      </c>
      <c r="J12" s="2" t="s">
        <v>228</v>
      </c>
      <c r="K12" s="2" t="s">
        <v>245</v>
      </c>
      <c r="L12" s="2" t="s">
        <v>247</v>
      </c>
      <c r="M12" s="2" t="s">
        <v>267</v>
      </c>
      <c r="N12" s="2"/>
      <c r="S12" s="6"/>
    </row>
    <row r="13" spans="2:22" x14ac:dyDescent="0.25">
      <c r="B13">
        <v>9</v>
      </c>
      <c r="C13" t="s">
        <v>10</v>
      </c>
      <c r="D13">
        <v>960</v>
      </c>
      <c r="E13" s="5">
        <v>1611266400</v>
      </c>
      <c r="F13">
        <f t="shared" si="0"/>
        <v>958</v>
      </c>
      <c r="G13" t="s">
        <v>265</v>
      </c>
      <c r="H13" s="1">
        <v>2</v>
      </c>
      <c r="I13">
        <v>2</v>
      </c>
      <c r="J13">
        <v>0</v>
      </c>
      <c r="K13">
        <v>1000</v>
      </c>
      <c r="L13">
        <v>2500</v>
      </c>
      <c r="M13" s="4"/>
      <c r="N13" s="8"/>
      <c r="S13" s="6"/>
    </row>
    <row r="14" spans="2:22" x14ac:dyDescent="0.25">
      <c r="B14">
        <v>10</v>
      </c>
      <c r="C14" t="s">
        <v>11</v>
      </c>
      <c r="D14">
        <v>650</v>
      </c>
      <c r="E14" s="5">
        <v>1609290000</v>
      </c>
      <c r="F14">
        <f t="shared" si="0"/>
        <v>1406</v>
      </c>
      <c r="G14" t="s">
        <v>265</v>
      </c>
      <c r="H14" s="1">
        <v>2</v>
      </c>
      <c r="I14">
        <v>3</v>
      </c>
      <c r="J14">
        <v>0</v>
      </c>
      <c r="K14" s="114">
        <v>1000</v>
      </c>
      <c r="L14">
        <v>1950</v>
      </c>
      <c r="M14" s="140">
        <f>INT(K14+K14*(L14-1000)/1000*0.95)*0</f>
        <v>0</v>
      </c>
      <c r="N14" s="8"/>
    </row>
    <row r="15" spans="2:22" x14ac:dyDescent="0.25">
      <c r="B15">
        <v>11</v>
      </c>
      <c r="C15" t="s">
        <v>12</v>
      </c>
      <c r="D15">
        <v>688</v>
      </c>
      <c r="E15" s="5">
        <v>1611266400</v>
      </c>
      <c r="F15">
        <f t="shared" si="0"/>
        <v>1330</v>
      </c>
      <c r="G15" t="s">
        <v>265</v>
      </c>
      <c r="H15" s="1">
        <v>2</v>
      </c>
      <c r="I15">
        <v>3</v>
      </c>
      <c r="J15">
        <v>0</v>
      </c>
      <c r="K15">
        <v>3000</v>
      </c>
      <c r="L15">
        <v>2000</v>
      </c>
      <c r="M15" s="4">
        <f>INT(K15+K15*(L15-1000)/1000*0.95)*0</f>
        <v>0</v>
      </c>
      <c r="O15" t="s">
        <v>268</v>
      </c>
    </row>
    <row r="16" spans="2:22" x14ac:dyDescent="0.25">
      <c r="B16">
        <v>12</v>
      </c>
      <c r="C16" t="s">
        <v>13</v>
      </c>
      <c r="D16">
        <v>970</v>
      </c>
      <c r="E16" s="5">
        <v>1611266400</v>
      </c>
      <c r="F16">
        <f t="shared" si="0"/>
        <v>948</v>
      </c>
    </row>
    <row r="17" spans="2:22" ht="15.75" thickBot="1" x14ac:dyDescent="0.3">
      <c r="B17">
        <v>13</v>
      </c>
      <c r="C17" t="s">
        <v>14</v>
      </c>
      <c r="D17">
        <v>730</v>
      </c>
      <c r="E17" s="5">
        <v>1611266400</v>
      </c>
      <c r="F17">
        <f t="shared" si="0"/>
        <v>1256</v>
      </c>
      <c r="J17" t="s">
        <v>271</v>
      </c>
      <c r="U17" s="2"/>
      <c r="V17" s="2"/>
    </row>
    <row r="18" spans="2:22" ht="15.75" thickBot="1" x14ac:dyDescent="0.3">
      <c r="B18">
        <v>14</v>
      </c>
      <c r="C18" t="s">
        <v>15</v>
      </c>
      <c r="D18">
        <v>699</v>
      </c>
      <c r="E18" s="5">
        <v>1611266400</v>
      </c>
      <c r="F18">
        <f t="shared" si="0"/>
        <v>1310</v>
      </c>
      <c r="G18" t="s">
        <v>266</v>
      </c>
      <c r="H18" s="141">
        <v>3</v>
      </c>
      <c r="I18" s="77">
        <v>2</v>
      </c>
      <c r="J18" s="77">
        <v>1</v>
      </c>
      <c r="K18" s="60">
        <f>(L13-1000)/1000*K13</f>
        <v>1500</v>
      </c>
      <c r="L18" s="60">
        <f>(1+K13/K18)*1000</f>
        <v>1666.6666666666665</v>
      </c>
      <c r="M18" s="142">
        <f>INT(K18+(L18-1000)*0.95/1000*K18)</f>
        <v>2450</v>
      </c>
      <c r="N18" s="146">
        <f>K18*(L18-1000)/1000*0.05</f>
        <v>49.999999999999993</v>
      </c>
      <c r="O18" s="27">
        <f>K18</f>
        <v>1500</v>
      </c>
      <c r="S18" s="7"/>
    </row>
    <row r="19" spans="2:22" ht="15.75" thickBot="1" x14ac:dyDescent="0.3">
      <c r="B19">
        <v>15</v>
      </c>
      <c r="C19" t="s">
        <v>16</v>
      </c>
      <c r="D19">
        <v>884</v>
      </c>
      <c r="E19" s="5">
        <v>1609290000</v>
      </c>
      <c r="F19">
        <f t="shared" si="0"/>
        <v>1040</v>
      </c>
      <c r="G19" t="s">
        <v>266</v>
      </c>
      <c r="H19" s="143">
        <v>3</v>
      </c>
      <c r="I19" s="144">
        <v>3</v>
      </c>
      <c r="J19" s="144">
        <v>1</v>
      </c>
      <c r="K19" s="63">
        <f>(L14-1000)/1000*K14</f>
        <v>950</v>
      </c>
      <c r="L19" s="63">
        <f>(1+K14/K19)*1000</f>
        <v>2052.6315789473683</v>
      </c>
      <c r="M19" s="142">
        <f>INT(K19+(L19-1000)*0.95/1000*K19)</f>
        <v>1900</v>
      </c>
      <c r="N19" s="146">
        <f>K19*(L19-1000)/1000*0.05</f>
        <v>50</v>
      </c>
      <c r="S19" s="6"/>
    </row>
    <row r="20" spans="2:22" ht="15.75" thickBot="1" x14ac:dyDescent="0.3">
      <c r="B20">
        <v>16</v>
      </c>
      <c r="C20" t="s">
        <v>17</v>
      </c>
      <c r="D20">
        <v>520</v>
      </c>
      <c r="E20" s="5">
        <v>1611266400</v>
      </c>
      <c r="F20">
        <f t="shared" si="0"/>
        <v>1741</v>
      </c>
      <c r="J20" t="s">
        <v>253</v>
      </c>
      <c r="K20" t="s">
        <v>252</v>
      </c>
      <c r="L20" s="27"/>
      <c r="S20" s="6"/>
    </row>
    <row r="21" spans="2:22" x14ac:dyDescent="0.25">
      <c r="B21">
        <v>17</v>
      </c>
      <c r="C21" t="s">
        <v>18</v>
      </c>
      <c r="D21">
        <v>901</v>
      </c>
      <c r="E21" s="5">
        <v>1611266400</v>
      </c>
      <c r="F21">
        <f t="shared" si="0"/>
        <v>1020</v>
      </c>
      <c r="I21" t="s">
        <v>248</v>
      </c>
      <c r="J21" s="4">
        <v>10000</v>
      </c>
      <c r="K21" s="157">
        <f>J21-M9+K6+K7+K8-N7-N8</f>
        <v>8273.65</v>
      </c>
      <c r="M21" s="4"/>
      <c r="O21" s="3"/>
      <c r="S21" s="6"/>
    </row>
    <row r="22" spans="2:22" x14ac:dyDescent="0.25">
      <c r="B22">
        <v>18</v>
      </c>
      <c r="C22" t="s">
        <v>19</v>
      </c>
      <c r="D22">
        <v>620</v>
      </c>
      <c r="E22" s="5">
        <v>1611266400</v>
      </c>
      <c r="F22">
        <f t="shared" si="0"/>
        <v>1471</v>
      </c>
      <c r="M22" s="4"/>
      <c r="Q22" s="18"/>
      <c r="S22" s="6"/>
    </row>
    <row r="23" spans="2:22" x14ac:dyDescent="0.25">
      <c r="B23">
        <v>19</v>
      </c>
      <c r="C23" t="s">
        <v>20</v>
      </c>
      <c r="D23">
        <v>764</v>
      </c>
      <c r="E23" s="5">
        <v>1611266400</v>
      </c>
      <c r="F23">
        <f t="shared" si="0"/>
        <v>1201</v>
      </c>
      <c r="M23" s="4"/>
      <c r="Q23" s="18"/>
      <c r="S23" s="6"/>
    </row>
    <row r="24" spans="2:22" x14ac:dyDescent="0.25">
      <c r="B24">
        <v>20</v>
      </c>
      <c r="C24" t="s">
        <v>21</v>
      </c>
      <c r="D24">
        <v>851</v>
      </c>
      <c r="E24" s="5">
        <v>1609290000</v>
      </c>
      <c r="F24">
        <f t="shared" si="0"/>
        <v>1080</v>
      </c>
      <c r="I24" t="s">
        <v>251</v>
      </c>
      <c r="K24" s="149">
        <f>(N7+N8+N18+N19)/10</f>
        <v>23.635000000000002</v>
      </c>
      <c r="L24">
        <v>28.635000000000002</v>
      </c>
      <c r="M24" s="3">
        <f>K24-L24</f>
        <v>-5</v>
      </c>
      <c r="Q24" s="18"/>
      <c r="U24" s="2"/>
      <c r="V24" s="2"/>
    </row>
    <row r="25" spans="2:22" ht="15.75" thickBot="1" x14ac:dyDescent="0.3">
      <c r="B25">
        <v>21</v>
      </c>
      <c r="C25" t="s">
        <v>102</v>
      </c>
      <c r="D25">
        <v>820</v>
      </c>
      <c r="E25" s="5">
        <v>1611266400</v>
      </c>
      <c r="F25">
        <f t="shared" si="0"/>
        <v>1120</v>
      </c>
      <c r="I25" t="s">
        <v>250</v>
      </c>
      <c r="K25" s="159">
        <f>(J27+J26+J21-K24)/10</f>
        <v>4997.6364999999996</v>
      </c>
      <c r="M25" s="4"/>
    </row>
    <row r="26" spans="2:22" x14ac:dyDescent="0.25">
      <c r="B26">
        <v>22</v>
      </c>
      <c r="C26" t="s">
        <v>103</v>
      </c>
      <c r="D26">
        <v>770</v>
      </c>
      <c r="E26" s="5">
        <v>1611266400</v>
      </c>
      <c r="F26">
        <f t="shared" si="0"/>
        <v>1192</v>
      </c>
      <c r="H26" s="140">
        <v>20590</v>
      </c>
      <c r="I26" t="s">
        <v>90</v>
      </c>
      <c r="J26" s="4">
        <v>20000</v>
      </c>
      <c r="K26" s="160">
        <f>J26-K7-K8+M7+M8-K13+M14-K14</f>
        <v>20590</v>
      </c>
      <c r="M26" s="27"/>
    </row>
    <row r="27" spans="2:22" x14ac:dyDescent="0.25">
      <c r="B27">
        <v>23</v>
      </c>
      <c r="C27" t="s">
        <v>104</v>
      </c>
      <c r="D27">
        <v>790</v>
      </c>
      <c r="E27" s="5">
        <v>1611266400</v>
      </c>
      <c r="F27">
        <f t="shared" si="0"/>
        <v>1162</v>
      </c>
      <c r="H27" s="140">
        <v>10900</v>
      </c>
      <c r="I27" t="s">
        <v>91</v>
      </c>
      <c r="J27" s="4">
        <v>20000</v>
      </c>
      <c r="K27" s="158">
        <f>J27-K6-K18-K19+M18+M19</f>
        <v>20900</v>
      </c>
      <c r="L27" s="3"/>
      <c r="M27" s="27"/>
    </row>
    <row r="28" spans="2:22" x14ac:dyDescent="0.25">
      <c r="B28">
        <v>24</v>
      </c>
      <c r="C28" t="s">
        <v>105</v>
      </c>
      <c r="D28">
        <v>730</v>
      </c>
      <c r="E28" s="5">
        <v>1611266400</v>
      </c>
      <c r="F28">
        <f t="shared" si="0"/>
        <v>1256</v>
      </c>
      <c r="L28" s="3"/>
    </row>
    <row r="29" spans="2:22" x14ac:dyDescent="0.25">
      <c r="B29">
        <v>25</v>
      </c>
      <c r="C29" t="s">
        <v>106</v>
      </c>
      <c r="D29">
        <v>690</v>
      </c>
      <c r="E29" s="5">
        <v>1609290000</v>
      </c>
      <c r="F29">
        <f t="shared" si="0"/>
        <v>1326</v>
      </c>
      <c r="L29" s="3"/>
    </row>
    <row r="30" spans="2:22" x14ac:dyDescent="0.25">
      <c r="B30">
        <v>26</v>
      </c>
      <c r="C30" t="s">
        <v>22</v>
      </c>
      <c r="D30">
        <v>970</v>
      </c>
      <c r="E30" s="5">
        <v>1611266400</v>
      </c>
      <c r="F30">
        <f t="shared" si="0"/>
        <v>948</v>
      </c>
    </row>
    <row r="31" spans="2:22" x14ac:dyDescent="0.25">
      <c r="B31">
        <v>27</v>
      </c>
      <c r="C31" t="s">
        <v>23</v>
      </c>
      <c r="D31">
        <v>760</v>
      </c>
      <c r="E31" s="5">
        <v>1611266400</v>
      </c>
      <c r="F31">
        <f t="shared" si="0"/>
        <v>1207</v>
      </c>
      <c r="U31" s="2"/>
      <c r="V31" s="2"/>
    </row>
    <row r="32" spans="2:22" x14ac:dyDescent="0.25">
      <c r="B32">
        <v>28</v>
      </c>
      <c r="C32" t="s">
        <v>24</v>
      </c>
      <c r="D32">
        <v>919</v>
      </c>
      <c r="E32" s="5">
        <v>1611266400</v>
      </c>
      <c r="F32">
        <f t="shared" si="0"/>
        <v>1000</v>
      </c>
    </row>
    <row r="33" spans="2:18" x14ac:dyDescent="0.25">
      <c r="B33">
        <v>29</v>
      </c>
      <c r="C33" t="s">
        <v>25</v>
      </c>
      <c r="D33">
        <v>720</v>
      </c>
      <c r="E33" s="5">
        <v>1611266400</v>
      </c>
      <c r="F33">
        <f t="shared" si="0"/>
        <v>1273</v>
      </c>
    </row>
    <row r="34" spans="2:18" x14ac:dyDescent="0.25">
      <c r="B34">
        <v>30</v>
      </c>
      <c r="C34" t="s">
        <v>26</v>
      </c>
      <c r="D34">
        <v>672</v>
      </c>
      <c r="E34" s="5">
        <v>1609290000</v>
      </c>
      <c r="F34">
        <f t="shared" si="0"/>
        <v>1361</v>
      </c>
    </row>
    <row r="35" spans="2:18" x14ac:dyDescent="0.25">
      <c r="B35">
        <v>31</v>
      </c>
      <c r="C35" t="s">
        <v>27</v>
      </c>
      <c r="D35">
        <v>2111</v>
      </c>
      <c r="E35" s="5">
        <v>1611266400</v>
      </c>
      <c r="F35">
        <f t="shared" si="0"/>
        <v>423</v>
      </c>
    </row>
    <row r="36" spans="2:18" x14ac:dyDescent="0.25">
      <c r="C36" t="s">
        <v>27</v>
      </c>
      <c r="E36" s="5">
        <v>1611266400</v>
      </c>
      <c r="F36">
        <f t="shared" ref="F36:F38" si="1">INT(1000000/(D36+41)-41)</f>
        <v>24349</v>
      </c>
    </row>
    <row r="37" spans="2:18" x14ac:dyDescent="0.25">
      <c r="F37">
        <f t="shared" si="1"/>
        <v>24349</v>
      </c>
    </row>
    <row r="38" spans="2:18" x14ac:dyDescent="0.25">
      <c r="D38">
        <v>1111</v>
      </c>
      <c r="E38" s="5"/>
      <c r="F38">
        <f t="shared" si="1"/>
        <v>827</v>
      </c>
      <c r="R38" s="6"/>
    </row>
    <row r="45" spans="2:18" x14ac:dyDescent="0.25">
      <c r="D45" s="4"/>
    </row>
    <row r="65" spans="11:11" x14ac:dyDescent="0.25">
      <c r="K65">
        <v>3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2BF86-6420-482C-86D0-E244820A1612}">
  <sheetPr codeName="Sheet6"/>
  <dimension ref="C1:G38"/>
  <sheetViews>
    <sheetView topLeftCell="A5" zoomScale="75" zoomScaleNormal="75" workbookViewId="0">
      <selection activeCell="D20" sqref="D20"/>
    </sheetView>
  </sheetViews>
  <sheetFormatPr defaultRowHeight="15" x14ac:dyDescent="0.25"/>
  <cols>
    <col min="3" max="3" width="28.28515625" bestFit="1" customWidth="1"/>
    <col min="4" max="4" width="13.28515625" customWidth="1"/>
    <col min="5" max="5" width="51.5703125" bestFit="1" customWidth="1"/>
  </cols>
  <sheetData>
    <row r="1" spans="3:7" x14ac:dyDescent="0.25">
      <c r="C1" s="1" t="s">
        <v>94</v>
      </c>
    </row>
    <row r="3" spans="3:7" x14ac:dyDescent="0.25">
      <c r="C3" t="s">
        <v>61</v>
      </c>
    </row>
    <row r="4" spans="3:7" x14ac:dyDescent="0.25">
      <c r="C4" t="s">
        <v>70</v>
      </c>
      <c r="D4" t="s">
        <v>70</v>
      </c>
    </row>
    <row r="5" spans="3:7" x14ac:dyDescent="0.25">
      <c r="C5" t="s">
        <v>71</v>
      </c>
      <c r="D5" t="s">
        <v>71</v>
      </c>
    </row>
    <row r="6" spans="3:7" x14ac:dyDescent="0.25">
      <c r="C6" t="s">
        <v>72</v>
      </c>
      <c r="D6" t="s">
        <v>72</v>
      </c>
    </row>
    <row r="7" spans="3:7" x14ac:dyDescent="0.25">
      <c r="C7" t="s">
        <v>73</v>
      </c>
      <c r="D7" t="s">
        <v>73</v>
      </c>
    </row>
    <row r="8" spans="3:7" x14ac:dyDescent="0.25">
      <c r="C8" t="s">
        <v>74</v>
      </c>
      <c r="D8" t="s">
        <v>74</v>
      </c>
    </row>
    <row r="9" spans="3:7" x14ac:dyDescent="0.25">
      <c r="C9" t="s">
        <v>75</v>
      </c>
      <c r="D9" t="s">
        <v>75</v>
      </c>
    </row>
    <row r="11" spans="3:7" x14ac:dyDescent="0.25">
      <c r="D11" t="s">
        <v>42</v>
      </c>
      <c r="E11" t="s">
        <v>76</v>
      </c>
      <c r="G11">
        <v>448</v>
      </c>
    </row>
    <row r="12" spans="3:7" x14ac:dyDescent="0.25">
      <c r="D12" t="s">
        <v>43</v>
      </c>
      <c r="E12" t="s">
        <v>54</v>
      </c>
      <c r="G12">
        <v>500</v>
      </c>
    </row>
    <row r="13" spans="3:7" x14ac:dyDescent="0.25">
      <c r="D13" t="s">
        <v>44</v>
      </c>
      <c r="E13" t="s">
        <v>55</v>
      </c>
      <c r="G13">
        <v>600</v>
      </c>
    </row>
    <row r="14" spans="3:7" x14ac:dyDescent="0.25">
      <c r="G14">
        <v>700</v>
      </c>
    </row>
    <row r="15" spans="3:7" x14ac:dyDescent="0.25">
      <c r="C15" t="s">
        <v>79</v>
      </c>
    </row>
    <row r="16" spans="3:7" x14ac:dyDescent="0.25">
      <c r="C16" t="s">
        <v>80</v>
      </c>
    </row>
    <row r="17" spans="3:4" x14ac:dyDescent="0.25">
      <c r="C17" t="s">
        <v>77</v>
      </c>
    </row>
    <row r="18" spans="3:4" x14ac:dyDescent="0.25">
      <c r="D18" t="s">
        <v>92</v>
      </c>
    </row>
    <row r="19" spans="3:4" x14ac:dyDescent="0.25">
      <c r="D19" t="s">
        <v>93</v>
      </c>
    </row>
    <row r="20" spans="3:4" x14ac:dyDescent="0.25">
      <c r="D20" t="s">
        <v>175</v>
      </c>
    </row>
    <row r="22" spans="3:4" x14ac:dyDescent="0.25">
      <c r="C22" t="s">
        <v>81</v>
      </c>
    </row>
    <row r="23" spans="3:4" x14ac:dyDescent="0.25">
      <c r="C23" t="s">
        <v>78</v>
      </c>
    </row>
    <row r="24" spans="3:4" x14ac:dyDescent="0.25">
      <c r="C24">
        <v>243</v>
      </c>
      <c r="D24" t="s">
        <v>154</v>
      </c>
    </row>
    <row r="25" spans="3:4" x14ac:dyDescent="0.25">
      <c r="C25">
        <v>244</v>
      </c>
      <c r="D25" t="s">
        <v>153</v>
      </c>
    </row>
    <row r="26" spans="3:4" x14ac:dyDescent="0.25">
      <c r="C26">
        <v>253</v>
      </c>
      <c r="D26" t="s">
        <v>254</v>
      </c>
    </row>
    <row r="38" spans="7:7" x14ac:dyDescent="0.25">
      <c r="G38">
        <f>20*20</f>
        <v>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CD9A8-F3D2-400D-982F-614074AF76AB}">
  <sheetPr codeName="Sheet8"/>
  <dimension ref="B1:P41"/>
  <sheetViews>
    <sheetView topLeftCell="A7" zoomScale="75" zoomScaleNormal="75" workbookViewId="0">
      <selection activeCell="E14" sqref="E14"/>
    </sheetView>
  </sheetViews>
  <sheetFormatPr defaultRowHeight="15" x14ac:dyDescent="0.25"/>
  <cols>
    <col min="3" max="3" width="27.7109375" customWidth="1"/>
    <col min="4" max="4" width="17.42578125" customWidth="1"/>
    <col min="5" max="5" width="52.7109375" customWidth="1"/>
    <col min="6" max="6" width="40.28515625" bestFit="1" customWidth="1"/>
    <col min="7" max="7" width="33.42578125" bestFit="1" customWidth="1"/>
    <col min="8" max="8" width="25.140625" bestFit="1" customWidth="1"/>
    <col min="9" max="10" width="17.7109375" bestFit="1" customWidth="1"/>
    <col min="11" max="11" width="13.42578125" bestFit="1" customWidth="1"/>
    <col min="12" max="12" width="17.7109375" bestFit="1" customWidth="1"/>
    <col min="13" max="13" width="17.7109375" style="3" bestFit="1" customWidth="1"/>
    <col min="14" max="14" width="11" customWidth="1"/>
    <col min="15" max="15" width="11.85546875" customWidth="1"/>
  </cols>
  <sheetData>
    <row r="1" spans="2:16" x14ac:dyDescent="0.25">
      <c r="B1" s="1" t="s">
        <v>62</v>
      </c>
    </row>
    <row r="2" spans="2:16" x14ac:dyDescent="0.25">
      <c r="E2">
        <f>500/25</f>
        <v>20</v>
      </c>
    </row>
    <row r="3" spans="2:16" x14ac:dyDescent="0.25">
      <c r="B3" s="1" t="s">
        <v>61</v>
      </c>
    </row>
    <row r="4" spans="2:16" x14ac:dyDescent="0.25">
      <c r="C4" t="s">
        <v>68</v>
      </c>
    </row>
    <row r="5" spans="2:16" x14ac:dyDescent="0.25">
      <c r="C5" t="s">
        <v>69</v>
      </c>
    </row>
    <row r="7" spans="2:16" x14ac:dyDescent="0.25">
      <c r="D7">
        <f>200/1800</f>
        <v>0.1111111111111111</v>
      </c>
      <c r="F7" s="3"/>
      <c r="K7" s="3"/>
      <c r="M7"/>
      <c r="P7" s="3"/>
    </row>
    <row r="8" spans="2:16" x14ac:dyDescent="0.25">
      <c r="C8" s="66">
        <v>1000000000</v>
      </c>
      <c r="E8" t="s">
        <v>65</v>
      </c>
      <c r="F8" t="s">
        <v>165</v>
      </c>
      <c r="G8" t="s">
        <v>86</v>
      </c>
      <c r="H8" t="s">
        <v>63</v>
      </c>
      <c r="J8" s="13"/>
      <c r="K8" s="13"/>
      <c r="M8"/>
      <c r="O8" s="13"/>
      <c r="P8" s="13"/>
    </row>
    <row r="9" spans="2:16" x14ac:dyDescent="0.25">
      <c r="B9" s="88">
        <f>C9/C8</f>
        <v>0.01</v>
      </c>
      <c r="C9" s="152">
        <f>C8/50/2</f>
        <v>10000000</v>
      </c>
      <c r="E9" t="s">
        <v>66</v>
      </c>
      <c r="F9" s="52"/>
      <c r="G9" t="s">
        <v>87</v>
      </c>
      <c r="H9" t="s">
        <v>67</v>
      </c>
      <c r="J9" s="52"/>
      <c r="K9" s="52"/>
      <c r="M9"/>
      <c r="O9" s="52"/>
      <c r="P9" s="52"/>
    </row>
    <row r="10" spans="2:16" x14ac:dyDescent="0.25">
      <c r="B10" s="88">
        <f>C10/C8</f>
        <v>0.05</v>
      </c>
      <c r="C10" s="66">
        <f>0.05*C8</f>
        <v>50000000</v>
      </c>
      <c r="E10" t="s">
        <v>64</v>
      </c>
      <c r="F10" s="52"/>
      <c r="H10" t="s">
        <v>178</v>
      </c>
      <c r="J10" s="52"/>
      <c r="K10" s="52"/>
      <c r="M10"/>
      <c r="O10" s="52"/>
      <c r="P10" s="52"/>
    </row>
    <row r="11" spans="2:16" x14ac:dyDescent="0.25">
      <c r="C11" s="22">
        <f>C9*50/C8</f>
        <v>0.5</v>
      </c>
      <c r="E11">
        <v>100</v>
      </c>
      <c r="F11" s="3"/>
      <c r="M11"/>
    </row>
    <row r="12" spans="2:16" x14ac:dyDescent="0.25">
      <c r="C12" s="4">
        <v>1000000</v>
      </c>
      <c r="F12" s="3"/>
      <c r="G12" s="27"/>
      <c r="M12"/>
    </row>
    <row r="13" spans="2:16" x14ac:dyDescent="0.25">
      <c r="C13" t="s">
        <v>166</v>
      </c>
      <c r="D13" s="48">
        <v>0</v>
      </c>
      <c r="E13" s="48">
        <v>1</v>
      </c>
      <c r="F13" s="48">
        <v>2</v>
      </c>
      <c r="G13" s="48">
        <v>3</v>
      </c>
      <c r="H13" s="48">
        <v>4</v>
      </c>
      <c r="M13"/>
    </row>
    <row r="14" spans="2:16" x14ac:dyDescent="0.25">
      <c r="B14" s="24"/>
      <c r="C14" t="s">
        <v>155</v>
      </c>
      <c r="D14" s="4">
        <f>D20+D21</f>
        <v>100000</v>
      </c>
      <c r="E14" s="4">
        <f>E20+E21</f>
        <v>85000</v>
      </c>
      <c r="F14" s="4">
        <v>90000</v>
      </c>
      <c r="G14" s="4">
        <f>F14+F24*(G17+G18-F17-F18)</f>
        <v>74117.647058823524</v>
      </c>
      <c r="H14" s="4">
        <f>G14+H22</f>
        <v>84117.647058823524</v>
      </c>
      <c r="I14" s="27">
        <f>F14-G14</f>
        <v>15882.352941176476</v>
      </c>
      <c r="M14"/>
    </row>
    <row r="15" spans="2:16" x14ac:dyDescent="0.25">
      <c r="C15" t="s">
        <v>156</v>
      </c>
      <c r="D15" s="4">
        <v>20000</v>
      </c>
      <c r="E15" s="4">
        <v>18500</v>
      </c>
      <c r="F15" s="4">
        <v>18500</v>
      </c>
      <c r="G15" s="8">
        <f>F15+(G14-F14)/10</f>
        <v>16911.764705882353</v>
      </c>
      <c r="H15" s="8">
        <f>G15+H22/10</f>
        <v>17911.764705882353</v>
      </c>
      <c r="I15" s="27">
        <f>F15-G15</f>
        <v>1588.2352941176468</v>
      </c>
      <c r="M15"/>
    </row>
    <row r="16" spans="2:16" ht="15.75" thickBot="1" x14ac:dyDescent="0.3">
      <c r="D16" s="4"/>
      <c r="E16" s="4"/>
      <c r="F16" s="4"/>
      <c r="G16" s="4">
        <f>F15-G15</f>
        <v>1588.2352941176468</v>
      </c>
      <c r="H16" s="4"/>
      <c r="M16"/>
    </row>
    <row r="17" spans="3:13" x14ac:dyDescent="0.25">
      <c r="C17" s="32" t="s">
        <v>158</v>
      </c>
      <c r="D17" s="60">
        <v>60000</v>
      </c>
      <c r="E17" s="60">
        <v>50000</v>
      </c>
      <c r="F17" s="60">
        <v>50000</v>
      </c>
      <c r="G17" s="60">
        <v>40000</v>
      </c>
      <c r="H17" s="111">
        <f>G17</f>
        <v>40000</v>
      </c>
      <c r="M17"/>
    </row>
    <row r="18" spans="3:13" x14ac:dyDescent="0.25">
      <c r="C18" s="36" t="s">
        <v>159</v>
      </c>
      <c r="D18" s="4">
        <v>40000</v>
      </c>
      <c r="E18" s="4">
        <v>35000</v>
      </c>
      <c r="F18" s="4">
        <v>35000</v>
      </c>
      <c r="G18" s="4">
        <v>30000</v>
      </c>
      <c r="H18" s="112">
        <f>G18</f>
        <v>30000</v>
      </c>
      <c r="M18"/>
    </row>
    <row r="19" spans="3:13" ht="15.75" thickBot="1" x14ac:dyDescent="0.3">
      <c r="C19" s="40" t="s">
        <v>161</v>
      </c>
      <c r="D19" s="63"/>
      <c r="E19" s="63"/>
      <c r="F19" s="63"/>
      <c r="G19" s="63"/>
      <c r="H19" s="113">
        <f>H22/G24</f>
        <v>9444.4444444444434</v>
      </c>
      <c r="J19" t="s">
        <v>200</v>
      </c>
      <c r="K19" t="s">
        <v>257</v>
      </c>
      <c r="M19"/>
    </row>
    <row r="20" spans="3:13" x14ac:dyDescent="0.25">
      <c r="C20" s="32" t="s">
        <v>162</v>
      </c>
      <c r="D20" s="60">
        <v>60000</v>
      </c>
      <c r="E20" s="60">
        <v>50000</v>
      </c>
      <c r="F20" s="60">
        <v>50000</v>
      </c>
      <c r="G20" s="60">
        <f>F20-G30</f>
        <v>39411.76470588235</v>
      </c>
      <c r="H20" s="61">
        <v>49950</v>
      </c>
      <c r="I20" s="27">
        <f>F20-G20</f>
        <v>10588.23529411765</v>
      </c>
      <c r="J20" t="s">
        <v>201</v>
      </c>
      <c r="K20" t="s">
        <v>258</v>
      </c>
      <c r="M20"/>
    </row>
    <row r="21" spans="3:13" x14ac:dyDescent="0.25">
      <c r="C21" s="36" t="s">
        <v>163</v>
      </c>
      <c r="D21" s="4">
        <v>40000</v>
      </c>
      <c r="E21" s="4">
        <v>35000</v>
      </c>
      <c r="F21" s="4">
        <v>35000</v>
      </c>
      <c r="G21" s="4">
        <f>F21-G31</f>
        <v>29705.882352941175</v>
      </c>
      <c r="H21" s="62">
        <v>30000</v>
      </c>
      <c r="I21" s="27">
        <f t="shared" ref="I21:I22" si="0">F21-G21</f>
        <v>5294.1176470588252</v>
      </c>
      <c r="J21" t="s">
        <v>202</v>
      </c>
      <c r="K21" t="s">
        <v>259</v>
      </c>
      <c r="M21"/>
    </row>
    <row r="22" spans="3:13" ht="15.75" thickBot="1" x14ac:dyDescent="0.3">
      <c r="C22" s="40" t="s">
        <v>164</v>
      </c>
      <c r="D22" s="63"/>
      <c r="E22" s="63"/>
      <c r="F22" s="63"/>
      <c r="G22" s="63"/>
      <c r="H22" s="64">
        <v>10000</v>
      </c>
      <c r="I22" s="27">
        <f t="shared" si="0"/>
        <v>0</v>
      </c>
      <c r="J22" t="s">
        <v>256</v>
      </c>
      <c r="K22" t="s">
        <v>205</v>
      </c>
      <c r="M22"/>
    </row>
    <row r="23" spans="3:13" x14ac:dyDescent="0.25">
      <c r="C23" s="32" t="s">
        <v>157</v>
      </c>
      <c r="D23" s="60">
        <f>SUM(D17:D19)</f>
        <v>100000</v>
      </c>
      <c r="E23" s="60">
        <f t="shared" ref="E23" si="1">SUM(E17:E19)</f>
        <v>85000</v>
      </c>
      <c r="F23" s="60">
        <f>SUM(F17:F19)</f>
        <v>85000</v>
      </c>
      <c r="G23" s="60">
        <f>SUM(G17:G19)</f>
        <v>70000</v>
      </c>
      <c r="H23" s="111">
        <f>SUM(H17:H19)</f>
        <v>79444.444444444438</v>
      </c>
      <c r="J23" t="s">
        <v>255</v>
      </c>
      <c r="K23" t="s">
        <v>157</v>
      </c>
      <c r="M23"/>
    </row>
    <row r="24" spans="3:13" ht="15.75" thickBot="1" x14ac:dyDescent="0.3">
      <c r="C24" s="40" t="s">
        <v>160</v>
      </c>
      <c r="D24" s="109">
        <f>D14/D23</f>
        <v>1</v>
      </c>
      <c r="E24" s="109">
        <f>E14/E23</f>
        <v>1</v>
      </c>
      <c r="F24" s="69">
        <f>F14/F23</f>
        <v>1.0588235294117647</v>
      </c>
      <c r="G24" s="110">
        <f>G14/G23</f>
        <v>1.0588235294117647</v>
      </c>
      <c r="H24" s="70">
        <f>H14/H23</f>
        <v>1.0588235294117647</v>
      </c>
      <c r="M24"/>
    </row>
    <row r="25" spans="3:13" x14ac:dyDescent="0.25">
      <c r="D25" s="4"/>
      <c r="E25" s="4"/>
      <c r="F25" s="4"/>
      <c r="G25" s="4"/>
      <c r="H25" s="4"/>
      <c r="K25" s="154" t="s">
        <v>260</v>
      </c>
      <c r="M25"/>
    </row>
    <row r="26" spans="3:13" x14ac:dyDescent="0.25">
      <c r="C26" s="66"/>
      <c r="D26" s="22">
        <f>D17/D23</f>
        <v>0.6</v>
      </c>
      <c r="E26" s="22">
        <f t="shared" ref="E26:G26" si="2">E17/E23</f>
        <v>0.58823529411764708</v>
      </c>
      <c r="F26" s="22">
        <f t="shared" si="2"/>
        <v>0.58823529411764708</v>
      </c>
      <c r="G26" s="22">
        <f t="shared" si="2"/>
        <v>0.5714285714285714</v>
      </c>
      <c r="H26" s="4"/>
      <c r="I26" s="27"/>
      <c r="K26" s="154" t="s">
        <v>261</v>
      </c>
      <c r="M26"/>
    </row>
    <row r="27" spans="3:13" x14ac:dyDescent="0.25">
      <c r="C27" s="66"/>
      <c r="D27" s="22">
        <f>D18/D23</f>
        <v>0.4</v>
      </c>
      <c r="E27" s="22">
        <f t="shared" ref="E27:G27" si="3">E18/E23</f>
        <v>0.41176470588235292</v>
      </c>
      <c r="F27" s="22">
        <f t="shared" si="3"/>
        <v>0.41176470588235292</v>
      </c>
      <c r="G27" s="22">
        <f t="shared" si="3"/>
        <v>0.42857142857142855</v>
      </c>
      <c r="H27" s="4"/>
      <c r="I27" s="27"/>
      <c r="M27"/>
    </row>
    <row r="28" spans="3:13" x14ac:dyDescent="0.25">
      <c r="C28" s="150">
        <f>C12*50</f>
        <v>50000000</v>
      </c>
      <c r="D28" s="4">
        <f>D26*10000000</f>
        <v>6000000</v>
      </c>
      <c r="E28" s="66">
        <f>D26*10000000</f>
        <v>6000000</v>
      </c>
      <c r="F28" s="66">
        <f t="shared" ref="F28:G29" si="4">F26*10000000</f>
        <v>5882352.9411764704</v>
      </c>
      <c r="G28" s="66">
        <f t="shared" si="4"/>
        <v>5714285.7142857136</v>
      </c>
      <c r="H28" s="4"/>
      <c r="M28"/>
    </row>
    <row r="29" spans="3:13" x14ac:dyDescent="0.25">
      <c r="D29" s="66">
        <f>D27*10000000</f>
        <v>4000000</v>
      </c>
      <c r="E29" s="66">
        <f>D27*10000000</f>
        <v>4000000</v>
      </c>
      <c r="F29" s="66">
        <f t="shared" si="4"/>
        <v>4117647.0588235292</v>
      </c>
      <c r="G29" s="66">
        <f t="shared" si="4"/>
        <v>4285714.2857142854</v>
      </c>
      <c r="H29" s="139">
        <v>5000000000</v>
      </c>
      <c r="J29" t="s">
        <v>262</v>
      </c>
      <c r="K29" t="s">
        <v>263</v>
      </c>
      <c r="M29"/>
    </row>
    <row r="30" spans="3:13" x14ac:dyDescent="0.25">
      <c r="C30" s="66"/>
      <c r="D30" s="153">
        <f>SUM(D28:D29)</f>
        <v>10000000</v>
      </c>
      <c r="F30" s="3" t="s">
        <v>176</v>
      </c>
      <c r="G30" s="4">
        <f>10000/80000*(F14-G31)</f>
        <v>10588.235294117647</v>
      </c>
      <c r="H30" s="150">
        <v>25000000000</v>
      </c>
      <c r="J30">
        <f>2436-J31*10-J32*10</f>
        <v>936</v>
      </c>
      <c r="K30">
        <f>J30</f>
        <v>936</v>
      </c>
      <c r="L30">
        <v>1000</v>
      </c>
      <c r="M30">
        <f>K30/L30</f>
        <v>0.93600000000000005</v>
      </c>
    </row>
    <row r="31" spans="3:13" x14ac:dyDescent="0.25">
      <c r="D31" s="4">
        <f>D30*50/C8</f>
        <v>0.5</v>
      </c>
      <c r="F31" s="3" t="s">
        <v>177</v>
      </c>
      <c r="G31" s="4">
        <f>5000/F23*F14</f>
        <v>5294.1176470588234</v>
      </c>
      <c r="J31">
        <v>100</v>
      </c>
      <c r="K31">
        <f>K30+J31*10</f>
        <v>1936</v>
      </c>
      <c r="L31">
        <f>J31*10/M30</f>
        <v>1068.3760683760684</v>
      </c>
      <c r="M31"/>
    </row>
    <row r="32" spans="3:13" x14ac:dyDescent="0.25">
      <c r="C32" s="89">
        <v>1E+19</v>
      </c>
      <c r="E32" s="118"/>
      <c r="F32" s="118"/>
      <c r="G32" s="27"/>
      <c r="J32">
        <v>50</v>
      </c>
      <c r="K32">
        <f>K31+J32*10</f>
        <v>2436</v>
      </c>
      <c r="L32">
        <f>J32*10/M30</f>
        <v>534.18803418803418</v>
      </c>
      <c r="M32"/>
    </row>
    <row r="33" spans="3:13" x14ac:dyDescent="0.25">
      <c r="C33" s="66"/>
      <c r="M33"/>
    </row>
    <row r="34" spans="3:13" x14ac:dyDescent="0.25">
      <c r="D34" s="152">
        <f>D28</f>
        <v>6000000</v>
      </c>
      <c r="E34" s="152">
        <f>E28+D34</f>
        <v>12000000</v>
      </c>
      <c r="F34" s="152">
        <f t="shared" ref="F34:G35" si="5">F28+E34</f>
        <v>17882352.94117647</v>
      </c>
      <c r="G34" s="152">
        <f t="shared" si="5"/>
        <v>23596638.655462183</v>
      </c>
      <c r="M34"/>
    </row>
    <row r="35" spans="3:13" x14ac:dyDescent="0.25">
      <c r="D35" s="152">
        <f>D29</f>
        <v>4000000</v>
      </c>
      <c r="E35" s="152">
        <f>E29+D35</f>
        <v>8000000</v>
      </c>
      <c r="F35" s="152">
        <f t="shared" si="5"/>
        <v>12117647.05882353</v>
      </c>
      <c r="G35" s="152">
        <f t="shared" si="5"/>
        <v>16403361.344537815</v>
      </c>
      <c r="M35"/>
    </row>
    <row r="36" spans="3:13" x14ac:dyDescent="0.25">
      <c r="D36" s="8"/>
      <c r="E36" s="8"/>
      <c r="F36" s="8"/>
      <c r="M36"/>
    </row>
    <row r="37" spans="3:13" x14ac:dyDescent="0.25">
      <c r="D37" s="150">
        <v>24000000</v>
      </c>
      <c r="F37" s="3"/>
      <c r="G37" s="151">
        <v>23764705</v>
      </c>
      <c r="M37"/>
    </row>
    <row r="38" spans="3:13" x14ac:dyDescent="0.25">
      <c r="E38">
        <v>12000000</v>
      </c>
      <c r="F38" s="3">
        <v>12000000</v>
      </c>
      <c r="G38" s="151">
        <v>17882352</v>
      </c>
      <c r="H38" s="88">
        <f>F38/G38</f>
        <v>0.67105266689750875</v>
      </c>
      <c r="M38"/>
    </row>
    <row r="39" spans="3:13" x14ac:dyDescent="0.25">
      <c r="D39" s="139">
        <v>500000000</v>
      </c>
      <c r="E39">
        <v>8000000</v>
      </c>
      <c r="F39" s="3"/>
      <c r="M39"/>
    </row>
    <row r="40" spans="3:13" x14ac:dyDescent="0.25">
      <c r="D40" s="139">
        <v>500000000</v>
      </c>
      <c r="E40" s="151">
        <f>SUM(E38:E39)</f>
        <v>20000000</v>
      </c>
      <c r="F40" s="3"/>
      <c r="M40"/>
    </row>
    <row r="41" spans="3:13" x14ac:dyDescent="0.25">
      <c r="D41" s="139">
        <v>500000000</v>
      </c>
      <c r="F41" s="3"/>
      <c r="M4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C9CB9-2A86-4AEB-8D2D-B9964CF528A2}">
  <sheetPr codeName="Sheet12"/>
  <dimension ref="B1:AD91"/>
  <sheetViews>
    <sheetView zoomScale="75" zoomScaleNormal="75" workbookViewId="0">
      <selection activeCell="D6" sqref="D6"/>
    </sheetView>
  </sheetViews>
  <sheetFormatPr defaultRowHeight="15" x14ac:dyDescent="0.25"/>
  <cols>
    <col min="3" max="3" width="12.140625" customWidth="1"/>
    <col min="4" max="4" width="17.5703125" bestFit="1" customWidth="1"/>
    <col min="5" max="5" width="16.140625" customWidth="1"/>
    <col min="6" max="6" width="15.140625" customWidth="1"/>
    <col min="7" max="7" width="15" customWidth="1"/>
    <col min="8" max="8" width="21.85546875" customWidth="1"/>
    <col min="9" max="9" width="14.42578125" bestFit="1" customWidth="1"/>
    <col min="10" max="10" width="12" customWidth="1"/>
    <col min="11" max="16" width="10.7109375" customWidth="1"/>
    <col min="21" max="21" width="10.28515625" customWidth="1"/>
    <col min="22" max="22" width="11.7109375" customWidth="1"/>
    <col min="30" max="30" width="16.85546875" bestFit="1" customWidth="1"/>
  </cols>
  <sheetData>
    <row r="1" spans="2:27" x14ac:dyDescent="0.25">
      <c r="B1" s="1" t="s">
        <v>45</v>
      </c>
    </row>
    <row r="2" spans="2:27" x14ac:dyDescent="0.25">
      <c r="O2" t="s">
        <v>114</v>
      </c>
      <c r="S2" t="s">
        <v>115</v>
      </c>
    </row>
    <row r="3" spans="2:27" x14ac:dyDescent="0.25">
      <c r="B3" s="1" t="s">
        <v>57</v>
      </c>
    </row>
    <row r="4" spans="2:27" ht="15.75" thickBot="1" x14ac:dyDescent="0.3">
      <c r="G4" s="2" t="s">
        <v>100</v>
      </c>
      <c r="H4" s="2" t="s">
        <v>101</v>
      </c>
      <c r="I4" s="2" t="s">
        <v>99</v>
      </c>
      <c r="J4" s="2" t="s">
        <v>185</v>
      </c>
      <c r="K4" s="2" t="s">
        <v>186</v>
      </c>
      <c r="L4" s="2" t="s">
        <v>56</v>
      </c>
      <c r="M4" s="2" t="s">
        <v>97</v>
      </c>
      <c r="N4" s="2" t="s">
        <v>98</v>
      </c>
      <c r="O4" s="2" t="s">
        <v>185</v>
      </c>
      <c r="P4" s="2" t="s">
        <v>186</v>
      </c>
      <c r="Q4" s="2" t="s">
        <v>56</v>
      </c>
      <c r="R4" s="2"/>
      <c r="S4" s="2" t="s">
        <v>96</v>
      </c>
      <c r="T4" s="2" t="s">
        <v>129</v>
      </c>
      <c r="U4" s="2" t="s">
        <v>130</v>
      </c>
      <c r="V4" s="2"/>
    </row>
    <row r="5" spans="2:27" x14ac:dyDescent="0.25">
      <c r="B5" s="1" t="s">
        <v>61</v>
      </c>
      <c r="F5">
        <v>1</v>
      </c>
      <c r="H5">
        <v>0</v>
      </c>
      <c r="I5" s="71" t="s">
        <v>179</v>
      </c>
      <c r="J5" s="72">
        <v>250</v>
      </c>
      <c r="K5" s="60">
        <v>0</v>
      </c>
      <c r="L5" s="60">
        <v>0</v>
      </c>
      <c r="M5" s="60">
        <f>SUM(J5:L5)</f>
        <v>250</v>
      </c>
      <c r="N5" s="85">
        <v>0</v>
      </c>
      <c r="O5" s="32"/>
      <c r="P5" s="77"/>
      <c r="Q5" s="33"/>
    </row>
    <row r="6" spans="2:27" ht="15.75" thickBot="1" x14ac:dyDescent="0.3">
      <c r="C6" t="s">
        <v>59</v>
      </c>
      <c r="G6" s="8">
        <v>20</v>
      </c>
      <c r="H6" s="8">
        <v>10</v>
      </c>
      <c r="I6" s="74">
        <v>1</v>
      </c>
      <c r="J6" s="75">
        <v>250</v>
      </c>
      <c r="K6" s="63">
        <v>0</v>
      </c>
      <c r="L6" s="63">
        <v>0</v>
      </c>
      <c r="M6" s="63">
        <f t="shared" ref="M6:M14" si="0">SUM(J6:L6)</f>
        <v>250</v>
      </c>
      <c r="N6" s="86">
        <f>H6/M6</f>
        <v>0.04</v>
      </c>
      <c r="O6" s="78">
        <f>S6*$H6</f>
        <v>10</v>
      </c>
      <c r="P6" s="79">
        <f>T6*$H6</f>
        <v>0</v>
      </c>
      <c r="Q6" s="76">
        <f>U6*$H6</f>
        <v>0</v>
      </c>
      <c r="S6" s="22">
        <f>J6/$M6</f>
        <v>1</v>
      </c>
      <c r="T6" s="22">
        <f>K6/$M6</f>
        <v>0</v>
      </c>
      <c r="U6" s="22">
        <f>L6/$M6</f>
        <v>0</v>
      </c>
    </row>
    <row r="7" spans="2:27" x14ac:dyDescent="0.25">
      <c r="C7" t="s">
        <v>60</v>
      </c>
      <c r="F7">
        <v>2</v>
      </c>
      <c r="G7" s="8"/>
      <c r="H7" s="8">
        <v>1</v>
      </c>
      <c r="I7" s="71" t="s">
        <v>180</v>
      </c>
      <c r="J7" s="72">
        <v>250</v>
      </c>
      <c r="K7" s="72">
        <v>150</v>
      </c>
      <c r="L7" s="60">
        <v>0</v>
      </c>
      <c r="M7" s="60">
        <f t="shared" si="0"/>
        <v>400</v>
      </c>
      <c r="N7" s="85">
        <f>N6</f>
        <v>0.04</v>
      </c>
      <c r="O7" s="80"/>
      <c r="P7" s="81"/>
      <c r="Q7" s="73"/>
      <c r="S7" s="22">
        <f t="shared" ref="S7:U14" si="1">J7/$M7</f>
        <v>0.625</v>
      </c>
      <c r="T7" s="22">
        <f t="shared" si="1"/>
        <v>0.375</v>
      </c>
      <c r="U7" s="22">
        <f t="shared" si="1"/>
        <v>0</v>
      </c>
    </row>
    <row r="8" spans="2:27" ht="15.75" thickBot="1" x14ac:dyDescent="0.3">
      <c r="C8" t="s">
        <v>58</v>
      </c>
      <c r="G8" s="8">
        <v>20</v>
      </c>
      <c r="H8" s="8">
        <v>10</v>
      </c>
      <c r="I8" s="74">
        <v>2</v>
      </c>
      <c r="J8" s="75">
        <v>250</v>
      </c>
      <c r="K8" s="75">
        <v>150</v>
      </c>
      <c r="L8" s="63">
        <v>0</v>
      </c>
      <c r="M8" s="63">
        <f t="shared" si="0"/>
        <v>400</v>
      </c>
      <c r="N8" s="86">
        <f>H8/M8+N6</f>
        <v>6.5000000000000002E-2</v>
      </c>
      <c r="O8" s="78">
        <f>S8*$H8</f>
        <v>6.25</v>
      </c>
      <c r="P8" s="79">
        <f>T8*$H8</f>
        <v>3.75</v>
      </c>
      <c r="Q8" s="76">
        <f>U8*$H8</f>
        <v>0</v>
      </c>
      <c r="S8" s="22">
        <f t="shared" si="1"/>
        <v>0.625</v>
      </c>
      <c r="T8" s="22">
        <f t="shared" si="1"/>
        <v>0.375</v>
      </c>
      <c r="U8" s="22">
        <f t="shared" si="1"/>
        <v>0</v>
      </c>
    </row>
    <row r="9" spans="2:27" x14ac:dyDescent="0.25">
      <c r="F9">
        <v>3</v>
      </c>
      <c r="G9" s="8"/>
      <c r="H9" s="8">
        <v>1</v>
      </c>
      <c r="I9" s="71" t="s">
        <v>181</v>
      </c>
      <c r="J9" s="72">
        <v>250</v>
      </c>
      <c r="K9" s="72">
        <v>150</v>
      </c>
      <c r="L9" s="72">
        <v>100</v>
      </c>
      <c r="M9" s="60">
        <f t="shared" si="0"/>
        <v>500</v>
      </c>
      <c r="N9" s="85">
        <f>N8</f>
        <v>6.5000000000000002E-2</v>
      </c>
      <c r="O9" s="80"/>
      <c r="P9" s="81"/>
      <c r="Q9" s="73"/>
      <c r="S9" s="22">
        <f t="shared" si="1"/>
        <v>0.5</v>
      </c>
      <c r="T9" s="22">
        <f t="shared" si="1"/>
        <v>0.3</v>
      </c>
      <c r="U9" s="22">
        <f t="shared" si="1"/>
        <v>0.2</v>
      </c>
    </row>
    <row r="10" spans="2:27" ht="15.75" thickBot="1" x14ac:dyDescent="0.3">
      <c r="G10" s="8">
        <v>20</v>
      </c>
      <c r="H10" s="8">
        <v>10</v>
      </c>
      <c r="I10" s="74">
        <v>3</v>
      </c>
      <c r="J10" s="75">
        <v>250</v>
      </c>
      <c r="K10" s="75">
        <v>150</v>
      </c>
      <c r="L10" s="75">
        <v>100</v>
      </c>
      <c r="M10" s="63">
        <f t="shared" si="0"/>
        <v>500</v>
      </c>
      <c r="N10" s="86">
        <f>H10/M10+N8</f>
        <v>8.5000000000000006E-2</v>
      </c>
      <c r="O10" s="78">
        <f>S10*$H10</f>
        <v>5</v>
      </c>
      <c r="P10" s="79">
        <f>T10*$H10</f>
        <v>3</v>
      </c>
      <c r="Q10" s="76">
        <f>U10*$H10</f>
        <v>2</v>
      </c>
      <c r="S10" s="22">
        <f t="shared" si="1"/>
        <v>0.5</v>
      </c>
      <c r="T10" s="22">
        <f t="shared" si="1"/>
        <v>0.3</v>
      </c>
      <c r="U10" s="22">
        <f t="shared" si="1"/>
        <v>0.2</v>
      </c>
      <c r="AA10" s="54"/>
    </row>
    <row r="11" spans="2:27" x14ac:dyDescent="0.25">
      <c r="B11" t="s">
        <v>99</v>
      </c>
      <c r="F11">
        <v>4</v>
      </c>
      <c r="G11" s="8"/>
      <c r="H11" s="8">
        <v>3</v>
      </c>
      <c r="I11" s="71" t="s">
        <v>182</v>
      </c>
      <c r="J11" s="72">
        <v>200</v>
      </c>
      <c r="K11" s="72">
        <v>150</v>
      </c>
      <c r="L11" s="72">
        <v>100</v>
      </c>
      <c r="M11" s="60">
        <f t="shared" si="0"/>
        <v>450</v>
      </c>
      <c r="N11" s="85">
        <f>N10</f>
        <v>8.5000000000000006E-2</v>
      </c>
      <c r="O11" s="80"/>
      <c r="P11" s="81"/>
      <c r="Q11" s="73"/>
      <c r="S11" s="22">
        <f t="shared" si="1"/>
        <v>0.44444444444444442</v>
      </c>
      <c r="T11" s="22">
        <f t="shared" si="1"/>
        <v>0.33333333333333331</v>
      </c>
      <c r="U11" s="22">
        <f t="shared" si="1"/>
        <v>0.22222222222222221</v>
      </c>
      <c r="AA11" s="27"/>
    </row>
    <row r="12" spans="2:27" ht="15.75" thickBot="1" x14ac:dyDescent="0.3">
      <c r="B12" s="1">
        <v>1</v>
      </c>
      <c r="C12" t="s">
        <v>113</v>
      </c>
      <c r="G12" s="8">
        <v>20</v>
      </c>
      <c r="H12" s="8">
        <v>10</v>
      </c>
      <c r="I12" s="74">
        <v>4</v>
      </c>
      <c r="J12" s="75">
        <v>200</v>
      </c>
      <c r="K12" s="75">
        <v>150</v>
      </c>
      <c r="L12" s="75">
        <v>100</v>
      </c>
      <c r="M12" s="63">
        <f t="shared" si="0"/>
        <v>450</v>
      </c>
      <c r="N12" s="86">
        <f>H12/M12+N10</f>
        <v>0.10722222222222223</v>
      </c>
      <c r="O12" s="78">
        <f>S12*$H12</f>
        <v>4.4444444444444446</v>
      </c>
      <c r="P12" s="79">
        <f>T12*$H12</f>
        <v>3.333333333333333</v>
      </c>
      <c r="Q12" s="76">
        <f>U12*$H12</f>
        <v>2.2222222222222223</v>
      </c>
      <c r="S12" s="22">
        <f t="shared" si="1"/>
        <v>0.44444444444444442</v>
      </c>
      <c r="T12" s="22">
        <f t="shared" si="1"/>
        <v>0.33333333333333331</v>
      </c>
      <c r="U12" s="22">
        <f t="shared" si="1"/>
        <v>0.22222222222222221</v>
      </c>
    </row>
    <row r="13" spans="2:27" x14ac:dyDescent="0.25">
      <c r="B13" s="1">
        <v>2</v>
      </c>
      <c r="C13" t="s">
        <v>112</v>
      </c>
      <c r="F13">
        <v>5</v>
      </c>
      <c r="G13" s="8"/>
      <c r="H13" s="8">
        <v>4</v>
      </c>
      <c r="I13" s="71" t="s">
        <v>183</v>
      </c>
      <c r="J13" s="72">
        <v>200</v>
      </c>
      <c r="K13" s="72">
        <v>0</v>
      </c>
      <c r="L13" s="72">
        <v>100</v>
      </c>
      <c r="M13" s="60">
        <f t="shared" si="0"/>
        <v>300</v>
      </c>
      <c r="N13" s="85">
        <f>N12</f>
        <v>0.10722222222222223</v>
      </c>
      <c r="O13" s="80"/>
      <c r="P13" s="81"/>
      <c r="Q13" s="73"/>
      <c r="S13" s="22">
        <f t="shared" si="1"/>
        <v>0.66666666666666663</v>
      </c>
      <c r="T13" s="22">
        <f t="shared" si="1"/>
        <v>0</v>
      </c>
      <c r="U13" s="22">
        <f t="shared" si="1"/>
        <v>0.33333333333333331</v>
      </c>
    </row>
    <row r="14" spans="2:27" ht="15.75" thickBot="1" x14ac:dyDescent="0.3">
      <c r="B14" s="1">
        <v>3</v>
      </c>
      <c r="C14" t="s">
        <v>111</v>
      </c>
      <c r="G14" s="8">
        <v>20</v>
      </c>
      <c r="H14" s="8">
        <v>10</v>
      </c>
      <c r="I14" s="74">
        <v>5</v>
      </c>
      <c r="J14" s="75">
        <v>200</v>
      </c>
      <c r="K14" s="63">
        <v>0</v>
      </c>
      <c r="L14" s="75">
        <v>100</v>
      </c>
      <c r="M14" s="63">
        <f t="shared" si="0"/>
        <v>300</v>
      </c>
      <c r="N14" s="86">
        <f>H14/M14+N12</f>
        <v>0.14055555555555557</v>
      </c>
      <c r="O14" s="78">
        <f>S14*$H14</f>
        <v>6.6666666666666661</v>
      </c>
      <c r="P14" s="79">
        <f>T14*$H14</f>
        <v>0</v>
      </c>
      <c r="Q14" s="76">
        <f>U14*$H14</f>
        <v>3.333333333333333</v>
      </c>
      <c r="S14" s="22">
        <f t="shared" si="1"/>
        <v>0.66666666666666663</v>
      </c>
      <c r="T14" s="22">
        <f t="shared" si="1"/>
        <v>0</v>
      </c>
      <c r="U14" s="22">
        <f t="shared" si="1"/>
        <v>0.33333333333333331</v>
      </c>
    </row>
    <row r="15" spans="2:27" x14ac:dyDescent="0.25">
      <c r="B15" s="1">
        <v>4</v>
      </c>
      <c r="C15" t="s">
        <v>190</v>
      </c>
      <c r="F15">
        <v>6</v>
      </c>
      <c r="G15" s="8"/>
      <c r="H15" s="8">
        <v>5</v>
      </c>
      <c r="I15" s="2" t="s">
        <v>184</v>
      </c>
      <c r="J15" s="4">
        <v>0</v>
      </c>
      <c r="K15" s="4">
        <v>0</v>
      </c>
      <c r="L15" s="4">
        <v>0</v>
      </c>
      <c r="M15" s="4">
        <v>0</v>
      </c>
      <c r="N15" s="53">
        <f>N14</f>
        <v>0.14055555555555557</v>
      </c>
    </row>
    <row r="16" spans="2:27" x14ac:dyDescent="0.25">
      <c r="B16" s="1">
        <v>5</v>
      </c>
      <c r="C16" t="s">
        <v>109</v>
      </c>
      <c r="J16" s="4"/>
      <c r="K16" s="4"/>
      <c r="L16" s="4"/>
      <c r="N16" s="3"/>
      <c r="O16" s="3"/>
      <c r="P16" s="3"/>
      <c r="Q16" s="3"/>
      <c r="W16" s="4"/>
      <c r="X16" s="4"/>
      <c r="Y16" s="4"/>
    </row>
    <row r="17" spans="2:28" x14ac:dyDescent="0.25">
      <c r="B17" s="1">
        <v>6</v>
      </c>
      <c r="C17" t="s">
        <v>108</v>
      </c>
      <c r="H17" s="48"/>
      <c r="J17" s="4"/>
      <c r="K17" s="4"/>
      <c r="L17" s="4"/>
      <c r="M17" s="53"/>
      <c r="N17" s="3"/>
    </row>
    <row r="18" spans="2:28" x14ac:dyDescent="0.25">
      <c r="C18" t="s">
        <v>107</v>
      </c>
      <c r="G18" s="2" t="s">
        <v>187</v>
      </c>
      <c r="H18" s="2" t="s">
        <v>188</v>
      </c>
      <c r="K18" s="2" t="s">
        <v>192</v>
      </c>
      <c r="L18" s="2" t="s">
        <v>194</v>
      </c>
      <c r="M18" s="53"/>
      <c r="N18" s="51" t="s">
        <v>193</v>
      </c>
      <c r="O18" s="4"/>
      <c r="P18" s="3"/>
      <c r="Q18" t="s">
        <v>195</v>
      </c>
      <c r="AB18" s="29"/>
    </row>
    <row r="19" spans="2:28" x14ac:dyDescent="0.25">
      <c r="D19" s="2" t="s">
        <v>264</v>
      </c>
      <c r="E19" s="2" t="s">
        <v>99</v>
      </c>
      <c r="F19" s="2" t="s">
        <v>167</v>
      </c>
      <c r="G19" s="2" t="s">
        <v>189</v>
      </c>
      <c r="H19" s="2"/>
      <c r="K19" s="3">
        <v>10</v>
      </c>
      <c r="L19" s="16">
        <f>K19</f>
        <v>10</v>
      </c>
      <c r="M19" s="53"/>
      <c r="N19" s="4">
        <v>100</v>
      </c>
      <c r="O19" s="3">
        <f t="shared" ref="O19:O40" si="2">L19/N19</f>
        <v>0.1</v>
      </c>
      <c r="P19" s="3"/>
      <c r="Q19" t="s">
        <v>196</v>
      </c>
      <c r="AB19" s="29"/>
    </row>
    <row r="20" spans="2:28" x14ac:dyDescent="0.25">
      <c r="B20">
        <v>250000000</v>
      </c>
      <c r="C20" s="66">
        <v>1000000000</v>
      </c>
      <c r="D20" s="1">
        <v>0</v>
      </c>
      <c r="E20">
        <v>4</v>
      </c>
      <c r="F20">
        <v>250000000</v>
      </c>
      <c r="G20" s="82">
        <f>O6+O8+O10</f>
        <v>21.25</v>
      </c>
      <c r="H20" s="84">
        <f>F20*INT((N10-N5)*C20)/1000000000000000</f>
        <v>21.25</v>
      </c>
      <c r="I20" s="2">
        <v>21.25</v>
      </c>
      <c r="J20" s="2"/>
      <c r="K20" s="3">
        <v>10</v>
      </c>
      <c r="L20" s="3">
        <f>K20+L19</f>
        <v>20</v>
      </c>
      <c r="M20" s="53">
        <f>K20</f>
        <v>10</v>
      </c>
      <c r="N20" s="27">
        <f>N19+M20</f>
        <v>110</v>
      </c>
      <c r="O20" s="3">
        <f t="shared" si="2"/>
        <v>0.18181818181818182</v>
      </c>
      <c r="P20" s="3">
        <f>O20*M20</f>
        <v>1.8181818181818183</v>
      </c>
      <c r="Q20" t="s">
        <v>197</v>
      </c>
      <c r="AB20" s="29"/>
    </row>
    <row r="21" spans="2:28" x14ac:dyDescent="0.25">
      <c r="B21">
        <v>150000000</v>
      </c>
      <c r="C21" s="66">
        <v>1000000000</v>
      </c>
      <c r="D21" s="1">
        <v>1</v>
      </c>
      <c r="E21">
        <v>5</v>
      </c>
      <c r="F21">
        <v>150000000</v>
      </c>
      <c r="G21" s="82">
        <f>P8+P10+P12</f>
        <v>10.083333333333332</v>
      </c>
      <c r="H21" s="84">
        <f>F21*INT((N12-N6)*C21)/1000000000000000</f>
        <v>10.0833333</v>
      </c>
      <c r="I21" s="2">
        <v>6.72</v>
      </c>
      <c r="J21" s="155">
        <f>G21-6.72</f>
        <v>3.3633333333333324</v>
      </c>
      <c r="K21" s="3">
        <v>10</v>
      </c>
      <c r="L21" s="3">
        <f t="shared" ref="L21:L40" si="3">K21+L20</f>
        <v>30</v>
      </c>
      <c r="M21" s="53">
        <f t="shared" ref="M21:M40" si="4">K21</f>
        <v>10</v>
      </c>
      <c r="N21" s="27">
        <f t="shared" ref="N21:N40" si="5">N20+M21</f>
        <v>120</v>
      </c>
      <c r="O21" s="3">
        <f t="shared" si="2"/>
        <v>0.25</v>
      </c>
      <c r="P21" s="3">
        <f t="shared" ref="P21:P39" si="6">O21*M21</f>
        <v>2.5</v>
      </c>
      <c r="V21" s="30"/>
      <c r="AB21" s="29"/>
    </row>
    <row r="22" spans="2:28" x14ac:dyDescent="0.25">
      <c r="B22">
        <v>200000000</v>
      </c>
      <c r="C22" s="66">
        <v>1000000000</v>
      </c>
      <c r="D22" s="1">
        <v>0</v>
      </c>
      <c r="E22">
        <v>6</v>
      </c>
      <c r="F22">
        <v>200000000</v>
      </c>
      <c r="G22" s="82">
        <f>O12+O14</f>
        <v>11.111111111111111</v>
      </c>
      <c r="H22" s="84">
        <f>F22*INT((N14-N10)*C22)/1000000000000000</f>
        <v>11.111110999999999</v>
      </c>
      <c r="I22" s="2">
        <v>13.34</v>
      </c>
      <c r="J22" s="2">
        <v>13.34</v>
      </c>
      <c r="K22" s="3">
        <v>10</v>
      </c>
      <c r="L22" s="3">
        <f t="shared" si="3"/>
        <v>40</v>
      </c>
      <c r="M22" s="53">
        <f t="shared" si="4"/>
        <v>10</v>
      </c>
      <c r="N22" s="27">
        <f t="shared" si="5"/>
        <v>130</v>
      </c>
      <c r="O22" s="3">
        <f t="shared" si="2"/>
        <v>0.30769230769230771</v>
      </c>
      <c r="P22" s="3">
        <f t="shared" si="6"/>
        <v>3.0769230769230771</v>
      </c>
      <c r="Q22" s="4"/>
      <c r="R22" s="4"/>
      <c r="S22" s="4"/>
      <c r="T22" s="4"/>
      <c r="U22" s="4"/>
      <c r="V22" s="28"/>
      <c r="W22" s="4"/>
      <c r="Y22" s="29"/>
      <c r="Z22" s="29"/>
      <c r="AA22" s="29"/>
      <c r="AB22" s="29"/>
    </row>
    <row r="23" spans="2:28" x14ac:dyDescent="0.25">
      <c r="B23" s="1">
        <v>100000000</v>
      </c>
      <c r="C23" s="66">
        <v>1000000000</v>
      </c>
      <c r="D23" s="1">
        <v>2</v>
      </c>
      <c r="E23">
        <v>6</v>
      </c>
      <c r="F23" s="1">
        <v>100000000</v>
      </c>
      <c r="G23" s="82">
        <f>Q10+Q12+Q14</f>
        <v>7.5555555555555554</v>
      </c>
      <c r="H23" s="84">
        <f>F23*INT((N14-N8)*C23)/1000000000000000</f>
        <v>7.5555554999999996</v>
      </c>
      <c r="I23" s="2">
        <v>8.67</v>
      </c>
      <c r="J23" s="2">
        <v>8.67</v>
      </c>
      <c r="K23" s="3">
        <v>10</v>
      </c>
      <c r="L23" s="3">
        <f t="shared" si="3"/>
        <v>50</v>
      </c>
      <c r="M23" s="53">
        <f t="shared" si="4"/>
        <v>10</v>
      </c>
      <c r="N23" s="27">
        <f t="shared" si="5"/>
        <v>140</v>
      </c>
      <c r="O23" s="3">
        <f t="shared" si="2"/>
        <v>0.35714285714285715</v>
      </c>
      <c r="P23" s="3">
        <f t="shared" si="6"/>
        <v>3.5714285714285716</v>
      </c>
      <c r="Q23" s="4"/>
      <c r="R23" s="4"/>
      <c r="S23" s="4"/>
      <c r="T23" s="4"/>
      <c r="U23" s="4"/>
      <c r="V23" s="28"/>
      <c r="W23" s="4"/>
      <c r="Y23" s="29"/>
      <c r="Z23" s="29"/>
      <c r="AA23" s="29"/>
    </row>
    <row r="24" spans="2:28" x14ac:dyDescent="0.25">
      <c r="D24" s="1"/>
      <c r="F24" s="4"/>
      <c r="G24" s="3"/>
      <c r="H24" s="3"/>
      <c r="I24" s="51"/>
      <c r="J24" s="2"/>
      <c r="K24" s="3">
        <v>10</v>
      </c>
      <c r="L24" s="3">
        <f t="shared" si="3"/>
        <v>60</v>
      </c>
      <c r="M24" s="53">
        <f t="shared" si="4"/>
        <v>10</v>
      </c>
      <c r="N24" s="27">
        <f t="shared" si="5"/>
        <v>150</v>
      </c>
      <c r="O24" s="3">
        <f t="shared" si="2"/>
        <v>0.4</v>
      </c>
      <c r="P24" s="3">
        <f t="shared" si="6"/>
        <v>4</v>
      </c>
      <c r="Q24" s="4"/>
      <c r="R24" s="4"/>
      <c r="S24" s="4"/>
      <c r="T24" s="4"/>
      <c r="U24" s="4"/>
      <c r="V24" s="28"/>
      <c r="W24" s="4"/>
      <c r="Y24" s="29"/>
      <c r="Z24" s="29"/>
      <c r="AA24" s="29"/>
    </row>
    <row r="25" spans="2:28" x14ac:dyDescent="0.25">
      <c r="B25" s="1"/>
      <c r="G25" s="3"/>
      <c r="H25" s="4">
        <v>300000000</v>
      </c>
      <c r="I25" s="4"/>
      <c r="J25" s="3">
        <f>J22-G22</f>
        <v>2.2288888888888891</v>
      </c>
      <c r="K25" s="3">
        <v>10</v>
      </c>
      <c r="L25" s="3">
        <f t="shared" si="3"/>
        <v>70</v>
      </c>
      <c r="M25" s="53">
        <f t="shared" si="4"/>
        <v>10</v>
      </c>
      <c r="N25" s="27">
        <f t="shared" si="5"/>
        <v>160</v>
      </c>
      <c r="O25" s="3">
        <f t="shared" si="2"/>
        <v>0.4375</v>
      </c>
      <c r="P25" s="3">
        <f t="shared" si="6"/>
        <v>4.375</v>
      </c>
      <c r="Q25" s="4"/>
      <c r="R25" s="3">
        <v>1</v>
      </c>
      <c r="S25" s="4"/>
      <c r="T25" s="4"/>
      <c r="Y25" s="29"/>
      <c r="Z25" s="29"/>
      <c r="AA25" s="29"/>
    </row>
    <row r="26" spans="2:28" x14ac:dyDescent="0.25">
      <c r="G26" s="16"/>
      <c r="H26">
        <f>H25/2</f>
        <v>150000000</v>
      </c>
      <c r="I26" s="4"/>
      <c r="J26" s="3">
        <f>J23-G23</f>
        <v>1.1144444444444446</v>
      </c>
      <c r="K26" s="3">
        <v>10</v>
      </c>
      <c r="L26" s="3">
        <f t="shared" si="3"/>
        <v>80</v>
      </c>
      <c r="M26" s="53">
        <f t="shared" si="4"/>
        <v>10</v>
      </c>
      <c r="N26" s="27">
        <f t="shared" si="5"/>
        <v>170</v>
      </c>
      <c r="O26" s="3">
        <f t="shared" si="2"/>
        <v>0.47058823529411764</v>
      </c>
      <c r="P26" s="3">
        <f t="shared" si="6"/>
        <v>4.7058823529411766</v>
      </c>
      <c r="Q26" s="4"/>
      <c r="R26" s="4"/>
      <c r="S26" s="4"/>
      <c r="T26" s="4"/>
      <c r="U26" s="3"/>
      <c r="V26" s="3"/>
      <c r="W26" s="3"/>
      <c r="Y26" s="29"/>
      <c r="Z26" s="29"/>
      <c r="AA26" s="29"/>
    </row>
    <row r="27" spans="2:28" x14ac:dyDescent="0.25">
      <c r="B27" s="1"/>
      <c r="I27" s="4"/>
      <c r="J27" s="3">
        <f>SUM(J25:J26)</f>
        <v>3.3433333333333337</v>
      </c>
      <c r="K27" s="3">
        <v>10</v>
      </c>
      <c r="L27" s="3">
        <f t="shared" si="3"/>
        <v>90</v>
      </c>
      <c r="M27" s="53">
        <f t="shared" si="4"/>
        <v>10</v>
      </c>
      <c r="N27" s="27">
        <f t="shared" si="5"/>
        <v>180</v>
      </c>
      <c r="O27" s="3">
        <f t="shared" si="2"/>
        <v>0.5</v>
      </c>
      <c r="P27" s="3">
        <f t="shared" si="6"/>
        <v>5</v>
      </c>
      <c r="U27" s="3"/>
      <c r="V27" s="3"/>
      <c r="W27" s="3"/>
    </row>
    <row r="28" spans="2:28" x14ac:dyDescent="0.25">
      <c r="D28" s="11"/>
      <c r="E28" s="4"/>
      <c r="I28" s="4"/>
      <c r="J28" s="1"/>
      <c r="K28" s="3">
        <v>10</v>
      </c>
      <c r="L28" s="3">
        <f t="shared" si="3"/>
        <v>100</v>
      </c>
      <c r="M28" s="53">
        <f t="shared" si="4"/>
        <v>10</v>
      </c>
      <c r="N28" s="27">
        <f t="shared" si="5"/>
        <v>190</v>
      </c>
      <c r="O28" s="3">
        <f t="shared" si="2"/>
        <v>0.52631578947368418</v>
      </c>
      <c r="P28" s="3">
        <f t="shared" si="6"/>
        <v>5.2631578947368416</v>
      </c>
      <c r="Q28" s="4"/>
      <c r="R28" s="4"/>
      <c r="S28" s="4"/>
      <c r="T28" s="4"/>
      <c r="U28" s="3"/>
      <c r="V28" s="3"/>
      <c r="W28" s="3"/>
    </row>
    <row r="29" spans="2:28" x14ac:dyDescent="0.25">
      <c r="E29" s="4"/>
      <c r="F29" s="89"/>
      <c r="I29" s="4"/>
      <c r="J29" s="1"/>
      <c r="K29" s="3">
        <v>10</v>
      </c>
      <c r="L29" s="3">
        <f t="shared" si="3"/>
        <v>110</v>
      </c>
      <c r="M29" s="53">
        <f t="shared" si="4"/>
        <v>10</v>
      </c>
      <c r="N29" s="27">
        <f t="shared" si="5"/>
        <v>200</v>
      </c>
      <c r="O29" s="3">
        <f t="shared" si="2"/>
        <v>0.55000000000000004</v>
      </c>
      <c r="P29" s="3">
        <f t="shared" si="6"/>
        <v>5.5</v>
      </c>
      <c r="U29" s="3"/>
      <c r="V29" s="3"/>
      <c r="W29" s="3"/>
    </row>
    <row r="30" spans="2:28" x14ac:dyDescent="0.25">
      <c r="K30" s="3">
        <v>10</v>
      </c>
      <c r="L30" s="3">
        <f t="shared" si="3"/>
        <v>120</v>
      </c>
      <c r="M30" s="53">
        <f t="shared" si="4"/>
        <v>10</v>
      </c>
      <c r="N30" s="27">
        <f t="shared" si="5"/>
        <v>210</v>
      </c>
      <c r="O30" s="3">
        <f t="shared" si="2"/>
        <v>0.5714285714285714</v>
      </c>
      <c r="P30" s="3">
        <f t="shared" si="6"/>
        <v>5.7142857142857135</v>
      </c>
      <c r="U30" s="3"/>
      <c r="V30" s="3"/>
      <c r="W30" s="3"/>
    </row>
    <row r="31" spans="2:28" x14ac:dyDescent="0.25">
      <c r="F31" s="150"/>
      <c r="G31" s="150"/>
      <c r="K31" s="3">
        <v>10</v>
      </c>
      <c r="L31" s="3">
        <f t="shared" ref="L31" si="7">K31+L30</f>
        <v>130</v>
      </c>
      <c r="M31" s="53">
        <f t="shared" si="4"/>
        <v>10</v>
      </c>
      <c r="N31" s="27">
        <f t="shared" si="5"/>
        <v>220</v>
      </c>
      <c r="O31" s="3">
        <f t="shared" si="2"/>
        <v>0.59090909090909094</v>
      </c>
      <c r="P31" s="3">
        <f t="shared" si="6"/>
        <v>5.9090909090909092</v>
      </c>
    </row>
    <row r="32" spans="2:28" x14ac:dyDescent="0.25">
      <c r="F32" s="66"/>
      <c r="G32" s="1"/>
      <c r="H32" s="150"/>
      <c r="K32" s="3">
        <v>10</v>
      </c>
      <c r="L32" s="3">
        <f>L31+K32</f>
        <v>140</v>
      </c>
      <c r="M32" s="53">
        <f t="shared" si="4"/>
        <v>10</v>
      </c>
      <c r="N32" s="27">
        <f t="shared" si="5"/>
        <v>230</v>
      </c>
      <c r="O32" s="3">
        <f t="shared" si="2"/>
        <v>0.60869565217391308</v>
      </c>
      <c r="P32" s="3">
        <f t="shared" si="6"/>
        <v>6.0869565217391308</v>
      </c>
    </row>
    <row r="33" spans="2:27" x14ac:dyDescent="0.25">
      <c r="K33" s="3">
        <v>10</v>
      </c>
      <c r="L33" s="3">
        <f t="shared" si="3"/>
        <v>150</v>
      </c>
      <c r="M33" s="53">
        <f t="shared" si="4"/>
        <v>10</v>
      </c>
      <c r="N33" s="27">
        <f t="shared" si="5"/>
        <v>240</v>
      </c>
      <c r="O33" s="3">
        <f t="shared" si="2"/>
        <v>0.625</v>
      </c>
      <c r="P33" s="3">
        <f t="shared" si="6"/>
        <v>6.25</v>
      </c>
    </row>
    <row r="34" spans="2:27" x14ac:dyDescent="0.25">
      <c r="B34" s="1"/>
      <c r="F34" s="139"/>
      <c r="I34" s="2"/>
      <c r="J34" s="2"/>
      <c r="K34" s="3">
        <v>10</v>
      </c>
      <c r="L34" s="3">
        <f t="shared" si="3"/>
        <v>160</v>
      </c>
      <c r="M34" s="53">
        <f t="shared" si="4"/>
        <v>10</v>
      </c>
      <c r="N34" s="27">
        <f t="shared" si="5"/>
        <v>250</v>
      </c>
      <c r="O34" s="3">
        <f t="shared" si="2"/>
        <v>0.64</v>
      </c>
      <c r="P34" s="3">
        <f t="shared" si="6"/>
        <v>6.4</v>
      </c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2:27" x14ac:dyDescent="0.25">
      <c r="G35" s="151"/>
      <c r="K35" s="3">
        <v>10</v>
      </c>
      <c r="L35" s="3">
        <f t="shared" si="3"/>
        <v>170</v>
      </c>
      <c r="M35" s="53">
        <f t="shared" si="4"/>
        <v>10</v>
      </c>
      <c r="N35" s="27">
        <f t="shared" si="5"/>
        <v>260</v>
      </c>
      <c r="O35" s="3">
        <f t="shared" si="2"/>
        <v>0.65384615384615385</v>
      </c>
      <c r="P35" s="3">
        <f t="shared" si="6"/>
        <v>6.5384615384615383</v>
      </c>
    </row>
    <row r="36" spans="2:27" x14ac:dyDescent="0.25">
      <c r="B36" s="1"/>
      <c r="H36" s="151"/>
      <c r="J36" s="1"/>
      <c r="K36" s="3">
        <v>10</v>
      </c>
      <c r="L36" s="3">
        <f t="shared" si="3"/>
        <v>180</v>
      </c>
      <c r="M36" s="53">
        <f t="shared" si="4"/>
        <v>10</v>
      </c>
      <c r="N36" s="27">
        <f t="shared" si="5"/>
        <v>270</v>
      </c>
      <c r="O36" s="3">
        <f t="shared" si="2"/>
        <v>0.66666666666666663</v>
      </c>
      <c r="P36" s="3">
        <f t="shared" si="6"/>
        <v>6.6666666666666661</v>
      </c>
      <c r="U36" s="22"/>
      <c r="V36" s="22"/>
      <c r="W36" s="22"/>
      <c r="Y36" s="53"/>
      <c r="Z36" s="53"/>
      <c r="AA36" s="53"/>
    </row>
    <row r="37" spans="2:27" x14ac:dyDescent="0.25">
      <c r="K37" s="3">
        <v>10</v>
      </c>
      <c r="L37" s="3">
        <f t="shared" si="3"/>
        <v>190</v>
      </c>
      <c r="M37" s="53">
        <f t="shared" si="4"/>
        <v>10</v>
      </c>
      <c r="N37" s="27">
        <f t="shared" si="5"/>
        <v>280</v>
      </c>
      <c r="O37" s="3">
        <f t="shared" si="2"/>
        <v>0.6785714285714286</v>
      </c>
      <c r="P37" s="3">
        <f t="shared" si="6"/>
        <v>6.7857142857142865</v>
      </c>
      <c r="U37" s="22"/>
      <c r="V37" s="22"/>
      <c r="W37" s="22"/>
      <c r="Y37" s="53"/>
      <c r="Z37" s="53"/>
      <c r="AA37" s="53"/>
    </row>
    <row r="38" spans="2:27" x14ac:dyDescent="0.25">
      <c r="B38" s="1"/>
      <c r="H38" s="150"/>
      <c r="K38" s="3">
        <v>10</v>
      </c>
      <c r="L38" s="3">
        <f t="shared" si="3"/>
        <v>200</v>
      </c>
      <c r="M38" s="53">
        <f t="shared" si="4"/>
        <v>10</v>
      </c>
      <c r="N38" s="27">
        <f t="shared" si="5"/>
        <v>290</v>
      </c>
      <c r="O38" s="3">
        <f t="shared" si="2"/>
        <v>0.68965517241379315</v>
      </c>
      <c r="P38" s="3">
        <f t="shared" si="6"/>
        <v>6.8965517241379315</v>
      </c>
      <c r="U38" s="22"/>
      <c r="V38" s="22"/>
      <c r="W38" s="22"/>
      <c r="Y38" s="53"/>
      <c r="Z38" s="53"/>
      <c r="AA38" s="53"/>
    </row>
    <row r="39" spans="2:27" x14ac:dyDescent="0.25">
      <c r="K39" s="3">
        <v>10</v>
      </c>
      <c r="L39" s="3">
        <f t="shared" si="3"/>
        <v>210</v>
      </c>
      <c r="M39" s="53">
        <f t="shared" si="4"/>
        <v>10</v>
      </c>
      <c r="N39" s="27">
        <f t="shared" si="5"/>
        <v>300</v>
      </c>
      <c r="O39" s="3">
        <f t="shared" si="2"/>
        <v>0.7</v>
      </c>
      <c r="P39" s="3">
        <f t="shared" si="6"/>
        <v>7</v>
      </c>
      <c r="U39" s="22"/>
      <c r="V39" s="22"/>
      <c r="W39" s="22"/>
      <c r="Y39" s="53"/>
      <c r="Z39" s="53"/>
      <c r="AA39" s="53"/>
    </row>
    <row r="40" spans="2:27" x14ac:dyDescent="0.25">
      <c r="K40" s="3">
        <v>10</v>
      </c>
      <c r="L40" s="3">
        <f t="shared" si="3"/>
        <v>220</v>
      </c>
      <c r="M40" s="53">
        <f t="shared" si="4"/>
        <v>10</v>
      </c>
      <c r="N40" s="27">
        <f t="shared" si="5"/>
        <v>310</v>
      </c>
      <c r="O40" s="3">
        <f t="shared" si="2"/>
        <v>0.70967741935483875</v>
      </c>
      <c r="P40" s="3"/>
      <c r="U40" s="22"/>
      <c r="V40" s="22"/>
      <c r="W40" s="22"/>
      <c r="Y40" s="53"/>
      <c r="Z40" s="53"/>
      <c r="AA40" s="53"/>
    </row>
    <row r="41" spans="2:27" x14ac:dyDescent="0.25">
      <c r="B41" s="1"/>
      <c r="I41" t="s">
        <v>198</v>
      </c>
      <c r="L41" s="67"/>
      <c r="M41" s="87">
        <f>K41*N40/L40</f>
        <v>0</v>
      </c>
      <c r="N41" s="8"/>
      <c r="O41" s="8"/>
      <c r="P41" s="3"/>
      <c r="U41" s="22"/>
      <c r="V41" s="22"/>
      <c r="W41" s="22"/>
      <c r="Y41" s="53"/>
      <c r="Z41" s="53"/>
      <c r="AA41" s="53"/>
    </row>
    <row r="42" spans="2:27" x14ac:dyDescent="0.25">
      <c r="L42" s="67"/>
      <c r="M42" s="8"/>
      <c r="N42" s="8"/>
      <c r="O42" s="8"/>
      <c r="P42" s="3"/>
      <c r="U42" s="22"/>
      <c r="V42" s="22"/>
      <c r="W42" s="22"/>
      <c r="Y42" s="53"/>
      <c r="Z42" s="53"/>
      <c r="AA42" s="53"/>
    </row>
    <row r="43" spans="2:27" x14ac:dyDescent="0.25">
      <c r="I43" t="s">
        <v>199</v>
      </c>
      <c r="K43" s="3"/>
      <c r="L43" s="67"/>
      <c r="M43" s="67"/>
      <c r="N43" s="8"/>
      <c r="O43" s="8"/>
      <c r="P43" s="3"/>
      <c r="U43" s="22"/>
      <c r="V43" s="22"/>
      <c r="W43" s="22"/>
      <c r="Y43" s="53"/>
      <c r="Z43" s="53"/>
      <c r="AA43" s="53"/>
    </row>
    <row r="44" spans="2:27" x14ac:dyDescent="0.25">
      <c r="B44" s="1"/>
      <c r="F44" s="2"/>
      <c r="G44" s="2"/>
      <c r="H44" s="2"/>
      <c r="L44" s="67"/>
      <c r="M44" s="8"/>
      <c r="N44" s="8"/>
      <c r="O44" s="8"/>
      <c r="P44" s="3"/>
      <c r="U44" s="22"/>
      <c r="V44" s="22"/>
      <c r="W44" s="22"/>
      <c r="Y44" s="53"/>
      <c r="Z44" s="53"/>
      <c r="AA44" s="53"/>
    </row>
    <row r="45" spans="2:27" x14ac:dyDescent="0.25">
      <c r="F45" s="4"/>
      <c r="G45" s="3"/>
      <c r="H45" s="3"/>
      <c r="L45" s="8"/>
      <c r="M45" s="8"/>
      <c r="N45" s="8"/>
      <c r="O45" s="8"/>
      <c r="P45" s="3"/>
    </row>
    <row r="46" spans="2:27" x14ac:dyDescent="0.25">
      <c r="F46" s="4"/>
      <c r="G46" s="3"/>
      <c r="H46" s="3"/>
      <c r="L46" s="4"/>
      <c r="M46" s="4"/>
      <c r="N46" s="4"/>
      <c r="P46" s="3"/>
      <c r="Y46" s="4"/>
      <c r="Z46" s="4"/>
      <c r="AA46" s="4"/>
    </row>
    <row r="47" spans="2:27" x14ac:dyDescent="0.25">
      <c r="B47" s="1"/>
      <c r="F47" s="4"/>
      <c r="G47" s="3"/>
      <c r="H47" s="3"/>
      <c r="J47" s="48"/>
      <c r="L47" s="4"/>
      <c r="M47" s="4"/>
      <c r="N47" s="4"/>
      <c r="P47" s="3"/>
    </row>
    <row r="48" spans="2:27" x14ac:dyDescent="0.25">
      <c r="F48" s="4"/>
      <c r="G48" s="3"/>
      <c r="H48" s="53"/>
      <c r="L48" s="4"/>
      <c r="M48" s="4"/>
      <c r="N48" s="4"/>
      <c r="P48" s="3"/>
    </row>
    <row r="49" spans="2:30" x14ac:dyDescent="0.25">
      <c r="F49" s="4"/>
      <c r="G49" s="3"/>
      <c r="H49" s="3"/>
      <c r="P49" s="3"/>
    </row>
    <row r="50" spans="2:30" x14ac:dyDescent="0.25">
      <c r="F50" s="4"/>
      <c r="G50" s="3"/>
      <c r="H50" s="3"/>
      <c r="I50" s="4"/>
      <c r="J50" s="1"/>
      <c r="O50" s="30"/>
      <c r="P50" s="3"/>
    </row>
    <row r="51" spans="2:30" x14ac:dyDescent="0.25">
      <c r="F51" s="4"/>
      <c r="G51" s="3"/>
      <c r="H51" s="3"/>
      <c r="I51" s="4"/>
      <c r="J51" s="1"/>
      <c r="O51" s="30"/>
      <c r="P51" s="3"/>
      <c r="V51" s="30"/>
    </row>
    <row r="52" spans="2:30" x14ac:dyDescent="0.25">
      <c r="F52" s="4"/>
      <c r="G52" s="3"/>
      <c r="H52" s="3"/>
      <c r="I52" s="4"/>
      <c r="J52" s="1"/>
      <c r="N52" s="4"/>
      <c r="O52" s="30"/>
      <c r="P52" s="30"/>
      <c r="Q52" s="4"/>
      <c r="R52" s="4"/>
      <c r="S52" s="4"/>
      <c r="T52" s="4"/>
      <c r="U52" s="4"/>
      <c r="V52" s="28"/>
      <c r="W52" s="4"/>
      <c r="Y52" s="29"/>
      <c r="Z52" s="29"/>
      <c r="AA52" s="29"/>
    </row>
    <row r="53" spans="2:30" x14ac:dyDescent="0.25">
      <c r="F53" s="4"/>
      <c r="G53" s="3"/>
      <c r="H53" s="3"/>
      <c r="I53" s="4"/>
      <c r="J53" s="1"/>
      <c r="K53" s="30"/>
      <c r="L53" s="30"/>
      <c r="N53" s="4"/>
      <c r="O53" s="4"/>
      <c r="P53" s="3"/>
      <c r="Q53" s="4"/>
      <c r="R53" s="4"/>
      <c r="S53" s="4"/>
      <c r="T53" s="4"/>
      <c r="U53" s="4"/>
      <c r="V53" s="28"/>
      <c r="W53" s="4"/>
      <c r="Y53" s="29"/>
      <c r="Z53" s="29"/>
      <c r="AA53" s="29"/>
    </row>
    <row r="54" spans="2:30" x14ac:dyDescent="0.25">
      <c r="F54" s="4"/>
      <c r="G54" s="3"/>
      <c r="H54" s="3"/>
      <c r="I54" s="4"/>
      <c r="J54" s="1"/>
      <c r="K54" s="30"/>
      <c r="L54" s="30"/>
      <c r="N54" s="4"/>
      <c r="O54" s="1"/>
      <c r="P54" s="4"/>
      <c r="Q54" s="4"/>
      <c r="R54" s="4"/>
      <c r="S54" s="4"/>
      <c r="T54" s="4"/>
      <c r="U54" s="4"/>
      <c r="V54" s="28"/>
      <c r="W54" s="4"/>
      <c r="Y54" s="29"/>
      <c r="Z54" s="29"/>
      <c r="AA54" s="29"/>
    </row>
    <row r="55" spans="2:30" x14ac:dyDescent="0.25">
      <c r="B55" s="1"/>
      <c r="H55" s="16"/>
      <c r="I55" s="4"/>
      <c r="J55" s="1"/>
      <c r="Q55" s="4"/>
      <c r="R55" s="4"/>
      <c r="S55" s="4"/>
      <c r="T55" s="4"/>
      <c r="Y55" s="29"/>
      <c r="Z55" s="29"/>
      <c r="AA55" s="29"/>
    </row>
    <row r="56" spans="2:30" x14ac:dyDescent="0.25">
      <c r="I56" s="4"/>
      <c r="J56" s="1"/>
      <c r="N56" s="22"/>
      <c r="O56" s="22"/>
      <c r="P56" s="22"/>
      <c r="Q56" s="4"/>
      <c r="R56" s="4"/>
      <c r="S56" s="4"/>
      <c r="T56" s="4"/>
      <c r="U56" s="3"/>
      <c r="V56" s="3"/>
      <c r="W56" s="3"/>
      <c r="Y56" s="29"/>
      <c r="Z56" s="29"/>
      <c r="AA56" s="29"/>
    </row>
    <row r="57" spans="2:30" x14ac:dyDescent="0.25">
      <c r="B57" s="1"/>
      <c r="I57" s="4"/>
      <c r="J57" s="1"/>
      <c r="N57" s="22"/>
      <c r="O57" s="1"/>
      <c r="P57" s="22"/>
      <c r="U57" s="3"/>
      <c r="V57" s="3"/>
      <c r="W57" s="3"/>
    </row>
    <row r="58" spans="2:30" x14ac:dyDescent="0.25">
      <c r="I58" s="4"/>
      <c r="J58" s="1"/>
      <c r="N58" s="22"/>
      <c r="O58" s="22"/>
      <c r="P58" s="22"/>
      <c r="Q58" s="4"/>
      <c r="R58" s="4"/>
      <c r="S58" s="4"/>
      <c r="T58" s="4"/>
      <c r="U58" s="3"/>
      <c r="V58" s="3"/>
      <c r="W58" s="3"/>
    </row>
    <row r="59" spans="2:30" x14ac:dyDescent="0.25">
      <c r="B59" s="1"/>
      <c r="I59" s="4"/>
      <c r="J59" s="1"/>
      <c r="N59" s="22"/>
      <c r="O59" s="22"/>
      <c r="P59" s="22"/>
      <c r="U59" s="3"/>
      <c r="V59" s="3"/>
      <c r="W59" s="3"/>
    </row>
    <row r="60" spans="2:30" x14ac:dyDescent="0.25">
      <c r="AD60" s="30"/>
    </row>
    <row r="61" spans="2:30" x14ac:dyDescent="0.25">
      <c r="AD61" s="30"/>
    </row>
    <row r="66" spans="2:27" x14ac:dyDescent="0.25">
      <c r="B66" s="1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2:27" x14ac:dyDescent="0.25">
      <c r="L67" s="67"/>
      <c r="M67" s="8"/>
      <c r="N67" s="8"/>
      <c r="O67" s="8"/>
      <c r="P67" s="3"/>
    </row>
    <row r="68" spans="2:27" x14ac:dyDescent="0.25">
      <c r="B68" s="1"/>
      <c r="J68" s="1"/>
      <c r="L68" s="8"/>
      <c r="M68" s="8"/>
      <c r="N68" s="8"/>
      <c r="O68" s="8"/>
      <c r="P68" s="3"/>
      <c r="U68" s="22"/>
      <c r="V68" s="22"/>
      <c r="W68" s="22"/>
      <c r="Y68" s="53"/>
      <c r="Z68" s="53"/>
      <c r="AA68" s="53"/>
    </row>
    <row r="69" spans="2:27" x14ac:dyDescent="0.25">
      <c r="L69" s="8"/>
      <c r="M69" s="67"/>
      <c r="N69" s="8"/>
      <c r="O69" s="8"/>
      <c r="P69" s="3"/>
      <c r="U69" s="22"/>
      <c r="V69" s="22"/>
      <c r="W69" s="22"/>
      <c r="Y69" s="53"/>
      <c r="Z69" s="53"/>
      <c r="AA69" s="53"/>
    </row>
    <row r="70" spans="2:27" x14ac:dyDescent="0.25">
      <c r="B70" s="1"/>
      <c r="L70" s="8"/>
      <c r="M70" s="8"/>
      <c r="N70" s="8"/>
      <c r="O70" s="8"/>
      <c r="P70" s="3"/>
      <c r="U70" s="22"/>
      <c r="V70" s="22"/>
      <c r="W70" s="22"/>
      <c r="Y70" s="53"/>
      <c r="Z70" s="53"/>
      <c r="AA70" s="53"/>
    </row>
    <row r="71" spans="2:27" x14ac:dyDescent="0.25">
      <c r="L71" s="8"/>
      <c r="M71" s="8"/>
      <c r="N71" s="67"/>
      <c r="O71" s="8"/>
      <c r="P71" s="3"/>
      <c r="U71" s="22"/>
      <c r="V71" s="22"/>
      <c r="W71" s="22"/>
      <c r="Y71" s="53"/>
      <c r="Z71" s="53"/>
      <c r="AA71" s="53"/>
    </row>
    <row r="72" spans="2:27" x14ac:dyDescent="0.25">
      <c r="L72" s="8"/>
      <c r="M72" s="8"/>
      <c r="N72" s="67"/>
      <c r="O72" s="8"/>
      <c r="P72" s="3"/>
      <c r="U72" s="22"/>
      <c r="V72" s="22"/>
      <c r="W72" s="22"/>
      <c r="Y72" s="53"/>
      <c r="Z72" s="53"/>
      <c r="AA72" s="53"/>
    </row>
    <row r="73" spans="2:27" x14ac:dyDescent="0.25">
      <c r="B73" s="1"/>
      <c r="L73" s="67"/>
      <c r="M73" s="8"/>
      <c r="N73" s="67"/>
      <c r="O73" s="8"/>
      <c r="P73" s="3"/>
      <c r="U73" s="22"/>
      <c r="V73" s="22"/>
      <c r="W73" s="22"/>
      <c r="Y73" s="53"/>
      <c r="Z73" s="53"/>
      <c r="AA73" s="53"/>
    </row>
    <row r="74" spans="2:27" x14ac:dyDescent="0.25">
      <c r="L74" s="67"/>
      <c r="M74" s="8"/>
      <c r="N74" s="67"/>
      <c r="O74" s="8"/>
      <c r="P74" s="3"/>
      <c r="U74" s="22"/>
      <c r="V74" s="22"/>
      <c r="W74" s="22"/>
      <c r="Y74" s="53"/>
      <c r="Z74" s="53"/>
      <c r="AA74" s="53"/>
    </row>
    <row r="75" spans="2:27" x14ac:dyDescent="0.25">
      <c r="L75" s="67"/>
      <c r="M75" s="67"/>
      <c r="N75" s="67"/>
      <c r="O75" s="8"/>
      <c r="P75" s="3"/>
      <c r="U75" s="22"/>
      <c r="V75" s="22"/>
      <c r="W75" s="22"/>
      <c r="Y75" s="53"/>
      <c r="Z75" s="53"/>
      <c r="AA75" s="53"/>
    </row>
    <row r="76" spans="2:27" x14ac:dyDescent="0.25">
      <c r="B76" s="1"/>
      <c r="F76" s="2"/>
      <c r="G76" s="2"/>
      <c r="H76" s="2"/>
      <c r="L76" s="67"/>
      <c r="M76" s="8"/>
      <c r="N76" s="67"/>
      <c r="O76" s="8"/>
      <c r="P76" s="3"/>
      <c r="U76" s="22"/>
      <c r="V76" s="22"/>
      <c r="W76" s="22"/>
      <c r="Y76" s="53"/>
      <c r="Z76" s="53"/>
      <c r="AA76" s="53"/>
    </row>
    <row r="77" spans="2:27" x14ac:dyDescent="0.25">
      <c r="F77" s="4"/>
      <c r="G77" s="3"/>
      <c r="H77" s="53"/>
      <c r="L77" s="8"/>
      <c r="M77" s="8"/>
      <c r="N77" s="8"/>
      <c r="O77" s="8"/>
      <c r="P77" s="3"/>
    </row>
    <row r="78" spans="2:27" x14ac:dyDescent="0.25">
      <c r="F78" s="4"/>
      <c r="G78" s="3"/>
      <c r="H78" s="3"/>
      <c r="L78" s="4"/>
      <c r="M78" s="4"/>
      <c r="N78" s="4"/>
      <c r="P78" s="3"/>
      <c r="Y78" s="4"/>
      <c r="Z78" s="4"/>
      <c r="AA78" s="4"/>
    </row>
    <row r="79" spans="2:27" x14ac:dyDescent="0.25">
      <c r="B79" s="1"/>
      <c r="F79" s="4"/>
      <c r="G79" s="3"/>
      <c r="H79" s="3"/>
      <c r="J79" s="48"/>
      <c r="L79" s="4"/>
      <c r="M79" s="4"/>
      <c r="N79" s="4"/>
      <c r="P79" s="3"/>
    </row>
    <row r="80" spans="2:27" x14ac:dyDescent="0.25">
      <c r="F80" s="4"/>
      <c r="G80" s="3"/>
      <c r="H80" s="53"/>
      <c r="L80" s="4"/>
      <c r="M80" s="4"/>
      <c r="N80" s="4"/>
      <c r="P80" s="3"/>
    </row>
    <row r="81" spans="6:27" x14ac:dyDescent="0.25">
      <c r="F81" s="4"/>
      <c r="G81" s="3"/>
      <c r="H81" s="3"/>
      <c r="P81" s="3"/>
    </row>
    <row r="82" spans="6:27" x14ac:dyDescent="0.25">
      <c r="F82" s="4"/>
      <c r="G82" s="3"/>
      <c r="H82" s="3"/>
      <c r="I82" s="4"/>
      <c r="J82" s="1"/>
      <c r="O82" s="30"/>
      <c r="P82" s="3"/>
    </row>
    <row r="83" spans="6:27" x14ac:dyDescent="0.25">
      <c r="F83" s="4"/>
      <c r="G83" s="3"/>
      <c r="H83" s="3"/>
      <c r="I83" s="4"/>
      <c r="J83" s="1"/>
      <c r="O83" s="30"/>
      <c r="P83" s="3"/>
      <c r="V83" s="30"/>
    </row>
    <row r="84" spans="6:27" x14ac:dyDescent="0.25">
      <c r="F84" s="4"/>
      <c r="G84" s="3"/>
      <c r="H84" s="3"/>
      <c r="I84" s="4"/>
      <c r="J84" s="1"/>
      <c r="N84" s="4"/>
      <c r="O84" s="30"/>
      <c r="P84" s="30"/>
      <c r="Q84" s="4"/>
      <c r="R84" s="4"/>
      <c r="S84" s="4"/>
      <c r="T84" s="4"/>
      <c r="U84" s="4"/>
      <c r="V84" s="28"/>
      <c r="W84" s="4"/>
      <c r="Y84" s="29"/>
      <c r="Z84" s="29"/>
      <c r="AA84" s="29"/>
    </row>
    <row r="85" spans="6:27" x14ac:dyDescent="0.25">
      <c r="F85" s="4"/>
      <c r="G85" s="3"/>
      <c r="H85" s="65"/>
      <c r="I85" s="4"/>
      <c r="J85" s="1"/>
      <c r="K85" s="30"/>
      <c r="L85" s="30"/>
      <c r="N85" s="4"/>
      <c r="O85" s="4"/>
      <c r="P85" s="3"/>
      <c r="Q85" s="4"/>
      <c r="R85" s="4"/>
      <c r="S85" s="4"/>
      <c r="T85" s="4"/>
      <c r="U85" s="4"/>
      <c r="V85" s="28"/>
      <c r="W85" s="4"/>
      <c r="Y85" s="29"/>
      <c r="Z85" s="29"/>
      <c r="AA85" s="29"/>
    </row>
    <row r="86" spans="6:27" x14ac:dyDescent="0.25">
      <c r="F86" s="4"/>
      <c r="G86" s="3"/>
      <c r="H86" s="3"/>
      <c r="I86" s="4"/>
      <c r="J86" s="1"/>
      <c r="K86" s="30"/>
      <c r="L86" s="30"/>
      <c r="N86" s="4"/>
      <c r="O86" s="1"/>
      <c r="P86" s="4"/>
      <c r="Q86" s="4"/>
      <c r="R86" s="4"/>
      <c r="S86" s="4"/>
      <c r="T86" s="4"/>
      <c r="U86" s="4"/>
      <c r="V86" s="28"/>
      <c r="W86" s="4"/>
      <c r="Y86" s="29"/>
      <c r="Z86" s="29"/>
      <c r="AA86" s="29"/>
    </row>
    <row r="87" spans="6:27" x14ac:dyDescent="0.25">
      <c r="H87" s="16"/>
      <c r="I87" s="4"/>
      <c r="J87" s="1"/>
      <c r="Q87" s="4"/>
      <c r="R87" s="4"/>
      <c r="S87" s="4"/>
      <c r="T87" s="4"/>
      <c r="Y87" s="29"/>
      <c r="Z87" s="29"/>
      <c r="AA87" s="29"/>
    </row>
    <row r="88" spans="6:27" x14ac:dyDescent="0.25">
      <c r="I88" s="4"/>
      <c r="J88" s="1"/>
      <c r="N88" s="22"/>
      <c r="O88" s="22"/>
      <c r="P88" s="22"/>
      <c r="Q88" s="4"/>
      <c r="R88" s="4"/>
      <c r="S88" s="4"/>
      <c r="T88" s="4"/>
      <c r="U88" s="3"/>
      <c r="V88" s="3"/>
      <c r="W88" s="3"/>
      <c r="Y88" s="29"/>
      <c r="Z88" s="29"/>
      <c r="AA88" s="29"/>
    </row>
    <row r="89" spans="6:27" x14ac:dyDescent="0.25">
      <c r="I89" s="4"/>
      <c r="J89" s="1"/>
      <c r="N89" s="22"/>
      <c r="O89" s="1"/>
      <c r="P89" s="22"/>
      <c r="U89" s="3"/>
      <c r="V89" s="3"/>
      <c r="W89" s="3"/>
    </row>
    <row r="90" spans="6:27" x14ac:dyDescent="0.25">
      <c r="I90" s="4"/>
      <c r="J90" s="1"/>
      <c r="N90" s="22"/>
      <c r="O90" s="22"/>
      <c r="P90" s="22"/>
      <c r="Q90" s="4"/>
      <c r="R90" s="4"/>
      <c r="S90" s="4"/>
      <c r="T90" s="4"/>
      <c r="U90" s="3"/>
      <c r="V90" s="3"/>
      <c r="W90" s="3"/>
    </row>
    <row r="91" spans="6:27" x14ac:dyDescent="0.25">
      <c r="I91" s="4"/>
      <c r="J91" s="1"/>
      <c r="N91" s="22"/>
      <c r="O91" s="22"/>
      <c r="P91" s="22"/>
      <c r="U91" s="3"/>
      <c r="V91" s="3"/>
      <c r="W91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0B484-B479-4FA8-A24D-4FB8532F84DE}">
  <sheetPr codeName="Sheet14"/>
  <dimension ref="B1:AD91"/>
  <sheetViews>
    <sheetView zoomScale="75" zoomScaleNormal="75" workbookViewId="0">
      <selection activeCell="G25" sqref="G25"/>
    </sheetView>
  </sheetViews>
  <sheetFormatPr defaultRowHeight="15" x14ac:dyDescent="0.25"/>
  <cols>
    <col min="3" max="3" width="12.140625" customWidth="1"/>
    <col min="4" max="4" width="17.5703125" bestFit="1" customWidth="1"/>
    <col min="5" max="5" width="16.140625" customWidth="1"/>
    <col min="6" max="6" width="15.140625" customWidth="1"/>
    <col min="7" max="7" width="15" customWidth="1"/>
    <col min="8" max="8" width="17.5703125" customWidth="1"/>
    <col min="9" max="9" width="10.42578125" bestFit="1" customWidth="1"/>
    <col min="10" max="10" width="12" customWidth="1"/>
    <col min="11" max="16" width="10.7109375" customWidth="1"/>
    <col min="21" max="21" width="10.28515625" customWidth="1"/>
    <col min="22" max="22" width="11.7109375" customWidth="1"/>
    <col min="30" max="30" width="16.85546875" bestFit="1" customWidth="1"/>
  </cols>
  <sheetData>
    <row r="1" spans="2:27" x14ac:dyDescent="0.25">
      <c r="B1" s="1" t="s">
        <v>45</v>
      </c>
    </row>
    <row r="2" spans="2:27" x14ac:dyDescent="0.25">
      <c r="J2">
        <v>875000000</v>
      </c>
      <c r="K2">
        <f>J2/1000000</f>
        <v>875</v>
      </c>
      <c r="L2" s="8">
        <f>K2/(J5/2)</f>
        <v>7</v>
      </c>
      <c r="O2" t="s">
        <v>114</v>
      </c>
      <c r="S2" t="s">
        <v>115</v>
      </c>
    </row>
    <row r="3" spans="2:27" x14ac:dyDescent="0.25">
      <c r="B3" s="1" t="s">
        <v>57</v>
      </c>
    </row>
    <row r="4" spans="2:27" ht="15.75" thickBot="1" x14ac:dyDescent="0.3">
      <c r="G4" s="2" t="s">
        <v>100</v>
      </c>
      <c r="H4" s="2" t="s">
        <v>101</v>
      </c>
      <c r="I4" s="2" t="s">
        <v>99</v>
      </c>
      <c r="J4" s="2" t="s">
        <v>185</v>
      </c>
      <c r="K4" s="2" t="s">
        <v>186</v>
      </c>
      <c r="L4" s="2" t="s">
        <v>56</v>
      </c>
      <c r="M4" s="2" t="s">
        <v>97</v>
      </c>
      <c r="N4" s="2" t="s">
        <v>98</v>
      </c>
      <c r="O4" s="2" t="s">
        <v>185</v>
      </c>
      <c r="P4" s="2" t="s">
        <v>186</v>
      </c>
      <c r="Q4" s="2" t="s">
        <v>56</v>
      </c>
      <c r="R4" s="2"/>
      <c r="S4" s="2" t="s">
        <v>96</v>
      </c>
      <c r="T4" s="2" t="s">
        <v>129</v>
      </c>
      <c r="U4" s="2" t="s">
        <v>130</v>
      </c>
      <c r="V4" s="2"/>
    </row>
    <row r="5" spans="2:27" x14ac:dyDescent="0.25">
      <c r="B5" s="1" t="s">
        <v>61</v>
      </c>
      <c r="F5" s="1">
        <v>1</v>
      </c>
      <c r="I5" s="71" t="s">
        <v>179</v>
      </c>
      <c r="J5" s="72">
        <v>250</v>
      </c>
      <c r="K5" s="60">
        <v>0</v>
      </c>
      <c r="L5" s="60">
        <v>0</v>
      </c>
      <c r="M5" s="60">
        <f>SUM(J5:L5)</f>
        <v>250</v>
      </c>
      <c r="N5" s="73">
        <v>0</v>
      </c>
      <c r="O5" s="32"/>
      <c r="P5" s="77"/>
      <c r="Q5" s="33"/>
    </row>
    <row r="6" spans="2:27" ht="15.75" thickBot="1" x14ac:dyDescent="0.3">
      <c r="C6" t="s">
        <v>59</v>
      </c>
      <c r="F6" s="1"/>
      <c r="G6" s="8">
        <v>20</v>
      </c>
      <c r="H6" s="8">
        <v>10</v>
      </c>
      <c r="I6" s="74">
        <v>1</v>
      </c>
      <c r="J6" s="75">
        <v>250</v>
      </c>
      <c r="K6" s="63">
        <v>0</v>
      </c>
      <c r="L6" s="63">
        <v>0</v>
      </c>
      <c r="M6" s="63">
        <f t="shared" ref="M6:M14" si="0">SUM(J6:L6)</f>
        <v>250</v>
      </c>
      <c r="N6" s="76">
        <f>H6/M6</f>
        <v>0.04</v>
      </c>
      <c r="O6" s="78">
        <f>S6*$H6</f>
        <v>10</v>
      </c>
      <c r="P6" s="79">
        <f>T6*$H6</f>
        <v>0</v>
      </c>
      <c r="Q6" s="76">
        <f>U6*$H6</f>
        <v>0</v>
      </c>
      <c r="S6" s="22">
        <f>J6/$M6</f>
        <v>1</v>
      </c>
      <c r="T6" s="22">
        <f>K6/$M6</f>
        <v>0</v>
      </c>
      <c r="U6" s="22">
        <f>L6/$M6</f>
        <v>0</v>
      </c>
    </row>
    <row r="7" spans="2:27" x14ac:dyDescent="0.25">
      <c r="C7" t="s">
        <v>60</v>
      </c>
      <c r="F7" s="1">
        <v>2</v>
      </c>
      <c r="G7" s="8"/>
      <c r="H7" s="8"/>
      <c r="I7" s="71" t="s">
        <v>180</v>
      </c>
      <c r="J7" s="72">
        <v>250</v>
      </c>
      <c r="K7" s="72">
        <v>150</v>
      </c>
      <c r="L7" s="60">
        <v>0</v>
      </c>
      <c r="M7" s="60">
        <f t="shared" si="0"/>
        <v>400</v>
      </c>
      <c r="N7" s="73">
        <f>N6</f>
        <v>0.04</v>
      </c>
      <c r="O7" s="80"/>
      <c r="P7" s="81"/>
      <c r="Q7" s="73"/>
      <c r="S7" s="22">
        <f t="shared" ref="S7:U14" si="1">J7/$M7</f>
        <v>0.625</v>
      </c>
      <c r="T7" s="22">
        <f t="shared" si="1"/>
        <v>0.375</v>
      </c>
      <c r="U7" s="22">
        <f t="shared" si="1"/>
        <v>0</v>
      </c>
    </row>
    <row r="8" spans="2:27" ht="15.75" thickBot="1" x14ac:dyDescent="0.3">
      <c r="C8" t="s">
        <v>58</v>
      </c>
      <c r="F8" s="1"/>
      <c r="G8" s="8">
        <v>20</v>
      </c>
      <c r="H8" s="8">
        <v>10</v>
      </c>
      <c r="I8" s="74">
        <v>2</v>
      </c>
      <c r="J8" s="75">
        <v>250</v>
      </c>
      <c r="K8" s="75">
        <v>150</v>
      </c>
      <c r="L8" s="63">
        <v>0</v>
      </c>
      <c r="M8" s="63">
        <f t="shared" si="0"/>
        <v>400</v>
      </c>
      <c r="N8" s="76">
        <f>H8/M8+N6</f>
        <v>6.5000000000000002E-2</v>
      </c>
      <c r="O8" s="78">
        <f>S8*$H8</f>
        <v>6.25</v>
      </c>
      <c r="P8" s="79">
        <f>T8*$H8</f>
        <v>3.75</v>
      </c>
      <c r="Q8" s="76">
        <f>U8*$H8</f>
        <v>0</v>
      </c>
      <c r="S8" s="22">
        <f t="shared" si="1"/>
        <v>0.625</v>
      </c>
      <c r="T8" s="22">
        <f t="shared" si="1"/>
        <v>0.375</v>
      </c>
      <c r="U8" s="22">
        <f t="shared" si="1"/>
        <v>0</v>
      </c>
    </row>
    <row r="9" spans="2:27" x14ac:dyDescent="0.25">
      <c r="F9" s="1">
        <v>3</v>
      </c>
      <c r="G9" s="8"/>
      <c r="H9" s="8"/>
      <c r="I9" s="71" t="s">
        <v>181</v>
      </c>
      <c r="J9" s="72">
        <v>250</v>
      </c>
      <c r="K9" s="72">
        <v>150</v>
      </c>
      <c r="L9" s="72">
        <v>100</v>
      </c>
      <c r="M9" s="60">
        <f t="shared" si="0"/>
        <v>500</v>
      </c>
      <c r="N9" s="73">
        <f>N8</f>
        <v>6.5000000000000002E-2</v>
      </c>
      <c r="O9" s="80"/>
      <c r="P9" s="81"/>
      <c r="Q9" s="73"/>
      <c r="S9" s="22">
        <f t="shared" si="1"/>
        <v>0.5</v>
      </c>
      <c r="T9" s="22">
        <f t="shared" si="1"/>
        <v>0.3</v>
      </c>
      <c r="U9" s="22">
        <f t="shared" si="1"/>
        <v>0.2</v>
      </c>
    </row>
    <row r="10" spans="2:27" ht="15.75" thickBot="1" x14ac:dyDescent="0.3">
      <c r="F10" s="1"/>
      <c r="G10" s="8">
        <v>20</v>
      </c>
      <c r="H10" s="8">
        <v>10</v>
      </c>
      <c r="I10" s="74">
        <v>3</v>
      </c>
      <c r="J10" s="75">
        <v>250</v>
      </c>
      <c r="K10" s="75">
        <v>150</v>
      </c>
      <c r="L10" s="75">
        <v>100</v>
      </c>
      <c r="M10" s="63">
        <f t="shared" si="0"/>
        <v>500</v>
      </c>
      <c r="N10" s="76">
        <f>H10/M10+N8</f>
        <v>8.5000000000000006E-2</v>
      </c>
      <c r="O10" s="78">
        <f>S10*$H10</f>
        <v>5</v>
      </c>
      <c r="P10" s="79">
        <f>T10*$H10</f>
        <v>3</v>
      </c>
      <c r="Q10" s="76">
        <f>U10*$H10</f>
        <v>2</v>
      </c>
      <c r="S10" s="22">
        <f t="shared" si="1"/>
        <v>0.5</v>
      </c>
      <c r="T10" s="22">
        <f t="shared" si="1"/>
        <v>0.3</v>
      </c>
      <c r="U10" s="22">
        <f t="shared" si="1"/>
        <v>0.2</v>
      </c>
      <c r="AA10" s="54"/>
    </row>
    <row r="11" spans="2:27" x14ac:dyDescent="0.25">
      <c r="B11" t="s">
        <v>99</v>
      </c>
      <c r="F11" s="1">
        <v>4</v>
      </c>
      <c r="G11" s="8"/>
      <c r="H11" s="8"/>
      <c r="I11" s="71" t="s">
        <v>182</v>
      </c>
      <c r="J11" s="72">
        <v>300</v>
      </c>
      <c r="K11" s="72">
        <v>150</v>
      </c>
      <c r="L11" s="72">
        <v>100</v>
      </c>
      <c r="M11" s="60">
        <f t="shared" si="0"/>
        <v>550</v>
      </c>
      <c r="N11" s="73">
        <f>N10</f>
        <v>8.5000000000000006E-2</v>
      </c>
      <c r="O11" s="80"/>
      <c r="P11" s="81"/>
      <c r="Q11" s="73"/>
      <c r="S11" s="22">
        <f t="shared" si="1"/>
        <v>0.54545454545454541</v>
      </c>
      <c r="T11" s="22">
        <f t="shared" si="1"/>
        <v>0.27272727272727271</v>
      </c>
      <c r="U11" s="22">
        <f t="shared" si="1"/>
        <v>0.18181818181818182</v>
      </c>
      <c r="AA11" s="27"/>
    </row>
    <row r="12" spans="2:27" ht="15.75" thickBot="1" x14ac:dyDescent="0.3">
      <c r="B12" s="1">
        <v>1</v>
      </c>
      <c r="C12" t="s">
        <v>113</v>
      </c>
      <c r="F12" s="1"/>
      <c r="G12" s="8">
        <v>20</v>
      </c>
      <c r="H12" s="8">
        <v>10</v>
      </c>
      <c r="I12" s="74">
        <v>4</v>
      </c>
      <c r="J12" s="75">
        <v>300</v>
      </c>
      <c r="K12" s="75">
        <v>150</v>
      </c>
      <c r="L12" s="75">
        <v>100</v>
      </c>
      <c r="M12" s="63">
        <f t="shared" si="0"/>
        <v>550</v>
      </c>
      <c r="N12" s="76">
        <f>H12/M12+N10</f>
        <v>0.10318181818181818</v>
      </c>
      <c r="O12" s="78">
        <f>S12*$H12</f>
        <v>5.4545454545454541</v>
      </c>
      <c r="P12" s="79">
        <f>T12*$H12</f>
        <v>2.7272727272727271</v>
      </c>
      <c r="Q12" s="76">
        <f>U12*$H12</f>
        <v>1.8181818181818183</v>
      </c>
      <c r="S12" s="22">
        <f t="shared" si="1"/>
        <v>0.54545454545454541</v>
      </c>
      <c r="T12" s="22">
        <f t="shared" si="1"/>
        <v>0.27272727272727271</v>
      </c>
      <c r="U12" s="22">
        <f t="shared" si="1"/>
        <v>0.18181818181818182</v>
      </c>
    </row>
    <row r="13" spans="2:27" x14ac:dyDescent="0.25">
      <c r="B13" s="1">
        <v>2</v>
      </c>
      <c r="C13" t="s">
        <v>112</v>
      </c>
      <c r="F13" s="1">
        <v>5</v>
      </c>
      <c r="G13" s="8"/>
      <c r="H13" s="8"/>
      <c r="I13" s="71" t="s">
        <v>183</v>
      </c>
      <c r="J13" s="72">
        <v>300</v>
      </c>
      <c r="K13" s="72">
        <v>0</v>
      </c>
      <c r="L13" s="72">
        <v>100</v>
      </c>
      <c r="M13" s="60">
        <f t="shared" si="0"/>
        <v>400</v>
      </c>
      <c r="N13" s="73">
        <f>N12</f>
        <v>0.10318181818181818</v>
      </c>
      <c r="O13" s="80"/>
      <c r="P13" s="81"/>
      <c r="Q13" s="73"/>
      <c r="S13" s="22">
        <f t="shared" si="1"/>
        <v>0.75</v>
      </c>
      <c r="T13" s="22">
        <f t="shared" si="1"/>
        <v>0</v>
      </c>
      <c r="U13" s="22">
        <f t="shared" si="1"/>
        <v>0.25</v>
      </c>
    </row>
    <row r="14" spans="2:27" ht="15.75" thickBot="1" x14ac:dyDescent="0.3">
      <c r="B14" s="1">
        <v>3</v>
      </c>
      <c r="C14" t="s">
        <v>111</v>
      </c>
      <c r="F14" s="1"/>
      <c r="G14" s="8">
        <v>20</v>
      </c>
      <c r="H14" s="8">
        <v>10</v>
      </c>
      <c r="I14" s="74">
        <v>5</v>
      </c>
      <c r="J14" s="75">
        <v>300</v>
      </c>
      <c r="K14" s="63">
        <v>0</v>
      </c>
      <c r="L14" s="75">
        <v>100</v>
      </c>
      <c r="M14" s="63">
        <f t="shared" si="0"/>
        <v>400</v>
      </c>
      <c r="N14" s="76">
        <f>H14/M14+N12</f>
        <v>0.12818181818181817</v>
      </c>
      <c r="O14" s="78">
        <f>S14*$H14</f>
        <v>7.5</v>
      </c>
      <c r="P14" s="79">
        <f>T14*$H14</f>
        <v>0</v>
      </c>
      <c r="Q14" s="76">
        <f>U14*$H14</f>
        <v>2.5</v>
      </c>
      <c r="S14" s="22">
        <f t="shared" si="1"/>
        <v>0.75</v>
      </c>
      <c r="T14" s="22">
        <f t="shared" si="1"/>
        <v>0</v>
      </c>
      <c r="U14" s="22">
        <f t="shared" si="1"/>
        <v>0.25</v>
      </c>
    </row>
    <row r="15" spans="2:27" x14ac:dyDescent="0.25">
      <c r="B15" s="1">
        <v>4</v>
      </c>
      <c r="C15" t="s">
        <v>110</v>
      </c>
      <c r="F15" s="1">
        <v>6</v>
      </c>
      <c r="G15" s="8"/>
      <c r="H15" s="8"/>
      <c r="I15" s="2" t="s">
        <v>184</v>
      </c>
      <c r="J15" s="4">
        <v>0</v>
      </c>
      <c r="K15" s="4">
        <v>0</v>
      </c>
      <c r="L15" s="4">
        <v>0</v>
      </c>
      <c r="M15" s="4">
        <v>0</v>
      </c>
      <c r="N15" s="3">
        <f>N14</f>
        <v>0.12818181818181817</v>
      </c>
    </row>
    <row r="16" spans="2:27" x14ac:dyDescent="0.25">
      <c r="B16" s="1">
        <v>5</v>
      </c>
      <c r="C16" t="s">
        <v>109</v>
      </c>
      <c r="J16" s="4"/>
      <c r="K16" s="4"/>
      <c r="L16" s="4"/>
      <c r="N16" s="3"/>
      <c r="O16" s="3"/>
      <c r="P16" s="3"/>
      <c r="Q16" s="3"/>
      <c r="W16" s="4"/>
      <c r="X16" s="4"/>
      <c r="Y16" s="4"/>
    </row>
    <row r="17" spans="2:28" x14ac:dyDescent="0.25">
      <c r="B17" s="1">
        <v>6</v>
      </c>
      <c r="C17" t="s">
        <v>108</v>
      </c>
      <c r="H17" s="48">
        <f>K2/3</f>
        <v>291.66666666666669</v>
      </c>
      <c r="I17" t="str">
        <f>test8OracleRevenue!I5</f>
        <v>1pre</v>
      </c>
      <c r="J17">
        <f>test8OracleRevenue!J5</f>
        <v>250</v>
      </c>
      <c r="K17">
        <f>test8OracleRevenue!K5</f>
        <v>0</v>
      </c>
      <c r="L17">
        <f>test8OracleRevenue!L5</f>
        <v>0</v>
      </c>
      <c r="M17">
        <f>test8OracleRevenue!M5</f>
        <v>250</v>
      </c>
      <c r="N17">
        <f>test8OracleRevenue!N5</f>
        <v>0</v>
      </c>
    </row>
    <row r="18" spans="2:28" x14ac:dyDescent="0.25">
      <c r="C18" t="s">
        <v>107</v>
      </c>
      <c r="I18">
        <f>test8OracleRevenue!I6</f>
        <v>1</v>
      </c>
      <c r="J18">
        <f>test8OracleRevenue!J6</f>
        <v>250</v>
      </c>
      <c r="K18">
        <f>test8OracleRevenue!K6</f>
        <v>0</v>
      </c>
      <c r="L18">
        <f>test8OracleRevenue!L6</f>
        <v>0</v>
      </c>
      <c r="M18">
        <f>test8OracleRevenue!M6</f>
        <v>250</v>
      </c>
      <c r="N18">
        <f>test8OracleRevenue!N6</f>
        <v>0.04</v>
      </c>
      <c r="P18" s="3"/>
      <c r="AB18" s="29"/>
    </row>
    <row r="19" spans="2:28" x14ac:dyDescent="0.25">
      <c r="I19" t="str">
        <f>test8OracleRevenue!I7</f>
        <v>2pre</v>
      </c>
      <c r="J19">
        <f>test8OracleRevenue!J7</f>
        <v>250</v>
      </c>
      <c r="K19">
        <f>test8OracleRevenue!K7</f>
        <v>150</v>
      </c>
      <c r="L19">
        <f>test8OracleRevenue!L7</f>
        <v>0</v>
      </c>
      <c r="M19">
        <f>test8OracleRevenue!M7</f>
        <v>400</v>
      </c>
      <c r="N19">
        <f>test8OracleRevenue!N7</f>
        <v>0.04</v>
      </c>
      <c r="P19" s="3"/>
      <c r="AB19" s="29"/>
    </row>
    <row r="20" spans="2:28" x14ac:dyDescent="0.25">
      <c r="E20" s="2" t="s">
        <v>187</v>
      </c>
      <c r="F20" s="13" t="s">
        <v>188</v>
      </c>
      <c r="I20">
        <f>test8OracleRevenue!I8</f>
        <v>2</v>
      </c>
      <c r="J20">
        <f>test8OracleRevenue!J8</f>
        <v>250</v>
      </c>
      <c r="K20">
        <f>test8OracleRevenue!K8</f>
        <v>150</v>
      </c>
      <c r="L20">
        <f>test8OracleRevenue!L8</f>
        <v>0</v>
      </c>
      <c r="M20">
        <f>test8OracleRevenue!M8</f>
        <v>400</v>
      </c>
      <c r="N20">
        <f>test8OracleRevenue!N8</f>
        <v>6.5000000000000002E-2</v>
      </c>
      <c r="O20" s="30"/>
      <c r="P20" s="3"/>
      <c r="AB20" s="29"/>
    </row>
    <row r="21" spans="2:28" x14ac:dyDescent="0.25">
      <c r="B21" s="2" t="s">
        <v>264</v>
      </c>
      <c r="C21" s="2" t="s">
        <v>99</v>
      </c>
      <c r="D21" s="2" t="s">
        <v>191</v>
      </c>
      <c r="E21" s="2" t="s">
        <v>189</v>
      </c>
      <c r="F21" s="2"/>
      <c r="I21" t="str">
        <f>test8OracleRevenue!I9</f>
        <v>3pre</v>
      </c>
      <c r="J21">
        <f>test8OracleRevenue!J9</f>
        <v>250</v>
      </c>
      <c r="K21">
        <f>test8OracleRevenue!K9</f>
        <v>150</v>
      </c>
      <c r="L21">
        <f>test8OracleRevenue!L9</f>
        <v>100</v>
      </c>
      <c r="M21">
        <f>test8OracleRevenue!M9</f>
        <v>500</v>
      </c>
      <c r="N21">
        <f>test8OracleRevenue!N9</f>
        <v>6.5000000000000002E-2</v>
      </c>
      <c r="O21" s="30"/>
      <c r="P21" s="3"/>
      <c r="V21" s="30"/>
      <c r="AB21" s="29"/>
    </row>
    <row r="22" spans="2:28" x14ac:dyDescent="0.25">
      <c r="B22" s="1">
        <v>0</v>
      </c>
      <c r="C22">
        <v>4</v>
      </c>
      <c r="D22" s="4">
        <v>250</v>
      </c>
      <c r="E22" s="82">
        <f>O6+O8+O10</f>
        <v>21.25</v>
      </c>
      <c r="F22" s="83">
        <f>D22*INT((N10-N5)*1000)/1000</f>
        <v>21.25</v>
      </c>
      <c r="G22" s="2">
        <v>21.25</v>
      </c>
      <c r="H22" s="2"/>
      <c r="I22">
        <f>test8OracleRevenue!I10</f>
        <v>3</v>
      </c>
      <c r="J22">
        <f>test8OracleRevenue!J10</f>
        <v>250</v>
      </c>
      <c r="K22">
        <f>test8OracleRevenue!K10</f>
        <v>150</v>
      </c>
      <c r="L22">
        <f>test8OracleRevenue!L10</f>
        <v>100</v>
      </c>
      <c r="M22">
        <f>test8OracleRevenue!M10</f>
        <v>500</v>
      </c>
      <c r="N22">
        <f>test8OracleRevenue!N10</f>
        <v>8.5000000000000006E-2</v>
      </c>
      <c r="O22" s="30"/>
      <c r="P22" s="30"/>
      <c r="Q22" s="4"/>
      <c r="R22" s="4"/>
      <c r="S22" s="4"/>
      <c r="T22" s="4"/>
      <c r="U22" s="4"/>
      <c r="V22" s="28"/>
      <c r="W22" s="4"/>
      <c r="Y22" s="29"/>
      <c r="Z22" s="29"/>
      <c r="AA22" s="29"/>
      <c r="AB22" s="29"/>
    </row>
    <row r="23" spans="2:28" x14ac:dyDescent="0.25">
      <c r="B23" s="1">
        <v>1</v>
      </c>
      <c r="C23">
        <v>5</v>
      </c>
      <c r="D23" s="4">
        <v>150</v>
      </c>
      <c r="E23" s="82">
        <f>P8+P10+P12</f>
        <v>9.4772727272727266</v>
      </c>
      <c r="F23" s="83">
        <f>D23*INT((N12-N6)*1000)/1000</f>
        <v>9.4499999999999993</v>
      </c>
      <c r="G23" s="2">
        <v>6.31</v>
      </c>
      <c r="H23" s="155">
        <f>E23-G23</f>
        <v>3.167272727272727</v>
      </c>
      <c r="I23" t="str">
        <f>test8OracleRevenue!I11</f>
        <v>4pre</v>
      </c>
      <c r="J23">
        <f>test8OracleRevenue!J11</f>
        <v>200</v>
      </c>
      <c r="K23">
        <f>test8OracleRevenue!K11</f>
        <v>150</v>
      </c>
      <c r="L23">
        <f>test8OracleRevenue!L11</f>
        <v>100</v>
      </c>
      <c r="M23">
        <f>test8OracleRevenue!M11</f>
        <v>450</v>
      </c>
      <c r="N23">
        <f>test8OracleRevenue!N11</f>
        <v>8.5000000000000006E-2</v>
      </c>
      <c r="O23" s="4"/>
      <c r="P23" s="3"/>
      <c r="Q23" s="4"/>
      <c r="R23" s="4"/>
      <c r="S23" s="4"/>
      <c r="T23" s="4"/>
      <c r="U23" s="4"/>
      <c r="V23" s="28"/>
      <c r="W23" s="4"/>
      <c r="Y23" s="29"/>
      <c r="Z23" s="29"/>
      <c r="AA23" s="29"/>
    </row>
    <row r="24" spans="2:28" x14ac:dyDescent="0.25">
      <c r="B24" s="1">
        <v>0</v>
      </c>
      <c r="C24">
        <v>6</v>
      </c>
      <c r="D24" s="4">
        <v>300</v>
      </c>
      <c r="E24" s="82">
        <f>O12+O14</f>
        <v>12.954545454545453</v>
      </c>
      <c r="F24" s="84">
        <f>D24*INT((N14-N10)*1000)/1000</f>
        <v>12.9</v>
      </c>
      <c r="G24" s="2">
        <v>15.27</v>
      </c>
      <c r="H24" s="2">
        <v>15.27</v>
      </c>
      <c r="I24">
        <f>test8OracleRevenue!I12</f>
        <v>4</v>
      </c>
      <c r="J24">
        <f>test8OracleRevenue!J12</f>
        <v>200</v>
      </c>
      <c r="K24">
        <f>test8OracleRevenue!K12</f>
        <v>150</v>
      </c>
      <c r="L24">
        <f>test8OracleRevenue!L12</f>
        <v>100</v>
      </c>
      <c r="M24">
        <f>test8OracleRevenue!M12</f>
        <v>450</v>
      </c>
      <c r="N24">
        <f>test8OracleRevenue!N12</f>
        <v>0.10722222222222223</v>
      </c>
      <c r="O24" s="1"/>
      <c r="P24" s="4"/>
      <c r="Q24" s="4"/>
      <c r="R24" s="4"/>
      <c r="S24" s="4"/>
      <c r="T24" s="4"/>
      <c r="U24" s="4"/>
      <c r="V24" s="28"/>
      <c r="W24" s="4"/>
      <c r="Y24" s="29"/>
      <c r="Z24" s="29"/>
      <c r="AA24" s="29"/>
    </row>
    <row r="25" spans="2:28" x14ac:dyDescent="0.25">
      <c r="B25" s="1">
        <v>2</v>
      </c>
      <c r="C25">
        <v>6</v>
      </c>
      <c r="D25" s="4">
        <v>100</v>
      </c>
      <c r="E25" s="82">
        <f>Q10+Q12+Q14</f>
        <v>6.3181818181818183</v>
      </c>
      <c r="F25" s="84">
        <f>D25*INT((N14-N8)*1000)/1000</f>
        <v>6.3</v>
      </c>
      <c r="G25" s="2">
        <v>7.09</v>
      </c>
      <c r="H25" s="2">
        <v>7.09</v>
      </c>
      <c r="I25" t="str">
        <f>test8OracleRevenue!I13</f>
        <v>5pre</v>
      </c>
      <c r="J25">
        <f>test8OracleRevenue!J13</f>
        <v>200</v>
      </c>
      <c r="K25">
        <f>test8OracleRevenue!K13</f>
        <v>0</v>
      </c>
      <c r="L25">
        <f>test8OracleRevenue!L13</f>
        <v>100</v>
      </c>
      <c r="M25">
        <f>test8OracleRevenue!M13</f>
        <v>300</v>
      </c>
      <c r="N25">
        <f>test8OracleRevenue!N13</f>
        <v>0.10722222222222223</v>
      </c>
      <c r="Q25" s="4"/>
      <c r="R25" s="4"/>
      <c r="S25" s="4"/>
      <c r="T25" s="4"/>
      <c r="Y25" s="29"/>
      <c r="Z25" s="29"/>
      <c r="AA25" s="29"/>
    </row>
    <row r="26" spans="2:28" x14ac:dyDescent="0.25">
      <c r="B26" s="1"/>
      <c r="G26" s="51"/>
      <c r="H26" s="2"/>
      <c r="I26">
        <f>test8OracleRevenue!I14</f>
        <v>5</v>
      </c>
      <c r="J26">
        <f>test8OracleRevenue!J14</f>
        <v>200</v>
      </c>
      <c r="K26">
        <f>test8OracleRevenue!K14</f>
        <v>0</v>
      </c>
      <c r="L26">
        <f>test8OracleRevenue!L14</f>
        <v>100</v>
      </c>
      <c r="M26">
        <f>test8OracleRevenue!M14</f>
        <v>300</v>
      </c>
      <c r="N26">
        <f>test8OracleRevenue!N14</f>
        <v>0.14055555555555557</v>
      </c>
      <c r="O26" s="22"/>
      <c r="P26" s="22"/>
      <c r="Q26" s="4"/>
      <c r="R26" s="4"/>
      <c r="S26" s="4"/>
      <c r="T26" s="4"/>
      <c r="U26" s="3"/>
      <c r="V26" s="3"/>
      <c r="W26" s="3"/>
      <c r="Y26" s="29"/>
      <c r="Z26" s="29"/>
      <c r="AA26" s="29"/>
    </row>
    <row r="27" spans="2:28" x14ac:dyDescent="0.25">
      <c r="B27" s="1"/>
      <c r="E27" s="16">
        <f>SUM(E22:E26)</f>
        <v>50</v>
      </c>
      <c r="F27" s="16">
        <f>SUM(F22:F26)</f>
        <v>49.9</v>
      </c>
      <c r="H27" s="16">
        <f>H24-E24</f>
        <v>2.3154545454545463</v>
      </c>
      <c r="I27" s="4"/>
      <c r="J27" s="1"/>
      <c r="L27" s="3"/>
      <c r="M27" s="66"/>
      <c r="N27" s="22"/>
      <c r="O27" s="1"/>
      <c r="P27" s="22"/>
      <c r="U27" s="3"/>
      <c r="V27" s="3"/>
      <c r="W27" s="3"/>
    </row>
    <row r="28" spans="2:28" x14ac:dyDescent="0.25">
      <c r="F28" s="1"/>
      <c r="H28" s="16">
        <f>H25-E25</f>
        <v>0.77181818181818151</v>
      </c>
      <c r="I28" s="4"/>
      <c r="J28" s="4">
        <f>J17-J5</f>
        <v>0</v>
      </c>
      <c r="K28" s="4">
        <f t="shared" ref="K28:N28" si="2">K17-K5</f>
        <v>0</v>
      </c>
      <c r="L28" s="4">
        <f t="shared" si="2"/>
        <v>0</v>
      </c>
      <c r="M28" s="4">
        <f t="shared" si="2"/>
        <v>0</v>
      </c>
      <c r="N28" s="4">
        <f t="shared" si="2"/>
        <v>0</v>
      </c>
      <c r="O28" s="22"/>
      <c r="P28" s="22"/>
      <c r="Q28" s="4"/>
      <c r="R28" s="4"/>
      <c r="S28" s="4"/>
      <c r="T28" s="4"/>
      <c r="U28" s="3"/>
      <c r="V28" s="3"/>
      <c r="W28" s="3"/>
    </row>
    <row r="29" spans="2:28" x14ac:dyDescent="0.25">
      <c r="H29" s="16">
        <f>SUM(H27:H28)</f>
        <v>3.0872727272727278</v>
      </c>
      <c r="I29" s="4"/>
      <c r="J29" s="4">
        <f t="shared" ref="J29:N29" si="3">J18-J6</f>
        <v>0</v>
      </c>
      <c r="K29" s="4">
        <f t="shared" si="3"/>
        <v>0</v>
      </c>
      <c r="L29" s="4">
        <f t="shared" si="3"/>
        <v>0</v>
      </c>
      <c r="M29" s="4">
        <f t="shared" si="3"/>
        <v>0</v>
      </c>
      <c r="N29" s="4">
        <f t="shared" si="3"/>
        <v>0</v>
      </c>
      <c r="O29" s="22"/>
      <c r="P29" s="22"/>
      <c r="U29" s="3"/>
      <c r="V29" s="3"/>
      <c r="W29" s="3"/>
    </row>
    <row r="30" spans="2:28" x14ac:dyDescent="0.25">
      <c r="J30" s="4">
        <f t="shared" ref="J30:N30" si="4">J19-J7</f>
        <v>0</v>
      </c>
      <c r="K30" s="4">
        <f t="shared" si="4"/>
        <v>0</v>
      </c>
      <c r="L30" s="4">
        <f t="shared" si="4"/>
        <v>0</v>
      </c>
      <c r="M30" s="4">
        <f t="shared" si="4"/>
        <v>0</v>
      </c>
      <c r="N30" s="4">
        <f t="shared" si="4"/>
        <v>0</v>
      </c>
      <c r="O30" s="22"/>
      <c r="P30" s="22"/>
      <c r="U30" s="3"/>
      <c r="V30" s="3"/>
      <c r="W30" s="3"/>
    </row>
    <row r="31" spans="2:28" x14ac:dyDescent="0.25">
      <c r="J31" s="4">
        <f t="shared" ref="J31:N31" si="5">J20-J8</f>
        <v>0</v>
      </c>
      <c r="K31" s="4">
        <f t="shared" si="5"/>
        <v>0</v>
      </c>
      <c r="L31" s="4">
        <f t="shared" si="5"/>
        <v>0</v>
      </c>
      <c r="M31" s="4">
        <f t="shared" si="5"/>
        <v>0</v>
      </c>
      <c r="N31" s="4">
        <f t="shared" si="5"/>
        <v>0</v>
      </c>
    </row>
    <row r="32" spans="2:28" x14ac:dyDescent="0.25">
      <c r="J32" s="4">
        <f t="shared" ref="J32:N32" si="6">J21-J9</f>
        <v>0</v>
      </c>
      <c r="K32" s="4">
        <f t="shared" si="6"/>
        <v>0</v>
      </c>
      <c r="L32" s="4">
        <f t="shared" si="6"/>
        <v>0</v>
      </c>
      <c r="M32" s="4">
        <f t="shared" si="6"/>
        <v>0</v>
      </c>
      <c r="N32" s="4">
        <f t="shared" si="6"/>
        <v>0</v>
      </c>
    </row>
    <row r="33" spans="2:27" x14ac:dyDescent="0.25">
      <c r="D33" s="89">
        <v>5E+17</v>
      </c>
      <c r="J33" s="4">
        <f t="shared" ref="J33:N33" si="7">J22-J10</f>
        <v>0</v>
      </c>
      <c r="K33" s="4">
        <f t="shared" si="7"/>
        <v>0</v>
      </c>
      <c r="L33" s="4">
        <f t="shared" si="7"/>
        <v>0</v>
      </c>
      <c r="M33" s="4">
        <f t="shared" si="7"/>
        <v>0</v>
      </c>
      <c r="N33" s="4">
        <f t="shared" si="7"/>
        <v>0</v>
      </c>
    </row>
    <row r="34" spans="2:27" x14ac:dyDescent="0.25">
      <c r="B34" s="1"/>
      <c r="I34" s="2"/>
      <c r="J34" s="4">
        <f t="shared" ref="J34:N34" si="8">J23-J11</f>
        <v>-100</v>
      </c>
      <c r="K34" s="4">
        <f t="shared" si="8"/>
        <v>0</v>
      </c>
      <c r="L34" s="4">
        <f t="shared" si="8"/>
        <v>0</v>
      </c>
      <c r="M34" s="4">
        <f t="shared" si="8"/>
        <v>-100</v>
      </c>
      <c r="N34" s="4">
        <f t="shared" si="8"/>
        <v>0</v>
      </c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2:27" x14ac:dyDescent="0.25">
      <c r="J35" s="4">
        <f t="shared" ref="J35:N35" si="9">J24-J12</f>
        <v>-100</v>
      </c>
      <c r="K35" s="4">
        <f t="shared" si="9"/>
        <v>0</v>
      </c>
      <c r="L35" s="4">
        <f t="shared" si="9"/>
        <v>0</v>
      </c>
      <c r="M35" s="4">
        <f t="shared" si="9"/>
        <v>-100</v>
      </c>
      <c r="N35" s="4">
        <f t="shared" si="9"/>
        <v>4.0404040404040525E-3</v>
      </c>
      <c r="O35" s="8"/>
      <c r="P35" s="3"/>
    </row>
    <row r="36" spans="2:27" x14ac:dyDescent="0.25">
      <c r="B36" s="1"/>
      <c r="J36" s="4">
        <f t="shared" ref="J36:N36" si="10">J25-J13</f>
        <v>-100</v>
      </c>
      <c r="K36" s="4">
        <f t="shared" si="10"/>
        <v>0</v>
      </c>
      <c r="L36" s="4">
        <f t="shared" si="10"/>
        <v>0</v>
      </c>
      <c r="M36" s="4">
        <f t="shared" si="10"/>
        <v>-100</v>
      </c>
      <c r="N36" s="4">
        <f t="shared" si="10"/>
        <v>4.0404040404040525E-3</v>
      </c>
      <c r="O36" s="8"/>
      <c r="P36" s="3"/>
      <c r="U36" s="22"/>
      <c r="V36" s="22"/>
      <c r="W36" s="22"/>
      <c r="Y36" s="53"/>
      <c r="Z36" s="53"/>
      <c r="AA36" s="53"/>
    </row>
    <row r="37" spans="2:27" x14ac:dyDescent="0.25">
      <c r="J37" s="4">
        <f t="shared" ref="J37:N37" si="11">J26-J14</f>
        <v>-100</v>
      </c>
      <c r="K37" s="4">
        <f t="shared" si="11"/>
        <v>0</v>
      </c>
      <c r="L37" s="4">
        <f t="shared" si="11"/>
        <v>0</v>
      </c>
      <c r="M37" s="4">
        <f t="shared" si="11"/>
        <v>-100</v>
      </c>
      <c r="N37" s="4">
        <f t="shared" si="11"/>
        <v>1.2373737373737398E-2</v>
      </c>
      <c r="O37" s="8"/>
      <c r="P37" s="3"/>
      <c r="U37" s="22"/>
      <c r="V37" s="22"/>
      <c r="W37" s="22"/>
      <c r="Y37" s="53"/>
      <c r="Z37" s="53"/>
      <c r="AA37" s="53"/>
    </row>
    <row r="38" spans="2:27" x14ac:dyDescent="0.25">
      <c r="B38" s="1"/>
      <c r="J38" s="4">
        <f t="shared" ref="J38:N38" si="12">J27-J15</f>
        <v>0</v>
      </c>
      <c r="K38" s="4">
        <f t="shared" si="12"/>
        <v>0</v>
      </c>
      <c r="L38" s="4">
        <f t="shared" si="12"/>
        <v>0</v>
      </c>
      <c r="M38" s="4">
        <f t="shared" si="12"/>
        <v>0</v>
      </c>
      <c r="N38" s="4">
        <f t="shared" si="12"/>
        <v>-0.12818181818181817</v>
      </c>
      <c r="O38" s="8"/>
      <c r="P38" s="3"/>
      <c r="U38" s="22"/>
      <c r="V38" s="22"/>
      <c r="W38" s="22"/>
      <c r="Y38" s="53"/>
      <c r="Z38" s="53"/>
      <c r="AA38" s="53"/>
    </row>
    <row r="39" spans="2:27" x14ac:dyDescent="0.25">
      <c r="L39" s="8"/>
      <c r="M39" s="8"/>
      <c r="N39" s="67"/>
      <c r="O39" s="8"/>
      <c r="P39" s="3"/>
      <c r="U39" s="22"/>
      <c r="V39" s="22"/>
      <c r="W39" s="22"/>
      <c r="Y39" s="53"/>
      <c r="Z39" s="53"/>
      <c r="AA39" s="53"/>
    </row>
    <row r="40" spans="2:27" x14ac:dyDescent="0.25">
      <c r="L40" s="8"/>
      <c r="M40" s="8"/>
      <c r="N40" s="8"/>
      <c r="O40" s="8"/>
      <c r="P40" s="3"/>
      <c r="U40" s="22"/>
      <c r="V40" s="22"/>
      <c r="W40" s="22"/>
      <c r="Y40" s="53"/>
      <c r="Z40" s="53"/>
      <c r="AA40" s="53"/>
    </row>
    <row r="41" spans="2:27" x14ac:dyDescent="0.25">
      <c r="B41" s="1"/>
      <c r="L41" s="67"/>
      <c r="M41" s="8"/>
      <c r="N41" s="8"/>
      <c r="O41" s="8"/>
      <c r="P41" s="3"/>
      <c r="U41" s="22"/>
      <c r="V41" s="22"/>
      <c r="W41" s="22"/>
      <c r="Y41" s="53"/>
      <c r="Z41" s="53"/>
      <c r="AA41" s="53"/>
    </row>
    <row r="42" spans="2:27" x14ac:dyDescent="0.25">
      <c r="L42" s="67"/>
      <c r="M42" s="8"/>
      <c r="N42" s="8"/>
      <c r="O42" s="8"/>
      <c r="P42" s="3"/>
      <c r="U42" s="22"/>
      <c r="V42" s="22"/>
      <c r="W42" s="22"/>
      <c r="Y42" s="53"/>
      <c r="Z42" s="53"/>
      <c r="AA42" s="53"/>
    </row>
    <row r="43" spans="2:27" x14ac:dyDescent="0.25">
      <c r="L43" s="67"/>
      <c r="M43" s="67"/>
      <c r="N43" s="8"/>
      <c r="O43" s="8"/>
      <c r="P43" s="3"/>
      <c r="U43" s="22"/>
      <c r="V43" s="22"/>
      <c r="W43" s="22"/>
      <c r="Y43" s="53"/>
      <c r="Z43" s="53"/>
      <c r="AA43" s="53"/>
    </row>
    <row r="44" spans="2:27" x14ac:dyDescent="0.25">
      <c r="B44" s="1"/>
      <c r="F44" s="2"/>
      <c r="G44" s="2"/>
      <c r="H44" s="2"/>
      <c r="L44" s="67"/>
      <c r="M44" s="8"/>
      <c r="N44" s="8"/>
      <c r="O44" s="8"/>
      <c r="P44" s="3"/>
      <c r="U44" s="22"/>
      <c r="V44" s="22"/>
      <c r="W44" s="22"/>
      <c r="Y44" s="53"/>
      <c r="Z44" s="53"/>
      <c r="AA44" s="53"/>
    </row>
    <row r="45" spans="2:27" x14ac:dyDescent="0.25">
      <c r="F45" s="4"/>
      <c r="G45" s="3"/>
      <c r="H45" s="3"/>
      <c r="L45" s="8"/>
      <c r="M45" s="8"/>
      <c r="N45" s="8"/>
      <c r="O45" s="8"/>
      <c r="P45" s="3"/>
    </row>
    <row r="46" spans="2:27" x14ac:dyDescent="0.25">
      <c r="F46" s="4"/>
      <c r="G46" s="3"/>
      <c r="H46" s="3"/>
      <c r="L46" s="4"/>
      <c r="M46" s="4"/>
      <c r="N46" s="4"/>
      <c r="P46" s="3"/>
      <c r="Y46" s="4"/>
      <c r="Z46" s="4"/>
      <c r="AA46" s="4"/>
    </row>
    <row r="47" spans="2:27" x14ac:dyDescent="0.25">
      <c r="B47" s="1"/>
      <c r="F47" s="4"/>
      <c r="G47" s="3"/>
      <c r="H47" s="3"/>
      <c r="J47" s="48"/>
      <c r="L47" s="4"/>
      <c r="M47" s="4"/>
      <c r="N47" s="4"/>
      <c r="P47" s="3"/>
    </row>
    <row r="48" spans="2:27" x14ac:dyDescent="0.25">
      <c r="F48" s="4"/>
      <c r="G48" s="3"/>
      <c r="H48" s="53"/>
      <c r="L48" s="4"/>
      <c r="M48" s="4"/>
      <c r="N48" s="4"/>
      <c r="P48" s="3"/>
    </row>
    <row r="49" spans="2:30" x14ac:dyDescent="0.25">
      <c r="F49" s="4"/>
      <c r="G49" s="3"/>
      <c r="H49" s="3"/>
      <c r="P49" s="3"/>
    </row>
    <row r="50" spans="2:30" x14ac:dyDescent="0.25">
      <c r="F50" s="4"/>
      <c r="G50" s="3"/>
      <c r="H50" s="3"/>
      <c r="I50" s="4"/>
      <c r="J50" s="1"/>
      <c r="O50" s="30"/>
      <c r="P50" s="3"/>
    </row>
    <row r="51" spans="2:30" x14ac:dyDescent="0.25">
      <c r="F51" s="4"/>
      <c r="G51" s="3"/>
      <c r="H51" s="3"/>
      <c r="I51" s="4"/>
      <c r="J51" s="1"/>
      <c r="O51" s="30"/>
      <c r="P51" s="3"/>
      <c r="V51" s="30"/>
    </row>
    <row r="52" spans="2:30" x14ac:dyDescent="0.25">
      <c r="F52" s="4"/>
      <c r="G52" s="3"/>
      <c r="H52" s="3"/>
      <c r="I52" s="4"/>
      <c r="J52" s="1"/>
      <c r="N52" s="4"/>
      <c r="O52" s="30"/>
      <c r="P52" s="30"/>
      <c r="Q52" s="4"/>
      <c r="R52" s="4"/>
      <c r="S52" s="4"/>
      <c r="T52" s="4"/>
      <c r="U52" s="4"/>
      <c r="V52" s="28"/>
      <c r="W52" s="4"/>
      <c r="Y52" s="29"/>
      <c r="Z52" s="29"/>
      <c r="AA52" s="29"/>
    </row>
    <row r="53" spans="2:30" x14ac:dyDescent="0.25">
      <c r="F53" s="4"/>
      <c r="G53" s="3"/>
      <c r="H53" s="3"/>
      <c r="I53" s="4"/>
      <c r="J53" s="1"/>
      <c r="K53" s="30"/>
      <c r="L53" s="30"/>
      <c r="N53" s="4"/>
      <c r="O53" s="4"/>
      <c r="P53" s="3"/>
      <c r="Q53" s="4"/>
      <c r="R53" s="4"/>
      <c r="S53" s="4"/>
      <c r="T53" s="4"/>
      <c r="U53" s="4"/>
      <c r="V53" s="28"/>
      <c r="W53" s="4"/>
      <c r="Y53" s="29"/>
      <c r="Z53" s="29"/>
      <c r="AA53" s="29"/>
    </row>
    <row r="54" spans="2:30" x14ac:dyDescent="0.25">
      <c r="F54" s="4"/>
      <c r="G54" s="3"/>
      <c r="H54" s="3"/>
      <c r="I54" s="4"/>
      <c r="J54" s="1"/>
      <c r="K54" s="30"/>
      <c r="L54" s="30"/>
      <c r="N54" s="4"/>
      <c r="O54" s="1"/>
      <c r="P54" s="4"/>
      <c r="Q54" s="4"/>
      <c r="R54" s="4"/>
      <c r="S54" s="4"/>
      <c r="T54" s="4"/>
      <c r="U54" s="4"/>
      <c r="V54" s="28"/>
      <c r="W54" s="4"/>
      <c r="Y54" s="29"/>
      <c r="Z54" s="29"/>
      <c r="AA54" s="29"/>
    </row>
    <row r="55" spans="2:30" x14ac:dyDescent="0.25">
      <c r="B55" s="1"/>
      <c r="H55" s="16"/>
      <c r="I55" s="4"/>
      <c r="J55" s="1"/>
      <c r="Q55" s="4"/>
      <c r="R55" s="4"/>
      <c r="S55" s="4"/>
      <c r="T55" s="4"/>
      <c r="Y55" s="29"/>
      <c r="Z55" s="29"/>
      <c r="AA55" s="29"/>
    </row>
    <row r="56" spans="2:30" x14ac:dyDescent="0.25">
      <c r="I56" s="4"/>
      <c r="J56" s="1"/>
      <c r="N56" s="22"/>
      <c r="O56" s="22"/>
      <c r="P56" s="22"/>
      <c r="Q56" s="4"/>
      <c r="R56" s="4"/>
      <c r="S56" s="4"/>
      <c r="T56" s="4"/>
      <c r="U56" s="3"/>
      <c r="V56" s="3"/>
      <c r="W56" s="3"/>
      <c r="Y56" s="29"/>
      <c r="Z56" s="29"/>
      <c r="AA56" s="29"/>
    </row>
    <row r="57" spans="2:30" x14ac:dyDescent="0.25">
      <c r="B57" s="1"/>
      <c r="I57" s="4"/>
      <c r="J57" s="1"/>
      <c r="N57" s="22"/>
      <c r="O57" s="1"/>
      <c r="P57" s="22"/>
      <c r="U57" s="3"/>
      <c r="V57" s="3"/>
      <c r="W57" s="3"/>
    </row>
    <row r="58" spans="2:30" x14ac:dyDescent="0.25">
      <c r="I58" s="4"/>
      <c r="J58" s="1"/>
      <c r="N58" s="22"/>
      <c r="O58" s="22"/>
      <c r="P58" s="22"/>
      <c r="Q58" s="4"/>
      <c r="R58" s="4"/>
      <c r="S58" s="4"/>
      <c r="T58" s="4"/>
      <c r="U58" s="3"/>
      <c r="V58" s="3"/>
      <c r="W58" s="3"/>
    </row>
    <row r="59" spans="2:30" x14ac:dyDescent="0.25">
      <c r="B59" s="1"/>
      <c r="I59" s="4"/>
      <c r="J59" s="1"/>
      <c r="N59" s="22"/>
      <c r="O59" s="22"/>
      <c r="P59" s="22"/>
      <c r="U59" s="3"/>
      <c r="V59" s="3"/>
      <c r="W59" s="3"/>
    </row>
    <row r="60" spans="2:30" x14ac:dyDescent="0.25">
      <c r="AD60" s="30"/>
    </row>
    <row r="61" spans="2:30" x14ac:dyDescent="0.25">
      <c r="AD61" s="30"/>
    </row>
    <row r="66" spans="2:27" x14ac:dyDescent="0.25">
      <c r="B66" s="1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2:27" x14ac:dyDescent="0.25">
      <c r="L67" s="67"/>
      <c r="M67" s="8"/>
      <c r="N67" s="8"/>
      <c r="O67" s="8"/>
      <c r="P67" s="3"/>
    </row>
    <row r="68" spans="2:27" x14ac:dyDescent="0.25">
      <c r="B68" s="1"/>
      <c r="J68" s="1"/>
      <c r="L68" s="8"/>
      <c r="M68" s="8"/>
      <c r="N68" s="8"/>
      <c r="O68" s="8"/>
      <c r="P68" s="3"/>
      <c r="U68" s="22"/>
      <c r="V68" s="22"/>
      <c r="W68" s="22"/>
      <c r="Y68" s="53"/>
      <c r="Z68" s="53"/>
      <c r="AA68" s="53"/>
    </row>
    <row r="69" spans="2:27" x14ac:dyDescent="0.25">
      <c r="L69" s="8"/>
      <c r="M69" s="67"/>
      <c r="N69" s="8"/>
      <c r="O69" s="8"/>
      <c r="P69" s="3"/>
      <c r="U69" s="22"/>
      <c r="V69" s="22"/>
      <c r="W69" s="22"/>
      <c r="Y69" s="53"/>
      <c r="Z69" s="53"/>
      <c r="AA69" s="53"/>
    </row>
    <row r="70" spans="2:27" x14ac:dyDescent="0.25">
      <c r="B70" s="1"/>
      <c r="L70" s="8"/>
      <c r="M70" s="8"/>
      <c r="N70" s="8"/>
      <c r="O70" s="8"/>
      <c r="P70" s="3"/>
      <c r="U70" s="22"/>
      <c r="V70" s="22"/>
      <c r="W70" s="22"/>
      <c r="Y70" s="53"/>
      <c r="Z70" s="53"/>
      <c r="AA70" s="53"/>
    </row>
    <row r="71" spans="2:27" x14ac:dyDescent="0.25">
      <c r="L71" s="8"/>
      <c r="M71" s="8"/>
      <c r="N71" s="67"/>
      <c r="O71" s="8"/>
      <c r="P71" s="3"/>
      <c r="U71" s="22"/>
      <c r="V71" s="22"/>
      <c r="W71" s="22"/>
      <c r="Y71" s="53"/>
      <c r="Z71" s="53"/>
      <c r="AA71" s="53"/>
    </row>
    <row r="72" spans="2:27" x14ac:dyDescent="0.25">
      <c r="L72" s="8"/>
      <c r="M72" s="8"/>
      <c r="N72" s="67"/>
      <c r="O72" s="8"/>
      <c r="P72" s="3"/>
      <c r="U72" s="22"/>
      <c r="V72" s="22"/>
      <c r="W72" s="22"/>
      <c r="Y72" s="53"/>
      <c r="Z72" s="53"/>
      <c r="AA72" s="53"/>
    </row>
    <row r="73" spans="2:27" x14ac:dyDescent="0.25">
      <c r="B73" s="1"/>
      <c r="L73" s="67"/>
      <c r="M73" s="8"/>
      <c r="N73" s="67"/>
      <c r="O73" s="8"/>
      <c r="P73" s="3"/>
      <c r="U73" s="22"/>
      <c r="V73" s="22"/>
      <c r="W73" s="22"/>
      <c r="Y73" s="53"/>
      <c r="Z73" s="53"/>
      <c r="AA73" s="53"/>
    </row>
    <row r="74" spans="2:27" x14ac:dyDescent="0.25">
      <c r="L74" s="67"/>
      <c r="M74" s="8"/>
      <c r="N74" s="67"/>
      <c r="O74" s="8"/>
      <c r="P74" s="3"/>
      <c r="U74" s="22"/>
      <c r="V74" s="22"/>
      <c r="W74" s="22"/>
      <c r="Y74" s="53"/>
      <c r="Z74" s="53"/>
      <c r="AA74" s="53"/>
    </row>
    <row r="75" spans="2:27" x14ac:dyDescent="0.25">
      <c r="L75" s="67"/>
      <c r="M75" s="67"/>
      <c r="N75" s="67"/>
      <c r="O75" s="8"/>
      <c r="P75" s="3"/>
      <c r="U75" s="22"/>
      <c r="V75" s="22"/>
      <c r="W75" s="22"/>
      <c r="Y75" s="53"/>
      <c r="Z75" s="53"/>
      <c r="AA75" s="53"/>
    </row>
    <row r="76" spans="2:27" x14ac:dyDescent="0.25">
      <c r="B76" s="1"/>
      <c r="F76" s="2"/>
      <c r="G76" s="2"/>
      <c r="H76" s="2"/>
      <c r="L76" s="67"/>
      <c r="M76" s="8"/>
      <c r="N76" s="67"/>
      <c r="O76" s="8"/>
      <c r="P76" s="3"/>
      <c r="U76" s="22"/>
      <c r="V76" s="22"/>
      <c r="W76" s="22"/>
      <c r="Y76" s="53"/>
      <c r="Z76" s="53"/>
      <c r="AA76" s="53"/>
    </row>
    <row r="77" spans="2:27" x14ac:dyDescent="0.25">
      <c r="F77" s="4"/>
      <c r="G77" s="3"/>
      <c r="H77" s="53"/>
      <c r="L77" s="8"/>
      <c r="M77" s="8"/>
      <c r="N77" s="8"/>
      <c r="O77" s="8"/>
      <c r="P77" s="3"/>
    </row>
    <row r="78" spans="2:27" x14ac:dyDescent="0.25">
      <c r="F78" s="4"/>
      <c r="G78" s="3"/>
      <c r="H78" s="3"/>
      <c r="L78" s="4"/>
      <c r="M78" s="4"/>
      <c r="N78" s="4"/>
      <c r="P78" s="3"/>
      <c r="Y78" s="4"/>
      <c r="Z78" s="4"/>
      <c r="AA78" s="4"/>
    </row>
    <row r="79" spans="2:27" x14ac:dyDescent="0.25">
      <c r="B79" s="1"/>
      <c r="F79" s="4"/>
      <c r="G79" s="3"/>
      <c r="H79" s="3"/>
      <c r="J79" s="48"/>
      <c r="L79" s="4"/>
      <c r="M79" s="4"/>
      <c r="N79" s="4"/>
      <c r="P79" s="3"/>
    </row>
    <row r="80" spans="2:27" x14ac:dyDescent="0.25">
      <c r="F80" s="4"/>
      <c r="G80" s="3"/>
      <c r="H80" s="53"/>
      <c r="L80" s="4"/>
      <c r="M80" s="4"/>
      <c r="N80" s="4"/>
      <c r="P80" s="3"/>
    </row>
    <row r="81" spans="6:27" x14ac:dyDescent="0.25">
      <c r="F81" s="4"/>
      <c r="G81" s="3"/>
      <c r="H81" s="3"/>
      <c r="P81" s="3"/>
    </row>
    <row r="82" spans="6:27" x14ac:dyDescent="0.25">
      <c r="F82" s="4"/>
      <c r="G82" s="3"/>
      <c r="H82" s="3"/>
      <c r="I82" s="4"/>
      <c r="J82" s="1"/>
      <c r="O82" s="30"/>
      <c r="P82" s="3"/>
    </row>
    <row r="83" spans="6:27" x14ac:dyDescent="0.25">
      <c r="F83" s="4"/>
      <c r="G83" s="3"/>
      <c r="H83" s="3"/>
      <c r="I83" s="4"/>
      <c r="J83" s="1"/>
      <c r="O83" s="30"/>
      <c r="P83" s="3"/>
      <c r="V83" s="30"/>
    </row>
    <row r="84" spans="6:27" x14ac:dyDescent="0.25">
      <c r="F84" s="4"/>
      <c r="G84" s="3"/>
      <c r="H84" s="3"/>
      <c r="I84" s="4"/>
      <c r="J84" s="1"/>
      <c r="N84" s="4"/>
      <c r="O84" s="30"/>
      <c r="P84" s="30"/>
      <c r="Q84" s="4"/>
      <c r="R84" s="4"/>
      <c r="S84" s="4"/>
      <c r="T84" s="4"/>
      <c r="U84" s="4"/>
      <c r="V84" s="28"/>
      <c r="W84" s="4"/>
      <c r="Y84" s="29"/>
      <c r="Z84" s="29"/>
      <c r="AA84" s="29"/>
    </row>
    <row r="85" spans="6:27" x14ac:dyDescent="0.25">
      <c r="F85" s="4"/>
      <c r="G85" s="3"/>
      <c r="H85" s="65"/>
      <c r="I85" s="4"/>
      <c r="J85" s="1"/>
      <c r="K85" s="30"/>
      <c r="L85" s="30"/>
      <c r="N85" s="4"/>
      <c r="O85" s="4"/>
      <c r="P85" s="3"/>
      <c r="Q85" s="4"/>
      <c r="R85" s="4"/>
      <c r="S85" s="4"/>
      <c r="T85" s="4"/>
      <c r="U85" s="4"/>
      <c r="V85" s="28"/>
      <c r="W85" s="4"/>
      <c r="Y85" s="29"/>
      <c r="Z85" s="29"/>
      <c r="AA85" s="29"/>
    </row>
    <row r="86" spans="6:27" x14ac:dyDescent="0.25">
      <c r="F86" s="4"/>
      <c r="G86" s="3"/>
      <c r="H86" s="3"/>
      <c r="I86" s="4"/>
      <c r="J86" s="1"/>
      <c r="K86" s="30"/>
      <c r="L86" s="30"/>
      <c r="N86" s="4"/>
      <c r="O86" s="1"/>
      <c r="P86" s="4"/>
      <c r="Q86" s="4"/>
      <c r="R86" s="4"/>
      <c r="S86" s="4"/>
      <c r="T86" s="4"/>
      <c r="U86" s="4"/>
      <c r="V86" s="28"/>
      <c r="W86" s="4"/>
      <c r="Y86" s="29"/>
      <c r="Z86" s="29"/>
      <c r="AA86" s="29"/>
    </row>
    <row r="87" spans="6:27" x14ac:dyDescent="0.25">
      <c r="H87" s="16"/>
      <c r="I87" s="4"/>
      <c r="J87" s="1"/>
      <c r="Q87" s="4"/>
      <c r="R87" s="4"/>
      <c r="S87" s="4"/>
      <c r="T87" s="4"/>
      <c r="Y87" s="29"/>
      <c r="Z87" s="29"/>
      <c r="AA87" s="29"/>
    </row>
    <row r="88" spans="6:27" x14ac:dyDescent="0.25">
      <c r="I88" s="4"/>
      <c r="J88" s="1"/>
      <c r="N88" s="22"/>
      <c r="O88" s="22"/>
      <c r="P88" s="22"/>
      <c r="Q88" s="4"/>
      <c r="R88" s="4"/>
      <c r="S88" s="4"/>
      <c r="T88" s="4"/>
      <c r="U88" s="3"/>
      <c r="V88" s="3"/>
      <c r="W88" s="3"/>
      <c r="Y88" s="29"/>
      <c r="Z88" s="29"/>
      <c r="AA88" s="29"/>
    </row>
    <row r="89" spans="6:27" x14ac:dyDescent="0.25">
      <c r="I89" s="4"/>
      <c r="J89" s="1"/>
      <c r="N89" s="22"/>
      <c r="O89" s="1"/>
      <c r="P89" s="22"/>
      <c r="U89" s="3"/>
      <c r="V89" s="3"/>
      <c r="W89" s="3"/>
    </row>
    <row r="90" spans="6:27" x14ac:dyDescent="0.25">
      <c r="I90" s="4"/>
      <c r="J90" s="1"/>
      <c r="N90" s="22"/>
      <c r="O90" s="22"/>
      <c r="P90" s="22"/>
      <c r="Q90" s="4"/>
      <c r="R90" s="4"/>
      <c r="S90" s="4"/>
      <c r="T90" s="4"/>
      <c r="U90" s="3"/>
      <c r="V90" s="3"/>
      <c r="W90" s="3"/>
    </row>
    <row r="91" spans="6:27" x14ac:dyDescent="0.25">
      <c r="I91" s="4"/>
      <c r="J91" s="1"/>
      <c r="N91" s="22"/>
      <c r="O91" s="22"/>
      <c r="P91" s="22"/>
      <c r="U91" s="3"/>
      <c r="V91" s="3"/>
      <c r="W91" s="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FD826-D4D0-457C-AC8A-868B458B6EC2}">
  <sheetPr codeName="Sheet11"/>
  <dimension ref="A1:Z39"/>
  <sheetViews>
    <sheetView topLeftCell="B1" zoomScale="75" zoomScaleNormal="75" workbookViewId="0">
      <selection activeCell="E15" sqref="E15"/>
    </sheetView>
  </sheetViews>
  <sheetFormatPr defaultRowHeight="15" x14ac:dyDescent="0.25"/>
  <cols>
    <col min="2" max="2" width="27.140625" bestFit="1" customWidth="1"/>
    <col min="3" max="3" width="17.42578125" customWidth="1"/>
    <col min="4" max="4" width="13.28515625" customWidth="1"/>
    <col min="5" max="5" width="9.140625" customWidth="1"/>
    <col min="8" max="8" width="15.5703125" customWidth="1"/>
    <col min="9" max="9" width="11.42578125" bestFit="1" customWidth="1"/>
    <col min="10" max="11" width="16.7109375" customWidth="1"/>
    <col min="12" max="12" width="13.28515625" customWidth="1"/>
    <col min="13" max="13" width="21.28515625" customWidth="1"/>
    <col min="14" max="14" width="16.85546875" customWidth="1"/>
    <col min="15" max="15" width="24.7109375" bestFit="1" customWidth="1"/>
    <col min="16" max="16" width="15" customWidth="1"/>
    <col min="17" max="17" width="17.42578125" customWidth="1"/>
    <col min="18" max="18" width="17.140625" customWidth="1"/>
    <col min="19" max="19" width="12.7109375" customWidth="1"/>
    <col min="20" max="20" width="11.28515625" customWidth="1"/>
    <col min="21" max="21" width="12.140625" customWidth="1"/>
    <col min="22" max="22" width="14.7109375" customWidth="1"/>
    <col min="23" max="23" width="11" customWidth="1"/>
    <col min="25" max="27" width="10.28515625" bestFit="1" customWidth="1"/>
    <col min="28" max="30" width="11.42578125" customWidth="1"/>
    <col min="31" max="36" width="12" customWidth="1"/>
    <col min="37" max="37" width="12" bestFit="1" customWidth="1"/>
    <col min="38" max="38" width="12.5703125" bestFit="1" customWidth="1"/>
    <col min="39" max="39" width="11.42578125" customWidth="1"/>
    <col min="45" max="45" width="12" bestFit="1" customWidth="1"/>
    <col min="47" max="47" width="10.5703125" bestFit="1" customWidth="1"/>
    <col min="53" max="53" width="12" bestFit="1" customWidth="1"/>
    <col min="55" max="55" width="10.5703125" bestFit="1" customWidth="1"/>
  </cols>
  <sheetData>
    <row r="1" spans="1:26" x14ac:dyDescent="0.25">
      <c r="C1" s="1" t="s">
        <v>51</v>
      </c>
    </row>
    <row r="2" spans="1:26" x14ac:dyDescent="0.25">
      <c r="Q2" s="2"/>
    </row>
    <row r="3" spans="1:26" x14ac:dyDescent="0.25">
      <c r="K3" t="s">
        <v>149</v>
      </c>
      <c r="O3" s="2"/>
      <c r="P3" s="2"/>
      <c r="Q3" s="2"/>
      <c r="R3" s="2"/>
      <c r="S3" s="2"/>
      <c r="T3" s="2"/>
      <c r="U3" s="2"/>
      <c r="V3" s="2"/>
      <c r="Y3" s="2"/>
      <c r="Z3" s="2"/>
    </row>
    <row r="4" spans="1:26" x14ac:dyDescent="0.25">
      <c r="A4">
        <v>0</v>
      </c>
      <c r="B4" t="s">
        <v>1</v>
      </c>
      <c r="C4">
        <v>800</v>
      </c>
      <c r="D4">
        <f>INT(1000000/(C4+41)-41)</f>
        <v>1148</v>
      </c>
      <c r="K4">
        <v>900</v>
      </c>
      <c r="L4">
        <f>INT(1000000/(K4+41)-41)</f>
        <v>1021</v>
      </c>
      <c r="O4" s="6"/>
      <c r="P4" s="6"/>
      <c r="Q4" s="1"/>
      <c r="R4" s="1"/>
      <c r="S4" s="1"/>
      <c r="T4" s="6"/>
      <c r="U4" s="6"/>
      <c r="V4" s="6"/>
      <c r="W4" s="6"/>
    </row>
    <row r="5" spans="1:26" x14ac:dyDescent="0.25">
      <c r="A5">
        <v>1</v>
      </c>
      <c r="B5" t="s">
        <v>2</v>
      </c>
      <c r="C5">
        <v>801</v>
      </c>
      <c r="D5">
        <f t="shared" ref="D5:D35" si="0">INT(1000000/(C5+41)-41)</f>
        <v>1146</v>
      </c>
      <c r="H5" t="s">
        <v>139</v>
      </c>
      <c r="K5">
        <v>901</v>
      </c>
      <c r="L5">
        <f t="shared" ref="L5:L35" si="1">INT(1000000/(K5+41)-41)</f>
        <v>1020</v>
      </c>
      <c r="N5" t="s">
        <v>150</v>
      </c>
      <c r="O5" s="6"/>
      <c r="P5" s="6"/>
      <c r="Q5" s="1"/>
      <c r="R5" s="1"/>
      <c r="S5" s="1"/>
      <c r="T5" s="6"/>
      <c r="U5" s="6"/>
      <c r="V5" s="6"/>
      <c r="W5" s="6"/>
    </row>
    <row r="6" spans="1:26" x14ac:dyDescent="0.25">
      <c r="A6">
        <v>2</v>
      </c>
      <c r="B6" t="s">
        <v>3</v>
      </c>
      <c r="C6">
        <v>802</v>
      </c>
      <c r="D6">
        <f t="shared" si="0"/>
        <v>1145</v>
      </c>
      <c r="H6" t="s">
        <v>148</v>
      </c>
      <c r="K6">
        <v>902</v>
      </c>
      <c r="L6">
        <f t="shared" si="1"/>
        <v>1019</v>
      </c>
      <c r="N6" t="s">
        <v>151</v>
      </c>
      <c r="O6" s="6"/>
      <c r="P6" s="6"/>
      <c r="Q6" s="1"/>
      <c r="R6" s="1"/>
      <c r="S6" s="1"/>
      <c r="T6" s="6"/>
      <c r="U6" s="6"/>
      <c r="V6" s="6"/>
      <c r="W6" s="6"/>
    </row>
    <row r="7" spans="1:26" x14ac:dyDescent="0.25">
      <c r="A7">
        <v>3</v>
      </c>
      <c r="B7" t="s">
        <v>4</v>
      </c>
      <c r="C7">
        <v>803</v>
      </c>
      <c r="D7">
        <f t="shared" si="0"/>
        <v>1143</v>
      </c>
      <c r="H7" t="s">
        <v>140</v>
      </c>
      <c r="K7">
        <v>903</v>
      </c>
      <c r="L7">
        <f t="shared" si="1"/>
        <v>1018</v>
      </c>
      <c r="R7" s="6"/>
      <c r="S7" s="6"/>
      <c r="T7" s="6"/>
      <c r="U7" s="6"/>
      <c r="V7" s="6"/>
      <c r="W7" s="6"/>
    </row>
    <row r="8" spans="1:26" x14ac:dyDescent="0.25">
      <c r="A8">
        <v>4</v>
      </c>
      <c r="B8" t="s">
        <v>5</v>
      </c>
      <c r="C8">
        <v>804</v>
      </c>
      <c r="D8">
        <f t="shared" si="0"/>
        <v>1142</v>
      </c>
      <c r="G8">
        <v>0</v>
      </c>
      <c r="H8" t="s">
        <v>141</v>
      </c>
      <c r="I8" s="56">
        <v>1000</v>
      </c>
      <c r="K8">
        <v>904</v>
      </c>
      <c r="L8">
        <f t="shared" si="1"/>
        <v>1017</v>
      </c>
      <c r="N8" t="s">
        <v>141</v>
      </c>
      <c r="O8" s="56">
        <v>1000</v>
      </c>
      <c r="P8" s="6"/>
      <c r="Q8" s="6"/>
      <c r="R8" s="6"/>
      <c r="S8" s="1"/>
      <c r="T8" s="6"/>
      <c r="U8" s="6"/>
      <c r="V8" s="6"/>
      <c r="W8" s="6"/>
    </row>
    <row r="9" spans="1:26" x14ac:dyDescent="0.25">
      <c r="A9">
        <v>5</v>
      </c>
      <c r="B9" t="s">
        <v>6</v>
      </c>
      <c r="C9">
        <v>805</v>
      </c>
      <c r="D9">
        <f t="shared" si="0"/>
        <v>1141</v>
      </c>
      <c r="G9">
        <v>1</v>
      </c>
      <c r="H9" t="s">
        <v>142</v>
      </c>
      <c r="I9" s="56">
        <v>500</v>
      </c>
      <c r="K9">
        <v>905</v>
      </c>
      <c r="L9">
        <f t="shared" si="1"/>
        <v>1016</v>
      </c>
      <c r="N9" t="s">
        <v>142</v>
      </c>
      <c r="O9" s="56">
        <v>500</v>
      </c>
      <c r="P9" s="6"/>
      <c r="Q9" s="6"/>
      <c r="R9" s="6"/>
      <c r="S9" s="1"/>
      <c r="T9" s="6"/>
      <c r="U9" s="6"/>
      <c r="V9" s="6"/>
      <c r="W9" s="6"/>
    </row>
    <row r="10" spans="1:26" x14ac:dyDescent="0.25">
      <c r="A10">
        <v>6</v>
      </c>
      <c r="B10" t="s">
        <v>7</v>
      </c>
      <c r="C10">
        <v>806</v>
      </c>
      <c r="D10">
        <f t="shared" si="0"/>
        <v>1139</v>
      </c>
      <c r="G10">
        <v>2</v>
      </c>
      <c r="H10" t="s">
        <v>143</v>
      </c>
      <c r="I10" s="56">
        <v>807</v>
      </c>
      <c r="K10">
        <v>906</v>
      </c>
      <c r="L10">
        <f t="shared" si="1"/>
        <v>1014</v>
      </c>
      <c r="N10" t="s">
        <v>143</v>
      </c>
      <c r="O10" s="56">
        <v>807</v>
      </c>
      <c r="P10" s="20"/>
      <c r="Q10" s="7"/>
      <c r="R10" s="6"/>
      <c r="S10" s="1"/>
      <c r="W10" s="6"/>
      <c r="Y10" s="2"/>
      <c r="Z10" s="2"/>
    </row>
    <row r="11" spans="1:26" x14ac:dyDescent="0.25">
      <c r="A11">
        <v>7</v>
      </c>
      <c r="B11" t="s">
        <v>8</v>
      </c>
      <c r="C11" s="57">
        <v>807</v>
      </c>
      <c r="D11" s="57">
        <f t="shared" si="0"/>
        <v>1138</v>
      </c>
      <c r="G11">
        <v>3</v>
      </c>
      <c r="H11" t="s">
        <v>144</v>
      </c>
      <c r="I11" s="56">
        <v>569</v>
      </c>
      <c r="K11" s="57">
        <v>907</v>
      </c>
      <c r="L11" s="57">
        <f t="shared" si="1"/>
        <v>1013</v>
      </c>
      <c r="N11" t="s">
        <v>144</v>
      </c>
      <c r="O11" s="56">
        <v>569</v>
      </c>
      <c r="P11" s="20"/>
      <c r="Q11" s="3"/>
      <c r="W11" s="6"/>
    </row>
    <row r="12" spans="1:26" x14ac:dyDescent="0.25">
      <c r="A12">
        <v>8</v>
      </c>
      <c r="B12" t="s">
        <v>9</v>
      </c>
      <c r="C12">
        <v>550</v>
      </c>
      <c r="D12">
        <f t="shared" si="0"/>
        <v>1651</v>
      </c>
      <c r="G12">
        <v>4</v>
      </c>
      <c r="H12" t="s">
        <v>147</v>
      </c>
      <c r="I12" s="56">
        <v>1672488000</v>
      </c>
      <c r="K12">
        <v>908</v>
      </c>
      <c r="L12">
        <f t="shared" si="1"/>
        <v>1012</v>
      </c>
      <c r="N12" t="s">
        <v>147</v>
      </c>
      <c r="O12" s="56">
        <v>1672488000</v>
      </c>
      <c r="W12" s="6"/>
    </row>
    <row r="13" spans="1:26" x14ac:dyDescent="0.25">
      <c r="A13">
        <v>9</v>
      </c>
      <c r="B13" t="s">
        <v>10</v>
      </c>
      <c r="C13">
        <v>540</v>
      </c>
      <c r="D13">
        <f t="shared" si="0"/>
        <v>1680</v>
      </c>
      <c r="G13">
        <v>5</v>
      </c>
      <c r="H13" t="s">
        <v>145</v>
      </c>
      <c r="I13" s="57">
        <v>807</v>
      </c>
      <c r="K13">
        <v>909</v>
      </c>
      <c r="L13">
        <f t="shared" si="1"/>
        <v>1011</v>
      </c>
      <c r="N13" t="s">
        <v>145</v>
      </c>
      <c r="O13" s="57">
        <f>K11</f>
        <v>907</v>
      </c>
      <c r="W13" s="6"/>
    </row>
    <row r="14" spans="1:26" x14ac:dyDescent="0.25">
      <c r="A14">
        <v>10</v>
      </c>
      <c r="B14" t="s">
        <v>11</v>
      </c>
      <c r="C14">
        <v>1260</v>
      </c>
      <c r="D14">
        <f t="shared" si="0"/>
        <v>727</v>
      </c>
      <c r="G14">
        <v>6</v>
      </c>
      <c r="H14" t="s">
        <v>146</v>
      </c>
      <c r="I14" s="57">
        <v>1138</v>
      </c>
      <c r="K14">
        <v>1260</v>
      </c>
      <c r="L14">
        <f t="shared" si="1"/>
        <v>727</v>
      </c>
      <c r="N14" t="s">
        <v>146</v>
      </c>
      <c r="O14" s="57">
        <f>L11</f>
        <v>1013</v>
      </c>
      <c r="W14" s="6"/>
    </row>
    <row r="15" spans="1:26" x14ac:dyDescent="0.25">
      <c r="A15">
        <v>11</v>
      </c>
      <c r="B15" t="s">
        <v>12</v>
      </c>
      <c r="C15">
        <v>1290</v>
      </c>
      <c r="D15">
        <f t="shared" si="0"/>
        <v>710</v>
      </c>
      <c r="K15">
        <v>1290</v>
      </c>
      <c r="L15">
        <f t="shared" si="1"/>
        <v>710</v>
      </c>
      <c r="W15" s="6"/>
    </row>
    <row r="16" spans="1:26" x14ac:dyDescent="0.25">
      <c r="A16">
        <v>12</v>
      </c>
      <c r="B16" t="s">
        <v>13</v>
      </c>
      <c r="C16">
        <v>880</v>
      </c>
      <c r="D16">
        <f t="shared" si="0"/>
        <v>1044</v>
      </c>
      <c r="I16">
        <v>80000</v>
      </c>
      <c r="K16">
        <v>880</v>
      </c>
      <c r="L16">
        <f t="shared" si="1"/>
        <v>1044</v>
      </c>
      <c r="W16" s="6"/>
    </row>
    <row r="17" spans="1:26" x14ac:dyDescent="0.25">
      <c r="A17">
        <v>13</v>
      </c>
      <c r="B17" t="s">
        <v>14</v>
      </c>
      <c r="C17">
        <v>1410</v>
      </c>
      <c r="D17">
        <f t="shared" si="0"/>
        <v>648</v>
      </c>
      <c r="H17" s="1"/>
      <c r="I17">
        <v>64.3</v>
      </c>
      <c r="K17">
        <v>1410</v>
      </c>
      <c r="L17">
        <f t="shared" si="1"/>
        <v>648</v>
      </c>
      <c r="W17" s="6"/>
      <c r="Y17" s="2"/>
      <c r="Z17" s="2"/>
    </row>
    <row r="18" spans="1:26" x14ac:dyDescent="0.25">
      <c r="A18">
        <v>14</v>
      </c>
      <c r="B18" t="s">
        <v>15</v>
      </c>
      <c r="C18">
        <v>1080</v>
      </c>
      <c r="D18">
        <f t="shared" si="0"/>
        <v>851</v>
      </c>
      <c r="K18">
        <v>1080</v>
      </c>
      <c r="L18">
        <f t="shared" si="1"/>
        <v>851</v>
      </c>
      <c r="M18" s="27"/>
      <c r="W18" s="6"/>
    </row>
    <row r="19" spans="1:26" x14ac:dyDescent="0.25">
      <c r="A19">
        <v>15</v>
      </c>
      <c r="B19" t="s">
        <v>16</v>
      </c>
      <c r="C19">
        <v>850</v>
      </c>
      <c r="D19">
        <f t="shared" si="0"/>
        <v>1081</v>
      </c>
      <c r="I19" s="4">
        <f>I16*I17</f>
        <v>5144000</v>
      </c>
      <c r="K19">
        <v>850</v>
      </c>
      <c r="L19">
        <f t="shared" si="1"/>
        <v>1081</v>
      </c>
      <c r="W19" s="6"/>
    </row>
    <row r="20" spans="1:26" x14ac:dyDescent="0.25">
      <c r="A20">
        <v>16</v>
      </c>
      <c r="B20" t="s">
        <v>17</v>
      </c>
      <c r="C20">
        <v>1390</v>
      </c>
      <c r="D20">
        <f t="shared" si="0"/>
        <v>657</v>
      </c>
      <c r="K20">
        <v>1390</v>
      </c>
      <c r="L20">
        <f t="shared" si="1"/>
        <v>657</v>
      </c>
      <c r="W20" s="6"/>
    </row>
    <row r="21" spans="1:26" x14ac:dyDescent="0.25">
      <c r="A21">
        <v>17</v>
      </c>
      <c r="B21" t="s">
        <v>17</v>
      </c>
      <c r="C21">
        <v>980</v>
      </c>
      <c r="D21">
        <f t="shared" si="0"/>
        <v>938</v>
      </c>
      <c r="K21">
        <v>980</v>
      </c>
      <c r="L21">
        <f t="shared" si="1"/>
        <v>938</v>
      </c>
      <c r="W21" s="6"/>
    </row>
    <row r="22" spans="1:26" x14ac:dyDescent="0.25">
      <c r="A22">
        <v>18</v>
      </c>
      <c r="B22" t="s">
        <v>18</v>
      </c>
      <c r="C22">
        <v>840</v>
      </c>
      <c r="D22">
        <f t="shared" si="0"/>
        <v>1094</v>
      </c>
      <c r="K22">
        <v>840</v>
      </c>
      <c r="L22">
        <f t="shared" si="1"/>
        <v>1094</v>
      </c>
      <c r="W22" s="6"/>
    </row>
    <row r="23" spans="1:26" x14ac:dyDescent="0.25">
      <c r="A23">
        <v>19</v>
      </c>
      <c r="B23" t="s">
        <v>19</v>
      </c>
      <c r="C23">
        <v>1320</v>
      </c>
      <c r="D23">
        <f t="shared" si="0"/>
        <v>693</v>
      </c>
      <c r="H23">
        <v>183</v>
      </c>
      <c r="K23">
        <v>1320</v>
      </c>
      <c r="L23">
        <f t="shared" si="1"/>
        <v>693</v>
      </c>
    </row>
    <row r="24" spans="1:26" x14ac:dyDescent="0.25">
      <c r="A24">
        <v>20</v>
      </c>
      <c r="B24" t="s">
        <v>20</v>
      </c>
      <c r="C24">
        <v>1280</v>
      </c>
      <c r="D24">
        <f t="shared" si="0"/>
        <v>716</v>
      </c>
      <c r="H24">
        <v>89</v>
      </c>
      <c r="I24" s="88">
        <f>H24/H23-1</f>
        <v>-0.51366120218579236</v>
      </c>
      <c r="K24">
        <v>1280</v>
      </c>
      <c r="L24">
        <f t="shared" si="1"/>
        <v>716</v>
      </c>
    </row>
    <row r="25" spans="1:26" x14ac:dyDescent="0.25">
      <c r="A25">
        <v>21</v>
      </c>
      <c r="B25" t="s">
        <v>21</v>
      </c>
      <c r="C25">
        <v>540</v>
      </c>
      <c r="D25">
        <f t="shared" si="0"/>
        <v>1680</v>
      </c>
      <c r="H25">
        <v>129</v>
      </c>
      <c r="I25" s="88">
        <f t="shared" ref="I25:I26" si="2">H25/H24-1</f>
        <v>0.449438202247191</v>
      </c>
      <c r="K25">
        <v>540</v>
      </c>
      <c r="L25">
        <f t="shared" si="1"/>
        <v>1680</v>
      </c>
    </row>
    <row r="26" spans="1:26" x14ac:dyDescent="0.25">
      <c r="A26">
        <v>22</v>
      </c>
      <c r="B26" t="s">
        <v>102</v>
      </c>
      <c r="C26">
        <v>790</v>
      </c>
      <c r="D26">
        <f t="shared" si="0"/>
        <v>1162</v>
      </c>
      <c r="H26">
        <v>82</v>
      </c>
      <c r="I26" s="88">
        <f t="shared" si="2"/>
        <v>-0.36434108527131781</v>
      </c>
      <c r="K26">
        <v>790</v>
      </c>
      <c r="L26">
        <f t="shared" si="1"/>
        <v>1162</v>
      </c>
    </row>
    <row r="27" spans="1:26" x14ac:dyDescent="0.25">
      <c r="A27">
        <v>23</v>
      </c>
      <c r="B27" t="s">
        <v>103</v>
      </c>
      <c r="C27">
        <v>1300</v>
      </c>
      <c r="D27">
        <f t="shared" si="0"/>
        <v>704</v>
      </c>
      <c r="K27">
        <v>1300</v>
      </c>
      <c r="L27">
        <f t="shared" si="1"/>
        <v>704</v>
      </c>
    </row>
    <row r="28" spans="1:26" x14ac:dyDescent="0.25">
      <c r="A28">
        <v>24</v>
      </c>
      <c r="B28" t="s">
        <v>104</v>
      </c>
      <c r="C28">
        <v>1300</v>
      </c>
      <c r="D28">
        <f t="shared" si="0"/>
        <v>704</v>
      </c>
      <c r="K28">
        <v>1300</v>
      </c>
      <c r="L28">
        <f t="shared" si="1"/>
        <v>704</v>
      </c>
    </row>
    <row r="29" spans="1:26" x14ac:dyDescent="0.25">
      <c r="A29">
        <v>25</v>
      </c>
      <c r="B29" t="s">
        <v>105</v>
      </c>
      <c r="C29">
        <v>980</v>
      </c>
      <c r="D29">
        <f t="shared" si="0"/>
        <v>938</v>
      </c>
      <c r="K29">
        <v>980</v>
      </c>
      <c r="L29">
        <f t="shared" si="1"/>
        <v>938</v>
      </c>
    </row>
    <row r="30" spans="1:26" x14ac:dyDescent="0.25">
      <c r="A30">
        <v>26</v>
      </c>
      <c r="B30" t="s">
        <v>106</v>
      </c>
      <c r="C30">
        <v>860</v>
      </c>
      <c r="D30">
        <f t="shared" si="0"/>
        <v>1068</v>
      </c>
      <c r="K30">
        <v>860</v>
      </c>
      <c r="L30">
        <f t="shared" si="1"/>
        <v>1068</v>
      </c>
    </row>
    <row r="31" spans="1:26" x14ac:dyDescent="0.25">
      <c r="A31">
        <v>27</v>
      </c>
      <c r="B31" t="s">
        <v>22</v>
      </c>
      <c r="C31">
        <v>630</v>
      </c>
      <c r="D31">
        <f t="shared" si="0"/>
        <v>1449</v>
      </c>
      <c r="H31" s="89">
        <v>1671948000</v>
      </c>
      <c r="K31">
        <v>630</v>
      </c>
      <c r="L31">
        <f t="shared" si="1"/>
        <v>1449</v>
      </c>
    </row>
    <row r="32" spans="1:26" x14ac:dyDescent="0.25">
      <c r="A32">
        <v>28</v>
      </c>
      <c r="B32" t="s">
        <v>23</v>
      </c>
      <c r="C32">
        <v>1430</v>
      </c>
      <c r="D32">
        <f t="shared" si="0"/>
        <v>638</v>
      </c>
      <c r="K32">
        <v>1430</v>
      </c>
      <c r="L32">
        <f t="shared" si="1"/>
        <v>638</v>
      </c>
    </row>
    <row r="33" spans="1:12" x14ac:dyDescent="0.25">
      <c r="A33">
        <v>29</v>
      </c>
      <c r="B33" t="s">
        <v>24</v>
      </c>
      <c r="C33">
        <v>970</v>
      </c>
      <c r="D33">
        <f t="shared" si="0"/>
        <v>948</v>
      </c>
      <c r="J33" s="9"/>
      <c r="K33">
        <v>970</v>
      </c>
      <c r="L33">
        <f t="shared" si="1"/>
        <v>948</v>
      </c>
    </row>
    <row r="34" spans="1:12" x14ac:dyDescent="0.25">
      <c r="A34">
        <v>30</v>
      </c>
      <c r="B34" t="s">
        <v>25</v>
      </c>
      <c r="C34">
        <v>930</v>
      </c>
      <c r="D34">
        <f t="shared" si="0"/>
        <v>988</v>
      </c>
      <c r="J34" s="1"/>
      <c r="K34">
        <v>930</v>
      </c>
      <c r="L34">
        <f t="shared" si="1"/>
        <v>988</v>
      </c>
    </row>
    <row r="35" spans="1:12" x14ac:dyDescent="0.25">
      <c r="A35">
        <v>31</v>
      </c>
      <c r="B35" t="s">
        <v>26</v>
      </c>
      <c r="C35">
        <v>1440</v>
      </c>
      <c r="D35">
        <f t="shared" si="0"/>
        <v>634</v>
      </c>
      <c r="J35" s="1"/>
      <c r="K35">
        <v>1440</v>
      </c>
      <c r="L35">
        <f t="shared" si="1"/>
        <v>634</v>
      </c>
    </row>
    <row r="36" spans="1:12" x14ac:dyDescent="0.25">
      <c r="B36" t="s">
        <v>27</v>
      </c>
      <c r="C36">
        <v>1111</v>
      </c>
      <c r="D36">
        <f>INT(1000000/C36)</f>
        <v>900</v>
      </c>
      <c r="J36" s="1"/>
      <c r="K36" s="8"/>
    </row>
    <row r="37" spans="1:12" x14ac:dyDescent="0.25">
      <c r="C37">
        <v>2001</v>
      </c>
      <c r="D37">
        <f>C37*C36/1000</f>
        <v>2223.1109999999999</v>
      </c>
      <c r="J37" s="1"/>
      <c r="K37" s="8"/>
    </row>
    <row r="38" spans="1:12" x14ac:dyDescent="0.25">
      <c r="C38">
        <f>2223</f>
        <v>2223</v>
      </c>
      <c r="D38">
        <v>2001</v>
      </c>
      <c r="J38" s="1"/>
      <c r="K38" s="8"/>
    </row>
    <row r="39" spans="1:12" x14ac:dyDescent="0.25">
      <c r="C39" s="18">
        <f>C38/C37</f>
        <v>1.1109445277361318</v>
      </c>
      <c r="D39" s="18">
        <f>D38/D37</f>
        <v>0.90009000900090019</v>
      </c>
      <c r="J39" s="2"/>
      <c r="K39" s="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test1BasicMargining</vt:lpstr>
      <vt:lpstr>test2BasicMargining</vt:lpstr>
      <vt:lpstr>test2BasicMarginingb</vt:lpstr>
      <vt:lpstr>test3oddsChange</vt:lpstr>
      <vt:lpstr>test4Redemptions</vt:lpstr>
      <vt:lpstr>Test5BigBet</vt:lpstr>
      <vt:lpstr>test6OracleVoting</vt:lpstr>
      <vt:lpstr>test7LPRevenue</vt:lpstr>
      <vt:lpstr>test8OracleRevenue</vt:lpstr>
      <vt:lpstr>test9Oracle2</vt:lpstr>
      <vt:lpstr>test10bitDecoding</vt:lpstr>
      <vt:lpstr>test1BasicMargining!Print_Area</vt:lpstr>
      <vt:lpstr>test2BasicMargining!Print_Area</vt:lpstr>
      <vt:lpstr>test2BasicMarginingb!Print_Area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cp:lastPrinted>2021-03-09T17:35:38Z</cp:lastPrinted>
  <dcterms:created xsi:type="dcterms:W3CDTF">2019-05-02T19:42:25Z</dcterms:created>
  <dcterms:modified xsi:type="dcterms:W3CDTF">2023-06-29T22:48:23Z</dcterms:modified>
</cp:coreProperties>
</file>