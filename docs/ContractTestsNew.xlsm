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C85BADFD-A20F-435B-B145-57B32B8413EB}" xr6:coauthVersionLast="47" xr6:coauthVersionMax="47" xr10:uidLastSave="{00000000-0000-0000-0000-000000000000}"/>
  <bookViews>
    <workbookView xWindow="3585" yWindow="2715" windowWidth="23940" windowHeight="11295" tabRatio="763" firstSheet="1" activeTab="10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Sheet1" sheetId="35" r:id="rId8"/>
    <sheet name="test8OracleRevenue" sheetId="29" r:id="rId9"/>
    <sheet name="test9sequence" sheetId="33" r:id="rId10"/>
    <sheet name="test10betLimits" sheetId="34" r:id="rId11"/>
    <sheet name="test10bitDecoding" sheetId="28" r:id="rId12"/>
  </sheets>
  <definedNames>
    <definedName name="_xlnm.Print_Area" localSheetId="10">test10betLimits!$O$36:$P$41</definedName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5" i="29" l="1"/>
  <c r="AB65" i="29"/>
  <c r="I27" i="20"/>
  <c r="I28" i="20"/>
  <c r="M27" i="20"/>
  <c r="AA9" i="29"/>
  <c r="AA54" i="29"/>
  <c r="H71" i="29"/>
  <c r="N71" i="29" s="1"/>
  <c r="N69" i="29"/>
  <c r="N14" i="29"/>
  <c r="N12" i="29"/>
  <c r="N10" i="29"/>
  <c r="N8" i="29"/>
  <c r="N6" i="29"/>
  <c r="K9" i="33" l="1"/>
  <c r="AA10" i="29" l="1"/>
  <c r="AA39" i="29"/>
  <c r="N37" i="29"/>
  <c r="N38" i="29" s="1"/>
  <c r="F6" i="34"/>
  <c r="N39" i="29" l="1"/>
  <c r="L24" i="34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E28" i="20"/>
  <c r="D28" i="20"/>
  <c r="D27" i="20"/>
  <c r="E27" i="20" s="1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O14" i="29"/>
  <c r="O12" i="29"/>
  <c r="O10" i="29"/>
  <c r="O8" i="29"/>
  <c r="O6" i="29"/>
  <c r="AA7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AB7" i="29" l="1"/>
  <c r="AB8" i="29"/>
  <c r="N41" i="29"/>
  <c r="N40" i="29"/>
  <c r="T12" i="34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P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AB9" i="29" l="1"/>
  <c r="AB10" i="29" s="1"/>
  <c r="N43" i="29"/>
  <c r="N42" i="29"/>
  <c r="U12" i="34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N45" i="29" l="1"/>
  <c r="N44" i="29"/>
  <c r="U13" i="34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V26" i="29"/>
  <c r="N67" i="29"/>
  <c r="N68" i="29" s="1"/>
  <c r="R67" i="29"/>
  <c r="V54" i="29"/>
  <c r="O71" i="29"/>
  <c r="AA66" i="29" s="1"/>
  <c r="V57" i="29"/>
  <c r="V68" i="29"/>
  <c r="R69" i="29"/>
  <c r="V65" i="29"/>
  <c r="O65" i="29"/>
  <c r="V71" i="29"/>
  <c r="V67" i="29"/>
  <c r="O67" i="29"/>
  <c r="V66" i="29"/>
  <c r="V69" i="29"/>
  <c r="N52" i="29"/>
  <c r="N53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U42" i="29"/>
  <c r="U39" i="29"/>
  <c r="Q39" i="29" s="1"/>
  <c r="V52" i="29"/>
  <c r="T41" i="29"/>
  <c r="P41" i="29" s="1"/>
  <c r="R54" i="29" s="1"/>
  <c r="T42" i="29"/>
  <c r="U41" i="29"/>
  <c r="Q41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S39" i="29"/>
  <c r="O39" i="29" s="1"/>
  <c r="T43" i="29"/>
  <c r="P43" i="29" s="1"/>
  <c r="R56" i="29" s="1"/>
  <c r="S37" i="29"/>
  <c r="O37" i="29" s="1"/>
  <c r="Q37" i="29"/>
  <c r="O41" i="29"/>
  <c r="Q43" i="29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V42" i="29"/>
  <c r="N70" i="29"/>
  <c r="AA25" i="29"/>
  <c r="V43" i="29"/>
  <c r="N54" i="29"/>
  <c r="O58" i="29"/>
  <c r="AA53" i="29" s="1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5" i="29" s="1"/>
  <c r="V41" i="29"/>
  <c r="V40" i="29"/>
  <c r="N55" i="29"/>
  <c r="N56" i="29"/>
  <c r="V44" i="29"/>
  <c r="V37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N72" i="29"/>
  <c r="AA68" i="29"/>
  <c r="AA41" i="29"/>
  <c r="AA42" i="29" s="1"/>
  <c r="N28" i="29"/>
  <c r="N29" i="29"/>
  <c r="N57" i="29"/>
  <c r="N58" i="29"/>
  <c r="N59" i="29" s="1"/>
  <c r="L12" i="1"/>
  <c r="L14" i="1"/>
  <c r="M14" i="14"/>
  <c r="N30" i="29" l="1"/>
  <c r="N46" i="29"/>
  <c r="L18" i="14"/>
  <c r="M18" i="14" s="1"/>
  <c r="F2" i="20" l="1"/>
  <c r="K9" i="14" l="1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J28" i="20" l="1"/>
  <c r="I29" i="20"/>
  <c r="J29" i="20" s="1"/>
  <c r="J21" i="20"/>
  <c r="J22" i="20"/>
  <c r="J25" i="20"/>
  <c r="I22" i="20"/>
  <c r="I21" i="20"/>
  <c r="I25" i="20"/>
  <c r="H31" i="20"/>
  <c r="H34" i="20" s="1"/>
  <c r="J27" i="20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4" i="20" s="1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D31" i="20" l="1"/>
  <c r="D34" i="20" s="1"/>
  <c r="E31" i="20"/>
  <c r="E34" i="20" s="1"/>
</calcChain>
</file>

<file path=xl/sharedStrings.xml><?xml version="1.0" encoding="utf-8"?>
<sst xmlns="http://schemas.openxmlformats.org/spreadsheetml/2006/main" count="917" uniqueCount="289">
  <si>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</si>
  <si>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</si>
  <si>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</si>
  <si>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</si>
  <si>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</si>
  <si>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</si>
  <si>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</si>
  <si>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</si>
  <si>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</si>
  <si>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</si>
  <si>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</si>
  <si>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</si>
  <si>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</si>
  <si>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</si>
  <si>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</si>
  <si>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</si>
  <si>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</si>
  <si>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</si>
  <si>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</si>
  <si>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</si>
  <si>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</si>
  <si>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</si>
  <si>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</si>
  <si>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</si>
  <si>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</si>
  <si>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</si>
  <si>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</si>
  <si>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</si>
  <si>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</si>
  <si>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</si>
  <si>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</si>
  <si>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</si>
  <si>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</si>
  <si>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</si>
  <si>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</si>
  <si>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</si>
  <si>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</si>
  <si>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</si>
  <si>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</si>
  <si>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</si>
  <si>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</si>
  <si>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</si>
  <si>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</si>
  <si>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</si>
  <si>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</si>
  <si>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</si>
  <si>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</si>
  <si>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</si>
  <si>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</si>
  <si>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</si>
  <si>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</si>
  <si>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</si>
  <si>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</si>
  <si>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</si>
  <si>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</si>
  <si>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</si>
  <si>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</si>
  <si>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</si>
  <si>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</si>
  <si>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</si>
  <si>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</si>
  <si>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</si>
  <si>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</si>
  <si>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</si>
  <si>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</si>
  <si>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</si>
  <si>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</si>
  <si>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</si>
  <si>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</si>
  <si>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</si>
  <si>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</si>
  <si>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</si>
  <si>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</si>
  <si>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</si>
  <si>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</si>
  <si>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</si>
  <si>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</si>
  <si>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</si>
  <si>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</si>
  <si>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</si>
  <si>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</si>
  <si>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</si>
  <si>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</si>
  <si>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</si>
  <si>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</si>
  <si>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</si>
  <si>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</si>
  <si>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</si>
  <si>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</si>
  <si>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</si>
  <si>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</si>
  <si>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</si>
  <si>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</si>
  <si>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</si>
  <si>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</si>
  <si>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</si>
  <si>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</si>
  <si>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</si>
  <si>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</si>
  <si>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</si>
  <si>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</si>
  <si>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</si>
  <si>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</si>
  <si>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</si>
  <si>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</si>
  <si>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</si>
  <si>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</si>
  <si>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</si>
  <si>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</si>
  <si>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</si>
  <si>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</si>
  <si>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</si>
  <si>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</si>
  <si>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</si>
  <si>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</si>
  <si>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</si>
  <si>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</si>
  <si>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</si>
  <si>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</si>
  <si>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</si>
  <si>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</si>
  <si>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</si>
  <si>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</si>
  <si>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</si>
  <si>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</si>
  <si>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</si>
  <si>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</si>
  <si>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</si>
  <si>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</si>
  <si>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</si>
  <si>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</si>
  <si>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</si>
  <si>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</si>
  <si>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</si>
  <si>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</si>
  <si>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</si>
  <si>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</si>
  <si>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</si>
  <si>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</si>
  <si>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</si>
  <si>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</si>
  <si>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</si>
  <si>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</si>
  <si>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</si>
  <si>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</si>
  <si>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</si>
  <si>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</si>
  <si>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</si>
  <si>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</si>
  <si>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</si>
  <si>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</si>
  <si>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</si>
  <si>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</si>
  <si>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</si>
  <si>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</si>
  <si>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</si>
  <si>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</si>
  <si>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</si>
  <si>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</si>
  <si>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</si>
  <si>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</si>
  <si>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</si>
  <si>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</si>
  <si>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</si>
  <si>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</si>
  <si>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</si>
  <si>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</si>
  <si>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</si>
  <si>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</si>
  <si>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</si>
  <si>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</si>
  <si>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</si>
  <si>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</si>
  <si>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</si>
  <si>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</si>
  <si>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</si>
  <si>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</si>
  <si>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</si>
  <si>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</si>
  <si>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</si>
  <si>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</si>
  <si>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</si>
  <si>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</si>
  <si>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</si>
  <si>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</si>
  <si>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</si>
  <si>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</si>
  <si>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</si>
  <si>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</si>
  <si>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</si>
  <si>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</si>
  <si>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</si>
  <si>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</si>
  <si>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</si>
  <si>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</si>
  <si>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</si>
  <si>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</si>
  <si>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</si>
  <si>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</si>
  <si>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</si>
  <si>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</si>
  <si>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</si>
  <si>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</si>
  <si>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</si>
  <si>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</si>
  <si>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</si>
  <si>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</si>
  <si>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</si>
  <si>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</si>
  <si>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</si>
  <si>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</si>
  <si>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</si>
  <si>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</si>
  <si>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</si>
  <si>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</si>
  <si>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</si>
  <si>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</si>
  <si>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</si>
  <si>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</si>
  <si>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</si>
  <si>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</si>
  <si>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</si>
  <si>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</si>
  <si>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Acct2votes 50% of time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</si>
  <si>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</si>
  <si>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</si>
  <si>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</si>
  <si>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</si>
  <si>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</si>
  <si>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</si>
  <si>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</si>
  <si>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</si>
  <si>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</si>
  <si>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</si>
  <si>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</si>
  <si>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</si>
  <si>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</si>
  <si>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</si>
  <si>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</si>
  <si>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</si>
  <si>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</si>
  <si>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</si>
  <si>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</si>
  <si>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</si>
  <si>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</si>
  <si>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</si>
  <si>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</si>
  <si>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</si>
  <si>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</si>
  <si>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</si>
  <si>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</si>
  <si>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</si>
  <si>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</si>
  <si>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</si>
  <si>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</si>
  <si>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</si>
  <si>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</si>
  <si>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</si>
  <si>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</si>
  <si>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</si>
  <si>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</si>
  <si>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</si>
  <si>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</si>
  <si>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</si>
  <si>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</si>
  <si>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</si>
  <si>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</si>
  <si>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</si>
  <si>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</si>
  <si>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</si>
  <si>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</si>
  <si>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</si>
  <si>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</si>
  <si>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</si>
  <si>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</si>
  <si>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</si>
  <si>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</si>
  <si>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</si>
  <si>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</si>
  <si>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</si>
  <si>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</si>
  <si>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</si>
  <si>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</si>
  <si>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</si>
  <si>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</si>
  <si>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</si>
  <si>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</si>
  <si>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</si>
  <si>
    <t>acct0 does not claim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</si>
</sst>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170" fontId="4" fillId="2" borderId="10" xfId="2" applyNumberFormat="1" applyBorder="1"/>
    <xf numFmtId="169" fontId="7" fillId="2" borderId="7" xfId="2" applyNumberFormat="1" applyFont="1" applyBorder="1"/>
    <xf numFmtId="169" fontId="7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170" fontId="1" fillId="10" borderId="8" xfId="0" applyNumberFormat="1" applyFont="1" applyFill="1" applyBorder="1"/>
    <xf numFmtId="0" fontId="1" fillId="10" borderId="3" xfId="0" applyFont="1" applyFill="1" applyBorder="1" applyAlignment="1">
      <alignment horizontal="right"/>
    </xf>
    <xf numFmtId="165" fontId="8" fillId="10" borderId="0" xfId="3" applyNumberFormat="1" applyFont="1" applyFill="1" applyBorder="1"/>
    <xf numFmtId="183" fontId="1" fillId="11" borderId="4" xfId="0" applyNumberFormat="1" applyFont="1" applyFill="1" applyBorder="1"/>
    <xf numFmtId="170" fontId="1" fillId="10" borderId="7" xfId="0" applyNumberFormat="1" applyFont="1" applyFill="1" applyBorder="1"/>
    <xf numFmtId="167" fontId="4" fillId="2" borderId="9" xfId="2" applyNumberFormat="1" applyBorder="1"/>
    <xf numFmtId="165" fontId="4" fillId="13" borderId="7" xfId="2" applyNumberFormat="1" applyFill="1" applyBorder="1"/>
    <xf numFmtId="165" fontId="4" fillId="13" borderId="8" xfId="2" applyNumberFormat="1" applyFill="1" applyBorder="1"/>
    <xf numFmtId="165" fontId="4" fillId="13" borderId="0" xfId="2" applyNumberFormat="1" applyFill="1" applyBorder="1"/>
    <xf numFmtId="165" fontId="4" fillId="14" borderId="7" xfId="2" applyNumberFormat="1" applyFill="1" applyBorder="1"/>
    <xf numFmtId="165" fontId="4" fillId="14" borderId="0" xfId="2" applyNumberFormat="1" applyFill="1" applyBorder="1"/>
    <xf numFmtId="165" fontId="4" fillId="14" borderId="8" xfId="2" applyNumberFormat="1" applyFill="1" applyBorder="1"/>
    <xf numFmtId="165" fontId="12" fillId="15" borderId="7" xfId="4" applyNumberFormat="1" applyFill="1" applyBorder="1"/>
    <xf numFmtId="165" fontId="12" fillId="15" borderId="8" xfId="4" applyNumberFormat="1" applyFill="1" applyBorder="1"/>
    <xf numFmtId="165" fontId="12" fillId="15" borderId="0" xfId="4" applyNumberFormat="1" applyFill="1" applyBorder="1"/>
    <xf numFmtId="165" fontId="1" fillId="16" borderId="0" xfId="0" applyNumberFormat="1" applyFont="1" applyFill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279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279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279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279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279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279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279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282</v>
      </c>
      <c r="K44" t="s">
        <v>283</v>
      </c>
      <c r="T44" s="25"/>
    </row>
    <row r="45" spans="2:22" x14ac:dyDescent="0.25">
      <c r="B45" s="1"/>
      <c r="C45" s="1"/>
      <c r="D45" s="4"/>
      <c r="E45" s="118"/>
      <c r="J45" t="s">
        <v>284</v>
      </c>
      <c r="K45" t="s">
        <v>285</v>
      </c>
      <c r="Q45" s="25"/>
      <c r="R45" s="25"/>
      <c r="S45" s="47"/>
      <c r="U45" s="25"/>
    </row>
    <row r="46" spans="2:22" x14ac:dyDescent="0.25">
      <c r="B46" s="1"/>
      <c r="C46" s="1"/>
      <c r="J46" t="s">
        <v>286</v>
      </c>
      <c r="K46" t="s">
        <v>287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33" t="s">
        <v>107</v>
      </c>
      <c r="AA2" s="333"/>
      <c r="AB2" s="333" t="s">
        <v>108</v>
      </c>
      <c r="AC2" s="333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280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281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281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282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283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284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284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227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224</v>
      </c>
      <c r="K6" s="125" t="s">
        <v>225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226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228</v>
      </c>
    </row>
    <row r="12" spans="3:5" x14ac:dyDescent="0.25">
      <c r="D12" t="s">
        <v>43</v>
      </c>
      <c r="E12" s="71" t="s">
        <v>229</v>
      </c>
    </row>
    <row r="13" spans="3:5" x14ac:dyDescent="0.25">
      <c r="D13" t="s">
        <v>44</v>
      </c>
      <c r="E13" s="71" t="s">
        <v>230</v>
      </c>
    </row>
    <row r="15" spans="3:5" x14ac:dyDescent="0.25">
      <c r="C15" t="s">
        <v>234</v>
      </c>
    </row>
    <row r="16" spans="3:5" x14ac:dyDescent="0.25">
      <c r="C16" t="s">
        <v>231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232</v>
      </c>
      <c r="E20" s="71"/>
    </row>
    <row r="22" spans="3:5" x14ac:dyDescent="0.25">
      <c r="C22" t="s">
        <v>233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235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topLeftCell="A16" zoomScale="75" zoomScaleNormal="75" workbookViewId="0">
      <selection activeCell="J19" sqref="J19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244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245</v>
      </c>
      <c r="D13" s="2" t="s">
        <v>236</v>
      </c>
      <c r="E13" s="2" t="s">
        <v>237</v>
      </c>
      <c r="F13" s="2" t="s">
        <v>238</v>
      </c>
      <c r="G13" s="2" t="s">
        <v>239</v>
      </c>
      <c r="H13" s="2" t="s">
        <v>240</v>
      </c>
      <c r="I13" s="2" t="s">
        <v>241</v>
      </c>
      <c r="J13" s="2" t="s">
        <v>242</v>
      </c>
      <c r="K13" s="2" t="s">
        <v>243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B16" t="s">
        <v>85</v>
      </c>
      <c r="C16" s="4">
        <v>1</v>
      </c>
      <c r="D16" s="4">
        <v>2</v>
      </c>
      <c r="E16" s="4">
        <v>3</v>
      </c>
      <c r="F16" s="4"/>
      <c r="G16" s="4">
        <v>4</v>
      </c>
      <c r="H16" s="4">
        <v>12.85</v>
      </c>
      <c r="I16" s="4">
        <v>5</v>
      </c>
      <c r="J16" s="4">
        <v>6</v>
      </c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296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297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298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294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272</v>
      </c>
      <c r="C26" s="4"/>
      <c r="D26" s="295">
        <v>5</v>
      </c>
      <c r="E26" s="295">
        <v>5</v>
      </c>
      <c r="F26" s="295">
        <f t="shared" ref="F26" si="6">F25/E25-1</f>
        <v>0</v>
      </c>
      <c r="G26" s="295">
        <v>5</v>
      </c>
      <c r="H26" s="295">
        <v>0</v>
      </c>
      <c r="I26" s="295">
        <v>5</v>
      </c>
      <c r="J26" s="295">
        <v>5</v>
      </c>
      <c r="R26" s="88"/>
      <c r="T26"/>
    </row>
    <row r="27" spans="2:20" x14ac:dyDescent="0.25">
      <c r="B27" s="30" t="s">
        <v>217</v>
      </c>
      <c r="C27" s="52">
        <v>0</v>
      </c>
      <c r="D27" s="52">
        <f>C17/C20*30000000+C27</f>
        <v>18000000</v>
      </c>
      <c r="E27" s="52">
        <f>D17/D20*30000000+D27</f>
        <v>36000000</v>
      </c>
      <c r="F27" s="52">
        <f>E27</f>
        <v>36000000</v>
      </c>
      <c r="G27" s="52">
        <f>G17/G20*30000000+F27</f>
        <v>53647058.823529407</v>
      </c>
      <c r="H27" s="52">
        <f>G27</f>
        <v>53647058.823529407</v>
      </c>
      <c r="I27" s="332">
        <f>H27</f>
        <v>53647058.823529407</v>
      </c>
      <c r="J27" s="78">
        <f>J17/J20*30000000+I27</f>
        <v>68315723.03629154</v>
      </c>
      <c r="K27" s="288" t="s">
        <v>217</v>
      </c>
      <c r="L27" s="4">
        <v>68315722</v>
      </c>
      <c r="M27">
        <f>10/12</f>
        <v>0.83333333333333337</v>
      </c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289" t="s">
        <v>218</v>
      </c>
      <c r="L28" s="4">
        <v>56889069</v>
      </c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290" t="s">
        <v>219</v>
      </c>
      <c r="L29" s="4">
        <v>15189810</v>
      </c>
      <c r="T29"/>
    </row>
    <row r="30" spans="2:20" ht="15.75" thickBot="1" x14ac:dyDescent="0.3">
      <c r="B30" s="38" t="s">
        <v>247</v>
      </c>
      <c r="C30" s="55">
        <f>SUM(C27:C29)</f>
        <v>0</v>
      </c>
      <c r="D30" s="55">
        <f t="shared" ref="D30:J30" si="7">SUM(D27:D29)</f>
        <v>30000000</v>
      </c>
      <c r="E30" s="55">
        <f t="shared" si="7"/>
        <v>60000000</v>
      </c>
      <c r="F30" s="55">
        <f t="shared" si="7"/>
        <v>60000000</v>
      </c>
      <c r="G30" s="55">
        <f t="shared" si="7"/>
        <v>90000000</v>
      </c>
      <c r="H30" s="55">
        <f t="shared" si="7"/>
        <v>90000000</v>
      </c>
      <c r="I30" s="55">
        <f t="shared" si="7"/>
        <v>105331335.78723787</v>
      </c>
      <c r="J30" s="55">
        <f t="shared" si="7"/>
        <v>135331335.78723788</v>
      </c>
      <c r="L30" s="4"/>
      <c r="T30"/>
    </row>
    <row r="31" spans="2:20" x14ac:dyDescent="0.25">
      <c r="B31" s="30" t="s">
        <v>246</v>
      </c>
      <c r="C31" s="52">
        <f>C27</f>
        <v>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17647058.823529407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14668664.212762132</v>
      </c>
      <c r="T31"/>
    </row>
    <row r="32" spans="2:20" x14ac:dyDescent="0.25">
      <c r="B32" s="34" t="s">
        <v>248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249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29999999.999999993</v>
      </c>
      <c r="H34" s="106">
        <f t="shared" si="16"/>
        <v>0</v>
      </c>
      <c r="I34" s="106">
        <f t="shared" si="16"/>
        <v>15331335.787237871</v>
      </c>
      <c r="J34" s="106">
        <f t="shared" si="16"/>
        <v>30000000.000000004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286"/>
      <c r="T36"/>
    </row>
    <row r="37" spans="2:20" x14ac:dyDescent="0.25">
      <c r="C37" s="4"/>
      <c r="D37" s="4"/>
      <c r="E37" s="287"/>
      <c r="F37" s="21"/>
      <c r="G37" s="4"/>
      <c r="H37" s="4"/>
      <c r="I37" s="4" t="s">
        <v>288</v>
      </c>
      <c r="J37" s="4"/>
      <c r="T37"/>
    </row>
    <row r="38" spans="2:20" x14ac:dyDescent="0.25">
      <c r="C38" s="287"/>
      <c r="D38" s="285"/>
      <c r="E38" s="287"/>
      <c r="F38" s="21"/>
      <c r="G38" s="285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287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287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287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opLeftCell="C35" zoomScale="75" zoomScaleNormal="75" workbookViewId="0">
      <selection activeCell="AA65" sqref="AA6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  <c r="J1" s="61">
        <v>1E+18</v>
      </c>
    </row>
    <row r="2" spans="2:29" x14ac:dyDescent="0.25">
      <c r="H2" s="4">
        <f>25*1000</f>
        <v>25000</v>
      </c>
      <c r="I2" t="s">
        <v>250</v>
      </c>
      <c r="O2" t="s">
        <v>99</v>
      </c>
      <c r="S2" t="s">
        <v>100</v>
      </c>
    </row>
    <row r="3" spans="2:29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29" ht="15.75" thickBot="1" x14ac:dyDescent="0.3">
      <c r="G4" s="2" t="s">
        <v>86</v>
      </c>
      <c r="H4" s="2" t="s">
        <v>262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29" s="133" customFormat="1" x14ac:dyDescent="0.25">
      <c r="B5" s="133" t="s">
        <v>59</v>
      </c>
      <c r="F5" s="133">
        <v>1</v>
      </c>
      <c r="I5" s="134" t="s">
        <v>154</v>
      </c>
      <c r="J5" s="329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29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330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(H6*1000000000000/(M6*1000000))</f>
        <v>400</v>
      </c>
      <c r="O6" s="291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256</v>
      </c>
    </row>
    <row r="7" spans="2:29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329">
        <v>250</v>
      </c>
      <c r="K7" s="323">
        <v>150</v>
      </c>
      <c r="L7" s="135">
        <v>0</v>
      </c>
      <c r="M7" s="135">
        <f t="shared" si="0"/>
        <v>400</v>
      </c>
      <c r="N7" s="112">
        <f>N6</f>
        <v>400</v>
      </c>
      <c r="O7" s="292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22">
        <f>(P8+P10+P12)*1000</f>
        <v>97.5</v>
      </c>
      <c r="AB7" s="293">
        <f>Z7*INT((N12-N6))/AB$3</f>
        <v>97.5</v>
      </c>
      <c r="AC7" s="140" t="s">
        <v>256</v>
      </c>
    </row>
    <row r="8" spans="2:29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330">
        <v>250</v>
      </c>
      <c r="K8" s="324">
        <v>150</v>
      </c>
      <c r="L8" s="108">
        <v>0</v>
      </c>
      <c r="M8" s="108">
        <f t="shared" si="0"/>
        <v>400</v>
      </c>
      <c r="N8" s="109">
        <f>(H8*1000000000000/(M8*1000000))+N6</f>
        <v>650</v>
      </c>
      <c r="O8" s="291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02">
        <f>SUM(O6:O14)*1000</f>
        <v>333.92857142857144</v>
      </c>
      <c r="AB8" s="293">
        <f>Z8*((N14-N5))/AB3</f>
        <v>333.92857142857144</v>
      </c>
      <c r="AC8" s="140" t="s">
        <v>256</v>
      </c>
    </row>
    <row r="9" spans="2:29" s="133" customFormat="1" ht="15.75" thickBot="1" x14ac:dyDescent="0.3">
      <c r="F9" s="133">
        <v>3</v>
      </c>
      <c r="G9" s="146"/>
      <c r="H9" s="141"/>
      <c r="I9" s="134" t="s">
        <v>156</v>
      </c>
      <c r="J9" s="329">
        <v>250</v>
      </c>
      <c r="K9" s="323">
        <v>150</v>
      </c>
      <c r="L9" s="326">
        <v>100</v>
      </c>
      <c r="M9" s="135">
        <f t="shared" si="0"/>
        <v>500</v>
      </c>
      <c r="N9" s="112">
        <f>N8</f>
        <v>650</v>
      </c>
      <c r="O9" s="292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312">
        <f>(Q10+Q12+Q14)*1000*6/7</f>
        <v>58.775510204081634</v>
      </c>
      <c r="AB9" s="293">
        <f>Z9*INT((N14-N8))/AB3</f>
        <v>68.5</v>
      </c>
      <c r="AC9" s="140" t="s">
        <v>256</v>
      </c>
    </row>
    <row r="10" spans="2:29" s="133" customFormat="1" ht="15.75" thickBot="1" x14ac:dyDescent="0.3">
      <c r="G10" s="141">
        <v>2</v>
      </c>
      <c r="H10" s="141">
        <v>0.1</v>
      </c>
      <c r="I10" s="315">
        <v>3</v>
      </c>
      <c r="J10" s="331">
        <v>250</v>
      </c>
      <c r="K10" s="325">
        <v>150</v>
      </c>
      <c r="L10" s="327">
        <v>100</v>
      </c>
      <c r="M10" s="316">
        <f t="shared" si="0"/>
        <v>500</v>
      </c>
      <c r="N10" s="109">
        <f>(H10*1000000000000/(M10*1000000))+N8</f>
        <v>850</v>
      </c>
      <c r="O10" s="291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490.20408163265307</v>
      </c>
      <c r="AB10" s="145">
        <f>SUM(AB6:AB9)</f>
        <v>499.92857142857144</v>
      </c>
      <c r="AC10" s="140" t="s">
        <v>256</v>
      </c>
    </row>
    <row r="11" spans="2:29" s="133" customFormat="1" x14ac:dyDescent="0.25">
      <c r="B11" s="133" t="s">
        <v>85</v>
      </c>
      <c r="F11" s="133">
        <v>4</v>
      </c>
      <c r="G11" s="146"/>
      <c r="H11" s="141"/>
      <c r="I11" s="134" t="s">
        <v>157</v>
      </c>
      <c r="J11" s="329">
        <v>250</v>
      </c>
      <c r="K11" s="323">
        <v>150</v>
      </c>
      <c r="L11" s="326">
        <v>100</v>
      </c>
      <c r="M11" s="135">
        <f t="shared" si="0"/>
        <v>500</v>
      </c>
      <c r="N11" s="112">
        <f>N10</f>
        <v>850</v>
      </c>
      <c r="O11" s="313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256</v>
      </c>
    </row>
    <row r="12" spans="2:29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315">
        <v>4</v>
      </c>
      <c r="J12" s="331">
        <v>250</v>
      </c>
      <c r="K12" s="325">
        <v>150</v>
      </c>
      <c r="L12" s="327">
        <v>100</v>
      </c>
      <c r="M12" s="316">
        <f t="shared" si="0"/>
        <v>500</v>
      </c>
      <c r="N12" s="109">
        <f>(H12*1000000000000/(M12*1000000))+N10</f>
        <v>1050</v>
      </c>
      <c r="O12" s="314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/>
      <c r="AC12" s="140" t="s">
        <v>256</v>
      </c>
    </row>
    <row r="13" spans="2:29" s="133" customFormat="1" x14ac:dyDescent="0.25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329">
        <v>250</v>
      </c>
      <c r="K13" s="135">
        <v>0</v>
      </c>
      <c r="L13" s="326">
        <v>100</v>
      </c>
      <c r="M13" s="135">
        <f t="shared" si="0"/>
        <v>350</v>
      </c>
      <c r="N13" s="112">
        <f>N12</f>
        <v>1050</v>
      </c>
      <c r="O13" s="313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256</v>
      </c>
    </row>
    <row r="14" spans="2:29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330">
        <v>250</v>
      </c>
      <c r="K14" s="108">
        <v>0</v>
      </c>
      <c r="L14" s="328">
        <v>100</v>
      </c>
      <c r="M14" s="108">
        <f t="shared" si="0"/>
        <v>350</v>
      </c>
      <c r="N14" s="109">
        <f>(H14*1000000000000/(M14*1000000))+N12</f>
        <v>1335.7142857142858</v>
      </c>
      <c r="O14" s="314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A14" s="141"/>
      <c r="AC14" s="140"/>
    </row>
    <row r="15" spans="2:29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7">
        <f>N14</f>
        <v>1335.7142857142858</v>
      </c>
      <c r="AC15" s="140"/>
    </row>
    <row r="16" spans="2:29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252</v>
      </c>
      <c r="I17" t="s">
        <v>251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48" customFormat="1" ht="15.75" thickBot="1" x14ac:dyDescent="0.3">
      <c r="G19" s="149" t="s">
        <v>86</v>
      </c>
      <c r="H19" s="149" t="s">
        <v>87</v>
      </c>
      <c r="I19" s="149" t="s">
        <v>85</v>
      </c>
      <c r="J19" s="149" t="s">
        <v>160</v>
      </c>
      <c r="K19" s="149" t="s">
        <v>161</v>
      </c>
      <c r="L19" s="149" t="s">
        <v>54</v>
      </c>
      <c r="M19" s="149" t="s">
        <v>83</v>
      </c>
      <c r="N19" s="149" t="s">
        <v>84</v>
      </c>
      <c r="O19" s="149" t="s">
        <v>160</v>
      </c>
      <c r="P19" s="149" t="s">
        <v>161</v>
      </c>
      <c r="Q19" s="149" t="s">
        <v>54</v>
      </c>
      <c r="R19" s="149"/>
      <c r="S19" s="149" t="s">
        <v>82</v>
      </c>
      <c r="T19" s="149" t="s">
        <v>113</v>
      </c>
      <c r="U19" s="149" t="s">
        <v>114</v>
      </c>
      <c r="V19" s="149"/>
      <c r="AA19" s="149" t="s">
        <v>162</v>
      </c>
      <c r="AB19" s="149"/>
      <c r="AC19" s="150" t="s">
        <v>255</v>
      </c>
    </row>
    <row r="20" spans="2:29" s="148" customFormat="1" ht="15.75" thickBot="1" x14ac:dyDescent="0.3">
      <c r="B20" s="148">
        <v>250000000</v>
      </c>
      <c r="C20" s="151">
        <v>1000000000</v>
      </c>
      <c r="F20" s="148">
        <v>1</v>
      </c>
      <c r="H20" s="148">
        <v>0</v>
      </c>
      <c r="I20" s="152" t="s">
        <v>154</v>
      </c>
      <c r="J20" s="153">
        <v>250</v>
      </c>
      <c r="K20" s="153">
        <v>0</v>
      </c>
      <c r="L20" s="153">
        <v>0</v>
      </c>
      <c r="M20" s="153">
        <f>SUM(J20:L20)</f>
        <v>250</v>
      </c>
      <c r="N20" s="154">
        <v>0</v>
      </c>
      <c r="O20" s="155"/>
      <c r="P20" s="156"/>
      <c r="Q20" s="157"/>
      <c r="X20" s="149" t="s">
        <v>189</v>
      </c>
      <c r="Y20" s="149" t="s">
        <v>85</v>
      </c>
      <c r="Z20" s="149" t="s">
        <v>149</v>
      </c>
      <c r="AA20" s="149" t="s">
        <v>164</v>
      </c>
      <c r="AB20" s="149"/>
      <c r="AC20" s="150" t="s">
        <v>255</v>
      </c>
    </row>
    <row r="21" spans="2:29" s="148" customFormat="1" ht="15.75" thickBot="1" x14ac:dyDescent="0.3">
      <c r="B21" s="148">
        <v>150000000</v>
      </c>
      <c r="C21" s="151">
        <v>1000000000</v>
      </c>
      <c r="G21" s="158">
        <v>2</v>
      </c>
      <c r="H21" s="158">
        <f>G21*0.05</f>
        <v>0.1</v>
      </c>
      <c r="I21" s="159">
        <v>1</v>
      </c>
      <c r="J21" s="160">
        <v>250</v>
      </c>
      <c r="K21" s="160">
        <v>0</v>
      </c>
      <c r="L21" s="160">
        <v>0</v>
      </c>
      <c r="M21" s="160">
        <f t="shared" ref="M21:M29" si="3">SUM(J21:L21)</f>
        <v>250</v>
      </c>
      <c r="N21" s="161">
        <f>H21/M21</f>
        <v>4.0000000000000002E-4</v>
      </c>
      <c r="O21" s="162">
        <f>S21*$H21</f>
        <v>0.1</v>
      </c>
      <c r="P21" s="163">
        <f>T21*$H21</f>
        <v>0</v>
      </c>
      <c r="Q21" s="164">
        <f>U21*$H21</f>
        <v>0</v>
      </c>
      <c r="S21" s="165">
        <f>J21/$M21</f>
        <v>1</v>
      </c>
      <c r="T21" s="165">
        <f>K21/$M21</f>
        <v>0</v>
      </c>
      <c r="U21" s="165">
        <f>L21/$M21</f>
        <v>0</v>
      </c>
      <c r="V21" s="165">
        <f>SUM(S21:U21)</f>
        <v>1</v>
      </c>
      <c r="X21" s="148">
        <v>0</v>
      </c>
      <c r="Y21" s="148">
        <v>4</v>
      </c>
      <c r="Z21" s="166">
        <v>250000000</v>
      </c>
      <c r="AA21" s="299">
        <f>(O21+O23+O25)*1000</f>
        <v>212.50000000000003</v>
      </c>
      <c r="AB21" s="167"/>
      <c r="AC21" s="150" t="s">
        <v>255</v>
      </c>
    </row>
    <row r="22" spans="2:29" s="148" customFormat="1" x14ac:dyDescent="0.25">
      <c r="B22" s="148">
        <v>200000000</v>
      </c>
      <c r="C22" s="151">
        <v>1000000000</v>
      </c>
      <c r="F22" s="148">
        <v>2</v>
      </c>
      <c r="G22" s="168"/>
      <c r="H22" s="168">
        <v>1</v>
      </c>
      <c r="I22" s="152" t="s">
        <v>155</v>
      </c>
      <c r="J22" s="153">
        <v>250</v>
      </c>
      <c r="K22" s="153">
        <v>150</v>
      </c>
      <c r="L22" s="153">
        <v>0</v>
      </c>
      <c r="M22" s="153">
        <f t="shared" si="3"/>
        <v>400</v>
      </c>
      <c r="N22" s="154">
        <f>N21</f>
        <v>4.0000000000000002E-4</v>
      </c>
      <c r="O22" s="169"/>
      <c r="P22" s="170"/>
      <c r="Q22" s="171"/>
      <c r="S22" s="165">
        <f t="shared" ref="S22:S29" si="4">J22/$M22</f>
        <v>0.625</v>
      </c>
      <c r="T22" s="165">
        <f t="shared" ref="T22:T29" si="5">K22/$M22</f>
        <v>0.375</v>
      </c>
      <c r="U22" s="165">
        <f t="shared" ref="U22:U29" si="6">L22/$M22</f>
        <v>0</v>
      </c>
      <c r="V22" s="165">
        <f t="shared" ref="V22:V29" si="7">SUM(S22:U22)</f>
        <v>1</v>
      </c>
      <c r="X22" s="148">
        <v>1</v>
      </c>
      <c r="Y22" s="148">
        <v>5</v>
      </c>
      <c r="Z22" s="166">
        <v>150000000</v>
      </c>
      <c r="AA22" s="300">
        <f>(P23+P25+P27)*1000</f>
        <v>100.83333333333333</v>
      </c>
      <c r="AB22" s="167"/>
      <c r="AC22" s="150" t="s">
        <v>255</v>
      </c>
    </row>
    <row r="23" spans="2:29" s="148" customFormat="1" ht="15.75" thickBot="1" x14ac:dyDescent="0.3">
      <c r="B23" s="148">
        <v>100000000</v>
      </c>
      <c r="C23" s="151">
        <v>1000000000</v>
      </c>
      <c r="G23" s="158">
        <v>2</v>
      </c>
      <c r="H23" s="158">
        <f>G23*0.05</f>
        <v>0.1</v>
      </c>
      <c r="I23" s="159">
        <v>2</v>
      </c>
      <c r="J23" s="160">
        <v>250</v>
      </c>
      <c r="K23" s="160">
        <v>150</v>
      </c>
      <c r="L23" s="160">
        <v>0</v>
      </c>
      <c r="M23" s="160">
        <f t="shared" si="3"/>
        <v>400</v>
      </c>
      <c r="N23" s="161">
        <f>H23/M23+N21</f>
        <v>6.4999999999999997E-4</v>
      </c>
      <c r="O23" s="162">
        <f>S23*$H23</f>
        <v>6.25E-2</v>
      </c>
      <c r="P23" s="163">
        <f>T23*$H23</f>
        <v>3.7500000000000006E-2</v>
      </c>
      <c r="Q23" s="164">
        <f>U23*$H23</f>
        <v>0</v>
      </c>
      <c r="S23" s="165">
        <f t="shared" si="4"/>
        <v>0.625</v>
      </c>
      <c r="T23" s="165">
        <f t="shared" si="5"/>
        <v>0.375</v>
      </c>
      <c r="U23" s="165">
        <f t="shared" si="6"/>
        <v>0</v>
      </c>
      <c r="V23" s="165">
        <f t="shared" si="7"/>
        <v>1</v>
      </c>
      <c r="X23" s="148">
        <v>0</v>
      </c>
      <c r="Y23" s="148">
        <v>6</v>
      </c>
      <c r="Z23" s="166">
        <v>200000000</v>
      </c>
      <c r="AA23" s="300">
        <f>(O27+O29)*1000</f>
        <v>111.1111111111111</v>
      </c>
      <c r="AB23" s="167"/>
      <c r="AC23" s="150" t="s">
        <v>255</v>
      </c>
    </row>
    <row r="24" spans="2:29" s="148" customFormat="1" ht="15.75" thickBot="1" x14ac:dyDescent="0.3">
      <c r="F24" s="148">
        <v>3</v>
      </c>
      <c r="G24" s="168"/>
      <c r="H24" s="168">
        <v>1</v>
      </c>
      <c r="I24" s="152" t="s">
        <v>156</v>
      </c>
      <c r="J24" s="153">
        <v>250</v>
      </c>
      <c r="K24" s="153">
        <v>150</v>
      </c>
      <c r="L24" s="153">
        <v>100</v>
      </c>
      <c r="M24" s="153">
        <f t="shared" si="3"/>
        <v>500</v>
      </c>
      <c r="N24" s="154">
        <f>N23</f>
        <v>6.4999999999999997E-4</v>
      </c>
      <c r="O24" s="169"/>
      <c r="P24" s="170"/>
      <c r="Q24" s="171"/>
      <c r="S24" s="165">
        <f t="shared" si="4"/>
        <v>0.5</v>
      </c>
      <c r="T24" s="165">
        <f t="shared" si="5"/>
        <v>0.3</v>
      </c>
      <c r="U24" s="165">
        <f t="shared" si="6"/>
        <v>0.2</v>
      </c>
      <c r="V24" s="165">
        <f t="shared" si="7"/>
        <v>1</v>
      </c>
      <c r="X24" s="148">
        <v>2</v>
      </c>
      <c r="Y24" s="148">
        <v>6</v>
      </c>
      <c r="Z24" s="166">
        <v>100000000</v>
      </c>
      <c r="AA24" s="301">
        <f>(Q25+Q27+Q29)*1000</f>
        <v>75.555555555555571</v>
      </c>
      <c r="AB24" s="167"/>
      <c r="AC24" s="150" t="s">
        <v>255</v>
      </c>
    </row>
    <row r="25" spans="2:29" s="148" customFormat="1" ht="15.75" thickBot="1" x14ac:dyDescent="0.3">
      <c r="D25" s="148">
        <v>25</v>
      </c>
      <c r="G25" s="158">
        <v>2</v>
      </c>
      <c r="H25" s="158">
        <f>G25*0.05</f>
        <v>0.1</v>
      </c>
      <c r="I25" s="159">
        <v>3</v>
      </c>
      <c r="J25" s="160">
        <v>250</v>
      </c>
      <c r="K25" s="160">
        <v>150</v>
      </c>
      <c r="L25" s="160">
        <v>100</v>
      </c>
      <c r="M25" s="160">
        <f t="shared" si="3"/>
        <v>500</v>
      </c>
      <c r="N25" s="161">
        <f>H25/M25+N23</f>
        <v>8.4999999999999995E-4</v>
      </c>
      <c r="O25" s="162">
        <f>S25*$H25</f>
        <v>0.05</v>
      </c>
      <c r="P25" s="163">
        <f>T25*$H25</f>
        <v>0.03</v>
      </c>
      <c r="Q25" s="164">
        <f>U25*$H25</f>
        <v>2.0000000000000004E-2</v>
      </c>
      <c r="S25" s="165">
        <f t="shared" si="4"/>
        <v>0.5</v>
      </c>
      <c r="T25" s="165">
        <f t="shared" si="5"/>
        <v>0.3</v>
      </c>
      <c r="U25" s="165">
        <f t="shared" si="6"/>
        <v>0.2</v>
      </c>
      <c r="V25" s="165">
        <f t="shared" si="7"/>
        <v>1</v>
      </c>
      <c r="Z25" s="166">
        <v>99999999</v>
      </c>
      <c r="AA25" s="167">
        <f>SUM(AA21:AA24)</f>
        <v>500</v>
      </c>
      <c r="AB25" s="172"/>
      <c r="AC25" s="150" t="s">
        <v>255</v>
      </c>
    </row>
    <row r="26" spans="2:29" s="148" customFormat="1" x14ac:dyDescent="0.25">
      <c r="D26" s="148">
        <f>0.8*D25</f>
        <v>20</v>
      </c>
      <c r="F26" s="148">
        <v>4</v>
      </c>
      <c r="G26" s="168"/>
      <c r="H26" s="168">
        <v>3</v>
      </c>
      <c r="I26" s="152" t="s">
        <v>157</v>
      </c>
      <c r="J26" s="153">
        <v>200</v>
      </c>
      <c r="K26" s="153">
        <v>150</v>
      </c>
      <c r="L26" s="153">
        <v>100</v>
      </c>
      <c r="M26" s="153">
        <f t="shared" si="3"/>
        <v>450</v>
      </c>
      <c r="N26" s="154">
        <f>N25</f>
        <v>8.4999999999999995E-4</v>
      </c>
      <c r="O26" s="169"/>
      <c r="P26" s="170"/>
      <c r="Q26" s="171"/>
      <c r="S26" s="165">
        <f t="shared" si="4"/>
        <v>0.44444444444444442</v>
      </c>
      <c r="T26" s="165">
        <f t="shared" si="5"/>
        <v>0.33333333333333331</v>
      </c>
      <c r="U26" s="165">
        <f t="shared" si="6"/>
        <v>0.22222222222222221</v>
      </c>
      <c r="V26" s="165">
        <f t="shared" si="7"/>
        <v>0.99999999999999989</v>
      </c>
      <c r="AC26" s="150" t="s">
        <v>255</v>
      </c>
    </row>
    <row r="27" spans="2:29" s="148" customFormat="1" ht="15.75" thickBot="1" x14ac:dyDescent="0.3">
      <c r="D27" s="148">
        <f>0.05*D26</f>
        <v>1</v>
      </c>
      <c r="G27" s="158">
        <v>2</v>
      </c>
      <c r="H27" s="158">
        <f>G27*0.05</f>
        <v>0.1</v>
      </c>
      <c r="I27" s="159">
        <v>4</v>
      </c>
      <c r="J27" s="160">
        <v>200</v>
      </c>
      <c r="K27" s="160">
        <v>150</v>
      </c>
      <c r="L27" s="160">
        <v>100</v>
      </c>
      <c r="M27" s="160">
        <f t="shared" si="3"/>
        <v>450</v>
      </c>
      <c r="N27" s="161">
        <f>(H27)/M27+N25</f>
        <v>1.0722222222222222E-3</v>
      </c>
      <c r="O27" s="173">
        <f>S27*$H27</f>
        <v>4.4444444444444446E-2</v>
      </c>
      <c r="P27" s="163">
        <f>T27*$H27</f>
        <v>3.3333333333333333E-2</v>
      </c>
      <c r="Q27" s="164">
        <f>U27*$H27</f>
        <v>2.2222222222222223E-2</v>
      </c>
      <c r="S27" s="165">
        <f t="shared" si="4"/>
        <v>0.44444444444444442</v>
      </c>
      <c r="T27" s="165">
        <f t="shared" si="5"/>
        <v>0.33333333333333331</v>
      </c>
      <c r="U27" s="165">
        <f t="shared" si="6"/>
        <v>0.22222222222222221</v>
      </c>
      <c r="V27" s="165">
        <f t="shared" si="7"/>
        <v>0.99999999999999989</v>
      </c>
      <c r="AC27" s="150" t="s">
        <v>255</v>
      </c>
    </row>
    <row r="28" spans="2:29" s="148" customFormat="1" x14ac:dyDescent="0.25">
      <c r="D28" s="100"/>
      <c r="E28" s="174"/>
      <c r="F28" s="148">
        <v>5</v>
      </c>
      <c r="G28" s="168"/>
      <c r="H28" s="168">
        <v>4</v>
      </c>
      <c r="I28" s="152" t="s">
        <v>158</v>
      </c>
      <c r="J28" s="153">
        <v>200</v>
      </c>
      <c r="K28" s="153">
        <v>0</v>
      </c>
      <c r="L28" s="153">
        <v>100</v>
      </c>
      <c r="M28" s="153">
        <f t="shared" si="3"/>
        <v>300</v>
      </c>
      <c r="N28" s="154">
        <f>N27</f>
        <v>1.0722222222222222E-3</v>
      </c>
      <c r="O28" s="175"/>
      <c r="P28" s="170"/>
      <c r="Q28" s="171"/>
      <c r="S28" s="165">
        <f t="shared" si="4"/>
        <v>0.66666666666666663</v>
      </c>
      <c r="T28" s="165">
        <f t="shared" si="5"/>
        <v>0</v>
      </c>
      <c r="U28" s="165">
        <f t="shared" si="6"/>
        <v>0.33333333333333331</v>
      </c>
      <c r="V28" s="165">
        <f t="shared" si="7"/>
        <v>1</v>
      </c>
      <c r="AC28" s="150" t="s">
        <v>255</v>
      </c>
    </row>
    <row r="29" spans="2:29" s="148" customFormat="1" ht="15.75" thickBot="1" x14ac:dyDescent="0.3">
      <c r="C29" s="176"/>
      <c r="E29" s="174"/>
      <c r="G29" s="158">
        <v>2</v>
      </c>
      <c r="H29" s="158">
        <f>G29*0.05</f>
        <v>0.1</v>
      </c>
      <c r="I29" s="159">
        <v>5</v>
      </c>
      <c r="J29" s="160">
        <v>200</v>
      </c>
      <c r="K29" s="160">
        <v>0</v>
      </c>
      <c r="L29" s="160">
        <v>100</v>
      </c>
      <c r="M29" s="160">
        <f t="shared" si="3"/>
        <v>300</v>
      </c>
      <c r="N29" s="161">
        <f>H29/M29+N27</f>
        <v>1.4055555555555557E-3</v>
      </c>
      <c r="O29" s="173">
        <f>S29*$H29</f>
        <v>6.6666666666666666E-2</v>
      </c>
      <c r="P29" s="163">
        <f>T29*$H29</f>
        <v>0</v>
      </c>
      <c r="Q29" s="164">
        <f>U29*$H29</f>
        <v>3.3333333333333333E-2</v>
      </c>
      <c r="S29" s="165">
        <f t="shared" si="4"/>
        <v>0.66666666666666663</v>
      </c>
      <c r="T29" s="165">
        <f t="shared" si="5"/>
        <v>0</v>
      </c>
      <c r="U29" s="165">
        <f t="shared" si="6"/>
        <v>0.33333333333333331</v>
      </c>
      <c r="V29" s="165">
        <f t="shared" si="7"/>
        <v>1</v>
      </c>
      <c r="AC29" s="150" t="s">
        <v>255</v>
      </c>
    </row>
    <row r="30" spans="2:29" s="148" customFormat="1" x14ac:dyDescent="0.25">
      <c r="C30" s="166"/>
      <c r="E30" s="174"/>
      <c r="F30" s="148">
        <v>6</v>
      </c>
      <c r="G30" s="168"/>
      <c r="H30" s="168">
        <v>5</v>
      </c>
      <c r="I30" s="149" t="s">
        <v>159</v>
      </c>
      <c r="J30" s="166">
        <v>0</v>
      </c>
      <c r="K30" s="166">
        <v>0</v>
      </c>
      <c r="L30" s="166">
        <v>0</v>
      </c>
      <c r="M30" s="166">
        <v>0</v>
      </c>
      <c r="N30" s="177">
        <f>N29</f>
        <v>1.4055555555555557E-3</v>
      </c>
      <c r="AC30" s="150" t="s">
        <v>255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78" customFormat="1" x14ac:dyDescent="0.25">
      <c r="C33" s="179"/>
      <c r="E33" s="180"/>
      <c r="G33" s="178" t="s">
        <v>253</v>
      </c>
      <c r="J33" s="179"/>
      <c r="K33" s="179"/>
      <c r="L33" s="179"/>
      <c r="N33" s="181"/>
      <c r="O33" s="181"/>
      <c r="P33" s="181"/>
      <c r="Q33" s="181"/>
      <c r="W33" s="179"/>
      <c r="AC33" s="182" t="s">
        <v>254</v>
      </c>
    </row>
    <row r="34" spans="2:29" s="178" customFormat="1" x14ac:dyDescent="0.25">
      <c r="C34" s="179"/>
      <c r="E34" s="180"/>
      <c r="H34" s="183"/>
      <c r="J34" s="179"/>
      <c r="K34" s="179"/>
      <c r="L34" s="179"/>
      <c r="M34" s="184"/>
      <c r="N34" s="181"/>
      <c r="Z34" s="178" t="s">
        <v>223</v>
      </c>
      <c r="AC34" s="182" t="s">
        <v>254</v>
      </c>
    </row>
    <row r="35" spans="2:29" s="178" customFormat="1" ht="15.75" thickBot="1" x14ac:dyDescent="0.3">
      <c r="C35" s="179"/>
      <c r="E35" s="180"/>
      <c r="G35" s="182" t="s">
        <v>86</v>
      </c>
      <c r="H35" s="182" t="s">
        <v>87</v>
      </c>
      <c r="I35" s="182" t="s">
        <v>85</v>
      </c>
      <c r="J35" s="182" t="s">
        <v>160</v>
      </c>
      <c r="K35" s="182" t="s">
        <v>161</v>
      </c>
      <c r="L35" s="182" t="s">
        <v>54</v>
      </c>
      <c r="M35" s="182" t="s">
        <v>83</v>
      </c>
      <c r="N35" s="182" t="s">
        <v>84</v>
      </c>
      <c r="O35" s="182" t="s">
        <v>160</v>
      </c>
      <c r="P35" s="182" t="s">
        <v>161</v>
      </c>
      <c r="Q35" s="182" t="s">
        <v>54</v>
      </c>
      <c r="R35" s="182"/>
      <c r="S35" s="182" t="s">
        <v>82</v>
      </c>
      <c r="T35" s="182" t="s">
        <v>113</v>
      </c>
      <c r="U35" s="182" t="s">
        <v>114</v>
      </c>
      <c r="V35" s="182"/>
      <c r="AB35" s="185"/>
      <c r="AC35" s="182" t="s">
        <v>254</v>
      </c>
    </row>
    <row r="36" spans="2:29" s="178" customFormat="1" x14ac:dyDescent="0.25">
      <c r="C36" s="179"/>
      <c r="E36" s="180"/>
      <c r="H36" s="178">
        <v>0</v>
      </c>
      <c r="I36" s="186" t="s">
        <v>154</v>
      </c>
      <c r="J36" s="187">
        <v>250</v>
      </c>
      <c r="K36" s="188">
        <v>0</v>
      </c>
      <c r="L36" s="188">
        <v>0</v>
      </c>
      <c r="M36" s="188">
        <f>SUM(J36:L36)</f>
        <v>250</v>
      </c>
      <c r="N36" s="189">
        <v>0</v>
      </c>
      <c r="O36" s="190"/>
      <c r="P36" s="191"/>
      <c r="Q36" s="192"/>
      <c r="AA36" s="182" t="s">
        <v>162</v>
      </c>
      <c r="AB36" s="182"/>
      <c r="AC36" s="182" t="s">
        <v>254</v>
      </c>
    </row>
    <row r="37" spans="2:29" s="178" customFormat="1" ht="15.75" thickBot="1" x14ac:dyDescent="0.3">
      <c r="C37" s="179"/>
      <c r="E37" s="180"/>
      <c r="G37" s="184">
        <v>2</v>
      </c>
      <c r="H37" s="184">
        <f>G37*0.05</f>
        <v>0.1</v>
      </c>
      <c r="I37" s="193">
        <v>1</v>
      </c>
      <c r="J37" s="194">
        <v>250</v>
      </c>
      <c r="K37" s="195">
        <v>0</v>
      </c>
      <c r="L37" s="195">
        <v>0</v>
      </c>
      <c r="M37" s="195">
        <f t="shared" ref="M37:M45" si="8">SUM(J37:L37)</f>
        <v>250</v>
      </c>
      <c r="N37" s="228">
        <f>H37/M37</f>
        <v>4.0000000000000002E-4</v>
      </c>
      <c r="O37" s="196">
        <f>S37*$H37</f>
        <v>0.1</v>
      </c>
      <c r="P37" s="197">
        <f>T37*$H37</f>
        <v>0</v>
      </c>
      <c r="Q37" s="198">
        <f>U37*$H37</f>
        <v>0</v>
      </c>
      <c r="S37" s="199">
        <f>J37/$M37</f>
        <v>1</v>
      </c>
      <c r="T37" s="199">
        <f>K37/$M37</f>
        <v>0</v>
      </c>
      <c r="U37" s="199">
        <f>L37/$M37</f>
        <v>0</v>
      </c>
      <c r="V37" s="200">
        <f>SUM(S37:U37)</f>
        <v>1</v>
      </c>
      <c r="X37" s="182" t="s">
        <v>189</v>
      </c>
      <c r="Y37" s="182" t="s">
        <v>85</v>
      </c>
      <c r="Z37" s="182" t="s">
        <v>149</v>
      </c>
      <c r="AA37" s="182" t="s">
        <v>164</v>
      </c>
      <c r="AB37" s="182"/>
      <c r="AC37" s="182" t="s">
        <v>254</v>
      </c>
    </row>
    <row r="38" spans="2:29" s="178" customFormat="1" x14ac:dyDescent="0.25">
      <c r="C38" s="179"/>
      <c r="E38" s="180"/>
      <c r="G38" s="201"/>
      <c r="H38" s="201">
        <v>1</v>
      </c>
      <c r="I38" s="186" t="s">
        <v>155</v>
      </c>
      <c r="J38" s="187">
        <v>250</v>
      </c>
      <c r="K38" s="187">
        <v>150</v>
      </c>
      <c r="L38" s="188">
        <v>0</v>
      </c>
      <c r="M38" s="188">
        <f t="shared" si="8"/>
        <v>400</v>
      </c>
      <c r="N38" s="219">
        <f>N37</f>
        <v>4.0000000000000002E-4</v>
      </c>
      <c r="O38" s="202"/>
      <c r="P38" s="203"/>
      <c r="Q38" s="204"/>
      <c r="S38" s="199">
        <f t="shared" ref="S38:S45" si="9">J38/$M38</f>
        <v>0.625</v>
      </c>
      <c r="T38" s="199">
        <f t="shared" ref="T38:T45" si="10">K38/$M38</f>
        <v>0.375</v>
      </c>
      <c r="U38" s="199">
        <f t="shared" ref="U38:U45" si="11">L38/$M38</f>
        <v>0</v>
      </c>
      <c r="V38" s="200">
        <f t="shared" ref="V38:V45" si="12">SUM(S38:U38)</f>
        <v>1</v>
      </c>
      <c r="X38" s="205">
        <v>0</v>
      </c>
      <c r="Y38" s="178">
        <v>4</v>
      </c>
      <c r="Z38" s="179">
        <v>250000000</v>
      </c>
      <c r="AA38" s="303">
        <f>(O37+O39+O41)*1000</f>
        <v>212.50000000000003</v>
      </c>
      <c r="AB38" s="206"/>
      <c r="AC38" s="182" t="s">
        <v>254</v>
      </c>
    </row>
    <row r="39" spans="2:29" s="178" customFormat="1" ht="15.75" thickBot="1" x14ac:dyDescent="0.3">
      <c r="C39" s="179"/>
      <c r="E39" s="180"/>
      <c r="G39" s="184">
        <v>2</v>
      </c>
      <c r="H39" s="184">
        <f>G39*0.05</f>
        <v>0.1</v>
      </c>
      <c r="I39" s="193">
        <v>2</v>
      </c>
      <c r="J39" s="194">
        <v>250</v>
      </c>
      <c r="K39" s="194">
        <v>150</v>
      </c>
      <c r="L39" s="195">
        <v>0</v>
      </c>
      <c r="M39" s="195">
        <f t="shared" si="8"/>
        <v>400</v>
      </c>
      <c r="N39" s="228">
        <f>H39/M39+N37</f>
        <v>6.4999999999999997E-4</v>
      </c>
      <c r="O39" s="196">
        <f>S39*$H39</f>
        <v>6.25E-2</v>
      </c>
      <c r="P39" s="197">
        <f>T39*$H39</f>
        <v>3.7500000000000006E-2</v>
      </c>
      <c r="Q39" s="198">
        <f>U39*$H39</f>
        <v>0</v>
      </c>
      <c r="S39" s="199">
        <f t="shared" si="9"/>
        <v>0.625</v>
      </c>
      <c r="T39" s="199">
        <f t="shared" si="10"/>
        <v>0.375</v>
      </c>
      <c r="U39" s="199">
        <f t="shared" si="11"/>
        <v>0</v>
      </c>
      <c r="V39" s="200">
        <f t="shared" si="12"/>
        <v>1</v>
      </c>
      <c r="W39" s="179"/>
      <c r="X39" s="205">
        <v>1</v>
      </c>
      <c r="Y39" s="178">
        <v>5</v>
      </c>
      <c r="Z39" s="179">
        <v>150000000</v>
      </c>
      <c r="AA39" s="277">
        <f>(P39+P41+P43)*1000</f>
        <v>94.772727272727266</v>
      </c>
      <c r="AB39" s="206"/>
      <c r="AC39" s="182" t="s">
        <v>254</v>
      </c>
    </row>
    <row r="40" spans="2:29" s="178" customFormat="1" x14ac:dyDescent="0.25">
      <c r="C40" s="179"/>
      <c r="E40" s="180"/>
      <c r="G40" s="201"/>
      <c r="H40" s="201">
        <v>1</v>
      </c>
      <c r="I40" s="186" t="s">
        <v>156</v>
      </c>
      <c r="J40" s="187">
        <v>250</v>
      </c>
      <c r="K40" s="187">
        <v>150</v>
      </c>
      <c r="L40" s="187">
        <v>100</v>
      </c>
      <c r="M40" s="188">
        <f t="shared" si="8"/>
        <v>500</v>
      </c>
      <c r="N40" s="219">
        <f>N39</f>
        <v>6.4999999999999997E-4</v>
      </c>
      <c r="O40" s="202"/>
      <c r="P40" s="203"/>
      <c r="Q40" s="204"/>
      <c r="S40" s="199">
        <f t="shared" si="9"/>
        <v>0.5</v>
      </c>
      <c r="T40" s="199">
        <f t="shared" si="10"/>
        <v>0.3</v>
      </c>
      <c r="U40" s="199">
        <f t="shared" si="11"/>
        <v>0.2</v>
      </c>
      <c r="V40" s="200">
        <f t="shared" si="12"/>
        <v>1</v>
      </c>
      <c r="W40" s="179"/>
      <c r="X40" s="205">
        <v>0</v>
      </c>
      <c r="Y40" s="178">
        <v>6</v>
      </c>
      <c r="Z40" s="179">
        <v>200000000</v>
      </c>
      <c r="AA40" s="277">
        <f>(O43+O45)*1000</f>
        <v>129.54545454545456</v>
      </c>
      <c r="AB40" s="206"/>
      <c r="AC40" s="182" t="s">
        <v>254</v>
      </c>
    </row>
    <row r="41" spans="2:29" s="178" customFormat="1" ht="15.75" thickBot="1" x14ac:dyDescent="0.3">
      <c r="C41" s="179"/>
      <c r="E41" s="180"/>
      <c r="G41" s="184">
        <v>2</v>
      </c>
      <c r="H41" s="184">
        <f>G41*0.05</f>
        <v>0.1</v>
      </c>
      <c r="I41" s="318">
        <v>3</v>
      </c>
      <c r="J41" s="319">
        <v>250</v>
      </c>
      <c r="K41" s="319">
        <v>150</v>
      </c>
      <c r="L41" s="319">
        <v>100</v>
      </c>
      <c r="M41" s="179">
        <f t="shared" si="8"/>
        <v>500</v>
      </c>
      <c r="N41" s="320">
        <f>H41/M41+N39</f>
        <v>8.4999999999999995E-4</v>
      </c>
      <c r="O41" s="196">
        <f>S41*$H41</f>
        <v>0.05</v>
      </c>
      <c r="P41" s="197">
        <f>T41*$H41</f>
        <v>0.03</v>
      </c>
      <c r="Q41" s="198">
        <f>U41*$H41</f>
        <v>2.0000000000000004E-2</v>
      </c>
      <c r="R41" s="207"/>
      <c r="S41" s="199">
        <f t="shared" si="9"/>
        <v>0.5</v>
      </c>
      <c r="T41" s="199">
        <f t="shared" si="10"/>
        <v>0.3</v>
      </c>
      <c r="U41" s="199">
        <f t="shared" si="11"/>
        <v>0.2</v>
      </c>
      <c r="V41" s="200">
        <f t="shared" si="12"/>
        <v>1</v>
      </c>
      <c r="W41" s="179"/>
      <c r="X41" s="205">
        <v>2</v>
      </c>
      <c r="Y41" s="178">
        <v>6</v>
      </c>
      <c r="Z41" s="179">
        <v>100000000</v>
      </c>
      <c r="AA41" s="304">
        <f>(Q41+Q43+Q45)*1000</f>
        <v>63.181818181818201</v>
      </c>
      <c r="AB41" s="206"/>
      <c r="AC41" s="182" t="s">
        <v>254</v>
      </c>
    </row>
    <row r="42" spans="2:29" s="178" customFormat="1" x14ac:dyDescent="0.25">
      <c r="C42" s="179"/>
      <c r="E42" s="180"/>
      <c r="F42" s="208"/>
      <c r="G42" s="201"/>
      <c r="H42" s="201">
        <v>3</v>
      </c>
      <c r="I42" s="186" t="s">
        <v>157</v>
      </c>
      <c r="J42" s="187">
        <v>300</v>
      </c>
      <c r="K42" s="187">
        <v>150</v>
      </c>
      <c r="L42" s="187">
        <v>100</v>
      </c>
      <c r="M42" s="188">
        <f t="shared" si="8"/>
        <v>550</v>
      </c>
      <c r="N42" s="219">
        <f>N41</f>
        <v>8.4999999999999995E-4</v>
      </c>
      <c r="O42" s="203"/>
      <c r="P42" s="203"/>
      <c r="Q42" s="204"/>
      <c r="R42" s="207"/>
      <c r="S42" s="199">
        <f t="shared" si="9"/>
        <v>0.54545454545454541</v>
      </c>
      <c r="T42" s="199">
        <f t="shared" si="10"/>
        <v>0.27272727272727271</v>
      </c>
      <c r="U42" s="199">
        <f t="shared" si="11"/>
        <v>0.18181818181818182</v>
      </c>
      <c r="V42" s="200">
        <f t="shared" si="12"/>
        <v>1</v>
      </c>
      <c r="X42" s="205"/>
      <c r="Z42" s="179">
        <v>99999999</v>
      </c>
      <c r="AA42" s="206">
        <f>SUM(AA38:AA41)</f>
        <v>500.00000000000006</v>
      </c>
      <c r="AB42" s="181"/>
      <c r="AC42" s="182" t="s">
        <v>254</v>
      </c>
    </row>
    <row r="43" spans="2:29" s="178" customFormat="1" ht="15.75" thickBot="1" x14ac:dyDescent="0.3">
      <c r="C43" s="179"/>
      <c r="E43" s="180"/>
      <c r="G43" s="184">
        <v>2</v>
      </c>
      <c r="H43" s="184">
        <f>G43*0.05</f>
        <v>0.1</v>
      </c>
      <c r="I43" s="318">
        <v>4</v>
      </c>
      <c r="J43" s="319">
        <v>300</v>
      </c>
      <c r="K43" s="319">
        <v>150</v>
      </c>
      <c r="L43" s="319">
        <v>100</v>
      </c>
      <c r="M43" s="179">
        <f t="shared" si="8"/>
        <v>550</v>
      </c>
      <c r="N43" s="320">
        <f>(H43)/M43+N41</f>
        <v>1.0318181818181817E-3</v>
      </c>
      <c r="O43" s="317">
        <f>S43*$H43</f>
        <v>5.4545454545454543E-2</v>
      </c>
      <c r="P43" s="197">
        <f>T43*$H43</f>
        <v>2.7272727272727271E-2</v>
      </c>
      <c r="Q43" s="198">
        <f>U43*$H43</f>
        <v>1.8181818181818184E-2</v>
      </c>
      <c r="R43" s="207"/>
      <c r="S43" s="199">
        <f t="shared" si="9"/>
        <v>0.54545454545454541</v>
      </c>
      <c r="T43" s="199">
        <f t="shared" si="10"/>
        <v>0.27272727272727271</v>
      </c>
      <c r="U43" s="199">
        <f t="shared" si="11"/>
        <v>0.18181818181818182</v>
      </c>
      <c r="V43" s="200">
        <f t="shared" si="12"/>
        <v>1</v>
      </c>
      <c r="W43" s="181"/>
      <c r="Y43" s="185"/>
      <c r="Z43" s="185"/>
      <c r="AA43" s="185"/>
      <c r="AC43" s="182" t="s">
        <v>254</v>
      </c>
    </row>
    <row r="44" spans="2:29" s="178" customFormat="1" x14ac:dyDescent="0.25">
      <c r="C44" s="179"/>
      <c r="E44" s="180"/>
      <c r="G44" s="201"/>
      <c r="H44" s="201">
        <v>4</v>
      </c>
      <c r="I44" s="186" t="s">
        <v>158</v>
      </c>
      <c r="J44" s="187">
        <v>300</v>
      </c>
      <c r="K44" s="187">
        <v>0</v>
      </c>
      <c r="L44" s="187">
        <v>100</v>
      </c>
      <c r="M44" s="188">
        <f t="shared" si="8"/>
        <v>400</v>
      </c>
      <c r="N44" s="219">
        <f>N43</f>
        <v>1.0318181818181817E-3</v>
      </c>
      <c r="O44" s="321"/>
      <c r="P44" s="203"/>
      <c r="Q44" s="204"/>
      <c r="R44" s="207"/>
      <c r="S44" s="199">
        <f t="shared" si="9"/>
        <v>0.75</v>
      </c>
      <c r="T44" s="199">
        <f t="shared" si="10"/>
        <v>0</v>
      </c>
      <c r="U44" s="199">
        <f t="shared" si="11"/>
        <v>0.25</v>
      </c>
      <c r="V44" s="200">
        <f t="shared" si="12"/>
        <v>1</v>
      </c>
      <c r="W44" s="181"/>
      <c r="AC44" s="182" t="s">
        <v>254</v>
      </c>
    </row>
    <row r="45" spans="2:29" s="178" customFormat="1" ht="15.75" thickBot="1" x14ac:dyDescent="0.3">
      <c r="E45" s="180"/>
      <c r="G45" s="184">
        <v>2</v>
      </c>
      <c r="H45" s="184">
        <f>G45*0.05</f>
        <v>0.1</v>
      </c>
      <c r="I45" s="193">
        <v>5</v>
      </c>
      <c r="J45" s="194">
        <v>300</v>
      </c>
      <c r="K45" s="195">
        <v>0</v>
      </c>
      <c r="L45" s="194">
        <v>100</v>
      </c>
      <c r="M45" s="195">
        <f t="shared" si="8"/>
        <v>400</v>
      </c>
      <c r="N45" s="228">
        <f>H45/M45+N43</f>
        <v>1.2818181818181817E-3</v>
      </c>
      <c r="O45" s="317">
        <f>S45*$H45</f>
        <v>7.5000000000000011E-2</v>
      </c>
      <c r="P45" s="197">
        <f>T45*$H45</f>
        <v>0</v>
      </c>
      <c r="Q45" s="198">
        <f>U45*$H45</f>
        <v>2.5000000000000001E-2</v>
      </c>
      <c r="R45" s="207"/>
      <c r="S45" s="199">
        <f t="shared" si="9"/>
        <v>0.75</v>
      </c>
      <c r="T45" s="199">
        <f t="shared" si="10"/>
        <v>0</v>
      </c>
      <c r="U45" s="199">
        <f t="shared" si="11"/>
        <v>0.25</v>
      </c>
      <c r="V45" s="200">
        <f t="shared" si="12"/>
        <v>1</v>
      </c>
      <c r="W45" s="181"/>
      <c r="AC45" s="182" t="s">
        <v>254</v>
      </c>
    </row>
    <row r="46" spans="2:29" s="178" customFormat="1" x14ac:dyDescent="0.25">
      <c r="E46" s="209"/>
      <c r="F46" s="184"/>
      <c r="G46" s="201"/>
      <c r="H46" s="201">
        <v>5</v>
      </c>
      <c r="I46" s="182" t="s">
        <v>159</v>
      </c>
      <c r="J46" s="179">
        <v>0</v>
      </c>
      <c r="K46" s="179">
        <v>0</v>
      </c>
      <c r="L46" s="179">
        <v>0</v>
      </c>
      <c r="M46" s="179">
        <v>0</v>
      </c>
      <c r="N46" s="210">
        <f>N45</f>
        <v>1.2818181818181817E-3</v>
      </c>
      <c r="W46" s="181"/>
      <c r="AC46" s="182" t="s">
        <v>254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223</v>
      </c>
    </row>
    <row r="48" spans="2:29" s="212" customFormat="1" ht="15.75" thickBot="1" x14ac:dyDescent="0.3">
      <c r="B48" s="211"/>
      <c r="G48" s="213" t="s">
        <v>86</v>
      </c>
      <c r="H48" s="213" t="s">
        <v>87</v>
      </c>
      <c r="I48" s="213" t="s">
        <v>85</v>
      </c>
      <c r="J48" s="213" t="s">
        <v>160</v>
      </c>
      <c r="K48" s="213" t="s">
        <v>161</v>
      </c>
      <c r="L48" s="213" t="s">
        <v>54</v>
      </c>
      <c r="M48" s="213" t="s">
        <v>83</v>
      </c>
      <c r="N48" s="213" t="s">
        <v>84</v>
      </c>
      <c r="O48" s="213" t="s">
        <v>160</v>
      </c>
      <c r="P48" s="213" t="s">
        <v>161</v>
      </c>
      <c r="Q48" s="213" t="s">
        <v>54</v>
      </c>
      <c r="R48" s="213"/>
      <c r="S48" s="213" t="s">
        <v>82</v>
      </c>
      <c r="T48" s="213" t="s">
        <v>113</v>
      </c>
      <c r="U48" s="213" t="s">
        <v>114</v>
      </c>
      <c r="V48" s="213"/>
      <c r="AB48" s="214"/>
      <c r="AC48" s="213" t="s">
        <v>260</v>
      </c>
    </row>
    <row r="49" spans="2:30" s="212" customFormat="1" x14ac:dyDescent="0.25">
      <c r="D49" s="212" t="s">
        <v>263</v>
      </c>
      <c r="E49" s="215"/>
      <c r="H49" s="212">
        <v>0</v>
      </c>
      <c r="I49" s="216" t="s">
        <v>154</v>
      </c>
      <c r="J49" s="217">
        <v>250</v>
      </c>
      <c r="K49" s="218">
        <v>0</v>
      </c>
      <c r="L49" s="218">
        <v>0</v>
      </c>
      <c r="M49" s="218">
        <f>SUM(J49:L49)</f>
        <v>250</v>
      </c>
      <c r="N49" s="219">
        <v>0</v>
      </c>
      <c r="O49" s="220"/>
      <c r="P49" s="221"/>
      <c r="Q49" s="222"/>
      <c r="AA49" s="213" t="s">
        <v>162</v>
      </c>
      <c r="AB49" s="213"/>
      <c r="AC49" s="213" t="s">
        <v>260</v>
      </c>
    </row>
    <row r="50" spans="2:30" s="212" customFormat="1" ht="15.75" thickBot="1" x14ac:dyDescent="0.3">
      <c r="B50" s="211"/>
      <c r="D50" s="212" t="s">
        <v>257</v>
      </c>
      <c r="E50" s="223"/>
      <c r="G50" s="224">
        <v>2</v>
      </c>
      <c r="H50" s="224">
        <f>G50*0.05</f>
        <v>0.1</v>
      </c>
      <c r="I50" s="225">
        <v>1</v>
      </c>
      <c r="J50" s="226">
        <v>250</v>
      </c>
      <c r="K50" s="227">
        <v>0</v>
      </c>
      <c r="L50" s="227">
        <v>0</v>
      </c>
      <c r="M50" s="227">
        <f t="shared" ref="M50:M58" si="13">SUM(J50:L50)</f>
        <v>250</v>
      </c>
      <c r="N50" s="228">
        <f>H50/M50</f>
        <v>4.0000000000000002E-4</v>
      </c>
      <c r="O50" s="229">
        <f>S50*$H50</f>
        <v>0.1</v>
      </c>
      <c r="P50" s="230">
        <f>T50*$H50</f>
        <v>0</v>
      </c>
      <c r="Q50" s="231">
        <f>U50*$H50</f>
        <v>0</v>
      </c>
      <c r="S50" s="232">
        <f>J50/$M50</f>
        <v>1</v>
      </c>
      <c r="T50" s="232">
        <f>K50/$M50</f>
        <v>0</v>
      </c>
      <c r="U50" s="232">
        <f>L50/$M50</f>
        <v>0</v>
      </c>
      <c r="V50" s="233">
        <f>SUM(S50:U50)</f>
        <v>1</v>
      </c>
      <c r="X50" s="213" t="s">
        <v>189</v>
      </c>
      <c r="Y50" s="213" t="s">
        <v>85</v>
      </c>
      <c r="Z50" s="213" t="s">
        <v>149</v>
      </c>
      <c r="AA50" s="213" t="s">
        <v>164</v>
      </c>
      <c r="AB50" s="213"/>
      <c r="AC50" s="213" t="s">
        <v>260</v>
      </c>
    </row>
    <row r="51" spans="2:30" s="212" customFormat="1" x14ac:dyDescent="0.25">
      <c r="E51" s="234"/>
      <c r="G51" s="235"/>
      <c r="H51" s="235">
        <v>1</v>
      </c>
      <c r="I51" s="216" t="s">
        <v>155</v>
      </c>
      <c r="J51" s="217">
        <v>250</v>
      </c>
      <c r="K51" s="217">
        <v>150</v>
      </c>
      <c r="L51" s="218">
        <v>0</v>
      </c>
      <c r="M51" s="218">
        <f t="shared" si="13"/>
        <v>400</v>
      </c>
      <c r="N51" s="219">
        <f>N50</f>
        <v>4.0000000000000002E-4</v>
      </c>
      <c r="O51" s="236"/>
      <c r="P51" s="237"/>
      <c r="Q51" s="238"/>
      <c r="S51" s="232">
        <f t="shared" ref="S51:S58" si="14">J51/$M51</f>
        <v>0.625</v>
      </c>
      <c r="T51" s="232">
        <f t="shared" ref="T51:T58" si="15">K51/$M51</f>
        <v>0.375</v>
      </c>
      <c r="U51" s="232">
        <f t="shared" ref="U51:U58" si="16">L51/$M51</f>
        <v>0</v>
      </c>
      <c r="V51" s="233">
        <f t="shared" ref="V51:V58" si="17">SUM(S51:U51)</f>
        <v>1</v>
      </c>
      <c r="X51" s="211">
        <v>0</v>
      </c>
      <c r="Y51" s="212">
        <v>4</v>
      </c>
      <c r="Z51" s="239">
        <v>250000000</v>
      </c>
      <c r="AA51" s="305">
        <f>(O50+O52+O54)*1000</f>
        <v>212.50000000000003</v>
      </c>
      <c r="AB51" s="240"/>
      <c r="AC51" s="213" t="s">
        <v>260</v>
      </c>
    </row>
    <row r="52" spans="2:30" s="212" customFormat="1" ht="15.75" thickBot="1" x14ac:dyDescent="0.3">
      <c r="B52" s="211"/>
      <c r="G52" s="224">
        <v>2</v>
      </c>
      <c r="H52" s="224">
        <f>G52*0.05</f>
        <v>0.1</v>
      </c>
      <c r="I52" s="225">
        <v>2</v>
      </c>
      <c r="J52" s="226">
        <v>250</v>
      </c>
      <c r="K52" s="226">
        <v>150</v>
      </c>
      <c r="L52" s="227">
        <v>0</v>
      </c>
      <c r="M52" s="227">
        <f t="shared" si="13"/>
        <v>400</v>
      </c>
      <c r="N52" s="228">
        <f>H52/M52+N50</f>
        <v>6.4999999999999997E-4</v>
      </c>
      <c r="O52" s="229">
        <f>S52*$H52</f>
        <v>6.25E-2</v>
      </c>
      <c r="P52" s="230">
        <f>T52*$H52</f>
        <v>3.7500000000000006E-2</v>
      </c>
      <c r="Q52" s="231">
        <f>U52*$H52</f>
        <v>0</v>
      </c>
      <c r="R52" s="243">
        <f>P52-P39</f>
        <v>0</v>
      </c>
      <c r="S52" s="232">
        <f t="shared" si="14"/>
        <v>0.625</v>
      </c>
      <c r="T52" s="232">
        <f t="shared" si="15"/>
        <v>0.375</v>
      </c>
      <c r="U52" s="232">
        <f t="shared" si="16"/>
        <v>0</v>
      </c>
      <c r="V52" s="233">
        <f t="shared" si="17"/>
        <v>1</v>
      </c>
      <c r="W52" s="239"/>
      <c r="X52" s="211">
        <v>1</v>
      </c>
      <c r="Y52" s="212">
        <v>5</v>
      </c>
      <c r="Z52" s="239">
        <v>150000000</v>
      </c>
      <c r="AA52" s="306">
        <f>(P52+P54+P56)*1000</f>
        <v>94.772727272727266</v>
      </c>
      <c r="AB52" s="240"/>
      <c r="AC52" s="213" t="s">
        <v>260</v>
      </c>
    </row>
    <row r="53" spans="2:30" s="212" customFormat="1" x14ac:dyDescent="0.25">
      <c r="G53" s="235"/>
      <c r="H53" s="235">
        <v>1</v>
      </c>
      <c r="I53" s="216" t="s">
        <v>156</v>
      </c>
      <c r="J53" s="217">
        <v>250</v>
      </c>
      <c r="K53" s="217">
        <v>150</v>
      </c>
      <c r="L53" s="217">
        <v>100</v>
      </c>
      <c r="M53" s="218">
        <f t="shared" si="13"/>
        <v>500</v>
      </c>
      <c r="N53" s="219">
        <f>N52</f>
        <v>6.4999999999999997E-4</v>
      </c>
      <c r="O53" s="236"/>
      <c r="P53" s="237"/>
      <c r="Q53" s="238"/>
      <c r="R53" s="243">
        <f t="shared" ref="R53:R56" si="18">P53-P40</f>
        <v>0</v>
      </c>
      <c r="S53" s="232">
        <f t="shared" si="14"/>
        <v>0.5</v>
      </c>
      <c r="T53" s="232">
        <f t="shared" si="15"/>
        <v>0.3</v>
      </c>
      <c r="U53" s="232">
        <f t="shared" si="16"/>
        <v>0.2</v>
      </c>
      <c r="V53" s="233">
        <f t="shared" si="17"/>
        <v>1</v>
      </c>
      <c r="W53" s="239"/>
      <c r="X53" s="211">
        <v>0</v>
      </c>
      <c r="Y53" s="212">
        <v>6</v>
      </c>
      <c r="Z53" s="239">
        <v>200000000</v>
      </c>
      <c r="AA53" s="306">
        <f>(O56+O58)*1000</f>
        <v>129.54545454545456</v>
      </c>
      <c r="AB53" s="240"/>
      <c r="AC53" s="213" t="s">
        <v>260</v>
      </c>
    </row>
    <row r="54" spans="2:30" s="212" customFormat="1" ht="15.75" thickBot="1" x14ac:dyDescent="0.3">
      <c r="G54" s="224">
        <v>2</v>
      </c>
      <c r="H54" s="224">
        <f>G54*0.05</f>
        <v>0.1</v>
      </c>
      <c r="I54" s="225">
        <v>3</v>
      </c>
      <c r="J54" s="226">
        <v>250</v>
      </c>
      <c r="K54" s="226">
        <v>150</v>
      </c>
      <c r="L54" s="226">
        <v>100</v>
      </c>
      <c r="M54" s="227">
        <f t="shared" si="13"/>
        <v>500</v>
      </c>
      <c r="N54" s="228">
        <f>H54/M54+N52</f>
        <v>8.4999999999999995E-4</v>
      </c>
      <c r="O54" s="229">
        <f>S54*$H54</f>
        <v>0.05</v>
      </c>
      <c r="P54" s="230">
        <f>T54*$H54</f>
        <v>0.03</v>
      </c>
      <c r="Q54" s="231">
        <f>U54*$H54</f>
        <v>2.0000000000000004E-2</v>
      </c>
      <c r="R54" s="243">
        <f t="shared" si="18"/>
        <v>0</v>
      </c>
      <c r="S54" s="232">
        <f t="shared" si="14"/>
        <v>0.5</v>
      </c>
      <c r="T54" s="232">
        <f t="shared" si="15"/>
        <v>0.3</v>
      </c>
      <c r="U54" s="232">
        <f t="shared" si="16"/>
        <v>0.2</v>
      </c>
      <c r="V54" s="233">
        <f t="shared" si="17"/>
        <v>1</v>
      </c>
      <c r="W54" s="239"/>
      <c r="X54" s="211">
        <v>2</v>
      </c>
      <c r="Y54" s="212">
        <v>6</v>
      </c>
      <c r="Z54" s="239">
        <v>100000000</v>
      </c>
      <c r="AA54" s="307">
        <f>(Q54+Q56+Q58)*1000*2/7</f>
        <v>18.051948051948056</v>
      </c>
      <c r="AB54" s="240"/>
      <c r="AC54" s="213" t="s">
        <v>260</v>
      </c>
    </row>
    <row r="55" spans="2:30" s="212" customFormat="1" x14ac:dyDescent="0.25">
      <c r="B55" s="211"/>
      <c r="F55" s="241"/>
      <c r="G55" s="235"/>
      <c r="H55" s="235">
        <v>3</v>
      </c>
      <c r="I55" s="216" t="s">
        <v>157</v>
      </c>
      <c r="J55" s="217">
        <v>300</v>
      </c>
      <c r="K55" s="217">
        <v>150</v>
      </c>
      <c r="L55" s="217">
        <v>100</v>
      </c>
      <c r="M55" s="218">
        <f t="shared" si="13"/>
        <v>550</v>
      </c>
      <c r="N55" s="219">
        <f>N54</f>
        <v>8.4999999999999995E-4</v>
      </c>
      <c r="O55" s="236"/>
      <c r="P55" s="237"/>
      <c r="Q55" s="238"/>
      <c r="R55" s="243">
        <f t="shared" si="18"/>
        <v>0</v>
      </c>
      <c r="S55" s="232">
        <f t="shared" si="14"/>
        <v>0.54545454545454541</v>
      </c>
      <c r="T55" s="232">
        <f t="shared" si="15"/>
        <v>0.27272727272727271</v>
      </c>
      <c r="U55" s="232">
        <f t="shared" si="16"/>
        <v>0.18181818181818182</v>
      </c>
      <c r="V55" s="233">
        <f t="shared" si="17"/>
        <v>1</v>
      </c>
      <c r="X55" s="211"/>
      <c r="Z55" s="239">
        <v>99999999</v>
      </c>
      <c r="AA55" s="242">
        <f>SUM(AA51:AA54)</f>
        <v>454.87012987012992</v>
      </c>
      <c r="AB55" s="242"/>
      <c r="AC55" s="213" t="s">
        <v>260</v>
      </c>
    </row>
    <row r="56" spans="2:30" s="212" customFormat="1" ht="15.75" thickBot="1" x14ac:dyDescent="0.3">
      <c r="G56" s="224">
        <v>2</v>
      </c>
      <c r="H56" s="224">
        <f>G56*0.05</f>
        <v>0.1</v>
      </c>
      <c r="I56" s="225">
        <v>4</v>
      </c>
      <c r="J56" s="226">
        <v>300</v>
      </c>
      <c r="K56" s="226">
        <v>150</v>
      </c>
      <c r="L56" s="226">
        <v>100</v>
      </c>
      <c r="M56" s="227">
        <f t="shared" si="13"/>
        <v>550</v>
      </c>
      <c r="N56" s="228">
        <f>(H56)/M56+N54</f>
        <v>1.0318181818181817E-3</v>
      </c>
      <c r="O56" s="229">
        <f>S56*$H56</f>
        <v>5.4545454545454543E-2</v>
      </c>
      <c r="P56" s="230">
        <f>T56*$H56</f>
        <v>2.7272727272727271E-2</v>
      </c>
      <c r="Q56" s="231">
        <f>U56*$H56</f>
        <v>1.8181818181818184E-2</v>
      </c>
      <c r="R56" s="243">
        <f t="shared" si="18"/>
        <v>0</v>
      </c>
      <c r="S56" s="232">
        <f t="shared" si="14"/>
        <v>0.54545454545454541</v>
      </c>
      <c r="T56" s="232">
        <f t="shared" si="15"/>
        <v>0.27272727272727271</v>
      </c>
      <c r="U56" s="232">
        <f t="shared" si="16"/>
        <v>0.18181818181818182</v>
      </c>
      <c r="V56" s="233">
        <f t="shared" si="17"/>
        <v>1</v>
      </c>
      <c r="W56" s="242"/>
      <c r="Y56" s="214"/>
      <c r="Z56" s="214"/>
      <c r="AA56" s="242"/>
      <c r="AC56" s="213" t="s">
        <v>260</v>
      </c>
    </row>
    <row r="57" spans="2:30" s="212" customFormat="1" x14ac:dyDescent="0.25">
      <c r="G57" s="235"/>
      <c r="H57" s="235">
        <v>4</v>
      </c>
      <c r="I57" s="216" t="s">
        <v>158</v>
      </c>
      <c r="J57" s="217">
        <v>300</v>
      </c>
      <c r="K57" s="217">
        <v>0</v>
      </c>
      <c r="L57" s="217">
        <v>100</v>
      </c>
      <c r="M57" s="218">
        <f t="shared" si="13"/>
        <v>400</v>
      </c>
      <c r="N57" s="219">
        <f>N56</f>
        <v>1.0318181818181817E-3</v>
      </c>
      <c r="O57" s="236"/>
      <c r="P57" s="237"/>
      <c r="Q57" s="238"/>
      <c r="S57" s="232">
        <f t="shared" si="14"/>
        <v>0.75</v>
      </c>
      <c r="T57" s="232">
        <f t="shared" si="15"/>
        <v>0</v>
      </c>
      <c r="U57" s="232">
        <f t="shared" si="16"/>
        <v>0.25</v>
      </c>
      <c r="V57" s="233">
        <f t="shared" si="17"/>
        <v>1</v>
      </c>
      <c r="W57" s="242"/>
      <c r="AA57" s="243"/>
      <c r="AC57" s="213" t="s">
        <v>260</v>
      </c>
    </row>
    <row r="58" spans="2:30" s="212" customFormat="1" ht="15.75" thickBot="1" x14ac:dyDescent="0.3">
      <c r="B58" s="211"/>
      <c r="G58" s="224">
        <v>2</v>
      </c>
      <c r="H58" s="224">
        <f>G58*0.05+0*(P56+P54+P52)/2</f>
        <v>0.1</v>
      </c>
      <c r="I58" s="225">
        <v>5</v>
      </c>
      <c r="J58" s="226">
        <v>300</v>
      </c>
      <c r="K58" s="227">
        <v>0</v>
      </c>
      <c r="L58" s="226">
        <v>100</v>
      </c>
      <c r="M58" s="227">
        <f t="shared" si="13"/>
        <v>400</v>
      </c>
      <c r="N58" s="228">
        <f>H58/M58+N56</f>
        <v>1.2818181818181817E-3</v>
      </c>
      <c r="O58" s="229">
        <f>S58*$H58</f>
        <v>7.5000000000000011E-2</v>
      </c>
      <c r="P58" s="230">
        <f>T58*$H58</f>
        <v>0</v>
      </c>
      <c r="Q58" s="231">
        <f>U58*$H58</f>
        <v>2.5000000000000001E-2</v>
      </c>
      <c r="S58" s="232">
        <f t="shared" si="14"/>
        <v>0.75</v>
      </c>
      <c r="T58" s="232">
        <f t="shared" si="15"/>
        <v>0</v>
      </c>
      <c r="U58" s="232">
        <f t="shared" si="16"/>
        <v>0.25</v>
      </c>
      <c r="V58" s="233">
        <f t="shared" si="17"/>
        <v>1</v>
      </c>
      <c r="W58" s="242"/>
      <c r="AA58" s="243"/>
      <c r="AC58" s="213" t="s">
        <v>260</v>
      </c>
    </row>
    <row r="59" spans="2:30" s="212" customFormat="1" x14ac:dyDescent="0.25">
      <c r="F59" s="224"/>
      <c r="G59" s="235"/>
      <c r="H59" s="235">
        <v>5</v>
      </c>
      <c r="I59" s="213" t="s">
        <v>159</v>
      </c>
      <c r="J59" s="239">
        <v>0</v>
      </c>
      <c r="K59" s="239">
        <v>0</v>
      </c>
      <c r="L59" s="239">
        <v>0</v>
      </c>
      <c r="M59" s="239">
        <v>0</v>
      </c>
      <c r="N59" s="215">
        <f>N58</f>
        <v>1.2818181818181817E-3</v>
      </c>
      <c r="W59" s="242"/>
      <c r="AA59" s="243"/>
      <c r="AC59" s="213" t="s">
        <v>260</v>
      </c>
    </row>
    <row r="60" spans="2:30" x14ac:dyDescent="0.25">
      <c r="C60" s="244"/>
      <c r="D60" s="244"/>
      <c r="E60" s="244"/>
      <c r="F60" s="245"/>
      <c r="G60" s="246"/>
      <c r="H60" s="246"/>
      <c r="I60" s="247"/>
      <c r="J60" s="248"/>
      <c r="K60" s="248"/>
      <c r="L60" s="248"/>
      <c r="M60" s="248"/>
      <c r="N60" s="249"/>
      <c r="O60" s="244"/>
      <c r="P60" s="244"/>
      <c r="Q60" s="244"/>
      <c r="R60" s="244"/>
      <c r="S60" s="244"/>
      <c r="T60" s="244"/>
      <c r="U60" s="244"/>
      <c r="V60" s="244"/>
      <c r="W60" s="250"/>
      <c r="X60" s="244"/>
      <c r="Y60" s="244"/>
      <c r="Z60" s="244"/>
      <c r="AA60" s="275"/>
      <c r="AB60" s="244"/>
      <c r="AC60" s="247" t="s">
        <v>261</v>
      </c>
      <c r="AD60" s="244"/>
    </row>
    <row r="61" spans="2:30" ht="15.75" thickBot="1" x14ac:dyDescent="0.3">
      <c r="B61" s="1"/>
      <c r="C61" s="244"/>
      <c r="D61" s="244"/>
      <c r="E61" s="244"/>
      <c r="F61" s="244"/>
      <c r="G61" s="247" t="s">
        <v>86</v>
      </c>
      <c r="H61" s="247" t="s">
        <v>87</v>
      </c>
      <c r="I61" s="247" t="s">
        <v>85</v>
      </c>
      <c r="J61" s="247" t="s">
        <v>160</v>
      </c>
      <c r="K61" s="247" t="s">
        <v>161</v>
      </c>
      <c r="L61" s="247" t="s">
        <v>54</v>
      </c>
      <c r="M61" s="247" t="s">
        <v>83</v>
      </c>
      <c r="N61" s="247" t="s">
        <v>84</v>
      </c>
      <c r="O61" s="247" t="s">
        <v>160</v>
      </c>
      <c r="P61" s="247" t="s">
        <v>161</v>
      </c>
      <c r="Q61" s="247" t="s">
        <v>54</v>
      </c>
      <c r="R61" s="247"/>
      <c r="S61" s="247" t="s">
        <v>82</v>
      </c>
      <c r="T61" s="247" t="s">
        <v>113</v>
      </c>
      <c r="U61" s="247" t="s">
        <v>114</v>
      </c>
      <c r="V61" s="247"/>
      <c r="W61" s="244"/>
      <c r="X61" s="244"/>
      <c r="Y61" s="244"/>
      <c r="Z61" s="244"/>
      <c r="AA61" s="275"/>
      <c r="AB61" s="251"/>
      <c r="AC61" s="247" t="s">
        <v>261</v>
      </c>
      <c r="AD61" s="244"/>
    </row>
    <row r="62" spans="2:30" x14ac:dyDescent="0.25">
      <c r="C62" s="244"/>
      <c r="D62" s="244" t="s">
        <v>258</v>
      </c>
      <c r="E62" s="249"/>
      <c r="F62" s="244"/>
      <c r="G62" s="244"/>
      <c r="H62" s="244">
        <v>0</v>
      </c>
      <c r="I62" s="252" t="s">
        <v>154</v>
      </c>
      <c r="J62" s="253">
        <v>250</v>
      </c>
      <c r="K62" s="254">
        <v>0</v>
      </c>
      <c r="L62" s="254">
        <v>0</v>
      </c>
      <c r="M62" s="254">
        <f>SUM(J62:L62)</f>
        <v>250</v>
      </c>
      <c r="N62" s="255">
        <v>0</v>
      </c>
      <c r="O62" s="256"/>
      <c r="P62" s="257"/>
      <c r="Q62" s="258"/>
      <c r="R62" s="244"/>
      <c r="S62" s="244"/>
      <c r="T62" s="244"/>
      <c r="U62" s="244"/>
      <c r="V62" s="244"/>
      <c r="W62" s="244"/>
      <c r="X62" s="244"/>
      <c r="Y62" s="244"/>
      <c r="Z62" s="244"/>
      <c r="AA62" s="308" t="s">
        <v>162</v>
      </c>
      <c r="AB62" s="247"/>
      <c r="AC62" s="247" t="s">
        <v>261</v>
      </c>
      <c r="AD62" s="244"/>
    </row>
    <row r="63" spans="2:30" ht="15.75" thickBot="1" x14ac:dyDescent="0.3">
      <c r="C63" s="244"/>
      <c r="D63" s="244" t="s">
        <v>259</v>
      </c>
      <c r="E63" s="259"/>
      <c r="F63" s="244"/>
      <c r="G63" s="245">
        <v>2</v>
      </c>
      <c r="H63" s="245">
        <f>G63*0.05</f>
        <v>0.1</v>
      </c>
      <c r="I63" s="260">
        <v>1</v>
      </c>
      <c r="J63" s="261">
        <v>250</v>
      </c>
      <c r="K63" s="262">
        <v>0</v>
      </c>
      <c r="L63" s="262">
        <v>0</v>
      </c>
      <c r="M63" s="262">
        <f t="shared" ref="M63:M71" si="19">SUM(J63:L63)</f>
        <v>250</v>
      </c>
      <c r="N63" s="263">
        <f>H63/M63</f>
        <v>4.0000000000000002E-4</v>
      </c>
      <c r="O63" s="264">
        <f>S63*$H63</f>
        <v>0.1</v>
      </c>
      <c r="P63" s="265">
        <f>T63*$H63</f>
        <v>0</v>
      </c>
      <c r="Q63" s="266">
        <f>U63*$H63</f>
        <v>0</v>
      </c>
      <c r="R63" s="244"/>
      <c r="S63" s="267">
        <f>J63/$M63</f>
        <v>1</v>
      </c>
      <c r="T63" s="267">
        <f>K63/$M63</f>
        <v>0</v>
      </c>
      <c r="U63" s="267">
        <f>L63/$M63</f>
        <v>0</v>
      </c>
      <c r="V63" s="268">
        <f>SUM(S63:U63)</f>
        <v>1</v>
      </c>
      <c r="W63" s="244"/>
      <c r="X63" s="247" t="s">
        <v>189</v>
      </c>
      <c r="Y63" s="247" t="s">
        <v>85</v>
      </c>
      <c r="Z63" s="247" t="s">
        <v>149</v>
      </c>
      <c r="AA63" s="308" t="s">
        <v>164</v>
      </c>
      <c r="AB63" s="247"/>
      <c r="AC63" s="247" t="s">
        <v>261</v>
      </c>
      <c r="AD63" s="244"/>
    </row>
    <row r="64" spans="2:30" x14ac:dyDescent="0.25">
      <c r="C64" s="244"/>
      <c r="D64" s="244"/>
      <c r="E64" s="269"/>
      <c r="F64" s="244"/>
      <c r="G64" s="246"/>
      <c r="H64" s="246">
        <v>1</v>
      </c>
      <c r="I64" s="252" t="s">
        <v>155</v>
      </c>
      <c r="J64" s="253">
        <v>250</v>
      </c>
      <c r="K64" s="253">
        <v>150</v>
      </c>
      <c r="L64" s="254">
        <v>0</v>
      </c>
      <c r="M64" s="254">
        <f t="shared" si="19"/>
        <v>400</v>
      </c>
      <c r="N64" s="255">
        <f>N63</f>
        <v>4.0000000000000002E-4</v>
      </c>
      <c r="O64" s="270"/>
      <c r="P64" s="271"/>
      <c r="Q64" s="272"/>
      <c r="R64" s="244"/>
      <c r="S64" s="267">
        <f t="shared" ref="S64:S71" si="20">J64/$M64</f>
        <v>0.625</v>
      </c>
      <c r="T64" s="267">
        <f t="shared" ref="T64:T71" si="21">K64/$M64</f>
        <v>0.375</v>
      </c>
      <c r="U64" s="267">
        <f t="shared" ref="U64:U71" si="22">L64/$M64</f>
        <v>0</v>
      </c>
      <c r="V64" s="268">
        <f t="shared" ref="V64:V71" si="23">SUM(S64:U64)</f>
        <v>1</v>
      </c>
      <c r="W64" s="244"/>
      <c r="X64" s="273">
        <v>0</v>
      </c>
      <c r="Y64" s="244">
        <v>4</v>
      </c>
      <c r="Z64" s="248">
        <v>250000000</v>
      </c>
      <c r="AA64" s="309">
        <f>(O63+O65+O67)*1000</f>
        <v>212.50000000000003</v>
      </c>
      <c r="AB64" s="274"/>
      <c r="AC64" s="247" t="s">
        <v>261</v>
      </c>
      <c r="AD64" s="244"/>
    </row>
    <row r="65" spans="2:30" ht="15.75" thickBot="1" x14ac:dyDescent="0.3">
      <c r="C65" s="244"/>
      <c r="D65" s="244"/>
      <c r="E65" s="244"/>
      <c r="F65" s="244"/>
      <c r="G65" s="245">
        <v>2</v>
      </c>
      <c r="H65" s="245">
        <f>G65*0.05</f>
        <v>0.1</v>
      </c>
      <c r="I65" s="260">
        <v>2</v>
      </c>
      <c r="J65" s="261">
        <v>250</v>
      </c>
      <c r="K65" s="261">
        <v>150</v>
      </c>
      <c r="L65" s="262">
        <v>0</v>
      </c>
      <c r="M65" s="262">
        <f t="shared" si="19"/>
        <v>400</v>
      </c>
      <c r="N65" s="263">
        <f>H65/M65+N63</f>
        <v>6.4999999999999997E-4</v>
      </c>
      <c r="O65" s="264">
        <f>S65*$H65</f>
        <v>6.25E-2</v>
      </c>
      <c r="P65" s="265">
        <f>T65*$H65</f>
        <v>3.7500000000000006E-2</v>
      </c>
      <c r="Q65" s="266">
        <f>U65*$H65</f>
        <v>0</v>
      </c>
      <c r="R65" s="275">
        <f>P65-P52</f>
        <v>0</v>
      </c>
      <c r="S65" s="267">
        <f t="shared" si="20"/>
        <v>0.625</v>
      </c>
      <c r="T65" s="267">
        <f t="shared" si="21"/>
        <v>0.375</v>
      </c>
      <c r="U65" s="267">
        <f t="shared" si="22"/>
        <v>0</v>
      </c>
      <c r="V65" s="268">
        <f t="shared" si="23"/>
        <v>1</v>
      </c>
      <c r="W65" s="248"/>
      <c r="X65" s="273">
        <v>1</v>
      </c>
      <c r="Y65" s="244">
        <v>5</v>
      </c>
      <c r="Z65" s="248">
        <v>150000000</v>
      </c>
      <c r="AA65" s="310">
        <f>(P65+P67+P69)*1000*4/7</f>
        <v>54.15584415584415</v>
      </c>
      <c r="AB65" s="274">
        <f>54.16/63.18</f>
        <v>0.85723330167774603</v>
      </c>
      <c r="AC65" s="247" t="s">
        <v>261</v>
      </c>
      <c r="AD65" s="244"/>
    </row>
    <row r="66" spans="2:30" x14ac:dyDescent="0.25">
      <c r="C66" s="244"/>
      <c r="D66" s="244"/>
      <c r="E66" s="244"/>
      <c r="F66" s="244"/>
      <c r="G66" s="246"/>
      <c r="H66" s="246">
        <v>1</v>
      </c>
      <c r="I66" s="252" t="s">
        <v>156</v>
      </c>
      <c r="J66" s="253">
        <v>250</v>
      </c>
      <c r="K66" s="253">
        <v>150</v>
      </c>
      <c r="L66" s="253">
        <v>100</v>
      </c>
      <c r="M66" s="254">
        <f t="shared" si="19"/>
        <v>500</v>
      </c>
      <c r="N66" s="255">
        <f>N65</f>
        <v>6.4999999999999997E-4</v>
      </c>
      <c r="O66" s="270"/>
      <c r="P66" s="271"/>
      <c r="Q66" s="272"/>
      <c r="R66" s="275">
        <f t="shared" ref="R66:R69" si="24">P66-P53</f>
        <v>0</v>
      </c>
      <c r="S66" s="267">
        <f t="shared" si="20"/>
        <v>0.5</v>
      </c>
      <c r="T66" s="267">
        <f t="shared" si="21"/>
        <v>0.3</v>
      </c>
      <c r="U66" s="267">
        <f t="shared" si="22"/>
        <v>0.2</v>
      </c>
      <c r="V66" s="268">
        <f t="shared" si="23"/>
        <v>1</v>
      </c>
      <c r="W66" s="248"/>
      <c r="X66" s="273">
        <v>0</v>
      </c>
      <c r="Y66" s="244">
        <v>6</v>
      </c>
      <c r="Z66" s="248">
        <v>200000000</v>
      </c>
      <c r="AA66" s="310">
        <f>(O69+O71)*1000</f>
        <v>160.00811688311686</v>
      </c>
      <c r="AB66" s="274"/>
      <c r="AC66" s="247" t="s">
        <v>261</v>
      </c>
      <c r="AD66" s="244"/>
    </row>
    <row r="67" spans="2:30" ht="15.75" thickBot="1" x14ac:dyDescent="0.3">
      <c r="C67" s="244"/>
      <c r="D67" s="244"/>
      <c r="E67" s="244"/>
      <c r="F67" s="244"/>
      <c r="G67" s="245">
        <v>2</v>
      </c>
      <c r="H67" s="245">
        <f>G67*0.05</f>
        <v>0.1</v>
      </c>
      <c r="I67" s="260">
        <v>3</v>
      </c>
      <c r="J67" s="261">
        <v>250</v>
      </c>
      <c r="K67" s="261">
        <v>150</v>
      </c>
      <c r="L67" s="261">
        <v>100</v>
      </c>
      <c r="M67" s="262">
        <f t="shared" si="19"/>
        <v>500</v>
      </c>
      <c r="N67" s="263">
        <f>H67/M67+N65</f>
        <v>8.4999999999999995E-4</v>
      </c>
      <c r="O67" s="264">
        <f>S67*$H67</f>
        <v>0.05</v>
      </c>
      <c r="P67" s="265">
        <f>T67*$H67</f>
        <v>0.03</v>
      </c>
      <c r="Q67" s="266">
        <f>U67*$H67</f>
        <v>2.0000000000000004E-2</v>
      </c>
      <c r="R67" s="275">
        <f t="shared" si="24"/>
        <v>0</v>
      </c>
      <c r="S67" s="267">
        <f t="shared" si="20"/>
        <v>0.5</v>
      </c>
      <c r="T67" s="267">
        <f t="shared" si="21"/>
        <v>0.3</v>
      </c>
      <c r="U67" s="267">
        <f t="shared" si="22"/>
        <v>0.2</v>
      </c>
      <c r="V67" s="268">
        <f t="shared" si="23"/>
        <v>1</v>
      </c>
      <c r="W67" s="248"/>
      <c r="X67" s="273">
        <v>2</v>
      </c>
      <c r="Y67" s="244">
        <v>6</v>
      </c>
      <c r="Z67" s="248">
        <v>100000000</v>
      </c>
      <c r="AA67" s="311">
        <f>(Q67+Q69+Q71)*1000</f>
        <v>73.336038961038966</v>
      </c>
      <c r="AB67" s="274"/>
      <c r="AC67" s="247" t="s">
        <v>261</v>
      </c>
      <c r="AD67" s="244"/>
    </row>
    <row r="68" spans="2:30" x14ac:dyDescent="0.25">
      <c r="C68" s="244"/>
      <c r="D68" s="244"/>
      <c r="E68" s="244"/>
      <c r="F68" s="276"/>
      <c r="G68" s="246"/>
      <c r="H68" s="246">
        <v>3</v>
      </c>
      <c r="I68" s="252" t="s">
        <v>157</v>
      </c>
      <c r="J68" s="253">
        <v>300</v>
      </c>
      <c r="K68" s="253">
        <v>150</v>
      </c>
      <c r="L68" s="253">
        <v>100</v>
      </c>
      <c r="M68" s="254">
        <f t="shared" si="19"/>
        <v>550</v>
      </c>
      <c r="N68" s="255">
        <f>N67</f>
        <v>8.4999999999999995E-4</v>
      </c>
      <c r="O68" s="270"/>
      <c r="P68" s="271"/>
      <c r="Q68" s="272"/>
      <c r="R68" s="275">
        <f t="shared" si="24"/>
        <v>0</v>
      </c>
      <c r="S68" s="267">
        <f t="shared" si="20"/>
        <v>0.54545454545454541</v>
      </c>
      <c r="T68" s="267">
        <f t="shared" si="21"/>
        <v>0.27272727272727271</v>
      </c>
      <c r="U68" s="267">
        <f t="shared" si="22"/>
        <v>0.18181818181818182</v>
      </c>
      <c r="V68" s="268">
        <f t="shared" si="23"/>
        <v>1</v>
      </c>
      <c r="W68" s="244"/>
      <c r="X68" s="273"/>
      <c r="Y68" s="244"/>
      <c r="Z68" s="248">
        <v>99999999</v>
      </c>
      <c r="AA68" s="274">
        <f>SUM(AA64:AA67)</f>
        <v>500</v>
      </c>
      <c r="AB68" s="250"/>
      <c r="AC68" s="247" t="s">
        <v>261</v>
      </c>
      <c r="AD68" s="244"/>
    </row>
    <row r="69" spans="2:30" ht="15.75" thickBot="1" x14ac:dyDescent="0.3">
      <c r="B69" s="1"/>
      <c r="C69" s="244"/>
      <c r="D69" s="244"/>
      <c r="E69" s="244"/>
      <c r="F69" s="244"/>
      <c r="G69" s="245">
        <v>2</v>
      </c>
      <c r="H69" s="245">
        <f>G69*0.05</f>
        <v>0.1</v>
      </c>
      <c r="I69" s="260">
        <v>4</v>
      </c>
      <c r="J69" s="261">
        <v>300</v>
      </c>
      <c r="K69" s="261">
        <v>150</v>
      </c>
      <c r="L69" s="261">
        <v>100</v>
      </c>
      <c r="M69" s="262">
        <f t="shared" si="19"/>
        <v>550</v>
      </c>
      <c r="N69" s="263">
        <f>(H69)/M69+N67</f>
        <v>1.0318181818181817E-3</v>
      </c>
      <c r="O69" s="264">
        <f>S69*$H69</f>
        <v>5.4545454545454543E-2</v>
      </c>
      <c r="P69" s="265">
        <f>T69*$H69</f>
        <v>2.7272727272727271E-2</v>
      </c>
      <c r="Q69" s="266">
        <f>U69*$H69</f>
        <v>1.8181818181818184E-2</v>
      </c>
      <c r="R69" s="275">
        <f t="shared" si="24"/>
        <v>0</v>
      </c>
      <c r="S69" s="267">
        <f t="shared" si="20"/>
        <v>0.54545454545454541</v>
      </c>
      <c r="T69" s="267">
        <f t="shared" si="21"/>
        <v>0.27272727272727271</v>
      </c>
      <c r="U69" s="267">
        <f t="shared" si="22"/>
        <v>0.18181818181818182</v>
      </c>
      <c r="V69" s="268">
        <f t="shared" si="23"/>
        <v>1</v>
      </c>
      <c r="W69" s="250"/>
      <c r="X69" s="244"/>
      <c r="Y69" s="251"/>
      <c r="Z69" s="251"/>
      <c r="AA69" s="251"/>
      <c r="AB69" s="244"/>
      <c r="AC69" s="247" t="s">
        <v>261</v>
      </c>
      <c r="AD69" s="244"/>
    </row>
    <row r="70" spans="2:30" x14ac:dyDescent="0.25">
      <c r="C70" s="244"/>
      <c r="D70" s="244"/>
      <c r="E70" s="244"/>
      <c r="F70" s="244"/>
      <c r="G70" s="246"/>
      <c r="H70" s="246">
        <v>4</v>
      </c>
      <c r="I70" s="252" t="s">
        <v>158</v>
      </c>
      <c r="J70" s="253">
        <v>300</v>
      </c>
      <c r="K70" s="253">
        <v>0</v>
      </c>
      <c r="L70" s="253">
        <v>100</v>
      </c>
      <c r="M70" s="254">
        <f t="shared" si="19"/>
        <v>400</v>
      </c>
      <c r="N70" s="255">
        <f>N69</f>
        <v>1.0318181818181817E-3</v>
      </c>
      <c r="O70" s="270"/>
      <c r="P70" s="271"/>
      <c r="Q70" s="272"/>
      <c r="R70" s="244"/>
      <c r="S70" s="267">
        <f t="shared" si="20"/>
        <v>0.75</v>
      </c>
      <c r="T70" s="267">
        <f t="shared" si="21"/>
        <v>0</v>
      </c>
      <c r="U70" s="267">
        <f t="shared" si="22"/>
        <v>0.25</v>
      </c>
      <c r="V70" s="268">
        <f t="shared" si="23"/>
        <v>1</v>
      </c>
      <c r="W70" s="250"/>
      <c r="X70" s="244"/>
      <c r="Y70" s="244"/>
      <c r="Z70" s="244"/>
      <c r="AA70" s="244"/>
      <c r="AB70" s="244"/>
      <c r="AC70" s="247" t="s">
        <v>261</v>
      </c>
      <c r="AD70" s="244"/>
    </row>
    <row r="71" spans="2:30" ht="15.75" thickBot="1" x14ac:dyDescent="0.3">
      <c r="B71" s="1"/>
      <c r="C71" s="244"/>
      <c r="D71" s="244"/>
      <c r="E71" s="244"/>
      <c r="F71" s="244"/>
      <c r="G71" s="245">
        <v>2</v>
      </c>
      <c r="H71" s="245">
        <f>G71*0.05+(P69+P67+P65)*3/7</f>
        <v>0.14061688311688311</v>
      </c>
      <c r="I71" s="260">
        <v>5</v>
      </c>
      <c r="J71" s="261">
        <v>300</v>
      </c>
      <c r="K71" s="262">
        <v>0</v>
      </c>
      <c r="L71" s="261">
        <v>100</v>
      </c>
      <c r="M71" s="262">
        <f t="shared" si="19"/>
        <v>400</v>
      </c>
      <c r="N71" s="263">
        <f>H71/M71+N69</f>
        <v>1.3833603896103895E-3</v>
      </c>
      <c r="O71" s="264">
        <f>S71*$H71</f>
        <v>0.10546266233766233</v>
      </c>
      <c r="P71" s="265">
        <f>T71*$H71</f>
        <v>0</v>
      </c>
      <c r="Q71" s="266">
        <f>U71*$H71</f>
        <v>3.5154220779220778E-2</v>
      </c>
      <c r="R71" s="244"/>
      <c r="S71" s="267">
        <f t="shared" si="20"/>
        <v>0.75</v>
      </c>
      <c r="T71" s="267">
        <f t="shared" si="21"/>
        <v>0</v>
      </c>
      <c r="U71" s="267">
        <f t="shared" si="22"/>
        <v>0.25</v>
      </c>
      <c r="V71" s="268">
        <f t="shared" si="23"/>
        <v>1</v>
      </c>
      <c r="W71" s="250"/>
      <c r="X71" s="244"/>
      <c r="Y71" s="244"/>
      <c r="Z71" s="244"/>
      <c r="AA71" s="244"/>
      <c r="AB71" s="244"/>
      <c r="AC71" s="247" t="s">
        <v>261</v>
      </c>
      <c r="AD71" s="244"/>
    </row>
    <row r="72" spans="2:30" x14ac:dyDescent="0.25">
      <c r="C72" s="244"/>
      <c r="D72" s="244"/>
      <c r="E72" s="244"/>
      <c r="F72" s="245"/>
      <c r="G72" s="246"/>
      <c r="H72" s="246">
        <v>5</v>
      </c>
      <c r="I72" s="247" t="s">
        <v>159</v>
      </c>
      <c r="J72" s="248">
        <v>0</v>
      </c>
      <c r="K72" s="248">
        <v>0</v>
      </c>
      <c r="L72" s="248">
        <v>0</v>
      </c>
      <c r="M72" s="248">
        <v>0</v>
      </c>
      <c r="N72" s="249">
        <f>N71</f>
        <v>1.3833603896103895E-3</v>
      </c>
      <c r="O72" s="244"/>
      <c r="P72" s="244"/>
      <c r="Q72" s="244"/>
      <c r="R72" s="244"/>
      <c r="S72" s="244"/>
      <c r="T72" s="244"/>
      <c r="U72" s="244"/>
      <c r="V72" s="244"/>
      <c r="W72" s="250"/>
      <c r="X72" s="244"/>
      <c r="Y72" s="244"/>
      <c r="Z72" s="244"/>
      <c r="AA72" s="244"/>
      <c r="AB72" s="244"/>
      <c r="AC72" s="247" t="s">
        <v>261</v>
      </c>
      <c r="AD72" s="244"/>
    </row>
    <row r="73" spans="2:30" x14ac:dyDescent="0.25">
      <c r="B73" s="1"/>
      <c r="C73" s="244"/>
      <c r="D73" s="244"/>
      <c r="E73" s="244"/>
      <c r="F73" s="245"/>
      <c r="G73" s="246"/>
      <c r="H73" s="246"/>
      <c r="I73" s="247"/>
      <c r="J73" s="248"/>
      <c r="K73" s="248"/>
      <c r="L73" s="248"/>
      <c r="M73" s="248"/>
      <c r="N73" s="249"/>
      <c r="O73" s="244"/>
      <c r="P73" s="244"/>
      <c r="Q73" s="244"/>
      <c r="R73" s="244"/>
      <c r="S73" s="244"/>
      <c r="T73" s="244"/>
      <c r="U73" s="244"/>
      <c r="V73" s="244"/>
      <c r="W73" s="250"/>
      <c r="X73" s="244"/>
      <c r="Y73" s="244"/>
      <c r="Z73" s="244"/>
      <c r="AA73" s="244"/>
      <c r="AB73" s="244"/>
      <c r="AC73" s="247" t="s">
        <v>261</v>
      </c>
      <c r="AD73" s="244"/>
    </row>
    <row r="74" spans="2:30" x14ac:dyDescent="0.25">
      <c r="C74" s="244"/>
      <c r="D74" s="244"/>
      <c r="E74" s="244"/>
      <c r="F74" s="245"/>
      <c r="G74" s="246"/>
      <c r="H74" s="246"/>
      <c r="I74" s="247"/>
      <c r="J74" s="248"/>
      <c r="K74" s="248"/>
      <c r="L74" s="248"/>
      <c r="M74" s="248"/>
      <c r="N74" s="249"/>
      <c r="O74" s="244"/>
      <c r="P74" s="244"/>
      <c r="Q74" s="244"/>
      <c r="R74" s="244"/>
      <c r="S74" s="244"/>
      <c r="T74" s="244"/>
      <c r="U74" s="244"/>
      <c r="V74" s="244"/>
      <c r="W74" s="250"/>
      <c r="X74" s="244"/>
      <c r="Y74" s="244"/>
      <c r="Z74" s="244"/>
      <c r="AA74" s="244"/>
      <c r="AB74" s="244"/>
      <c r="AC74" s="247" t="s">
        <v>261</v>
      </c>
      <c r="AD74" s="244"/>
    </row>
    <row r="75" spans="2:30" x14ac:dyDescent="0.25">
      <c r="AC75"/>
    </row>
    <row r="76" spans="2:30" x14ac:dyDescent="0.25">
      <c r="B76" s="1"/>
      <c r="AC76"/>
    </row>
    <row r="77" spans="2:30" x14ac:dyDescent="0.25">
      <c r="AC77"/>
    </row>
    <row r="78" spans="2:30" x14ac:dyDescent="0.25">
      <c r="AC78"/>
    </row>
    <row r="79" spans="2:30" x14ac:dyDescent="0.25">
      <c r="AC79"/>
    </row>
    <row r="80" spans="2:30" x14ac:dyDescent="0.25">
      <c r="AC80"/>
    </row>
    <row r="81" spans="29:29" x14ac:dyDescent="0.25">
      <c r="AC81"/>
    </row>
    <row r="82" spans="29:29" x14ac:dyDescent="0.25">
      <c r="AC82"/>
    </row>
    <row r="83" spans="29:29" x14ac:dyDescent="0.25">
      <c r="AC83"/>
    </row>
    <row r="84" spans="29:29" x14ac:dyDescent="0.25">
      <c r="AC84"/>
    </row>
    <row r="85" spans="29:29" x14ac:dyDescent="0.25">
      <c r="AC85"/>
    </row>
    <row r="86" spans="29:29" x14ac:dyDescent="0.25">
      <c r="AC86"/>
    </row>
    <row r="87" spans="29:29" x14ac:dyDescent="0.25">
      <c r="AC87"/>
    </row>
    <row r="88" spans="29:29" x14ac:dyDescent="0.25">
      <c r="AC88"/>
    </row>
    <row r="89" spans="29:29" x14ac:dyDescent="0.25">
      <c r="AC89"/>
    </row>
    <row r="90" spans="29:29" x14ac:dyDescent="0.25">
      <c r="AC90"/>
    </row>
    <row r="91" spans="29:29" x14ac:dyDescent="0.25">
      <c r="AC91"/>
    </row>
    <row r="92" spans="29:29" x14ac:dyDescent="0.25">
      <c r="AC92"/>
    </row>
    <row r="93" spans="29:29" x14ac:dyDescent="0.25">
      <c r="AC93"/>
    </row>
    <row r="94" spans="29:29" x14ac:dyDescent="0.25">
      <c r="AC94"/>
    </row>
    <row r="95" spans="29:29" x14ac:dyDescent="0.25">
      <c r="AC95"/>
    </row>
    <row r="96" spans="29:29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78"/>
      <c r="K116" s="278"/>
      <c r="L116" s="278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G27" sqref="G27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264</v>
      </c>
      <c r="C2">
        <v>97</v>
      </c>
    </row>
    <row r="3" spans="2:11" x14ac:dyDescent="0.25">
      <c r="B3" t="s">
        <v>265</v>
      </c>
      <c r="C3">
        <v>184</v>
      </c>
      <c r="D3" t="s">
        <v>266</v>
      </c>
    </row>
    <row r="4" spans="2:11" x14ac:dyDescent="0.25">
      <c r="B4" t="s">
        <v>269</v>
      </c>
      <c r="C4">
        <v>195</v>
      </c>
      <c r="D4" t="s">
        <v>266</v>
      </c>
    </row>
    <row r="5" spans="2:11" x14ac:dyDescent="0.25">
      <c r="B5" t="s">
        <v>268</v>
      </c>
      <c r="C5">
        <v>204</v>
      </c>
      <c r="D5" t="s">
        <v>266</v>
      </c>
      <c r="G5">
        <f>2^16</f>
        <v>65536</v>
      </c>
    </row>
    <row r="6" spans="2:11" x14ac:dyDescent="0.25">
      <c r="B6" t="s">
        <v>265</v>
      </c>
      <c r="C6">
        <v>208</v>
      </c>
      <c r="D6" t="s">
        <v>271</v>
      </c>
    </row>
    <row r="7" spans="2:11" x14ac:dyDescent="0.25">
      <c r="B7" t="s">
        <v>264</v>
      </c>
      <c r="C7">
        <v>233</v>
      </c>
      <c r="K7">
        <v>1000000</v>
      </c>
    </row>
    <row r="8" spans="2:11" x14ac:dyDescent="0.25">
      <c r="B8" s="1" t="s">
        <v>265</v>
      </c>
      <c r="C8" s="1">
        <v>317</v>
      </c>
      <c r="K8">
        <v>86400</v>
      </c>
    </row>
    <row r="9" spans="2:11" x14ac:dyDescent="0.25">
      <c r="B9" t="s">
        <v>269</v>
      </c>
      <c r="C9">
        <v>341</v>
      </c>
      <c r="G9" s="61">
        <v>1E+18</v>
      </c>
      <c r="K9">
        <f>K7/K8</f>
        <v>11.574074074074074</v>
      </c>
    </row>
    <row r="10" spans="2:11" x14ac:dyDescent="0.25">
      <c r="B10" t="s">
        <v>270</v>
      </c>
      <c r="C10">
        <v>354</v>
      </c>
      <c r="D10" t="s">
        <v>266</v>
      </c>
      <c r="F10" s="4"/>
    </row>
    <row r="11" spans="2:11" x14ac:dyDescent="0.25">
      <c r="B11" t="s">
        <v>264</v>
      </c>
      <c r="C11">
        <v>365</v>
      </c>
      <c r="D11" t="s">
        <v>266</v>
      </c>
      <c r="F11" s="4"/>
    </row>
    <row r="12" spans="2:11" x14ac:dyDescent="0.25">
      <c r="B12" t="s">
        <v>270</v>
      </c>
      <c r="C12">
        <v>455</v>
      </c>
      <c r="D12" t="s">
        <v>271</v>
      </c>
    </row>
    <row r="13" spans="2:11" x14ac:dyDescent="0.25">
      <c r="B13" t="s">
        <v>269</v>
      </c>
      <c r="C13">
        <v>477</v>
      </c>
    </row>
    <row r="14" spans="2:11" x14ac:dyDescent="0.25">
      <c r="B14" t="s">
        <v>270</v>
      </c>
      <c r="C14">
        <v>491</v>
      </c>
    </row>
    <row r="15" spans="2:11" x14ac:dyDescent="0.25">
      <c r="B15" t="s">
        <v>267</v>
      </c>
      <c r="C15">
        <v>528</v>
      </c>
    </row>
    <row r="16" spans="2:11" x14ac:dyDescent="0.25">
      <c r="B16" t="s">
        <v>265</v>
      </c>
      <c r="C16">
        <v>542</v>
      </c>
      <c r="D16" t="s">
        <v>266</v>
      </c>
    </row>
    <row r="17" spans="2:4" x14ac:dyDescent="0.25">
      <c r="B17" t="s">
        <v>270</v>
      </c>
      <c r="C17">
        <v>543</v>
      </c>
      <c r="D17" t="s">
        <v>266</v>
      </c>
    </row>
    <row r="18" spans="2:4" x14ac:dyDescent="0.25">
      <c r="B18" t="s">
        <v>269</v>
      </c>
      <c r="C18">
        <v>545</v>
      </c>
      <c r="D18" t="s">
        <v>266</v>
      </c>
    </row>
    <row r="19" spans="2:4" x14ac:dyDescent="0.25">
      <c r="B19" t="s">
        <v>268</v>
      </c>
      <c r="C19">
        <v>556</v>
      </c>
      <c r="D19" t="s">
        <v>271</v>
      </c>
    </row>
    <row r="20" spans="2:4" x14ac:dyDescent="0.25">
      <c r="B20" t="s">
        <v>267</v>
      </c>
      <c r="C20">
        <v>581</v>
      </c>
    </row>
    <row r="21" spans="2:4" x14ac:dyDescent="0.25">
      <c r="B21" t="s">
        <v>268</v>
      </c>
      <c r="C21">
        <v>599</v>
      </c>
      <c r="D21" t="s">
        <v>271</v>
      </c>
    </row>
    <row r="22" spans="2:4" x14ac:dyDescent="0.25">
      <c r="B22" t="s">
        <v>267</v>
      </c>
      <c r="C22">
        <v>623</v>
      </c>
    </row>
    <row r="23" spans="2:4" x14ac:dyDescent="0.25">
      <c r="B23" t="s">
        <v>268</v>
      </c>
      <c r="C23">
        <v>640</v>
      </c>
    </row>
    <row r="24" spans="2:4" x14ac:dyDescent="0.25">
      <c r="B24" t="s">
        <v>264</v>
      </c>
      <c r="C24">
        <v>662</v>
      </c>
    </row>
    <row r="25" spans="2:4" x14ac:dyDescent="0.25">
      <c r="B25" t="s">
        <v>265</v>
      </c>
      <c r="C25">
        <v>743</v>
      </c>
    </row>
    <row r="26" spans="2:4" x14ac:dyDescent="0.25">
      <c r="B26" t="s">
        <v>269</v>
      </c>
      <c r="C26">
        <v>763</v>
      </c>
    </row>
    <row r="27" spans="2:4" x14ac:dyDescent="0.25">
      <c r="B27" t="s">
        <v>270</v>
      </c>
      <c r="C27">
        <v>772</v>
      </c>
    </row>
    <row r="28" spans="2:4" x14ac:dyDescent="0.25">
      <c r="B28" t="s">
        <v>267</v>
      </c>
      <c r="C28">
        <v>811</v>
      </c>
    </row>
    <row r="29" spans="2:4" x14ac:dyDescent="0.25">
      <c r="B29" t="s">
        <v>268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abSelected="1" topLeftCell="D1" zoomScale="75" zoomScaleNormal="75" workbookViewId="0">
      <selection activeCell="P40" sqref="P40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273</v>
      </c>
      <c r="L18" s="11">
        <v>19.7</v>
      </c>
      <c r="N18" t="s">
        <v>274</v>
      </c>
      <c r="Q18" t="s">
        <v>278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279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280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275</v>
      </c>
      <c r="L21">
        <v>1.1000000000000001</v>
      </c>
      <c r="Q21" t="s">
        <v>281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276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277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61">
        <v>100000000000000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test10betLimits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2023-09-04T19:52:23Z</dcterms:modified>
</cp:coreProperties>
</file>