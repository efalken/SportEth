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7437ECEE-1A39-4378-8DCE-B207E10868F6}" xr6:coauthVersionLast="47" xr6:coauthVersionMax="47" xr10:uidLastSave="{00000000-0000-0000-0000-000000000000}"/>
  <bookViews>
    <workbookView xWindow="30975" yWindow="1245" windowWidth="17070" windowHeight="11295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externalReferences>
    <externalReference r:id="rId6"/>
  </externalReferences>
  <definedNames>
    <definedName name="solver_adj" localSheetId="0" hidden="1">initData!$X$4:$Y$4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7" i="3" l="1"/>
  <c r="X7" i="3"/>
  <c r="V32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3" i="3"/>
  <c r="V34" i="3"/>
  <c r="V35" i="3"/>
  <c r="V36" i="3"/>
  <c r="V37" i="3"/>
  <c r="V7" i="3"/>
  <c r="J8" i="4"/>
  <c r="R8" i="4" s="1"/>
  <c r="Z8" i="4"/>
  <c r="Y8" i="4"/>
  <c r="W5" i="4"/>
  <c r="K8" i="4"/>
  <c r="W8" i="4"/>
  <c r="O9" i="4"/>
  <c r="T9" i="4" s="1"/>
  <c r="P8" i="4"/>
  <c r="P9" i="4" s="1"/>
  <c r="U9" i="4" s="1"/>
  <c r="J34" i="3"/>
  <c r="T8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5" i="3"/>
  <c r="J36" i="3"/>
  <c r="J37" i="3"/>
  <c r="J38" i="3"/>
  <c r="J7" i="3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N6" i="4" s="1"/>
  <c r="K6" i="4"/>
  <c r="M6" i="4" s="1"/>
  <c r="J7" i="4"/>
  <c r="L7" i="4" s="1"/>
  <c r="N7" i="4" s="1"/>
  <c r="K7" i="4"/>
  <c r="M7" i="4" s="1"/>
  <c r="L8" i="4"/>
  <c r="N8" i="4" s="1"/>
  <c r="M8" i="4"/>
  <c r="J9" i="4"/>
  <c r="L9" i="4" s="1"/>
  <c r="N9" i="4" s="1"/>
  <c r="K9" i="4"/>
  <c r="M9" i="4" s="1"/>
  <c r="J5" i="4"/>
  <c r="L5" i="4" s="1"/>
  <c r="P5" i="4" s="1"/>
  <c r="F2" i="3" a="1"/>
  <c r="E3" i="3" a="1"/>
  <c r="F2" i="3" l="1"/>
  <c r="E3" i="3"/>
  <c r="V8" i="4"/>
  <c r="X8" i="4" s="1"/>
  <c r="V9" i="4"/>
  <c r="V10" i="4" s="1"/>
  <c r="R9" i="4"/>
  <c r="W9" i="4" s="1"/>
  <c r="P6" i="4"/>
  <c r="P7" i="4" s="1"/>
  <c r="Q5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S28" i="4" l="1"/>
  <c r="U28" i="4" s="1"/>
  <c r="O28" i="4" s="1"/>
  <c r="J30" i="4"/>
  <c r="V28" i="4"/>
  <c r="P27" i="4"/>
  <c r="P26" i="4"/>
  <c r="P20" i="4"/>
  <c r="O20" i="4"/>
  <c r="C23" i="4"/>
  <c r="C22" i="4"/>
  <c r="C19" i="4"/>
  <c r="C18" i="4"/>
  <c r="A36" i="5"/>
  <c r="P28" i="4" l="1"/>
  <c r="D13" i="4"/>
  <c r="F13" i="4"/>
  <c r="D12" i="4"/>
  <c r="F12" i="4"/>
  <c r="P11" i="3"/>
  <c r="O8" i="3"/>
  <c r="Q8" i="3" s="1"/>
  <c r="S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U8" i="3" l="1"/>
  <c r="W8" i="3"/>
  <c r="X8" i="3"/>
  <c r="Z8" i="3" s="1"/>
  <c r="E13" i="4"/>
  <c r="E12" i="4"/>
  <c r="N5" i="4"/>
  <c r="AA8" i="3" l="1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U7" i="3" s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I37" i="3" s="1"/>
  <c r="A33" i="5" s="1"/>
  <c r="M38" i="3"/>
  <c r="M8" i="3"/>
  <c r="U12" i="3" l="1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U37" i="3"/>
  <c r="S36" i="3"/>
  <c r="U36" i="3"/>
  <c r="S38" i="3"/>
  <c r="X38" i="3" s="1"/>
  <c r="Z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W36" i="3" l="1"/>
  <c r="X36" i="3"/>
  <c r="Z36" i="3" s="1"/>
  <c r="W37" i="3"/>
  <c r="X37" i="3"/>
  <c r="Z37" i="3" s="1"/>
  <c r="AA38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AA37" i="3" l="1"/>
  <c r="K37" i="3"/>
  <c r="AA36" i="3"/>
  <c r="K36" i="3"/>
  <c r="A34" i="6"/>
  <c r="A100" i="5"/>
  <c r="E14" i="4"/>
  <c r="E1" i="4"/>
  <c r="AD36" i="3"/>
  <c r="AD37" i="3"/>
  <c r="AB37" i="3"/>
  <c r="AB36" i="3"/>
  <c r="A53" i="5"/>
  <c r="A37" i="5"/>
  <c r="S28" i="3"/>
  <c r="U28" i="3"/>
  <c r="S10" i="3"/>
  <c r="X10" i="3" s="1"/>
  <c r="Z10" i="3" s="1"/>
  <c r="U10" i="3"/>
  <c r="S33" i="3"/>
  <c r="U33" i="3"/>
  <c r="U17" i="3"/>
  <c r="S34" i="3"/>
  <c r="X34" i="3" s="1"/>
  <c r="Z34" i="3" s="1"/>
  <c r="U34" i="3"/>
  <c r="S15" i="3"/>
  <c r="X15" i="3" s="1"/>
  <c r="Z15" i="3" s="1"/>
  <c r="U15" i="3"/>
  <c r="S32" i="3"/>
  <c r="U32" i="3"/>
  <c r="U20" i="3"/>
  <c r="S22" i="3"/>
  <c r="S24" i="3"/>
  <c r="S26" i="3"/>
  <c r="U26" i="3"/>
  <c r="S31" i="3"/>
  <c r="U31" i="3"/>
  <c r="U11" i="3"/>
  <c r="U13" i="3"/>
  <c r="S30" i="3"/>
  <c r="U30" i="3"/>
  <c r="U21" i="3"/>
  <c r="U9" i="3"/>
  <c r="S35" i="3"/>
  <c r="U35" i="3"/>
  <c r="S29" i="3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S20" i="3"/>
  <c r="T17" i="3"/>
  <c r="T24" i="3"/>
  <c r="S14" i="3"/>
  <c r="T16" i="3"/>
  <c r="S16" i="3"/>
  <c r="T23" i="3"/>
  <c r="T27" i="3"/>
  <c r="T15" i="3"/>
  <c r="S9" i="3"/>
  <c r="S23" i="3"/>
  <c r="S27" i="3"/>
  <c r="S21" i="3"/>
  <c r="T22" i="3"/>
  <c r="T26" i="3"/>
  <c r="T25" i="3"/>
  <c r="S13" i="3"/>
  <c r="T18" i="3"/>
  <c r="T11" i="3"/>
  <c r="T12" i="3"/>
  <c r="T13" i="3"/>
  <c r="S25" i="3"/>
  <c r="K34" i="3" l="1"/>
  <c r="AA34" i="3"/>
  <c r="W31" i="3"/>
  <c r="X31" i="3"/>
  <c r="Z31" i="3" s="1"/>
  <c r="W20" i="3"/>
  <c r="X20" i="3"/>
  <c r="Z20" i="3" s="1"/>
  <c r="W27" i="3"/>
  <c r="X27" i="3"/>
  <c r="Z27" i="3" s="1"/>
  <c r="W19" i="3"/>
  <c r="X19" i="3"/>
  <c r="Z19" i="3" s="1"/>
  <c r="W14" i="3"/>
  <c r="X14" i="3"/>
  <c r="Z14" i="3" s="1"/>
  <c r="W21" i="3"/>
  <c r="X21" i="3"/>
  <c r="Z21" i="3" s="1"/>
  <c r="W23" i="3"/>
  <c r="X23" i="3"/>
  <c r="Z23" i="3" s="1"/>
  <c r="W29" i="3"/>
  <c r="X29" i="3"/>
  <c r="Z29" i="3" s="1"/>
  <c r="X26" i="3"/>
  <c r="Z26" i="3" s="1"/>
  <c r="X24" i="3"/>
  <c r="Z24" i="3" s="1"/>
  <c r="AA10" i="3"/>
  <c r="AA15" i="3"/>
  <c r="K15" i="3"/>
  <c r="W35" i="3"/>
  <c r="X35" i="3"/>
  <c r="Z35" i="3" s="1"/>
  <c r="A98" i="5"/>
  <c r="A32" i="6"/>
  <c r="X25" i="3"/>
  <c r="Z25" i="3" s="1"/>
  <c r="W28" i="3"/>
  <c r="X28" i="3"/>
  <c r="Z28" i="3" s="1"/>
  <c r="W9" i="3"/>
  <c r="X9" i="3"/>
  <c r="Z9" i="3" s="1"/>
  <c r="W16" i="3"/>
  <c r="X16" i="3"/>
  <c r="Z16" i="3" s="1"/>
  <c r="W32" i="3"/>
  <c r="X32" i="3"/>
  <c r="Z32" i="3" s="1"/>
  <c r="A99" i="5"/>
  <c r="A33" i="6"/>
  <c r="X22" i="3"/>
  <c r="Z22" i="3" s="1"/>
  <c r="W22" i="3"/>
  <c r="X13" i="3"/>
  <c r="Z13" i="3" s="1"/>
  <c r="W30" i="3"/>
  <c r="X30" i="3"/>
  <c r="Z30" i="3" s="1"/>
  <c r="W33" i="3"/>
  <c r="X33" i="3"/>
  <c r="Z33" i="3" s="1"/>
  <c r="K33" i="3" s="1"/>
  <c r="Z7" i="3"/>
  <c r="W34" i="3"/>
  <c r="W7" i="3"/>
  <c r="AE38" i="3"/>
  <c r="AG38" i="3" s="1"/>
  <c r="AD38" i="3"/>
  <c r="AC37" i="3"/>
  <c r="AE37" i="3"/>
  <c r="AC36" i="3"/>
  <c r="AE36" i="3"/>
  <c r="W15" i="3"/>
  <c r="W25" i="3"/>
  <c r="W26" i="3"/>
  <c r="W24" i="3"/>
  <c r="W13" i="3"/>
  <c r="W10" i="3"/>
  <c r="A64" i="5"/>
  <c r="AD31" i="3"/>
  <c r="AB38" i="3"/>
  <c r="A45" i="5"/>
  <c r="A49" i="5"/>
  <c r="A41" i="5"/>
  <c r="U25" i="3"/>
  <c r="U24" i="3"/>
  <c r="U27" i="3"/>
  <c r="U23" i="3"/>
  <c r="U22" i="3"/>
  <c r="U18" i="3"/>
  <c r="U19" i="3"/>
  <c r="S17" i="3"/>
  <c r="S11" i="3"/>
  <c r="X11" i="3" s="1"/>
  <c r="Z11" i="3" s="1"/>
  <c r="S12" i="3"/>
  <c r="S18" i="3"/>
  <c r="AA16" i="3" l="1"/>
  <c r="K16" i="3"/>
  <c r="A72" i="5"/>
  <c r="A6" i="6"/>
  <c r="AA19" i="3"/>
  <c r="K19" i="3"/>
  <c r="AA9" i="3"/>
  <c r="AA30" i="3"/>
  <c r="AE30" i="3" s="1"/>
  <c r="AG30" i="3" s="1"/>
  <c r="K30" i="3"/>
  <c r="AA24" i="3"/>
  <c r="K24" i="3"/>
  <c r="K27" i="3"/>
  <c r="AA27" i="3"/>
  <c r="A11" i="6"/>
  <c r="A77" i="5"/>
  <c r="AA28" i="3"/>
  <c r="K28" i="3"/>
  <c r="AA26" i="3"/>
  <c r="K26" i="3"/>
  <c r="AA14" i="3"/>
  <c r="K14" i="3"/>
  <c r="AA13" i="3"/>
  <c r="AA29" i="3"/>
  <c r="K29" i="3"/>
  <c r="AA20" i="3"/>
  <c r="K20" i="3"/>
  <c r="AA25" i="3"/>
  <c r="K25" i="3"/>
  <c r="AA22" i="3"/>
  <c r="K22" i="3"/>
  <c r="AA23" i="3"/>
  <c r="K23" i="3"/>
  <c r="AA31" i="3"/>
  <c r="K31" i="3"/>
  <c r="AA11" i="3"/>
  <c r="W17" i="3"/>
  <c r="X17" i="3"/>
  <c r="Z17" i="3" s="1"/>
  <c r="AA35" i="3"/>
  <c r="K35" i="3"/>
  <c r="AA21" i="3"/>
  <c r="K21" i="3"/>
  <c r="W18" i="3"/>
  <c r="X18" i="3"/>
  <c r="Z18" i="3" s="1"/>
  <c r="W12" i="3"/>
  <c r="X12" i="3"/>
  <c r="Z12" i="3" s="1"/>
  <c r="AA32" i="3"/>
  <c r="K32" i="3"/>
  <c r="A30" i="6"/>
  <c r="A96" i="5"/>
  <c r="AA33" i="3"/>
  <c r="AE33" i="3" s="1"/>
  <c r="AG33" i="3" s="1"/>
  <c r="AA7" i="3"/>
  <c r="AD7" i="3"/>
  <c r="W11" i="3"/>
  <c r="AF37" i="3"/>
  <c r="AG37" i="3"/>
  <c r="AF36" i="3"/>
  <c r="AG36" i="3"/>
  <c r="AF38" i="3"/>
  <c r="AC38" i="3"/>
  <c r="AB7" i="3"/>
  <c r="AE35" i="3"/>
  <c r="AG35" i="3" s="1"/>
  <c r="AD35" i="3"/>
  <c r="AD30" i="3"/>
  <c r="AD33" i="3"/>
  <c r="AE29" i="3"/>
  <c r="AG29" i="3" s="1"/>
  <c r="AD29" i="3"/>
  <c r="AE34" i="3"/>
  <c r="AG34" i="3" s="1"/>
  <c r="AD34" i="3"/>
  <c r="AE32" i="3"/>
  <c r="AG32" i="3" s="1"/>
  <c r="AD32" i="3"/>
  <c r="AB31" i="3"/>
  <c r="A57" i="5"/>
  <c r="AD24" i="3"/>
  <c r="AB29" i="3"/>
  <c r="AB35" i="3"/>
  <c r="AB34" i="3"/>
  <c r="A61" i="5"/>
  <c r="A65" i="5"/>
  <c r="A39" i="5"/>
  <c r="AB32" i="3"/>
  <c r="AB30" i="3"/>
  <c r="A42" i="5"/>
  <c r="AB33" i="3"/>
  <c r="AA12" i="3" l="1"/>
  <c r="K12" i="3"/>
  <c r="A75" i="5"/>
  <c r="A9" i="6"/>
  <c r="A19" i="6"/>
  <c r="A85" i="5"/>
  <c r="A10" i="6"/>
  <c r="A76" i="5"/>
  <c r="A92" i="5"/>
  <c r="A26" i="6"/>
  <c r="AA18" i="3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AA17" i="3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C33" i="3"/>
  <c r="AF30" i="3"/>
  <c r="AC35" i="3"/>
  <c r="AF35" i="3"/>
  <c r="AE7" i="3"/>
  <c r="AC30" i="3"/>
  <c r="AF34" i="3"/>
  <c r="AF29" i="3"/>
  <c r="AC32" i="3"/>
  <c r="AC34" i="3"/>
  <c r="AC29" i="3"/>
  <c r="AE22" i="3"/>
  <c r="AG22" i="3" s="1"/>
  <c r="AD22" i="3"/>
  <c r="AE23" i="3"/>
  <c r="AG23" i="3" s="1"/>
  <c r="AD23" i="3"/>
  <c r="AE14" i="3"/>
  <c r="AG14" i="3" s="1"/>
  <c r="AD14" i="3"/>
  <c r="AE13" i="3"/>
  <c r="AG13" i="3" s="1"/>
  <c r="AD13" i="3"/>
  <c r="AE15" i="3"/>
  <c r="AG15" i="3" s="1"/>
  <c r="AD15" i="3"/>
  <c r="AF33" i="3"/>
  <c r="AE26" i="3"/>
  <c r="AG26" i="3" s="1"/>
  <c r="AD26" i="3"/>
  <c r="AE10" i="3"/>
  <c r="AG10" i="3" s="1"/>
  <c r="AD10" i="3"/>
  <c r="AC31" i="3"/>
  <c r="AE31" i="3"/>
  <c r="AG31" i="3" s="1"/>
  <c r="AE21" i="3"/>
  <c r="AG21" i="3" s="1"/>
  <c r="AD21" i="3"/>
  <c r="AE16" i="3"/>
  <c r="AG16" i="3" s="1"/>
  <c r="AD16" i="3"/>
  <c r="AE19" i="3"/>
  <c r="AG19" i="3" s="1"/>
  <c r="AD19" i="3"/>
  <c r="AD28" i="3"/>
  <c r="AE20" i="3"/>
  <c r="AG20" i="3" s="1"/>
  <c r="AD20" i="3"/>
  <c r="AE25" i="3"/>
  <c r="AG25" i="3" s="1"/>
  <c r="AD25" i="3"/>
  <c r="AE27" i="3"/>
  <c r="AG27" i="3" s="1"/>
  <c r="AD27" i="3"/>
  <c r="AF32" i="3"/>
  <c r="AE9" i="3"/>
  <c r="AG9" i="3" s="1"/>
  <c r="AD9" i="3"/>
  <c r="AE8" i="3"/>
  <c r="AG8" i="3" s="1"/>
  <c r="AD8" i="3"/>
  <c r="AB28" i="3"/>
  <c r="AB24" i="3"/>
  <c r="AB10" i="3"/>
  <c r="AB15" i="3"/>
  <c r="AB22" i="3"/>
  <c r="AB19" i="3"/>
  <c r="AB25" i="3"/>
  <c r="AB16" i="3"/>
  <c r="A43" i="5"/>
  <c r="AB13" i="3"/>
  <c r="AB26" i="3"/>
  <c r="AB20" i="3"/>
  <c r="AB9" i="3"/>
  <c r="AB21" i="3"/>
  <c r="AB27" i="3"/>
  <c r="AB14" i="3"/>
  <c r="AB8" i="3"/>
  <c r="A46" i="5"/>
  <c r="AB23" i="3"/>
  <c r="A13" i="6" l="1"/>
  <c r="A79" i="5"/>
  <c r="A80" i="5"/>
  <c r="A14" i="6"/>
  <c r="A8" i="6"/>
  <c r="A74" i="5"/>
  <c r="AG7" i="3"/>
  <c r="AC7" i="3"/>
  <c r="AF9" i="3"/>
  <c r="AF25" i="3"/>
  <c r="AF31" i="3"/>
  <c r="AF15" i="3"/>
  <c r="AF21" i="3"/>
  <c r="AC25" i="3"/>
  <c r="AF27" i="3"/>
  <c r="AF20" i="3"/>
  <c r="AF10" i="3"/>
  <c r="AF8" i="3"/>
  <c r="AF22" i="3"/>
  <c r="AC22" i="3"/>
  <c r="AC15" i="3"/>
  <c r="AC10" i="3"/>
  <c r="AC8" i="3"/>
  <c r="AF7" i="3"/>
  <c r="AF23" i="3"/>
  <c r="AF13" i="3"/>
  <c r="AC14" i="3"/>
  <c r="AC20" i="3"/>
  <c r="AC13" i="3"/>
  <c r="AC16" i="3"/>
  <c r="AC23" i="3"/>
  <c r="AF16" i="3"/>
  <c r="AC9" i="3"/>
  <c r="AF19" i="3"/>
  <c r="AF14" i="3"/>
  <c r="AE17" i="3"/>
  <c r="AG17" i="3" s="1"/>
  <c r="AD17" i="3"/>
  <c r="AE12" i="3"/>
  <c r="AG12" i="3" s="1"/>
  <c r="AD12" i="3"/>
  <c r="AC19" i="3"/>
  <c r="AC26" i="3"/>
  <c r="AC27" i="3"/>
  <c r="AC28" i="3"/>
  <c r="AE28" i="3"/>
  <c r="AC24" i="3"/>
  <c r="AE24" i="3"/>
  <c r="AG24" i="3" s="1"/>
  <c r="AE18" i="3"/>
  <c r="AG18" i="3" s="1"/>
  <c r="AD18" i="3"/>
  <c r="AC21" i="3"/>
  <c r="AF26" i="3"/>
  <c r="AE11" i="3"/>
  <c r="AG11" i="3" s="1"/>
  <c r="AD11" i="3"/>
  <c r="A50" i="5"/>
  <c r="AB12" i="3"/>
  <c r="AB11" i="3"/>
  <c r="AB18" i="3"/>
  <c r="AB17" i="3"/>
  <c r="A47" i="5"/>
  <c r="AF28" i="3" l="1"/>
  <c r="AG28" i="3"/>
  <c r="AF12" i="3"/>
  <c r="AF24" i="3"/>
  <c r="AF18" i="3"/>
  <c r="AC17" i="3"/>
  <c r="AC18" i="3"/>
  <c r="AF11" i="3"/>
  <c r="AF17" i="3"/>
  <c r="AC11" i="3"/>
  <c r="AC12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<sst xmlns="http://schemas.openxmlformats.org/spreadsheetml/2006/main" count="179" uniqueCount="118">
  <si>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</si>
  <si>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</si>
  <si>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</si>
  <si>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</si>
  <si>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</si>
  <si>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</si>
  <si>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</si>
  <si>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</si>
  <si>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</si>
  <si>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</si>
  <si>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</si>
  <si>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</si>
  <si>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</si>
  <si>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</si>
  <si>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</si>
  <si>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</si>
  <si>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</si>
  <si>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</si>
  <si>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</si>
  <si>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</si>
  <si>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</si>
  <si>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</si>
  <si>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</si>
  <si>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</si>
  <si>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</si>
  <si>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</si>
  <si>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</si>
  <si>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</si>
  <si>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</si>
  <si>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</si>
  <si>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</si>
  <si>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</si>
  <si>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</si>
  <si>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</si>
  <si>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</si>
  <si>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</si>
  <si>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</si>
  <si>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</si>
  <si>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</si>
  <si>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</si>
  <si>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</si>
  <si>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</si>
  <si>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</si>
  <si>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</si>
  <si>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</si>
  <si>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</si>
  <si>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</si>
  <si>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</si>
  <si>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</si>
  <si>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</si>
  <si>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</si>
  <si>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</si>
  <si>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</si>
  <si>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</si>
  <si>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</si>
  <si>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</si>
  <si>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LosAngelesChargers</t>
  </si>
  <si>
    <t>LosAngelesRams</t>
  </si>
  <si>
    <t>Seattle</t>
  </si>
  <si>
    <t>Dallas</t>
  </si>
  <si>
    <t>NewYorkGiants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</si>
  <si>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</si>
  <si>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</si>
  <si>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</si>
  <si>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</si>
  <si>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</si>
  <si>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</si>
  <si>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</si>
  <si>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</si>
  <si>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</si>
  <si>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</si>
  <si>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</si>
  <si>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</si>
  <si>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</si>
  <si>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</si>
  <si>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</si>
  <si>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</si>
  <si>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</si>
  <si>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</si>
  <si>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</si>
  <si>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NotreDame</t>
  </si>
  <si>
    <t>NCState</t>
  </si>
  <si>
    <t>Adensanya</t>
  </si>
  <si>
    <t>Strickland</t>
  </si>
  <si>
    <t>Tuivasa</t>
  </si>
  <si>
    <t>Volkov</t>
  </si>
  <si>
    <t>Kara-France</t>
  </si>
  <si>
    <t>Kape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</si>
  <si>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</si>
  <si>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</si>
  <si>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</si>
  <si>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</si>
  <si>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</si>
  <si>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</si>
  <si>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</si>
  <si>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</si>
  <si>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</si>
  <si>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</si>
  <si>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</si>
  <si>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</si>
  <si>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</si>
  <si>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</si>
  <si>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</si>
  <si>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</si>
  <si>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</si>
  <si>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</si>
  <si>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</si>
  <si>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</si>
  <si>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</si>
  <si>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</si>
  <si>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</si>
  <si>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</si>
  <si>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</si>
  <si>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</si>
  <si>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</si>
  <si>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BowlingGreen</t>
  </si>
  <si>
    <t>UnivOhio</t>
  </si>
  <si>
    <t>Youngstown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</si>
</sst>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11"/>
      <color rgb="FFB5CEA8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9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67" fontId="0" fillId="0" borderId="0" xfId="0" applyNumberFormat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6" fontId="10" fillId="0" borderId="0" xfId="3" applyNumberFormat="1" applyFont="1" applyFill="1" applyBorder="1"/>
    <xf numFmtId="166" fontId="10" fillId="0" borderId="4" xfId="3" applyNumberFormat="1" applyFont="1" applyFill="1" applyBorder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1" fillId="2" borderId="1" xfId="1" applyBorder="1" applyAlignment="1">
      <alignment horizontal="left"/>
    </xf>
    <xf numFmtId="0" fontId="1" fillId="2" borderId="5" xfId="1" applyBorder="1" applyAlignment="1">
      <alignment horizontal="left"/>
    </xf>
    <xf numFmtId="166" fontId="1" fillId="2" borderId="0" xfId="1" applyNumberFormat="1" applyBorder="1" applyAlignment="1">
      <alignment horizontal="right"/>
    </xf>
    <xf numFmtId="166" fontId="9" fillId="2" borderId="0" xfId="1" applyNumberFormat="1" applyFont="1" applyBorder="1" applyAlignment="1">
      <alignment horizontal="right"/>
    </xf>
    <xf numFmtId="166" fontId="1" fillId="2" borderId="8" xfId="1" applyNumberFormat="1" applyBorder="1" applyAlignment="1">
      <alignment horizontal="right"/>
    </xf>
    <xf numFmtId="166" fontId="1" fillId="2" borderId="5" xfId="1" applyNumberFormat="1" applyBorder="1" applyAlignment="1">
      <alignment horizontal="right"/>
    </xf>
    <xf numFmtId="170" fontId="1" fillId="2" borderId="2" xfId="1" applyNumberFormat="1" applyBorder="1" applyAlignment="1">
      <alignment horizontal="right"/>
    </xf>
    <xf numFmtId="170" fontId="1" fillId="2" borderId="4" xfId="1" applyNumberFormat="1" applyBorder="1" applyAlignment="1">
      <alignment horizontal="right"/>
    </xf>
    <xf numFmtId="170" fontId="1" fillId="2" borderId="7" xfId="1" applyNumberFormat="1" applyBorder="1" applyAlignment="1">
      <alignment horizontal="right"/>
    </xf>
    <xf numFmtId="0" fontId="1" fillId="2" borderId="3" xfId="1" applyBorder="1"/>
    <xf numFmtId="0" fontId="1" fillId="2" borderId="0" xfId="1" applyBorder="1"/>
    <xf numFmtId="0" fontId="0" fillId="0" borderId="0" xfId="0" applyFill="1"/>
    <xf numFmtId="166" fontId="2" fillId="0" borderId="0" xfId="0" applyNumberFormat="1" applyFont="1" applyFill="1"/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0" fontId="0" fillId="6" borderId="2" xfId="0" applyFill="1" applyBorder="1"/>
    <xf numFmtId="0" fontId="0" fillId="6" borderId="4" xfId="0" applyFill="1" applyBorder="1"/>
    <xf numFmtId="0" fontId="0" fillId="6" borderId="7" xfId="0" applyFill="1" applyBorder="1"/>
    <xf numFmtId="171" fontId="4" fillId="7" borderId="0" xfId="3" applyNumberFormat="1" applyFill="1" applyBorder="1"/>
    <xf numFmtId="171" fontId="4" fillId="7" borderId="5" xfId="3" applyNumberFormat="1" applyFill="1" applyBorder="1"/>
    <xf numFmtId="171" fontId="4" fillId="7" borderId="8" xfId="3" applyNumberFormat="1" applyFill="1" applyBorder="1"/>
    <xf numFmtId="166" fontId="4" fillId="5" borderId="2" xfId="3" applyNumberFormat="1" applyFill="1" applyBorder="1"/>
    <xf numFmtId="166" fontId="4" fillId="5" borderId="4" xfId="3" applyNumberFormat="1" applyFill="1" applyBorder="1"/>
    <xf numFmtId="166" fontId="4" fillId="5" borderId="7" xfId="3" applyNumberFormat="1" applyFill="1" applyBorder="1"/>
    <xf numFmtId="166" fontId="0" fillId="0" borderId="0" xfId="0" applyNumberFormat="1"/>
    <xf numFmtId="14" fontId="0" fillId="0" borderId="0" xfId="0" applyNumberFormat="1"/>
    <xf numFmtId="0" fontId="2" fillId="0" borderId="0" xfId="0" applyNumberFormat="1" applyFont="1"/>
    <xf numFmtId="0" fontId="12" fillId="0" borderId="0" xfId="0" applyFont="1" applyAlignment="1">
      <alignment vertical="center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AI40"/>
  <sheetViews>
    <sheetView tabSelected="1" zoomScale="75" zoomScaleNormal="75" workbookViewId="0">
      <pane xSplit="14445" ySplit="4320" topLeftCell="AD26"/>
      <selection activeCell="E2" sqref="E2"/>
      <selection pane="bottomLeft" activeCell="C37" sqref="C37"/>
      <selection pane="topRight" activeCell="AI7" sqref="AI7"/>
      <selection pane="bottomRight" activeCell="AE55" sqref="AE55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3.28515625" customWidth="1"/>
    <col min="7" max="7" width="19.85546875" customWidth="1"/>
    <col min="8" max="8" width="6.5703125" customWidth="1"/>
    <col min="9" max="9" width="32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1" spans="1:35" x14ac:dyDescent="0.25">
      <c r="F1">
        <v>1693086637</v>
      </c>
    </row>
    <row r="2" spans="1:35" x14ac:dyDescent="0.25">
      <c r="D2" t="s">
        <v>113</v>
      </c>
      <c r="E2" s="108">
        <v>1691859600</v>
      </c>
      <c r="F2" s="107" cm="1">
        <f t="array" ref="F2">[1]!utcfromdate(F3)</f>
        <v>1691798400</v>
      </c>
      <c r="I2" s="78">
        <v>44409</v>
      </c>
    </row>
    <row r="3" spans="1:35" x14ac:dyDescent="0.25">
      <c r="D3" t="s">
        <v>114</v>
      </c>
      <c r="E3" s="78" cm="1">
        <f t="array" ref="E3">[1]!datefromutc(E2)</f>
        <v>45150.708333333336</v>
      </c>
      <c r="F3" s="106">
        <v>45150</v>
      </c>
    </row>
    <row r="4" spans="1:35" x14ac:dyDescent="0.25">
      <c r="E4" s="70" t="s">
        <v>18</v>
      </c>
      <c r="I4" s="6"/>
      <c r="J4" s="43"/>
      <c r="K4" s="21"/>
      <c r="M4" t="s">
        <v>19</v>
      </c>
      <c r="Q4" s="3"/>
      <c r="S4" s="1"/>
      <c r="T4" s="3"/>
      <c r="U4" s="1"/>
      <c r="V4" s="3"/>
      <c r="X4" s="1">
        <v>0.51100000000000001</v>
      </c>
      <c r="Y4" s="3"/>
      <c r="Z4">
        <v>45</v>
      </c>
      <c r="AA4" s="3"/>
      <c r="AB4" s="2"/>
      <c r="AC4" s="3"/>
      <c r="AD4" s="3"/>
    </row>
    <row r="5" spans="1:35" ht="17.25" thickBot="1" x14ac:dyDescent="0.35">
      <c r="E5" s="7" t="s">
        <v>4</v>
      </c>
      <c r="F5" s="7" t="s">
        <v>4</v>
      </c>
      <c r="G5" s="41"/>
      <c r="J5" s="42" t="s">
        <v>32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28</v>
      </c>
      <c r="Y5" s="3"/>
      <c r="Z5" s="3" t="s">
        <v>3</v>
      </c>
      <c r="AA5" s="3" t="s">
        <v>3</v>
      </c>
      <c r="AB5" s="3" t="s">
        <v>6</v>
      </c>
      <c r="AC5" s="3"/>
      <c r="AD5" s="3"/>
    </row>
    <row r="6" spans="1:35" ht="15.75" thickBot="1" x14ac:dyDescent="0.3">
      <c r="A6" t="s">
        <v>27</v>
      </c>
      <c r="B6" t="s">
        <v>10</v>
      </c>
      <c r="C6" t="s">
        <v>41</v>
      </c>
      <c r="D6" t="s">
        <v>42</v>
      </c>
      <c r="E6" s="9" t="s">
        <v>2</v>
      </c>
      <c r="F6" s="8" t="s">
        <v>1</v>
      </c>
      <c r="G6" s="7" t="s">
        <v>14</v>
      </c>
      <c r="I6" t="s">
        <v>11</v>
      </c>
      <c r="J6" t="s">
        <v>12</v>
      </c>
      <c r="K6" t="s">
        <v>13</v>
      </c>
      <c r="L6" s="7" t="s">
        <v>33</v>
      </c>
      <c r="M6" s="22" t="s">
        <v>20</v>
      </c>
      <c r="N6" s="22" t="s">
        <v>21</v>
      </c>
      <c r="O6" s="22" t="s">
        <v>20</v>
      </c>
      <c r="P6" s="22" t="s">
        <v>21</v>
      </c>
      <c r="Q6" s="22" t="s">
        <v>20</v>
      </c>
      <c r="R6" s="22" t="s">
        <v>21</v>
      </c>
      <c r="S6" s="23" t="s">
        <v>20</v>
      </c>
      <c r="T6" s="24" t="s">
        <v>21</v>
      </c>
      <c r="U6" s="8" t="s">
        <v>17</v>
      </c>
      <c r="V6" s="8"/>
      <c r="W6" s="8" t="s">
        <v>29</v>
      </c>
      <c r="X6" s="25" t="s">
        <v>22</v>
      </c>
      <c r="Y6" s="26" t="s">
        <v>23</v>
      </c>
      <c r="Z6" s="25" t="s">
        <v>20</v>
      </c>
      <c r="AA6" s="27" t="s">
        <v>21</v>
      </c>
      <c r="AB6" s="8" t="s">
        <v>20</v>
      </c>
      <c r="AC6" s="8" t="s">
        <v>21</v>
      </c>
      <c r="AD6" s="8"/>
    </row>
    <row r="7" spans="1:35" ht="15.75" thickBot="1" x14ac:dyDescent="0.3">
      <c r="A7">
        <v>0</v>
      </c>
      <c r="B7" s="80" t="s">
        <v>7</v>
      </c>
      <c r="C7" s="81" t="s">
        <v>59</v>
      </c>
      <c r="D7" s="81" t="s">
        <v>60</v>
      </c>
      <c r="E7" s="85">
        <v>-110</v>
      </c>
      <c r="F7" s="85">
        <v>-110</v>
      </c>
      <c r="G7" s="86">
        <v>45150.5</v>
      </c>
      <c r="I7" s="93" t="str">
        <f t="shared" ref="I7:I38" si="0">""""&amp;B7&amp;":"&amp;M7&amp;":"&amp;N7&amp;""""</f>
        <v>"NFL:Dallas:NewYorkGiants"</v>
      </c>
      <c r="J7" s="100">
        <f>1627794000+IF(G7&gt;0,(G7-44409)*86400,0)</f>
        <v>1691859600</v>
      </c>
      <c r="K7" s="102">
        <v>300</v>
      </c>
      <c r="L7" s="96"/>
      <c r="M7" s="2" t="str">
        <f t="shared" ref="M7:M38" si="1">IF(E7&lt;=F7,C7,D7)</f>
        <v>Dallas</v>
      </c>
      <c r="N7" s="2" t="str">
        <f t="shared" ref="N7:N38" si="2">IF(E7&gt;F7,C7,D7)</f>
        <v>NewYorkGiants</v>
      </c>
      <c r="O7" s="2">
        <f t="shared" ref="O7:O38" si="3">IF(E7&lt;=F7,E7,F7)</f>
        <v>-110</v>
      </c>
      <c r="P7" s="2">
        <f t="shared" ref="P7:P38" si="4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8">
        <f t="shared" ref="S7:S27" si="5">1/Q7</f>
        <v>0.52380952380952384</v>
      </c>
      <c r="T7" s="29">
        <f t="shared" ref="T7:T27" si="6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30">
        <f>X$4+(S7-T7)/2</f>
        <v>0.51100000000000001</v>
      </c>
      <c r="Y7" s="1"/>
      <c r="Z7" s="14">
        <f>(1/X7-1)*1000</f>
        <v>956.94716242661434</v>
      </c>
      <c r="AA7" s="15">
        <f>1000000/(Z7+Z$4)-Z$4</f>
        <v>953.05662164669593</v>
      </c>
      <c r="AB7" s="60">
        <f>Z7*0.95</f>
        <v>909.09980430528356</v>
      </c>
      <c r="AC7" s="61">
        <f>AA7*0.95</f>
        <v>905.40379056436109</v>
      </c>
      <c r="AD7" s="13">
        <f>Z7*0.95/1000+1</f>
        <v>1.9090998043052836</v>
      </c>
      <c r="AE7" s="13">
        <f>AA7*0.95/1000+1</f>
        <v>1.905403790564361</v>
      </c>
      <c r="AF7" s="1">
        <f>1/AD7+1/AE7-1</f>
        <v>4.8630223009661355E-2</v>
      </c>
      <c r="AG7" s="6">
        <f>AE7-R7</f>
        <v>-3.6871185265481277E-3</v>
      </c>
      <c r="AI7" s="105">
        <f>IF(E7&lt;0,-E7,100)+IF(F7&lt;0,-F7,100)</f>
        <v>220</v>
      </c>
    </row>
    <row r="8" spans="1:35" ht="15.75" thickBot="1" x14ac:dyDescent="0.3">
      <c r="A8">
        <v>1</v>
      </c>
      <c r="B8" s="44" t="s">
        <v>7</v>
      </c>
      <c r="C8" s="45" t="s">
        <v>45</v>
      </c>
      <c r="D8" s="45" t="s">
        <v>46</v>
      </c>
      <c r="E8" s="82">
        <v>-110</v>
      </c>
      <c r="F8" s="82">
        <v>-111</v>
      </c>
      <c r="G8" s="86">
        <v>45150.5</v>
      </c>
      <c r="I8" s="94" t="str">
        <f t="shared" si="0"/>
        <v>"NFL:Washington:Arizona"</v>
      </c>
      <c r="J8" s="99">
        <f t="shared" ref="J8:J38" si="7">1627794000+IF(G8&gt;0,(G8-44409)*86400,0)</f>
        <v>1691859600</v>
      </c>
      <c r="K8" s="103">
        <v>400</v>
      </c>
      <c r="L8" s="97"/>
      <c r="M8" s="2" t="str">
        <f t="shared" si="1"/>
        <v>Washington</v>
      </c>
      <c r="N8" s="2" t="str">
        <f t="shared" si="2"/>
        <v>Arizona</v>
      </c>
      <c r="O8" s="2">
        <f t="shared" si="3"/>
        <v>-111</v>
      </c>
      <c r="P8" s="2">
        <f t="shared" si="4"/>
        <v>-110</v>
      </c>
      <c r="Q8" s="5">
        <f>IF(O8&lt;0,-(100-O8)/O8,O8/100+1)</f>
        <v>1.9009009009009008</v>
      </c>
      <c r="R8" s="5">
        <f>IF(P8&lt;0,-(100-P8)/P8,P8/100+1)</f>
        <v>1.9090909090909092</v>
      </c>
      <c r="S8" s="28">
        <f t="shared" ref="S8" si="8">1/Q8</f>
        <v>0.52606635071090047</v>
      </c>
      <c r="T8" s="29">
        <f t="shared" ref="T8" si="9">1/R8</f>
        <v>0.52380952380952384</v>
      </c>
      <c r="U8" s="1">
        <f>1-Q8*R8/(Q8+R8)</f>
        <v>4.7506448839208959E-2</v>
      </c>
      <c r="V8" s="1">
        <f t="shared" ref="V8:V37" si="10">S8+T8-1</f>
        <v>4.987587452042419E-2</v>
      </c>
      <c r="W8" s="1">
        <f t="shared" ref="W8:W38" si="11">ABS(S8-T8)/2</f>
        <v>1.1284134506883148E-3</v>
      </c>
      <c r="X8" s="30">
        <f t="shared" ref="X7:X38" si="12">X$4+(S8-T8)/2</f>
        <v>0.51212841345068827</v>
      </c>
      <c r="Y8" s="1"/>
      <c r="Z8" s="14">
        <f t="shared" ref="Z8:Z38" si="13">(1/X8-1)*1000</f>
        <v>952.63526439016414</v>
      </c>
      <c r="AA8" s="15">
        <f t="shared" ref="AA8:AA38" si="14">1000000/(Z8+Z$4)-Z$4</f>
        <v>957.37034083922583</v>
      </c>
      <c r="AB8" s="2">
        <f t="shared" ref="AB8:AB35" si="15">Z8*0.95</f>
        <v>905.00350117065591</v>
      </c>
      <c r="AC8" s="15">
        <f t="shared" ref="AC8:AC35" si="16">AA8*0.95</f>
        <v>909.50182379726448</v>
      </c>
      <c r="AD8" s="13">
        <f t="shared" ref="AD8:AD38" si="17">Z8*0.95/1000+1</f>
        <v>1.9050035011706559</v>
      </c>
      <c r="AE8" s="13">
        <f t="shared" ref="AE8:AE38" si="18">AA8*0.95/1000+1</f>
        <v>1.9095018237972645</v>
      </c>
      <c r="AF8" s="1">
        <f t="shared" ref="AF8:AF38" si="19">1/AD8+1/AE8-1</f>
        <v>4.8630221201717561E-2</v>
      </c>
      <c r="AG8" s="6">
        <f t="shared" ref="AG8:AG38" si="20">AE8-R8</f>
        <v>4.1091470635534755E-4</v>
      </c>
    </row>
    <row r="9" spans="1:35" ht="15.75" thickBot="1" x14ac:dyDescent="0.3">
      <c r="A9">
        <v>2</v>
      </c>
      <c r="B9" s="44" t="s">
        <v>7</v>
      </c>
      <c r="C9" s="45" t="s">
        <v>47</v>
      </c>
      <c r="D9" s="45" t="s">
        <v>48</v>
      </c>
      <c r="E9" s="82">
        <v>-166.66666666666666</v>
      </c>
      <c r="F9" s="82">
        <v>135.92753623188406</v>
      </c>
      <c r="G9" s="86">
        <v>45150.5</v>
      </c>
      <c r="I9" s="94" t="str">
        <f t="shared" si="0"/>
        <v>"NFL:Houston:Baltimore"</v>
      </c>
      <c r="J9" s="99">
        <f t="shared" si="7"/>
        <v>1691859600</v>
      </c>
      <c r="K9" s="103">
        <v>500</v>
      </c>
      <c r="L9" s="97"/>
      <c r="M9" s="2" t="str">
        <f t="shared" si="1"/>
        <v>Houston</v>
      </c>
      <c r="N9" s="2" t="str">
        <f t="shared" si="2"/>
        <v>Baltimore</v>
      </c>
      <c r="O9" s="2">
        <f t="shared" si="3"/>
        <v>-166.66666666666666</v>
      </c>
      <c r="P9" s="2">
        <f t="shared" si="4"/>
        <v>135.92753623188406</v>
      </c>
      <c r="Q9" s="5">
        <f t="shared" ref="Q9:Q38" si="21">IF(O9&lt;0,-(100-O9)/O9,O9/100+1)</f>
        <v>1.5999999999999999</v>
      </c>
      <c r="R9" s="5">
        <f t="shared" ref="R9:R38" si="22">IF(P9&lt;0,-(100-P9)/P9,P9/100+1)</f>
        <v>2.3592753623188409</v>
      </c>
      <c r="S9" s="28">
        <f t="shared" si="5"/>
        <v>0.625</v>
      </c>
      <c r="T9" s="29">
        <f t="shared" si="6"/>
        <v>0.42385895939554019</v>
      </c>
      <c r="U9" s="1">
        <f t="shared" ref="U9:U35" si="23">1-Q9*R9/(Q9+R9)</f>
        <v>4.6582964237343982E-2</v>
      </c>
      <c r="V9" s="1">
        <f t="shared" si="10"/>
        <v>4.8858959395540191E-2</v>
      </c>
      <c r="W9" s="1">
        <f t="shared" si="11"/>
        <v>0.1005705203022299</v>
      </c>
      <c r="X9" s="30">
        <f t="shared" si="12"/>
        <v>0.61157052030222991</v>
      </c>
      <c r="Y9" s="1"/>
      <c r="Z9" s="14">
        <f t="shared" si="13"/>
        <v>635.13440691322626</v>
      </c>
      <c r="AA9" s="15">
        <f t="shared" si="14"/>
        <v>1425.2976203460667</v>
      </c>
      <c r="AB9" s="2">
        <f t="shared" si="15"/>
        <v>603.37768656756487</v>
      </c>
      <c r="AC9" s="15">
        <f t="shared" si="16"/>
        <v>1354.0327393287632</v>
      </c>
      <c r="AD9" s="13">
        <f t="shared" si="17"/>
        <v>1.6033776865675649</v>
      </c>
      <c r="AE9" s="13">
        <f t="shared" si="18"/>
        <v>2.3540327393287632</v>
      </c>
      <c r="AF9" s="1">
        <f t="shared" si="19"/>
        <v>4.8486298543615192E-2</v>
      </c>
      <c r="AG9" s="6">
        <f t="shared" si="20"/>
        <v>-5.2426229900777166E-3</v>
      </c>
    </row>
    <row r="10" spans="1:35" ht="15.75" thickBot="1" x14ac:dyDescent="0.3">
      <c r="A10">
        <v>3</v>
      </c>
      <c r="B10" s="44" t="s">
        <v>7</v>
      </c>
      <c r="C10" s="45" t="s">
        <v>49</v>
      </c>
      <c r="D10" s="45" t="s">
        <v>50</v>
      </c>
      <c r="E10" s="82">
        <v>-125</v>
      </c>
      <c r="F10" s="82">
        <v>103.35955056179776</v>
      </c>
      <c r="G10" s="86">
        <v>45150.5</v>
      </c>
      <c r="I10" s="94" t="str">
        <f t="shared" si="0"/>
        <v>"NFL:GreenBay:Chicago"</v>
      </c>
      <c r="J10" s="99">
        <f t="shared" si="7"/>
        <v>1691859600</v>
      </c>
      <c r="K10" s="103">
        <v>999</v>
      </c>
      <c r="L10" s="97"/>
      <c r="M10" s="2" t="str">
        <f t="shared" si="1"/>
        <v>GreenBay</v>
      </c>
      <c r="N10" s="2" t="str">
        <f t="shared" si="2"/>
        <v>Chicago</v>
      </c>
      <c r="O10" s="2">
        <f t="shared" si="3"/>
        <v>-125</v>
      </c>
      <c r="P10" s="2">
        <f t="shared" si="4"/>
        <v>103.35955056179776</v>
      </c>
      <c r="Q10" s="5">
        <f t="shared" si="21"/>
        <v>1.8</v>
      </c>
      <c r="R10" s="5">
        <f t="shared" si="22"/>
        <v>2.0335955056179778</v>
      </c>
      <c r="S10" s="28">
        <f t="shared" si="5"/>
        <v>0.55555555555555558</v>
      </c>
      <c r="T10" s="29">
        <f t="shared" si="6"/>
        <v>0.49173987513122269</v>
      </c>
      <c r="U10" s="1">
        <f t="shared" si="23"/>
        <v>4.5159588499076642E-2</v>
      </c>
      <c r="V10" s="1">
        <f t="shared" si="10"/>
        <v>4.7295430686778328E-2</v>
      </c>
      <c r="W10" s="1">
        <f t="shared" si="11"/>
        <v>3.1907840212166444E-2</v>
      </c>
      <c r="X10" s="30">
        <f t="shared" si="12"/>
        <v>0.54290784021216643</v>
      </c>
      <c r="Y10" s="1"/>
      <c r="Z10" s="14">
        <f t="shared" si="13"/>
        <v>841.93324526167009</v>
      </c>
      <c r="AA10" s="15">
        <f t="shared" si="14"/>
        <v>1082.4805689631942</v>
      </c>
      <c r="AB10" s="2">
        <f t="shared" si="15"/>
        <v>799.83658299858655</v>
      </c>
      <c r="AC10" s="15">
        <f t="shared" si="16"/>
        <v>1028.3565405150343</v>
      </c>
      <c r="AD10" s="13">
        <f t="shared" si="17"/>
        <v>1.7998365829985865</v>
      </c>
      <c r="AE10" s="13">
        <f t="shared" si="18"/>
        <v>2.0283565405150341</v>
      </c>
      <c r="AF10" s="1">
        <f t="shared" si="19"/>
        <v>4.8615968867191217E-2</v>
      </c>
      <c r="AG10" s="6">
        <f t="shared" si="20"/>
        <v>-5.2389651029436379E-3</v>
      </c>
    </row>
    <row r="11" spans="1:35" ht="15.75" thickBot="1" x14ac:dyDescent="0.3">
      <c r="A11">
        <v>4</v>
      </c>
      <c r="B11" s="44" t="s">
        <v>7</v>
      </c>
      <c r="C11" s="45" t="s">
        <v>51</v>
      </c>
      <c r="D11" s="45" t="s">
        <v>52</v>
      </c>
      <c r="E11" s="82">
        <v>-110</v>
      </c>
      <c r="F11" s="82">
        <v>-109.76936346954697</v>
      </c>
      <c r="G11" s="86">
        <v>45150.5</v>
      </c>
      <c r="I11" s="94" t="str">
        <f t="shared" si="0"/>
        <v>"NFL:LasVegas:Denver"</v>
      </c>
      <c r="J11" s="99">
        <f t="shared" si="7"/>
        <v>1691859600</v>
      </c>
      <c r="K11" s="103">
        <v>957</v>
      </c>
      <c r="L11" s="97"/>
      <c r="M11" s="2" t="str">
        <f t="shared" si="1"/>
        <v>LasVegas</v>
      </c>
      <c r="N11" s="2" t="str">
        <f t="shared" si="2"/>
        <v>Denver</v>
      </c>
      <c r="O11" s="2">
        <f t="shared" si="3"/>
        <v>-110</v>
      </c>
      <c r="P11" s="2">
        <f>IF(E11&gt;F11,E11,F11)</f>
        <v>-109.76936346954697</v>
      </c>
      <c r="Q11" s="5">
        <f t="shared" si="21"/>
        <v>1.9090909090909092</v>
      </c>
      <c r="R11" s="5">
        <f t="shared" si="22"/>
        <v>1.911001001001001</v>
      </c>
      <c r="S11" s="28">
        <f t="shared" si="5"/>
        <v>0.52380952380952384</v>
      </c>
      <c r="T11" s="29">
        <f t="shared" si="6"/>
        <v>0.5232859634695064</v>
      </c>
      <c r="U11" s="1">
        <f t="shared" si="23"/>
        <v>4.4977261244255717E-2</v>
      </c>
      <c r="V11" s="1">
        <f t="shared" si="10"/>
        <v>4.7095487279030124E-2</v>
      </c>
      <c r="W11" s="1">
        <f t="shared" si="11"/>
        <v>2.6178017000871856E-4</v>
      </c>
      <c r="X11" s="30">
        <f t="shared" si="12"/>
        <v>0.51126178017000878</v>
      </c>
      <c r="Y11" s="1"/>
      <c r="Z11" s="14">
        <f t="shared" si="13"/>
        <v>955.94515136154359</v>
      </c>
      <c r="AA11" s="15">
        <f t="shared" si="14"/>
        <v>954.05574110603573</v>
      </c>
      <c r="AB11" s="2">
        <f t="shared" si="15"/>
        <v>908.14789379346632</v>
      </c>
      <c r="AC11" s="15">
        <f t="shared" si="16"/>
        <v>906.35295405073384</v>
      </c>
      <c r="AD11" s="13">
        <f t="shared" si="17"/>
        <v>1.9081478937934664</v>
      </c>
      <c r="AE11" s="13">
        <f t="shared" si="18"/>
        <v>1.9063529540507338</v>
      </c>
      <c r="AF11" s="1">
        <f t="shared" si="19"/>
        <v>4.8630225880291977E-2</v>
      </c>
      <c r="AG11" s="6">
        <f t="shared" si="20"/>
        <v>-4.648046950267215E-3</v>
      </c>
    </row>
    <row r="12" spans="1:35" ht="15.75" thickBot="1" x14ac:dyDescent="0.3">
      <c r="A12">
        <v>5</v>
      </c>
      <c r="B12" s="44" t="s">
        <v>7</v>
      </c>
      <c r="C12" s="45" t="s">
        <v>43</v>
      </c>
      <c r="D12" s="45" t="s">
        <v>44</v>
      </c>
      <c r="E12" s="82">
        <v>110</v>
      </c>
      <c r="F12" s="82">
        <v>-101</v>
      </c>
      <c r="G12" s="86">
        <v>45150.5</v>
      </c>
      <c r="I12" s="94" t="str">
        <f t="shared" si="0"/>
        <v>"NFL:Pittsburgh:SanFrancisco"</v>
      </c>
      <c r="J12" s="99">
        <f t="shared" si="7"/>
        <v>1691859600</v>
      </c>
      <c r="K12" s="103">
        <f t="shared" ref="K12:K38" si="24">IF(Z12&gt;0,INT(Z12),999)</f>
        <v>907</v>
      </c>
      <c r="L12" s="97"/>
      <c r="M12" s="2" t="str">
        <f t="shared" si="1"/>
        <v>Pittsburgh</v>
      </c>
      <c r="N12" s="2" t="str">
        <f t="shared" si="2"/>
        <v>SanFrancisco</v>
      </c>
      <c r="O12" s="2">
        <f t="shared" si="3"/>
        <v>-101</v>
      </c>
      <c r="P12" s="2">
        <f t="shared" si="4"/>
        <v>110</v>
      </c>
      <c r="Q12" s="5">
        <f t="shared" si="21"/>
        <v>1.9900990099009901</v>
      </c>
      <c r="R12" s="5">
        <f t="shared" si="22"/>
        <v>2.1</v>
      </c>
      <c r="S12" s="28">
        <f t="shared" si="5"/>
        <v>0.50248756218905477</v>
      </c>
      <c r="T12" s="29">
        <f t="shared" si="6"/>
        <v>0.47619047619047616</v>
      </c>
      <c r="U12" s="1">
        <f>1-Q12*R12/(Q12+R12)</f>
        <v>-2.1786492374727517E-2</v>
      </c>
      <c r="V12" s="1">
        <f t="shared" si="10"/>
        <v>-2.1321961620469065E-2</v>
      </c>
      <c r="W12" s="1">
        <f t="shared" si="11"/>
        <v>1.3148542999289303E-2</v>
      </c>
      <c r="X12" s="30">
        <f t="shared" si="12"/>
        <v>0.52414854299928937</v>
      </c>
      <c r="Y12" s="1"/>
      <c r="Z12" s="14">
        <f t="shared" si="13"/>
        <v>907.85610941086952</v>
      </c>
      <c r="AA12" s="15">
        <f t="shared" si="14"/>
        <v>1004.4764006060459</v>
      </c>
      <c r="AB12" s="2">
        <f t="shared" si="15"/>
        <v>862.463303940326</v>
      </c>
      <c r="AC12" s="15">
        <f t="shared" si="16"/>
        <v>954.25258057574354</v>
      </c>
      <c r="AD12" s="13">
        <f t="shared" si="17"/>
        <v>1.862463303940326</v>
      </c>
      <c r="AE12" s="13">
        <f t="shared" si="18"/>
        <v>1.9542525805757436</v>
      </c>
      <c r="AF12" s="1">
        <f t="shared" si="19"/>
        <v>4.8627912522603012E-2</v>
      </c>
      <c r="AG12" s="6">
        <f t="shared" si="20"/>
        <v>-0.14574741942425651</v>
      </c>
    </row>
    <row r="13" spans="1:35" ht="15.75" thickBot="1" x14ac:dyDescent="0.3">
      <c r="A13">
        <v>6</v>
      </c>
      <c r="B13" s="44" t="s">
        <v>7</v>
      </c>
      <c r="C13" s="45" t="s">
        <v>45</v>
      </c>
      <c r="D13" s="45" t="s">
        <v>46</v>
      </c>
      <c r="E13" s="82">
        <v>125</v>
      </c>
      <c r="F13" s="82">
        <v>-152.37662042301568</v>
      </c>
      <c r="G13" s="86">
        <v>45150.5</v>
      </c>
      <c r="I13" s="94" t="str">
        <f t="shared" si="0"/>
        <v>"NFL:Washington:Arizona"</v>
      </c>
      <c r="J13" s="99">
        <f t="shared" si="7"/>
        <v>1691859600</v>
      </c>
      <c r="K13" s="103">
        <v>900</v>
      </c>
      <c r="L13" s="97"/>
      <c r="M13" s="2" t="str">
        <f t="shared" si="1"/>
        <v>Washington</v>
      </c>
      <c r="N13" s="2" t="str">
        <f t="shared" si="2"/>
        <v>Arizona</v>
      </c>
      <c r="O13" s="2">
        <f t="shared" si="3"/>
        <v>-152.37662042301568</v>
      </c>
      <c r="P13" s="2">
        <f t="shared" si="4"/>
        <v>125</v>
      </c>
      <c r="Q13" s="5">
        <f t="shared" si="21"/>
        <v>1.656268656716418</v>
      </c>
      <c r="R13" s="5">
        <f t="shared" si="22"/>
        <v>2.25</v>
      </c>
      <c r="S13" s="28">
        <f t="shared" si="5"/>
        <v>0.60376678381544557</v>
      </c>
      <c r="T13" s="29">
        <f t="shared" si="6"/>
        <v>0.44444444444444442</v>
      </c>
      <c r="U13" s="1">
        <f t="shared" si="23"/>
        <v>4.5993810178817096E-2</v>
      </c>
      <c r="V13" s="1">
        <f t="shared" si="10"/>
        <v>4.8211228259889882E-2</v>
      </c>
      <c r="W13" s="1">
        <f t="shared" si="11"/>
        <v>7.9661169685500577E-2</v>
      </c>
      <c r="X13" s="30">
        <f t="shared" si="12"/>
        <v>0.59066116968550064</v>
      </c>
      <c r="Y13" s="1"/>
      <c r="Z13" s="14">
        <f t="shared" si="13"/>
        <v>693.01801324175938</v>
      </c>
      <c r="AA13" s="15">
        <f t="shared" si="14"/>
        <v>1309.9804775190776</v>
      </c>
      <c r="AB13" s="2">
        <f t="shared" si="15"/>
        <v>658.36711257967136</v>
      </c>
      <c r="AC13" s="15">
        <f t="shared" si="16"/>
        <v>1244.4814536431236</v>
      </c>
      <c r="AD13" s="13">
        <f t="shared" si="17"/>
        <v>1.6583671125796715</v>
      </c>
      <c r="AE13" s="13">
        <f t="shared" si="18"/>
        <v>2.2444814536431235</v>
      </c>
      <c r="AF13" s="1">
        <f t="shared" si="19"/>
        <v>4.8540000457356403E-2</v>
      </c>
      <c r="AG13" s="6">
        <f t="shared" si="20"/>
        <v>-5.5185463568765414E-3</v>
      </c>
    </row>
    <row r="14" spans="1:35" s="11" customFormat="1" ht="15.75" thickBot="1" x14ac:dyDescent="0.3">
      <c r="A14">
        <v>7</v>
      </c>
      <c r="B14" s="44" t="s">
        <v>7</v>
      </c>
      <c r="C14" s="45" t="s">
        <v>47</v>
      </c>
      <c r="D14" s="45" t="s">
        <v>48</v>
      </c>
      <c r="E14" s="82">
        <v>150</v>
      </c>
      <c r="F14" s="82">
        <v>-185.55257322908156</v>
      </c>
      <c r="G14" s="86">
        <v>45150.5</v>
      </c>
      <c r="H14"/>
      <c r="I14" s="94" t="str">
        <f t="shared" si="0"/>
        <v>"NFL:Baltimore:Houston"</v>
      </c>
      <c r="J14" s="99">
        <f t="shared" si="7"/>
        <v>1691859600</v>
      </c>
      <c r="K14" s="103">
        <f t="shared" si="24"/>
        <v>572</v>
      </c>
      <c r="L14" s="97"/>
      <c r="M14" s="2" t="str">
        <f t="shared" si="1"/>
        <v>Baltimore</v>
      </c>
      <c r="N14" s="2" t="str">
        <f t="shared" si="2"/>
        <v>Houston</v>
      </c>
      <c r="O14" s="2">
        <f t="shared" si="3"/>
        <v>-185.55257322908156</v>
      </c>
      <c r="P14" s="2">
        <f t="shared" si="4"/>
        <v>150</v>
      </c>
      <c r="Q14" s="5">
        <f t="shared" si="21"/>
        <v>1.5389308176100627</v>
      </c>
      <c r="R14" s="5">
        <f t="shared" si="22"/>
        <v>2.5</v>
      </c>
      <c r="S14" s="18">
        <f t="shared" si="5"/>
        <v>0.64980179002002547</v>
      </c>
      <c r="T14" s="19">
        <f t="shared" si="6"/>
        <v>0.4</v>
      </c>
      <c r="U14" s="1">
        <f t="shared" si="23"/>
        <v>4.7439231380121294E-2</v>
      </c>
      <c r="V14" s="1">
        <f t="shared" si="10"/>
        <v>4.9801790020025383E-2</v>
      </c>
      <c r="W14" s="1">
        <f t="shared" si="11"/>
        <v>0.12490089501001272</v>
      </c>
      <c r="X14" s="30">
        <f t="shared" si="12"/>
        <v>0.63590089501001268</v>
      </c>
      <c r="Y14" s="1"/>
      <c r="Z14" s="14">
        <f t="shared" si="13"/>
        <v>572.57209078822632</v>
      </c>
      <c r="AA14" s="15">
        <f t="shared" si="14"/>
        <v>1574.244157752772</v>
      </c>
      <c r="AB14" s="2">
        <f t="shared" si="15"/>
        <v>543.94348624881502</v>
      </c>
      <c r="AC14" s="15">
        <f t="shared" si="16"/>
        <v>1495.5319498651334</v>
      </c>
      <c r="AD14" s="13">
        <f t="shared" si="17"/>
        <v>1.5439434862488151</v>
      </c>
      <c r="AE14" s="13">
        <f t="shared" si="18"/>
        <v>2.4955319498651334</v>
      </c>
      <c r="AF14" s="1">
        <f t="shared" si="19"/>
        <v>4.8408268690396383E-2</v>
      </c>
      <c r="AG14" s="6">
        <f t="shared" si="20"/>
        <v>-4.4680501348666191E-3</v>
      </c>
    </row>
    <row r="15" spans="1:35" ht="15.75" thickBot="1" x14ac:dyDescent="0.3">
      <c r="A15">
        <v>8</v>
      </c>
      <c r="B15" s="44" t="s">
        <v>7</v>
      </c>
      <c r="C15" s="45" t="s">
        <v>49</v>
      </c>
      <c r="D15" s="45" t="s">
        <v>50</v>
      </c>
      <c r="E15" s="82">
        <v>175</v>
      </c>
      <c r="F15" s="82">
        <v>-220.51773729626078</v>
      </c>
      <c r="G15" s="86">
        <v>45150.5</v>
      </c>
      <c r="I15" s="94" t="str">
        <f t="shared" si="0"/>
        <v>"NFL:Chicago:GreenBay"</v>
      </c>
      <c r="J15" s="99">
        <f t="shared" si="7"/>
        <v>1691859600</v>
      </c>
      <c r="K15" s="103">
        <f t="shared" si="24"/>
        <v>485</v>
      </c>
      <c r="L15" s="97"/>
      <c r="M15" s="2" t="str">
        <f t="shared" si="1"/>
        <v>Chicago</v>
      </c>
      <c r="N15" s="2" t="str">
        <f t="shared" si="2"/>
        <v>GreenBay</v>
      </c>
      <c r="O15" s="2">
        <f t="shared" si="3"/>
        <v>-220.51773729626078</v>
      </c>
      <c r="P15" s="2">
        <f t="shared" si="4"/>
        <v>175</v>
      </c>
      <c r="Q15" s="5">
        <f t="shared" si="21"/>
        <v>1.4534782608695651</v>
      </c>
      <c r="R15" s="5">
        <f t="shared" si="22"/>
        <v>2.75</v>
      </c>
      <c r="S15" s="28">
        <f t="shared" si="5"/>
        <v>0.68800478612025129</v>
      </c>
      <c r="T15" s="29">
        <f t="shared" si="6"/>
        <v>0.36363636363636365</v>
      </c>
      <c r="U15" s="1">
        <f t="shared" si="23"/>
        <v>4.9105295821265993E-2</v>
      </c>
      <c r="V15" s="1">
        <f t="shared" si="10"/>
        <v>5.1641149756614935E-2</v>
      </c>
      <c r="W15" s="1">
        <f t="shared" si="11"/>
        <v>0.16218421124194382</v>
      </c>
      <c r="X15" s="30">
        <f t="shared" si="12"/>
        <v>0.67318421124194383</v>
      </c>
      <c r="Y15" s="1"/>
      <c r="Z15" s="14">
        <f t="shared" si="13"/>
        <v>485.4775012549988</v>
      </c>
      <c r="AA15" s="15">
        <f t="shared" si="14"/>
        <v>1840.094085299017</v>
      </c>
      <c r="AB15" s="2">
        <f t="shared" si="15"/>
        <v>461.20362619224886</v>
      </c>
      <c r="AC15" s="15">
        <f t="shared" si="16"/>
        <v>1748.089381034066</v>
      </c>
      <c r="AD15" s="13">
        <f t="shared" si="17"/>
        <v>1.461203626192249</v>
      </c>
      <c r="AE15" s="13">
        <f t="shared" si="18"/>
        <v>2.7480893810340659</v>
      </c>
      <c r="AF15" s="1">
        <f t="shared" si="19"/>
        <v>4.8256496526631887E-2</v>
      </c>
      <c r="AG15" s="6">
        <f t="shared" si="20"/>
        <v>-1.910618965934141E-3</v>
      </c>
    </row>
    <row r="16" spans="1:35" ht="15.75" thickBot="1" x14ac:dyDescent="0.3">
      <c r="A16">
        <v>9</v>
      </c>
      <c r="B16" s="44" t="s">
        <v>7</v>
      </c>
      <c r="C16" s="45" t="s">
        <v>51</v>
      </c>
      <c r="D16" s="45" t="s">
        <v>52</v>
      </c>
      <c r="E16" s="82">
        <v>200</v>
      </c>
      <c r="F16" s="82">
        <v>-257.42086463850228</v>
      </c>
      <c r="G16" s="86">
        <v>45150.5</v>
      </c>
      <c r="I16" s="94" t="str">
        <f t="shared" si="0"/>
        <v>"NFL:Denver:LasVegas"</v>
      </c>
      <c r="J16" s="99">
        <f t="shared" si="7"/>
        <v>1691859600</v>
      </c>
      <c r="K16" s="103">
        <f t="shared" si="24"/>
        <v>419</v>
      </c>
      <c r="L16" s="97"/>
      <c r="M16" s="2" t="str">
        <f t="shared" si="1"/>
        <v>Denver</v>
      </c>
      <c r="N16" s="2" t="str">
        <f t="shared" si="2"/>
        <v>LasVegas</v>
      </c>
      <c r="O16" s="2">
        <f t="shared" si="3"/>
        <v>-257.42086463850228</v>
      </c>
      <c r="P16" s="2">
        <f t="shared" si="4"/>
        <v>200</v>
      </c>
      <c r="Q16" s="5">
        <f t="shared" si="21"/>
        <v>1.3884688995215311</v>
      </c>
      <c r="R16" s="5">
        <f t="shared" si="22"/>
        <v>3</v>
      </c>
      <c r="S16" s="28">
        <f t="shared" si="5"/>
        <v>0.72021778834556671</v>
      </c>
      <c r="T16" s="29">
        <f t="shared" si="6"/>
        <v>0.33333333333333331</v>
      </c>
      <c r="U16" s="1">
        <f t="shared" si="23"/>
        <v>5.0829162986949061E-2</v>
      </c>
      <c r="V16" s="1">
        <f t="shared" si="10"/>
        <v>5.3551121678899971E-2</v>
      </c>
      <c r="W16" s="1">
        <f t="shared" si="11"/>
        <v>0.1934422275061167</v>
      </c>
      <c r="X16" s="30">
        <f t="shared" si="12"/>
        <v>0.70444222750611674</v>
      </c>
      <c r="Y16" s="1"/>
      <c r="Z16" s="14">
        <f t="shared" si="13"/>
        <v>419.5628270897729</v>
      </c>
      <c r="AA16" s="15">
        <f t="shared" si="14"/>
        <v>2107.5613796188613</v>
      </c>
      <c r="AB16" s="2">
        <f t="shared" si="15"/>
        <v>398.58468573528421</v>
      </c>
      <c r="AC16" s="15">
        <f t="shared" si="16"/>
        <v>2002.1833106379181</v>
      </c>
      <c r="AD16" s="13">
        <f t="shared" si="17"/>
        <v>1.3985846857352842</v>
      </c>
      <c r="AE16" s="13">
        <f t="shared" si="18"/>
        <v>3.0021833106379181</v>
      </c>
      <c r="AF16" s="1">
        <f t="shared" si="19"/>
        <v>4.8099463820965971E-2</v>
      </c>
      <c r="AG16" s="6">
        <f t="shared" si="20"/>
        <v>2.1833106379181011E-3</v>
      </c>
    </row>
    <row r="17" spans="1:33" ht="15.75" thickBot="1" x14ac:dyDescent="0.3">
      <c r="A17">
        <v>10</v>
      </c>
      <c r="B17" s="44" t="s">
        <v>7</v>
      </c>
      <c r="C17" s="45" t="s">
        <v>53</v>
      </c>
      <c r="D17" s="45" t="s">
        <v>54</v>
      </c>
      <c r="E17" s="82">
        <v>225</v>
      </c>
      <c r="F17" s="82">
        <v>-296.42766658221433</v>
      </c>
      <c r="G17" s="86">
        <v>45150.5</v>
      </c>
      <c r="I17" s="94" t="str">
        <f t="shared" si="0"/>
        <v>"NFL:NewEngland:Philadelphia"</v>
      </c>
      <c r="J17" s="99">
        <f t="shared" si="7"/>
        <v>1691859600</v>
      </c>
      <c r="K17" s="103">
        <f t="shared" si="24"/>
        <v>367</v>
      </c>
      <c r="L17" s="97"/>
      <c r="M17" s="2" t="str">
        <f t="shared" si="1"/>
        <v>NewEngland</v>
      </c>
      <c r="N17" s="2" t="str">
        <f t="shared" si="2"/>
        <v>Philadelphia</v>
      </c>
      <c r="O17" s="2">
        <f t="shared" si="3"/>
        <v>-296.42766658221433</v>
      </c>
      <c r="P17" s="2">
        <f t="shared" si="4"/>
        <v>225</v>
      </c>
      <c r="Q17" s="5">
        <f t="shared" si="21"/>
        <v>1.3373504273504273</v>
      </c>
      <c r="R17" s="5">
        <f t="shared" si="22"/>
        <v>3.25</v>
      </c>
      <c r="S17" s="28">
        <f t="shared" si="5"/>
        <v>0.74774717198184959</v>
      </c>
      <c r="T17" s="29">
        <f t="shared" si="6"/>
        <v>0.30769230769230771</v>
      </c>
      <c r="U17" s="1">
        <f t="shared" si="23"/>
        <v>5.2527388582501167E-2</v>
      </c>
      <c r="V17" s="1">
        <f t="shared" si="10"/>
        <v>5.5439479674157299E-2</v>
      </c>
      <c r="W17" s="1">
        <f t="shared" si="11"/>
        <v>0.22002743214477094</v>
      </c>
      <c r="X17" s="30">
        <f t="shared" si="12"/>
        <v>0.73102743214477095</v>
      </c>
      <c r="Y17" s="1"/>
      <c r="Z17" s="14">
        <f t="shared" si="13"/>
        <v>367.93772166126092</v>
      </c>
      <c r="AA17" s="15">
        <f t="shared" si="14"/>
        <v>2376.6726822073069</v>
      </c>
      <c r="AB17" s="2">
        <f t="shared" si="15"/>
        <v>349.54083557819786</v>
      </c>
      <c r="AC17" s="15">
        <f t="shared" si="16"/>
        <v>2257.8390480969415</v>
      </c>
      <c r="AD17" s="13">
        <f t="shared" si="17"/>
        <v>1.3495408355781979</v>
      </c>
      <c r="AE17" s="13">
        <f t="shared" si="18"/>
        <v>3.2578390480969417</v>
      </c>
      <c r="AF17" s="1">
        <f t="shared" si="19"/>
        <v>4.794470361275005E-2</v>
      </c>
      <c r="AG17" s="6">
        <f t="shared" si="20"/>
        <v>7.839048096941692E-3</v>
      </c>
    </row>
    <row r="18" spans="1:33" ht="15.75" thickBot="1" x14ac:dyDescent="0.3">
      <c r="A18">
        <v>11</v>
      </c>
      <c r="B18" s="44" t="s">
        <v>7</v>
      </c>
      <c r="C18" s="45" t="s">
        <v>55</v>
      </c>
      <c r="D18" s="45" t="s">
        <v>56</v>
      </c>
      <c r="E18" s="82">
        <v>250</v>
      </c>
      <c r="F18" s="82">
        <v>-337.72330160385968</v>
      </c>
      <c r="G18" s="86">
        <v>45150.5</v>
      </c>
      <c r="I18" s="94" t="str">
        <f t="shared" si="0"/>
        <v>"NFL:LosAngelesChargers:Miami"</v>
      </c>
      <c r="J18" s="99">
        <f t="shared" si="7"/>
        <v>1691859600</v>
      </c>
      <c r="K18" s="103">
        <f t="shared" si="24"/>
        <v>326</v>
      </c>
      <c r="L18" s="97"/>
      <c r="M18" s="2" t="str">
        <f t="shared" si="1"/>
        <v>LosAngelesChargers</v>
      </c>
      <c r="N18" s="2" t="str">
        <f t="shared" si="2"/>
        <v>Miami</v>
      </c>
      <c r="O18" s="2">
        <f t="shared" si="3"/>
        <v>-337.72330160385968</v>
      </c>
      <c r="P18" s="2">
        <f t="shared" si="4"/>
        <v>250</v>
      </c>
      <c r="Q18" s="5">
        <f t="shared" si="21"/>
        <v>1.2961003861003861</v>
      </c>
      <c r="R18" s="5">
        <f t="shared" si="22"/>
        <v>3.5</v>
      </c>
      <c r="S18" s="28">
        <f t="shared" si="5"/>
        <v>0.77154517560844826</v>
      </c>
      <c r="T18" s="29">
        <f t="shared" si="6"/>
        <v>0.2857142857142857</v>
      </c>
      <c r="U18" s="1">
        <f t="shared" si="23"/>
        <v>5.4158381568037095E-2</v>
      </c>
      <c r="V18" s="1">
        <f t="shared" si="10"/>
        <v>5.7259461322733962E-2</v>
      </c>
      <c r="W18" s="1">
        <f t="shared" si="11"/>
        <v>0.24291544494708128</v>
      </c>
      <c r="X18" s="30">
        <f t="shared" si="12"/>
        <v>0.75391544494708129</v>
      </c>
      <c r="Y18" s="1"/>
      <c r="Z18" s="14">
        <f t="shared" si="13"/>
        <v>326.40869304672736</v>
      </c>
      <c r="AA18" s="15">
        <f t="shared" si="14"/>
        <v>2647.4517888820355</v>
      </c>
      <c r="AB18" s="2">
        <f t="shared" si="15"/>
        <v>310.088258394391</v>
      </c>
      <c r="AC18" s="15">
        <f t="shared" si="16"/>
        <v>2515.0791994379338</v>
      </c>
      <c r="AD18" s="13">
        <f t="shared" si="17"/>
        <v>1.3100882583943911</v>
      </c>
      <c r="AE18" s="13">
        <f t="shared" si="18"/>
        <v>3.5150791994379338</v>
      </c>
      <c r="AF18" s="1">
        <f t="shared" si="19"/>
        <v>4.7795963740590697E-2</v>
      </c>
      <c r="AG18" s="6">
        <f t="shared" si="20"/>
        <v>1.5079199437933788E-2</v>
      </c>
    </row>
    <row r="19" spans="1:33" ht="15.75" thickBot="1" x14ac:dyDescent="0.3">
      <c r="A19">
        <v>12</v>
      </c>
      <c r="B19" s="44" t="s">
        <v>7</v>
      </c>
      <c r="C19" s="45" t="s">
        <v>57</v>
      </c>
      <c r="D19" s="45" t="s">
        <v>58</v>
      </c>
      <c r="E19" s="82">
        <v>275</v>
      </c>
      <c r="F19" s="82">
        <v>-381.51531434712518</v>
      </c>
      <c r="G19" s="86">
        <v>45150.5</v>
      </c>
      <c r="I19" s="94" t="str">
        <f t="shared" si="0"/>
        <v>"NFL:Seattle:LosAngelesRams"</v>
      </c>
      <c r="J19" s="99">
        <f t="shared" si="7"/>
        <v>1691859600</v>
      </c>
      <c r="K19" s="103">
        <f t="shared" si="24"/>
        <v>292</v>
      </c>
      <c r="L19" s="97"/>
      <c r="M19" s="2" t="str">
        <f t="shared" si="1"/>
        <v>Seattle</v>
      </c>
      <c r="N19" s="2" t="str">
        <f t="shared" si="2"/>
        <v>LosAngelesRams</v>
      </c>
      <c r="O19" s="2">
        <f t="shared" si="3"/>
        <v>-381.51531434712518</v>
      </c>
      <c r="P19" s="2">
        <f t="shared" si="4"/>
        <v>275</v>
      </c>
      <c r="Q19" s="5">
        <f t="shared" si="21"/>
        <v>1.2621126760563381</v>
      </c>
      <c r="R19" s="5">
        <f t="shared" si="22"/>
        <v>3.75</v>
      </c>
      <c r="S19" s="28">
        <f t="shared" si="5"/>
        <v>0.79232228545921202</v>
      </c>
      <c r="T19" s="29">
        <f t="shared" si="6"/>
        <v>0.26666666666666666</v>
      </c>
      <c r="U19" s="1">
        <f t="shared" si="23"/>
        <v>5.5703085483055137E-2</v>
      </c>
      <c r="V19" s="1">
        <f t="shared" si="10"/>
        <v>5.8988952125878624E-2</v>
      </c>
      <c r="W19" s="1">
        <f t="shared" si="11"/>
        <v>0.2628278093962727</v>
      </c>
      <c r="X19" s="30">
        <f t="shared" si="12"/>
        <v>0.77382780939627271</v>
      </c>
      <c r="Y19" s="1"/>
      <c r="Z19" s="14">
        <f t="shared" si="13"/>
        <v>292.27715501744876</v>
      </c>
      <c r="AA19" s="15">
        <f t="shared" si="14"/>
        <v>2919.9206450056358</v>
      </c>
      <c r="AB19" s="2">
        <f t="shared" si="15"/>
        <v>277.66329726657631</v>
      </c>
      <c r="AC19" s="15">
        <f t="shared" si="16"/>
        <v>2773.9246127553538</v>
      </c>
      <c r="AD19" s="13">
        <f t="shared" si="17"/>
        <v>1.2776632972665762</v>
      </c>
      <c r="AE19" s="13">
        <f t="shared" si="18"/>
        <v>3.7739246127553536</v>
      </c>
      <c r="AF19" s="1">
        <f t="shared" si="19"/>
        <v>4.7654964759349605E-2</v>
      </c>
      <c r="AG19" s="6">
        <f t="shared" si="20"/>
        <v>2.3924612755353625E-2</v>
      </c>
    </row>
    <row r="20" spans="1:33" ht="15.75" thickBot="1" x14ac:dyDescent="0.3">
      <c r="A20">
        <v>13</v>
      </c>
      <c r="B20" s="44" t="s">
        <v>61</v>
      </c>
      <c r="C20" s="45" t="s">
        <v>116</v>
      </c>
      <c r="D20" s="45" t="s">
        <v>115</v>
      </c>
      <c r="E20" s="82">
        <v>300</v>
      </c>
      <c r="F20" s="82">
        <v>-428.03712425543705</v>
      </c>
      <c r="G20" s="86">
        <v>45150.5</v>
      </c>
      <c r="I20" s="94" t="str">
        <f t="shared" si="0"/>
        <v>"CFL:BowlingGreen:UnivOhio"</v>
      </c>
      <c r="J20" s="99">
        <f t="shared" si="7"/>
        <v>1691859600</v>
      </c>
      <c r="K20" s="103">
        <f t="shared" si="24"/>
        <v>263</v>
      </c>
      <c r="L20" s="97"/>
      <c r="M20" s="2" t="str">
        <f t="shared" si="1"/>
        <v>BowlingGreen</v>
      </c>
      <c r="N20" s="2" t="str">
        <f t="shared" si="2"/>
        <v>UnivOhio</v>
      </c>
      <c r="O20" s="2">
        <f t="shared" si="3"/>
        <v>-428.03712425543705</v>
      </c>
      <c r="P20" s="2">
        <f t="shared" si="4"/>
        <v>300</v>
      </c>
      <c r="Q20" s="5">
        <f t="shared" si="21"/>
        <v>1.2336245954692555</v>
      </c>
      <c r="R20" s="5">
        <f t="shared" si="22"/>
        <v>4</v>
      </c>
      <c r="S20" s="28">
        <f t="shared" si="5"/>
        <v>0.81061937616411772</v>
      </c>
      <c r="T20" s="29">
        <f t="shared" si="6"/>
        <v>0.25</v>
      </c>
      <c r="U20" s="1">
        <f t="shared" si="23"/>
        <v>5.7154694253612748E-2</v>
      </c>
      <c r="V20" s="1">
        <f t="shared" si="10"/>
        <v>6.0619376164117611E-2</v>
      </c>
      <c r="W20" s="1">
        <f t="shared" si="11"/>
        <v>0.28030968808205886</v>
      </c>
      <c r="X20" s="30">
        <f t="shared" si="12"/>
        <v>0.79130968808205893</v>
      </c>
      <c r="Y20" s="1"/>
      <c r="Z20" s="14">
        <f t="shared" si="13"/>
        <v>263.7277352483265</v>
      </c>
      <c r="AA20" s="15">
        <f t="shared" si="14"/>
        <v>3194.0999765396705</v>
      </c>
      <c r="AB20" s="2">
        <f t="shared" si="15"/>
        <v>250.54134848591016</v>
      </c>
      <c r="AC20" s="15">
        <f t="shared" si="16"/>
        <v>3034.3949777126868</v>
      </c>
      <c r="AD20" s="13">
        <f t="shared" si="17"/>
        <v>1.25054134848591</v>
      </c>
      <c r="AE20" s="13">
        <f t="shared" si="18"/>
        <v>4.0343949777126866</v>
      </c>
      <c r="AF20" s="1">
        <f t="shared" si="19"/>
        <v>4.7522327854952584E-2</v>
      </c>
      <c r="AG20" s="6">
        <f t="shared" si="20"/>
        <v>3.4394977712686625E-2</v>
      </c>
    </row>
    <row r="21" spans="1:33" ht="15.75" thickBot="1" x14ac:dyDescent="0.3">
      <c r="A21">
        <v>14</v>
      </c>
      <c r="B21" s="44" t="s">
        <v>61</v>
      </c>
      <c r="C21" s="45" t="s">
        <v>62</v>
      </c>
      <c r="D21" s="45" t="s">
        <v>63</v>
      </c>
      <c r="E21" s="82">
        <v>325</v>
      </c>
      <c r="F21" s="82">
        <v>-477.55218758936235</v>
      </c>
      <c r="G21" s="86">
        <v>45150.5</v>
      </c>
      <c r="I21" s="94" t="str">
        <f t="shared" si="0"/>
        <v>"CFL:FresnoState:EasternWashington"</v>
      </c>
      <c r="J21" s="99">
        <f t="shared" si="7"/>
        <v>1691859600</v>
      </c>
      <c r="K21" s="103">
        <f t="shared" si="24"/>
        <v>239</v>
      </c>
      <c r="L21" s="97"/>
      <c r="M21" s="2" t="str">
        <f t="shared" si="1"/>
        <v>FresnoState</v>
      </c>
      <c r="N21" s="2" t="str">
        <f t="shared" si="2"/>
        <v>EasternWashington</v>
      </c>
      <c r="O21" s="2">
        <f t="shared" si="3"/>
        <v>-477.55218758936235</v>
      </c>
      <c r="P21" s="2">
        <f t="shared" si="4"/>
        <v>325</v>
      </c>
      <c r="Q21" s="5">
        <f t="shared" si="21"/>
        <v>1.2094011976047905</v>
      </c>
      <c r="R21" s="5">
        <f t="shared" si="22"/>
        <v>4.25</v>
      </c>
      <c r="S21" s="28">
        <f t="shared" si="5"/>
        <v>0.82685547358518585</v>
      </c>
      <c r="T21" s="29">
        <f t="shared" si="6"/>
        <v>0.23529411764705882</v>
      </c>
      <c r="U21" s="1">
        <f t="shared" si="23"/>
        <v>5.8513030316325154E-2</v>
      </c>
      <c r="V21" s="1">
        <f t="shared" si="10"/>
        <v>6.2149591232244727E-2</v>
      </c>
      <c r="W21" s="1">
        <f t="shared" si="11"/>
        <v>0.29578067796906349</v>
      </c>
      <c r="X21" s="30">
        <f t="shared" si="12"/>
        <v>0.8067806779690635</v>
      </c>
      <c r="Y21" s="1"/>
      <c r="Z21" s="14">
        <f t="shared" si="13"/>
        <v>239.49423592708507</v>
      </c>
      <c r="AA21" s="15">
        <f t="shared" si="14"/>
        <v>3470.00970394457</v>
      </c>
      <c r="AB21" s="2">
        <f t="shared" si="15"/>
        <v>227.51952413073082</v>
      </c>
      <c r="AC21" s="15">
        <f t="shared" si="16"/>
        <v>3296.5092187473415</v>
      </c>
      <c r="AD21" s="13">
        <f t="shared" si="17"/>
        <v>1.2275195241307308</v>
      </c>
      <c r="AE21" s="13">
        <f t="shared" si="18"/>
        <v>4.2965092187473415</v>
      </c>
      <c r="AF21" s="1">
        <f t="shared" si="19"/>
        <v>4.7398079454922692E-2</v>
      </c>
      <c r="AG21" s="6">
        <f t="shared" si="20"/>
        <v>4.6509218747341485E-2</v>
      </c>
    </row>
    <row r="22" spans="1:33" ht="15.75" thickBot="1" x14ac:dyDescent="0.3">
      <c r="A22">
        <v>15</v>
      </c>
      <c r="B22" s="44" t="s">
        <v>61</v>
      </c>
      <c r="C22" s="45" t="s">
        <v>64</v>
      </c>
      <c r="D22" s="45" t="s">
        <v>65</v>
      </c>
      <c r="E22" s="82">
        <v>350</v>
      </c>
      <c r="F22" s="82">
        <v>-530.35898951100614</v>
      </c>
      <c r="G22" s="86">
        <v>45150.5</v>
      </c>
      <c r="I22" s="94" t="str">
        <f t="shared" si="0"/>
        <v>"CFL:UtahState:IdahoState"</v>
      </c>
      <c r="J22" s="99">
        <f t="shared" si="7"/>
        <v>1691859600</v>
      </c>
      <c r="K22" s="103">
        <f t="shared" si="24"/>
        <v>218</v>
      </c>
      <c r="L22" s="97"/>
      <c r="M22" s="2" t="str">
        <f t="shared" si="1"/>
        <v>UtahState</v>
      </c>
      <c r="N22" s="2" t="str">
        <f t="shared" si="2"/>
        <v>IdahoState</v>
      </c>
      <c r="O22" s="2">
        <f t="shared" si="3"/>
        <v>-530.35898951100614</v>
      </c>
      <c r="P22" s="2">
        <f t="shared" si="4"/>
        <v>350</v>
      </c>
      <c r="Q22" s="5">
        <f t="shared" si="21"/>
        <v>1.1885515320334261</v>
      </c>
      <c r="R22" s="5">
        <f t="shared" si="22"/>
        <v>4.5</v>
      </c>
      <c r="S22" s="28">
        <f t="shared" si="5"/>
        <v>0.84136023811197835</v>
      </c>
      <c r="T22" s="29">
        <f t="shared" si="6"/>
        <v>0.22222222222222221</v>
      </c>
      <c r="U22" s="1">
        <f t="shared" si="23"/>
        <v>5.9781411132166951E-2</v>
      </c>
      <c r="V22" s="1">
        <f t="shared" si="10"/>
        <v>6.3582460334200563E-2</v>
      </c>
      <c r="W22" s="1">
        <f t="shared" si="11"/>
        <v>0.30956900794487807</v>
      </c>
      <c r="X22" s="30">
        <f t="shared" si="12"/>
        <v>0.82056900794487808</v>
      </c>
      <c r="Y22" s="1"/>
      <c r="Z22" s="14">
        <f t="shared" si="13"/>
        <v>218.66654762468829</v>
      </c>
      <c r="AA22" s="15">
        <f t="shared" si="14"/>
        <v>3747.669221821166</v>
      </c>
      <c r="AB22" s="2">
        <f t="shared" si="15"/>
        <v>207.73322024345387</v>
      </c>
      <c r="AC22" s="15">
        <f t="shared" si="16"/>
        <v>3560.2857607301075</v>
      </c>
      <c r="AD22" s="13">
        <f t="shared" si="17"/>
        <v>1.2077332202434539</v>
      </c>
      <c r="AE22" s="13">
        <f t="shared" si="18"/>
        <v>4.5602857607301077</v>
      </c>
      <c r="AF22" s="1">
        <f t="shared" si="19"/>
        <v>4.7281931690625223E-2</v>
      </c>
      <c r="AG22" s="6">
        <f t="shared" si="20"/>
        <v>6.0285760730107718E-2</v>
      </c>
    </row>
    <row r="23" spans="1:33" ht="15.75" thickBot="1" x14ac:dyDescent="0.3">
      <c r="A23">
        <v>16</v>
      </c>
      <c r="B23" s="44" t="s">
        <v>61</v>
      </c>
      <c r="C23" s="45" t="s">
        <v>66</v>
      </c>
      <c r="D23" s="45" t="s">
        <v>67</v>
      </c>
      <c r="E23" s="82">
        <v>375</v>
      </c>
      <c r="F23" s="82">
        <v>-586.79706601466989</v>
      </c>
      <c r="G23" s="86">
        <v>45150.5</v>
      </c>
      <c r="I23" s="94" t="str">
        <f t="shared" si="0"/>
        <v>"CFL:WakeForest:Vanderbilt"</v>
      </c>
      <c r="J23" s="99">
        <f t="shared" si="7"/>
        <v>1691859600</v>
      </c>
      <c r="K23" s="103">
        <f t="shared" si="24"/>
        <v>200</v>
      </c>
      <c r="L23" s="97"/>
      <c r="M23" s="2" t="str">
        <f t="shared" si="1"/>
        <v>WakeForest</v>
      </c>
      <c r="N23" s="2" t="str">
        <f t="shared" si="2"/>
        <v>Vanderbilt</v>
      </c>
      <c r="O23" s="2">
        <f t="shared" si="3"/>
        <v>-586.79706601466989</v>
      </c>
      <c r="P23" s="2">
        <f t="shared" si="4"/>
        <v>375</v>
      </c>
      <c r="Q23" s="5">
        <f t="shared" si="21"/>
        <v>1.1704166666666667</v>
      </c>
      <c r="R23" s="5">
        <f t="shared" si="22"/>
        <v>4.75</v>
      </c>
      <c r="S23" s="28">
        <f t="shared" si="5"/>
        <v>0.85439658241367034</v>
      </c>
      <c r="T23" s="29">
        <f t="shared" si="6"/>
        <v>0.21052631578947367</v>
      </c>
      <c r="U23" s="1">
        <f t="shared" si="23"/>
        <v>6.0964881413188787E-2</v>
      </c>
      <c r="V23" s="1">
        <f t="shared" si="10"/>
        <v>6.4922898203144008E-2</v>
      </c>
      <c r="W23" s="1">
        <f t="shared" si="11"/>
        <v>0.32193513331209833</v>
      </c>
      <c r="X23" s="30">
        <f t="shared" si="12"/>
        <v>0.83293513331209834</v>
      </c>
      <c r="Y23" s="1"/>
      <c r="Z23" s="14">
        <f t="shared" si="13"/>
        <v>200.57368215887573</v>
      </c>
      <c r="AA23" s="15">
        <f t="shared" si="14"/>
        <v>4027.0975929051001</v>
      </c>
      <c r="AB23" s="2">
        <f t="shared" si="15"/>
        <v>190.54499805093192</v>
      </c>
      <c r="AC23" s="15">
        <f t="shared" si="16"/>
        <v>3825.742713259845</v>
      </c>
      <c r="AD23" s="13">
        <f t="shared" si="17"/>
        <v>1.1905449980509319</v>
      </c>
      <c r="AE23" s="13">
        <f t="shared" si="18"/>
        <v>4.8257427132598449</v>
      </c>
      <c r="AF23" s="1">
        <f t="shared" si="19"/>
        <v>4.7173440467582317E-2</v>
      </c>
      <c r="AG23" s="6">
        <f t="shared" si="20"/>
        <v>7.574271325984494E-2</v>
      </c>
    </row>
    <row r="24" spans="1:33" ht="15.75" thickBot="1" x14ac:dyDescent="0.3">
      <c r="A24">
        <v>17</v>
      </c>
      <c r="B24" s="44" t="s">
        <v>61</v>
      </c>
      <c r="C24" s="45" t="s">
        <v>68</v>
      </c>
      <c r="D24" s="45" t="s">
        <v>69</v>
      </c>
      <c r="E24" s="82">
        <v>400</v>
      </c>
      <c r="F24" s="82">
        <v>-647.2543123912011</v>
      </c>
      <c r="G24" s="86">
        <v>45150.5</v>
      </c>
      <c r="I24" s="94" t="str">
        <f t="shared" si="0"/>
        <v>"CFL:Army:DelawareState"</v>
      </c>
      <c r="J24" s="99">
        <f t="shared" si="7"/>
        <v>1691859600</v>
      </c>
      <c r="K24" s="103">
        <f t="shared" si="24"/>
        <v>184</v>
      </c>
      <c r="L24" s="97"/>
      <c r="M24" s="2" t="str">
        <f t="shared" si="1"/>
        <v>Army</v>
      </c>
      <c r="N24" s="2" t="str">
        <f t="shared" si="2"/>
        <v>DelawareState</v>
      </c>
      <c r="O24" s="2">
        <f t="shared" si="3"/>
        <v>-647.2543123912011</v>
      </c>
      <c r="P24" s="2">
        <f t="shared" si="4"/>
        <v>400</v>
      </c>
      <c r="Q24" s="5">
        <f t="shared" si="21"/>
        <v>1.1544987775061124</v>
      </c>
      <c r="R24" s="5">
        <f t="shared" si="22"/>
        <v>5</v>
      </c>
      <c r="S24" s="28">
        <f t="shared" si="5"/>
        <v>0.866176750884178</v>
      </c>
      <c r="T24" s="29">
        <f t="shared" si="6"/>
        <v>0.2</v>
      </c>
      <c r="U24" s="1">
        <f t="shared" si="23"/>
        <v>6.2069212097616844E-2</v>
      </c>
      <c r="V24" s="1">
        <f t="shared" si="10"/>
        <v>6.6176750884177959E-2</v>
      </c>
      <c r="W24" s="1">
        <f t="shared" si="11"/>
        <v>0.33308837544208902</v>
      </c>
      <c r="X24" s="30">
        <f t="shared" si="12"/>
        <v>0.84408837544208903</v>
      </c>
      <c r="Y24" s="1"/>
      <c r="Z24" s="14">
        <f t="shared" si="13"/>
        <v>184.71007194744593</v>
      </c>
      <c r="AA24" s="15">
        <f t="shared" si="14"/>
        <v>4308.3136859091856</v>
      </c>
      <c r="AB24" s="2">
        <f t="shared" si="15"/>
        <v>175.47456835007361</v>
      </c>
      <c r="AC24" s="15">
        <f t="shared" si="16"/>
        <v>4092.8980016137261</v>
      </c>
      <c r="AD24" s="13">
        <f t="shared" si="17"/>
        <v>1.1754745683500736</v>
      </c>
      <c r="AE24" s="13">
        <f t="shared" si="18"/>
        <v>5.092898001613726</v>
      </c>
      <c r="AF24" s="1">
        <f t="shared" si="19"/>
        <v>4.7072095031276406E-2</v>
      </c>
      <c r="AG24" s="6">
        <f t="shared" si="20"/>
        <v>9.2898001613725967E-2</v>
      </c>
    </row>
    <row r="25" spans="1:33" ht="15.75" thickBot="1" x14ac:dyDescent="0.3">
      <c r="A25">
        <v>18</v>
      </c>
      <c r="B25" s="44" t="s">
        <v>61</v>
      </c>
      <c r="C25" s="45" t="s">
        <v>70</v>
      </c>
      <c r="D25" s="45" t="s">
        <v>71</v>
      </c>
      <c r="E25" s="82">
        <v>-476</v>
      </c>
      <c r="F25" s="82">
        <v>352</v>
      </c>
      <c r="G25" s="86">
        <v>45150.5</v>
      </c>
      <c r="I25" s="94" t="str">
        <f t="shared" si="0"/>
        <v>"CFL:Nebraska:Colorado"</v>
      </c>
      <c r="J25" s="99">
        <f t="shared" si="7"/>
        <v>1691859600</v>
      </c>
      <c r="K25" s="103">
        <f t="shared" si="24"/>
        <v>229</v>
      </c>
      <c r="L25" s="97"/>
      <c r="M25" s="2" t="str">
        <f t="shared" si="1"/>
        <v>Nebraska</v>
      </c>
      <c r="N25" s="2" t="str">
        <f t="shared" si="2"/>
        <v>Colorado</v>
      </c>
      <c r="O25" s="2">
        <f t="shared" si="3"/>
        <v>-476</v>
      </c>
      <c r="P25" s="2">
        <f t="shared" si="4"/>
        <v>352</v>
      </c>
      <c r="Q25" s="5">
        <f t="shared" si="21"/>
        <v>1.2100840336134453</v>
      </c>
      <c r="R25" s="5">
        <f t="shared" si="22"/>
        <v>4.5199999999999996</v>
      </c>
      <c r="S25" s="28">
        <f t="shared" si="5"/>
        <v>0.82638888888888895</v>
      </c>
      <c r="T25" s="29">
        <f t="shared" si="6"/>
        <v>0.22123893805309736</v>
      </c>
      <c r="U25" s="1">
        <f t="shared" si="23"/>
        <v>4.546254472927802E-2</v>
      </c>
      <c r="V25" s="1">
        <f t="shared" si="10"/>
        <v>4.7627826941986307E-2</v>
      </c>
      <c r="W25" s="1">
        <f t="shared" si="11"/>
        <v>0.3025749754178958</v>
      </c>
      <c r="X25" s="30">
        <f t="shared" si="12"/>
        <v>0.81357497541789581</v>
      </c>
      <c r="Y25" s="1"/>
      <c r="Z25" s="14">
        <f t="shared" si="13"/>
        <v>229.14301719561414</v>
      </c>
      <c r="AA25" s="15">
        <f t="shared" si="14"/>
        <v>3602.7310647181371</v>
      </c>
      <c r="AB25" s="2">
        <f t="shared" si="15"/>
        <v>217.68586633583342</v>
      </c>
      <c r="AC25" s="15">
        <f t="shared" si="16"/>
        <v>3422.5945114822302</v>
      </c>
      <c r="AD25" s="13">
        <f t="shared" si="17"/>
        <v>1.2176858663358334</v>
      </c>
      <c r="AE25" s="13">
        <f t="shared" si="18"/>
        <v>4.42259451148223</v>
      </c>
      <c r="AF25" s="1">
        <f t="shared" si="19"/>
        <v>4.7341483139892615E-2</v>
      </c>
      <c r="AG25" s="6">
        <f t="shared" si="20"/>
        <v>-9.7405488517769534E-2</v>
      </c>
    </row>
    <row r="26" spans="1:33" ht="15.75" thickBot="1" x14ac:dyDescent="0.3">
      <c r="A26">
        <v>19</v>
      </c>
      <c r="B26" s="44" t="s">
        <v>61</v>
      </c>
      <c r="C26" s="45" t="s">
        <v>72</v>
      </c>
      <c r="D26" s="45" t="s">
        <v>73</v>
      </c>
      <c r="E26" s="82">
        <v>225</v>
      </c>
      <c r="F26" s="82">
        <v>-286</v>
      </c>
      <c r="G26" s="86">
        <v>45150.5</v>
      </c>
      <c r="I26" s="94" t="str">
        <f t="shared" si="0"/>
        <v>"CFL:Georgia:BallState"</v>
      </c>
      <c r="J26" s="99">
        <f t="shared" si="7"/>
        <v>1691859600</v>
      </c>
      <c r="K26" s="103">
        <f t="shared" si="24"/>
        <v>374</v>
      </c>
      <c r="L26" s="97"/>
      <c r="M26" s="2" t="str">
        <f t="shared" si="1"/>
        <v>Georgia</v>
      </c>
      <c r="N26" s="2" t="str">
        <f t="shared" si="2"/>
        <v>BallState</v>
      </c>
      <c r="O26" s="2">
        <f t="shared" si="3"/>
        <v>-286</v>
      </c>
      <c r="P26" s="2">
        <f t="shared" si="4"/>
        <v>225</v>
      </c>
      <c r="Q26" s="5">
        <f t="shared" si="21"/>
        <v>1.3496503496503496</v>
      </c>
      <c r="R26" s="5">
        <f t="shared" si="22"/>
        <v>3.25</v>
      </c>
      <c r="S26" s="28">
        <f t="shared" si="5"/>
        <v>0.74093264248704671</v>
      </c>
      <c r="T26" s="29">
        <f t="shared" si="6"/>
        <v>0.30769230769230771</v>
      </c>
      <c r="U26" s="1">
        <f t="shared" si="23"/>
        <v>4.6370201444317916E-2</v>
      </c>
      <c r="V26" s="1">
        <f t="shared" si="10"/>
        <v>4.8624950179354531E-2</v>
      </c>
      <c r="W26" s="1">
        <f t="shared" si="11"/>
        <v>0.2166201673973695</v>
      </c>
      <c r="X26" s="30">
        <f t="shared" si="12"/>
        <v>0.72762016739736946</v>
      </c>
      <c r="Y26" s="1"/>
      <c r="Z26" s="14">
        <f t="shared" si="13"/>
        <v>374.34343467541333</v>
      </c>
      <c r="AA26" s="15">
        <f t="shared" si="14"/>
        <v>2339.680234171391</v>
      </c>
      <c r="AB26" s="2">
        <f t="shared" si="15"/>
        <v>355.62626294164266</v>
      </c>
      <c r="AC26" s="15">
        <f t="shared" si="16"/>
        <v>2222.6962224628214</v>
      </c>
      <c r="AD26" s="13">
        <f t="shared" si="17"/>
        <v>1.3556262629416427</v>
      </c>
      <c r="AE26" s="13">
        <f t="shared" si="18"/>
        <v>3.2226962224628215</v>
      </c>
      <c r="AF26" s="1">
        <f t="shared" si="19"/>
        <v>4.7965621959485505E-2</v>
      </c>
      <c r="AG26" s="6">
        <f t="shared" si="20"/>
        <v>-2.7303777537178497E-2</v>
      </c>
    </row>
    <row r="27" spans="1:33" ht="15.75" thickBot="1" x14ac:dyDescent="0.3">
      <c r="A27">
        <v>20</v>
      </c>
      <c r="B27" s="44" t="s">
        <v>61</v>
      </c>
      <c r="C27" s="45" t="s">
        <v>117</v>
      </c>
      <c r="D27" s="45" t="s">
        <v>9</v>
      </c>
      <c r="E27" s="82">
        <v>-115</v>
      </c>
      <c r="F27" s="82">
        <v>-106</v>
      </c>
      <c r="G27" s="86">
        <v>45150.5</v>
      </c>
      <c r="I27" s="94" t="str">
        <f t="shared" si="0"/>
        <v>"CFL:Youngstown:OhioState"</v>
      </c>
      <c r="J27" s="99">
        <f t="shared" si="7"/>
        <v>1691859600</v>
      </c>
      <c r="K27" s="103">
        <f t="shared" si="24"/>
        <v>918</v>
      </c>
      <c r="L27" s="97"/>
      <c r="M27" s="2" t="str">
        <f t="shared" si="1"/>
        <v>Youngstown</v>
      </c>
      <c r="N27" s="2" t="str">
        <f t="shared" si="2"/>
        <v>OhioState</v>
      </c>
      <c r="O27" s="2">
        <f t="shared" si="3"/>
        <v>-115</v>
      </c>
      <c r="P27" s="2">
        <f t="shared" si="4"/>
        <v>-106</v>
      </c>
      <c r="Q27" s="5">
        <f t="shared" si="21"/>
        <v>1.8695652173913044</v>
      </c>
      <c r="R27" s="5">
        <f t="shared" si="22"/>
        <v>1.9433962264150944</v>
      </c>
      <c r="S27" s="28">
        <f t="shared" si="5"/>
        <v>0.53488372093023251</v>
      </c>
      <c r="T27" s="29">
        <f t="shared" si="6"/>
        <v>0.5145631067961165</v>
      </c>
      <c r="U27" s="1">
        <f t="shared" si="23"/>
        <v>4.7117039586919152E-2</v>
      </c>
      <c r="V27" s="1">
        <f t="shared" si="10"/>
        <v>4.9446827726348896E-2</v>
      </c>
      <c r="W27" s="1">
        <f t="shared" si="11"/>
        <v>1.0160307067058005E-2</v>
      </c>
      <c r="X27" s="30">
        <f t="shared" si="12"/>
        <v>0.52116030706705807</v>
      </c>
      <c r="Y27" s="1"/>
      <c r="Z27" s="14">
        <f t="shared" si="13"/>
        <v>918.79540026314646</v>
      </c>
      <c r="AA27" s="15">
        <f t="shared" si="14"/>
        <v>992.56461145899698</v>
      </c>
      <c r="AB27" s="2">
        <f t="shared" si="15"/>
        <v>872.85563024998908</v>
      </c>
      <c r="AC27" s="15">
        <f t="shared" si="16"/>
        <v>942.93638088604712</v>
      </c>
      <c r="AD27" s="13">
        <f t="shared" si="17"/>
        <v>1.872855630249989</v>
      </c>
      <c r="AE27" s="13">
        <f t="shared" si="18"/>
        <v>1.9429363808860471</v>
      </c>
      <c r="AF27" s="1">
        <f t="shared" si="19"/>
        <v>4.8628877077130372E-2</v>
      </c>
      <c r="AG27" s="6">
        <f t="shared" si="20"/>
        <v>-4.5984552904720921E-4</v>
      </c>
    </row>
    <row r="28" spans="1:33" ht="15.75" thickBot="1" x14ac:dyDescent="0.3">
      <c r="A28">
        <v>21</v>
      </c>
      <c r="B28" s="44" t="s">
        <v>61</v>
      </c>
      <c r="C28" s="45" t="s">
        <v>74</v>
      </c>
      <c r="D28" s="45" t="s">
        <v>75</v>
      </c>
      <c r="E28" s="82">
        <v>-156</v>
      </c>
      <c r="F28" s="82">
        <v>128</v>
      </c>
      <c r="G28" s="86">
        <v>45150.5</v>
      </c>
      <c r="I28" s="94" t="str">
        <f t="shared" si="0"/>
        <v>"CFL:Delaware:PennState"</v>
      </c>
      <c r="J28" s="99">
        <f t="shared" si="7"/>
        <v>1691859600</v>
      </c>
      <c r="K28" s="103">
        <f t="shared" si="24"/>
        <v>676</v>
      </c>
      <c r="L28" s="97"/>
      <c r="M28" s="2" t="str">
        <f t="shared" si="1"/>
        <v>Delaware</v>
      </c>
      <c r="N28" s="2" t="str">
        <f t="shared" si="2"/>
        <v>PennState</v>
      </c>
      <c r="O28" s="2">
        <f t="shared" si="3"/>
        <v>-156</v>
      </c>
      <c r="P28" s="2">
        <f t="shared" si="4"/>
        <v>128</v>
      </c>
      <c r="Q28" s="5">
        <f t="shared" si="21"/>
        <v>1.641025641025641</v>
      </c>
      <c r="R28" s="5">
        <f t="shared" si="22"/>
        <v>2.2800000000000002</v>
      </c>
      <c r="S28" s="28">
        <f t="shared" ref="S28:S35" si="25">1/Q28</f>
        <v>0.609375</v>
      </c>
      <c r="T28" s="29">
        <f t="shared" ref="T28:T35" si="26">1/R28</f>
        <v>0.43859649122807015</v>
      </c>
      <c r="U28" s="1">
        <f t="shared" si="23"/>
        <v>4.5775568924928067E-2</v>
      </c>
      <c r="V28" s="1">
        <f t="shared" si="10"/>
        <v>4.7971491228070207E-2</v>
      </c>
      <c r="W28" s="1">
        <f t="shared" si="11"/>
        <v>8.5389254385964924E-2</v>
      </c>
      <c r="X28" s="30">
        <f t="shared" si="12"/>
        <v>0.59638925438596491</v>
      </c>
      <c r="Y28" s="1"/>
      <c r="Z28" s="14">
        <f t="shared" si="13"/>
        <v>676.75723974870721</v>
      </c>
      <c r="AA28" s="15">
        <f t="shared" si="14"/>
        <v>1340.5074046062468</v>
      </c>
      <c r="AB28" s="2">
        <f t="shared" si="15"/>
        <v>642.91937776127179</v>
      </c>
      <c r="AC28" s="15">
        <f t="shared" si="16"/>
        <v>1273.4820343759345</v>
      </c>
      <c r="AD28" s="13">
        <f t="shared" si="17"/>
        <v>1.6429193777612718</v>
      </c>
      <c r="AE28" s="13">
        <f t="shared" si="18"/>
        <v>2.2734820343759345</v>
      </c>
      <c r="AF28" s="1">
        <f t="shared" si="19"/>
        <v>4.8526521023421809E-2</v>
      </c>
      <c r="AG28" s="6">
        <f t="shared" si="20"/>
        <v>-6.5179656240657025E-3</v>
      </c>
    </row>
    <row r="29" spans="1:33" ht="15.75" thickBot="1" x14ac:dyDescent="0.3">
      <c r="A29">
        <v>22</v>
      </c>
      <c r="B29" s="44" t="s">
        <v>61</v>
      </c>
      <c r="C29" s="45" t="s">
        <v>76</v>
      </c>
      <c r="D29" s="45" t="s">
        <v>77</v>
      </c>
      <c r="E29" s="82">
        <v>-196</v>
      </c>
      <c r="F29" s="82">
        <v>161</v>
      </c>
      <c r="G29" s="86">
        <v>45150.5</v>
      </c>
      <c r="I29" s="94" t="str">
        <f t="shared" si="0"/>
        <v>"CFL:Purdue:VirginiaTech"</v>
      </c>
      <c r="J29" s="99">
        <f t="shared" si="7"/>
        <v>1691859600</v>
      </c>
      <c r="K29" s="103">
        <f t="shared" si="24"/>
        <v>537</v>
      </c>
      <c r="L29" s="97"/>
      <c r="M29" s="2" t="str">
        <f t="shared" si="1"/>
        <v>Purdue</v>
      </c>
      <c r="N29" s="2" t="str">
        <f t="shared" si="2"/>
        <v>VirginiaTech</v>
      </c>
      <c r="O29" s="2">
        <f t="shared" si="3"/>
        <v>-196</v>
      </c>
      <c r="P29" s="2">
        <f t="shared" si="4"/>
        <v>161</v>
      </c>
      <c r="Q29" s="5">
        <f t="shared" si="21"/>
        <v>1.510204081632653</v>
      </c>
      <c r="R29" s="5">
        <f t="shared" si="22"/>
        <v>2.6100000000000003</v>
      </c>
      <c r="S29" s="28">
        <f t="shared" si="25"/>
        <v>0.66216216216216217</v>
      </c>
      <c r="T29" s="29">
        <f t="shared" si="26"/>
        <v>0.38314176245210724</v>
      </c>
      <c r="U29" s="1">
        <f t="shared" si="23"/>
        <v>4.3340432909009907E-2</v>
      </c>
      <c r="V29" s="1">
        <f t="shared" si="10"/>
        <v>4.5303924614269464E-2</v>
      </c>
      <c r="W29" s="1">
        <f t="shared" si="11"/>
        <v>0.13951019985502747</v>
      </c>
      <c r="X29" s="30">
        <f t="shared" si="12"/>
        <v>0.65051019985502745</v>
      </c>
      <c r="Y29" s="1"/>
      <c r="Z29" s="14">
        <f t="shared" si="13"/>
        <v>537.25491194889764</v>
      </c>
      <c r="AA29" s="15">
        <f t="shared" si="14"/>
        <v>1672.4608225336299</v>
      </c>
      <c r="AB29" s="2">
        <f t="shared" si="15"/>
        <v>510.39216635145272</v>
      </c>
      <c r="AC29" s="15">
        <f t="shared" si="16"/>
        <v>1588.8377814069484</v>
      </c>
      <c r="AD29" s="13">
        <f t="shared" si="17"/>
        <v>1.5103921663514526</v>
      </c>
      <c r="AE29" s="13">
        <f t="shared" si="18"/>
        <v>2.5888377814069483</v>
      </c>
      <c r="AF29" s="1">
        <f t="shared" si="19"/>
        <v>4.8353424928718303E-2</v>
      </c>
      <c r="AG29" s="6">
        <f t="shared" si="20"/>
        <v>-2.1162218593052007E-2</v>
      </c>
    </row>
    <row r="30" spans="1:33" ht="15.75" thickBot="1" x14ac:dyDescent="0.3">
      <c r="A30">
        <v>23</v>
      </c>
      <c r="B30" s="44" t="s">
        <v>61</v>
      </c>
      <c r="C30" s="45" t="s">
        <v>78</v>
      </c>
      <c r="D30" s="45" t="s">
        <v>79</v>
      </c>
      <c r="E30" s="82">
        <v>-147</v>
      </c>
      <c r="F30" s="82">
        <v>119</v>
      </c>
      <c r="G30" s="86">
        <v>45150.5</v>
      </c>
      <c r="I30" s="94" t="str">
        <f t="shared" si="0"/>
        <v>"CFL:Utah:Baylor"</v>
      </c>
      <c r="J30" s="99">
        <f t="shared" si="7"/>
        <v>1691859600</v>
      </c>
      <c r="K30" s="103">
        <f t="shared" si="24"/>
        <v>723</v>
      </c>
      <c r="L30" s="97"/>
      <c r="M30" s="2" t="str">
        <f t="shared" si="1"/>
        <v>Utah</v>
      </c>
      <c r="N30" s="2" t="str">
        <f t="shared" si="2"/>
        <v>Baylor</v>
      </c>
      <c r="O30" s="2">
        <f t="shared" si="3"/>
        <v>-147</v>
      </c>
      <c r="P30" s="2">
        <f t="shared" si="4"/>
        <v>119</v>
      </c>
      <c r="Q30" s="5">
        <f t="shared" si="21"/>
        <v>1.6802721088435375</v>
      </c>
      <c r="R30" s="5">
        <f t="shared" si="22"/>
        <v>2.19</v>
      </c>
      <c r="S30" s="28">
        <f t="shared" si="25"/>
        <v>0.59514170040485825</v>
      </c>
      <c r="T30" s="29">
        <f t="shared" si="26"/>
        <v>0.45662100456621008</v>
      </c>
      <c r="U30" s="1">
        <f t="shared" si="23"/>
        <v>4.9215193433287063E-2</v>
      </c>
      <c r="V30" s="1">
        <f t="shared" si="10"/>
        <v>5.1762704971068274E-2</v>
      </c>
      <c r="W30" s="1">
        <f t="shared" si="11"/>
        <v>6.9260347919324089E-2</v>
      </c>
      <c r="X30" s="30">
        <f t="shared" si="12"/>
        <v>0.58026034791932413</v>
      </c>
      <c r="Y30" s="1"/>
      <c r="Z30" s="14">
        <f t="shared" si="13"/>
        <v>723.3643546138602</v>
      </c>
      <c r="AA30" s="15">
        <f t="shared" si="14"/>
        <v>1256.4658917936761</v>
      </c>
      <c r="AB30" s="2">
        <f t="shared" si="15"/>
        <v>687.19613688316713</v>
      </c>
      <c r="AC30" s="15">
        <f t="shared" si="16"/>
        <v>1193.6425972039922</v>
      </c>
      <c r="AD30" s="13">
        <f t="shared" si="17"/>
        <v>1.6871961368831672</v>
      </c>
      <c r="AE30" s="13">
        <f t="shared" si="18"/>
        <v>2.1936425972039921</v>
      </c>
      <c r="AF30" s="1">
        <f t="shared" si="19"/>
        <v>4.8562092415895819E-2</v>
      </c>
      <c r="AG30" s="6">
        <f t="shared" si="20"/>
        <v>3.6425972039921817E-3</v>
      </c>
    </row>
    <row r="31" spans="1:33" ht="15.75" thickBot="1" x14ac:dyDescent="0.3">
      <c r="A31">
        <v>24</v>
      </c>
      <c r="B31" s="44" t="s">
        <v>61</v>
      </c>
      <c r="C31" s="45" t="s">
        <v>80</v>
      </c>
      <c r="D31" s="45" t="s">
        <v>81</v>
      </c>
      <c r="E31" s="82">
        <v>-286</v>
      </c>
      <c r="F31" s="82">
        <v>228</v>
      </c>
      <c r="G31" s="86">
        <v>45150.5</v>
      </c>
      <c r="I31" s="94" t="str">
        <f t="shared" si="0"/>
        <v>"CFL:NotreDame:NCState"</v>
      </c>
      <c r="J31" s="99">
        <f t="shared" si="7"/>
        <v>1691859600</v>
      </c>
      <c r="K31" s="103">
        <f t="shared" si="24"/>
        <v>371</v>
      </c>
      <c r="L31" s="97"/>
      <c r="M31" s="2" t="str">
        <f t="shared" si="1"/>
        <v>NotreDame</v>
      </c>
      <c r="N31" s="2" t="str">
        <f t="shared" si="2"/>
        <v>NCState</v>
      </c>
      <c r="O31" s="2">
        <f t="shared" si="3"/>
        <v>-286</v>
      </c>
      <c r="P31" s="2">
        <f t="shared" si="4"/>
        <v>228</v>
      </c>
      <c r="Q31" s="5">
        <f t="shared" si="21"/>
        <v>1.3496503496503496</v>
      </c>
      <c r="R31" s="5">
        <f t="shared" si="22"/>
        <v>3.28</v>
      </c>
      <c r="S31" s="28">
        <f t="shared" si="25"/>
        <v>0.74093264248704671</v>
      </c>
      <c r="T31" s="29">
        <f t="shared" si="26"/>
        <v>0.3048780487804878</v>
      </c>
      <c r="U31" s="1">
        <f t="shared" si="23"/>
        <v>4.3803999758322831E-2</v>
      </c>
      <c r="V31" s="1">
        <f t="shared" si="10"/>
        <v>4.5810691267534454E-2</v>
      </c>
      <c r="W31" s="1">
        <f t="shared" si="11"/>
        <v>0.21802729685327946</v>
      </c>
      <c r="X31" s="30">
        <f t="shared" si="12"/>
        <v>0.72902729685327949</v>
      </c>
      <c r="Y31" s="1"/>
      <c r="Z31" s="14">
        <f t="shared" si="13"/>
        <v>371.69075056081914</v>
      </c>
      <c r="AA31" s="15">
        <f t="shared" si="14"/>
        <v>2354.8612847876079</v>
      </c>
      <c r="AB31" s="2">
        <f t="shared" si="15"/>
        <v>353.10621303277816</v>
      </c>
      <c r="AC31" s="15">
        <f t="shared" si="16"/>
        <v>2237.1182205482273</v>
      </c>
      <c r="AD31" s="13">
        <f t="shared" si="17"/>
        <v>1.3531062130327782</v>
      </c>
      <c r="AE31" s="13">
        <f t="shared" si="18"/>
        <v>3.2371182205482274</v>
      </c>
      <c r="AF31" s="1">
        <f t="shared" si="19"/>
        <v>4.7957021653705745E-2</v>
      </c>
      <c r="AG31" s="6">
        <f t="shared" si="20"/>
        <v>-4.2881779451772406E-2</v>
      </c>
    </row>
    <row r="32" spans="1:33" s="31" customFormat="1" ht="15.75" thickBot="1" x14ac:dyDescent="0.3">
      <c r="A32" s="31">
        <v>25</v>
      </c>
      <c r="B32" s="44" t="s">
        <v>8</v>
      </c>
      <c r="C32" s="45" t="s">
        <v>82</v>
      </c>
      <c r="D32" s="45" t="s">
        <v>83</v>
      </c>
      <c r="E32" s="83">
        <v>-625</v>
      </c>
      <c r="F32" s="83">
        <v>441</v>
      </c>
      <c r="G32" s="86">
        <v>45150.5</v>
      </c>
      <c r="H32"/>
      <c r="I32" s="94" t="str">
        <f t="shared" si="0"/>
        <v>"MMA:Adensanya:Strickland"</v>
      </c>
      <c r="J32" s="99">
        <f t="shared" si="7"/>
        <v>1691859600</v>
      </c>
      <c r="K32" s="103">
        <f t="shared" si="24"/>
        <v>177</v>
      </c>
      <c r="L32" s="97"/>
      <c r="M32" s="32" t="str">
        <f t="shared" si="1"/>
        <v>Adensanya</v>
      </c>
      <c r="N32" s="32" t="str">
        <f t="shared" si="2"/>
        <v>Strickland</v>
      </c>
      <c r="O32" s="2">
        <f t="shared" si="3"/>
        <v>-625</v>
      </c>
      <c r="P32" s="2">
        <f t="shared" si="4"/>
        <v>441</v>
      </c>
      <c r="Q32" s="33">
        <f t="shared" si="21"/>
        <v>1.1599999999999999</v>
      </c>
      <c r="R32" s="33">
        <f t="shared" si="22"/>
        <v>5.41</v>
      </c>
      <c r="S32" s="34">
        <f t="shared" si="25"/>
        <v>0.86206896551724144</v>
      </c>
      <c r="T32" s="35">
        <f t="shared" si="26"/>
        <v>0.18484288354898337</v>
      </c>
      <c r="U32" s="36">
        <f t="shared" si="23"/>
        <v>4.4809741248097446E-2</v>
      </c>
      <c r="V32" s="1">
        <f>S32+T32-1</f>
        <v>4.6911849066224809E-2</v>
      </c>
      <c r="W32" s="1">
        <f t="shared" si="11"/>
        <v>0.33861304098412903</v>
      </c>
      <c r="X32" s="30">
        <f t="shared" si="12"/>
        <v>0.84961304098412904</v>
      </c>
      <c r="Y32" s="1"/>
      <c r="Z32" s="14">
        <f t="shared" si="13"/>
        <v>177.00641558146722</v>
      </c>
      <c r="AA32" s="15">
        <f t="shared" si="14"/>
        <v>4459.3743325203195</v>
      </c>
      <c r="AB32" s="72">
        <f t="shared" si="15"/>
        <v>168.15609480239385</v>
      </c>
      <c r="AC32" s="73">
        <f t="shared" si="16"/>
        <v>4236.4056158943031</v>
      </c>
      <c r="AD32" s="13">
        <f t="shared" si="17"/>
        <v>1.1681560948023939</v>
      </c>
      <c r="AE32" s="13">
        <f t="shared" si="18"/>
        <v>5.2364056158943031</v>
      </c>
      <c r="AF32" s="1">
        <f t="shared" si="19"/>
        <v>4.7020669861423281E-2</v>
      </c>
      <c r="AG32" s="6">
        <f t="shared" si="20"/>
        <v>-0.17359438410569705</v>
      </c>
    </row>
    <row r="33" spans="1:33" ht="15.75" thickBot="1" x14ac:dyDescent="0.3">
      <c r="A33">
        <v>26</v>
      </c>
      <c r="B33" s="44" t="s">
        <v>8</v>
      </c>
      <c r="C33" s="45" t="s">
        <v>84</v>
      </c>
      <c r="D33" s="45" t="s">
        <v>85</v>
      </c>
      <c r="E33" s="83">
        <v>-800</v>
      </c>
      <c r="F33" s="83">
        <v>600</v>
      </c>
      <c r="G33" s="86">
        <v>45150.5</v>
      </c>
      <c r="I33" s="94" t="str">
        <f t="shared" si="0"/>
        <v>"MMA:Tuivasa:Volkov"</v>
      </c>
      <c r="J33" s="99">
        <f t="shared" si="7"/>
        <v>1691859600</v>
      </c>
      <c r="K33" s="103">
        <f t="shared" si="24"/>
        <v>131</v>
      </c>
      <c r="L33" s="97"/>
      <c r="M33" s="2" t="str">
        <f t="shared" si="1"/>
        <v>Tuivasa</v>
      </c>
      <c r="N33" s="2" t="str">
        <f t="shared" si="2"/>
        <v>Volkov</v>
      </c>
      <c r="O33" s="2">
        <f t="shared" si="3"/>
        <v>-800</v>
      </c>
      <c r="P33" s="2">
        <f t="shared" si="4"/>
        <v>600</v>
      </c>
      <c r="Q33" s="5">
        <f t="shared" si="21"/>
        <v>1.125</v>
      </c>
      <c r="R33" s="5">
        <f t="shared" si="22"/>
        <v>7</v>
      </c>
      <c r="S33" s="28">
        <f t="shared" si="25"/>
        <v>0.88888888888888884</v>
      </c>
      <c r="T33" s="29">
        <f t="shared" si="26"/>
        <v>0.14285714285714285</v>
      </c>
      <c r="U33" s="1">
        <f t="shared" si="23"/>
        <v>3.0769230769230771E-2</v>
      </c>
      <c r="V33" s="1">
        <f t="shared" si="10"/>
        <v>3.1746031746031633E-2</v>
      </c>
      <c r="W33" s="1">
        <f t="shared" si="11"/>
        <v>0.37301587301587302</v>
      </c>
      <c r="X33" s="30">
        <f t="shared" si="12"/>
        <v>0.88401587301587303</v>
      </c>
      <c r="Y33" s="1"/>
      <c r="Z33" s="14">
        <f t="shared" si="13"/>
        <v>131.20140771730738</v>
      </c>
      <c r="AA33" s="15">
        <f t="shared" si="14"/>
        <v>5630.3235570306688</v>
      </c>
      <c r="AB33" s="2">
        <f t="shared" si="15"/>
        <v>124.641337331442</v>
      </c>
      <c r="AC33" s="15">
        <f t="shared" si="16"/>
        <v>5348.8073791791348</v>
      </c>
      <c r="AD33" s="13">
        <f t="shared" si="17"/>
        <v>1.1246413373314419</v>
      </c>
      <c r="AE33" s="13">
        <f t="shared" si="18"/>
        <v>6.3488073791791351</v>
      </c>
      <c r="AF33" s="1">
        <f t="shared" si="19"/>
        <v>4.6682264624601455E-2</v>
      </c>
      <c r="AG33" s="6">
        <f t="shared" si="20"/>
        <v>-0.65119262082086493</v>
      </c>
    </row>
    <row r="34" spans="1:33" s="12" customFormat="1" x14ac:dyDescent="0.25">
      <c r="A34">
        <v>27</v>
      </c>
      <c r="B34" s="89" t="s">
        <v>8</v>
      </c>
      <c r="C34" s="90" t="s">
        <v>86</v>
      </c>
      <c r="D34" s="90" t="s">
        <v>87</v>
      </c>
      <c r="E34" s="83">
        <v>-110</v>
      </c>
      <c r="F34" s="83">
        <v>-110</v>
      </c>
      <c r="G34" s="86">
        <v>45150.5</v>
      </c>
      <c r="H34" s="91"/>
      <c r="I34" s="94" t="str">
        <f t="shared" si="0"/>
        <v>"MMA:Kara-France:Kape"</v>
      </c>
      <c r="J34" s="99">
        <f>1627794000+IF(G34&gt;0,(G34-44409)*86400,0)</f>
        <v>1691859600</v>
      </c>
      <c r="K34" s="103">
        <f t="shared" si="24"/>
        <v>956</v>
      </c>
      <c r="L34" s="97"/>
      <c r="M34" s="92" t="str">
        <f t="shared" si="1"/>
        <v>Kara-France</v>
      </c>
      <c r="N34" s="92" t="str">
        <f t="shared" si="2"/>
        <v>Kape</v>
      </c>
      <c r="O34" s="49">
        <f t="shared" si="3"/>
        <v>-110</v>
      </c>
      <c r="P34" s="49">
        <f t="shared" si="4"/>
        <v>-110</v>
      </c>
      <c r="Q34" s="50">
        <f t="shared" si="21"/>
        <v>1.9090909090909092</v>
      </c>
      <c r="R34" s="50">
        <f t="shared" si="22"/>
        <v>1.9090909090909092</v>
      </c>
      <c r="S34" s="51">
        <f t="shared" si="25"/>
        <v>0.52380952380952384</v>
      </c>
      <c r="T34" s="52">
        <f t="shared" si="26"/>
        <v>0.52380952380952384</v>
      </c>
      <c r="U34" s="53">
        <f t="shared" si="23"/>
        <v>4.5454545454545414E-2</v>
      </c>
      <c r="V34" s="1">
        <f t="shared" si="10"/>
        <v>4.7619047619047672E-2</v>
      </c>
      <c r="W34" s="53">
        <f t="shared" si="11"/>
        <v>0</v>
      </c>
      <c r="X34" s="30">
        <f t="shared" si="12"/>
        <v>0.51100000000000001</v>
      </c>
      <c r="Y34" s="53"/>
      <c r="Z34" s="14">
        <f t="shared" si="13"/>
        <v>956.94716242661434</v>
      </c>
      <c r="AA34" s="15">
        <f t="shared" si="14"/>
        <v>953.05662164669593</v>
      </c>
      <c r="AB34" s="49">
        <f t="shared" si="15"/>
        <v>909.09980430528356</v>
      </c>
      <c r="AC34" s="54">
        <f t="shared" si="16"/>
        <v>905.40379056436109</v>
      </c>
      <c r="AD34" s="55">
        <f t="shared" si="17"/>
        <v>1.9090998043052836</v>
      </c>
      <c r="AE34" s="55">
        <f t="shared" si="18"/>
        <v>1.905403790564361</v>
      </c>
      <c r="AF34" s="53">
        <f t="shared" si="19"/>
        <v>4.8630223009661355E-2</v>
      </c>
      <c r="AG34" s="56">
        <f t="shared" si="20"/>
        <v>-3.6871185265481277E-3</v>
      </c>
    </row>
    <row r="35" spans="1:33" x14ac:dyDescent="0.25">
      <c r="A35">
        <v>28</v>
      </c>
      <c r="B35" s="44"/>
      <c r="C35" s="45"/>
      <c r="D35" s="45"/>
      <c r="E35" s="82">
        <v>-133</v>
      </c>
      <c r="F35" s="82">
        <v>110</v>
      </c>
      <c r="G35" s="87"/>
      <c r="I35" s="94" t="str">
        <f t="shared" si="0"/>
        <v>":0:0"</v>
      </c>
      <c r="J35" s="99">
        <f t="shared" si="7"/>
        <v>1627794000</v>
      </c>
      <c r="K35" s="103">
        <f t="shared" si="24"/>
        <v>791</v>
      </c>
      <c r="L35" s="97"/>
      <c r="M35" s="2">
        <f t="shared" si="1"/>
        <v>0</v>
      </c>
      <c r="N35" s="2">
        <f t="shared" si="2"/>
        <v>0</v>
      </c>
      <c r="O35" s="2">
        <f t="shared" si="3"/>
        <v>-133</v>
      </c>
      <c r="P35" s="2">
        <f t="shared" si="4"/>
        <v>110</v>
      </c>
      <c r="Q35" s="5">
        <f t="shared" si="21"/>
        <v>1.7518796992481203</v>
      </c>
      <c r="R35" s="5">
        <f t="shared" si="22"/>
        <v>2.1</v>
      </c>
      <c r="S35" s="28">
        <f t="shared" si="25"/>
        <v>0.57081545064377681</v>
      </c>
      <c r="T35" s="29">
        <f t="shared" si="26"/>
        <v>0.47619047619047616</v>
      </c>
      <c r="U35" s="1">
        <f t="shared" si="23"/>
        <v>4.489556900253755E-2</v>
      </c>
      <c r="V35" s="1">
        <f t="shared" si="10"/>
        <v>4.7005926834252865E-2</v>
      </c>
      <c r="W35" s="1">
        <f t="shared" si="11"/>
        <v>4.7312487226650324E-2</v>
      </c>
      <c r="X35" s="30">
        <f t="shared" si="12"/>
        <v>0.55831248722665028</v>
      </c>
      <c r="Y35" s="1"/>
      <c r="Z35" s="14">
        <f t="shared" si="13"/>
        <v>791.11164962005228</v>
      </c>
      <c r="AA35" s="15">
        <f t="shared" si="14"/>
        <v>1151.0125187281176</v>
      </c>
      <c r="AB35" s="2">
        <f t="shared" si="15"/>
        <v>751.55606713904967</v>
      </c>
      <c r="AC35" s="15">
        <f t="shared" si="16"/>
        <v>1093.4618927917118</v>
      </c>
      <c r="AD35" s="13">
        <f t="shared" si="17"/>
        <v>1.7515560671390498</v>
      </c>
      <c r="AE35" s="13">
        <f t="shared" si="18"/>
        <v>2.0934618927917117</v>
      </c>
      <c r="AF35" s="1">
        <f t="shared" si="19"/>
        <v>4.8598589658217284E-2</v>
      </c>
      <c r="AG35" s="6">
        <f t="shared" si="20"/>
        <v>-6.5381072082884018E-3</v>
      </c>
    </row>
    <row r="36" spans="1:33" x14ac:dyDescent="0.25">
      <c r="A36">
        <v>29</v>
      </c>
      <c r="B36" s="44"/>
      <c r="C36" s="45"/>
      <c r="D36" s="45"/>
      <c r="E36" s="82">
        <v>158</v>
      </c>
      <c r="F36" s="82">
        <v>-192</v>
      </c>
      <c r="G36" s="87"/>
      <c r="I36" s="94" t="str">
        <f t="shared" si="0"/>
        <v>":0:0"</v>
      </c>
      <c r="J36" s="99">
        <f t="shared" si="7"/>
        <v>1627794000</v>
      </c>
      <c r="K36" s="103">
        <f t="shared" si="24"/>
        <v>548</v>
      </c>
      <c r="L36" s="97"/>
      <c r="M36" s="2">
        <f t="shared" si="1"/>
        <v>0</v>
      </c>
      <c r="N36" s="2">
        <f t="shared" si="2"/>
        <v>0</v>
      </c>
      <c r="O36" s="2">
        <f t="shared" si="3"/>
        <v>-192</v>
      </c>
      <c r="P36" s="2">
        <f t="shared" si="4"/>
        <v>158</v>
      </c>
      <c r="Q36" s="5">
        <f t="shared" si="21"/>
        <v>1.5208333333333333</v>
      </c>
      <c r="R36" s="5">
        <f t="shared" si="22"/>
        <v>2.58</v>
      </c>
      <c r="S36" s="28">
        <f t="shared" ref="S36:S38" si="27">1/Q36</f>
        <v>0.65753424657534254</v>
      </c>
      <c r="T36" s="29">
        <f t="shared" ref="T36:T38" si="28">1/R36</f>
        <v>0.38759689922480617</v>
      </c>
      <c r="U36" s="1">
        <f t="shared" ref="U36:U38" si="29">1-Q36*R36/(Q36+R36)</f>
        <v>4.3182280024385178E-2</v>
      </c>
      <c r="V36" s="1">
        <f t="shared" si="10"/>
        <v>4.5131145800148653E-2</v>
      </c>
      <c r="W36" s="1">
        <f t="shared" si="11"/>
        <v>0.13496867367526819</v>
      </c>
      <c r="X36" s="30">
        <f t="shared" si="12"/>
        <v>0.64596867367526822</v>
      </c>
      <c r="Y36" s="1"/>
      <c r="Z36" s="14">
        <f t="shared" si="13"/>
        <v>548.06268593561106</v>
      </c>
      <c r="AA36" s="15">
        <f t="shared" si="14"/>
        <v>1641.162396850862</v>
      </c>
      <c r="AB36" s="2">
        <f t="shared" ref="AB36:AB38" si="30">Z36*0.95</f>
        <v>520.65955163883052</v>
      </c>
      <c r="AC36" s="15">
        <f t="shared" ref="AC36:AC38" si="31">AA36*0.95</f>
        <v>1559.1042770083188</v>
      </c>
      <c r="AD36" s="13">
        <f t="shared" si="17"/>
        <v>1.5206595516388304</v>
      </c>
      <c r="AE36" s="13">
        <f t="shared" si="18"/>
        <v>2.559104277008319</v>
      </c>
      <c r="AF36" s="1">
        <f t="shared" si="19"/>
        <v>4.8371114221379408E-2</v>
      </c>
      <c r="AG36" s="6">
        <f t="shared" si="20"/>
        <v>-2.0895722991681076E-2</v>
      </c>
    </row>
    <row r="37" spans="1:33" x14ac:dyDescent="0.25">
      <c r="A37">
        <v>30</v>
      </c>
      <c r="B37" s="44"/>
      <c r="C37" s="45"/>
      <c r="D37" s="45"/>
      <c r="E37" s="82">
        <v>290</v>
      </c>
      <c r="F37" s="82">
        <v>-370.37037037037032</v>
      </c>
      <c r="G37" s="87"/>
      <c r="I37" s="94" t="str">
        <f t="shared" si="0"/>
        <v>":0:0"</v>
      </c>
      <c r="J37" s="99">
        <f t="shared" si="7"/>
        <v>1627794000</v>
      </c>
      <c r="K37" s="103">
        <f t="shared" si="24"/>
        <v>287</v>
      </c>
      <c r="L37" s="97"/>
      <c r="M37" s="2">
        <f t="shared" si="1"/>
        <v>0</v>
      </c>
      <c r="N37" s="2">
        <f t="shared" si="2"/>
        <v>0</v>
      </c>
      <c r="O37" s="2">
        <f t="shared" si="3"/>
        <v>-370.37037037037032</v>
      </c>
      <c r="P37" s="2">
        <f t="shared" si="4"/>
        <v>290</v>
      </c>
      <c r="Q37" s="5">
        <f t="shared" si="21"/>
        <v>1.27</v>
      </c>
      <c r="R37" s="5">
        <f t="shared" si="22"/>
        <v>3.9</v>
      </c>
      <c r="S37" s="28">
        <f t="shared" si="27"/>
        <v>0.78740157480314954</v>
      </c>
      <c r="T37" s="29">
        <f t="shared" si="28"/>
        <v>0.25641025641025644</v>
      </c>
      <c r="U37" s="1">
        <f t="shared" si="29"/>
        <v>4.1972920696324856E-2</v>
      </c>
      <c r="V37" s="1">
        <f t="shared" si="10"/>
        <v>4.3811831213405927E-2</v>
      </c>
      <c r="W37" s="1">
        <f t="shared" si="11"/>
        <v>0.26549565919644658</v>
      </c>
      <c r="X37" s="30">
        <f t="shared" si="12"/>
        <v>0.77649565919644659</v>
      </c>
      <c r="Y37" s="1"/>
      <c r="Z37" s="14">
        <f t="shared" si="13"/>
        <v>287.83720572867844</v>
      </c>
      <c r="AA37" s="15">
        <f t="shared" si="14"/>
        <v>2959.4718041984102</v>
      </c>
      <c r="AB37" s="2">
        <f t="shared" si="30"/>
        <v>273.4453454422445</v>
      </c>
      <c r="AC37" s="15">
        <f t="shared" si="31"/>
        <v>2811.4982139884896</v>
      </c>
      <c r="AD37" s="13">
        <f t="shared" si="17"/>
        <v>1.2734453454422445</v>
      </c>
      <c r="AE37" s="13">
        <f t="shared" si="18"/>
        <v>3.8114982139884894</v>
      </c>
      <c r="AF37" s="1">
        <f t="shared" si="19"/>
        <v>4.7635257358063843E-2</v>
      </c>
      <c r="AG37" s="6">
        <f t="shared" si="20"/>
        <v>-8.8501786011510486E-2</v>
      </c>
    </row>
    <row r="38" spans="1:33" ht="15.75" thickBot="1" x14ac:dyDescent="0.3">
      <c r="A38">
        <v>31</v>
      </c>
      <c r="B38" s="46"/>
      <c r="C38" s="47"/>
      <c r="D38" s="47"/>
      <c r="E38" s="84">
        <v>-110</v>
      </c>
      <c r="F38" s="84">
        <v>-110</v>
      </c>
      <c r="G38" s="88"/>
      <c r="I38" s="95" t="str">
        <f t="shared" si="0"/>
        <v>":0:0"</v>
      </c>
      <c r="J38" s="101">
        <f t="shared" si="7"/>
        <v>1627794000</v>
      </c>
      <c r="K38" s="104">
        <f t="shared" si="24"/>
        <v>956</v>
      </c>
      <c r="L38" s="98"/>
      <c r="M38" s="2">
        <f t="shared" si="1"/>
        <v>0</v>
      </c>
      <c r="N38" s="2">
        <f t="shared" si="2"/>
        <v>0</v>
      </c>
      <c r="O38" s="2">
        <f t="shared" si="3"/>
        <v>-110</v>
      </c>
      <c r="P38" s="2">
        <f t="shared" si="4"/>
        <v>-110</v>
      </c>
      <c r="Q38" s="5">
        <f t="shared" si="21"/>
        <v>1.9090909090909092</v>
      </c>
      <c r="R38" s="5">
        <f t="shared" si="22"/>
        <v>1.9090909090909092</v>
      </c>
      <c r="S38" s="37">
        <f t="shared" si="27"/>
        <v>0.52380952380952384</v>
      </c>
      <c r="T38" s="38">
        <f t="shared" si="28"/>
        <v>0.52380952380952384</v>
      </c>
      <c r="U38" s="1">
        <f t="shared" si="29"/>
        <v>4.5454545454545414E-2</v>
      </c>
      <c r="V38" s="1"/>
      <c r="W38" s="1">
        <f t="shared" si="11"/>
        <v>0</v>
      </c>
      <c r="X38" s="30">
        <f t="shared" si="12"/>
        <v>0.51100000000000001</v>
      </c>
      <c r="Y38" s="39"/>
      <c r="Z38" s="14">
        <f t="shared" si="13"/>
        <v>956.94716242661434</v>
      </c>
      <c r="AA38" s="15">
        <f t="shared" si="14"/>
        <v>953.05662164669593</v>
      </c>
      <c r="AB38" s="2">
        <f t="shared" si="30"/>
        <v>909.09980430528356</v>
      </c>
      <c r="AC38" s="15">
        <f t="shared" si="31"/>
        <v>905.40379056436109</v>
      </c>
      <c r="AD38" s="13">
        <f t="shared" si="17"/>
        <v>1.9090998043052836</v>
      </c>
      <c r="AE38" s="13">
        <f t="shared" si="18"/>
        <v>1.905403790564361</v>
      </c>
      <c r="AF38" s="1">
        <f t="shared" si="19"/>
        <v>4.8630223009661355E-2</v>
      </c>
      <c r="AG38" s="6">
        <f t="shared" si="20"/>
        <v>-3.6871185265481277E-3</v>
      </c>
    </row>
    <row r="40" spans="1:33" x14ac:dyDescent="0.25">
      <c r="G40" s="3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E5" sqref="E5"/>
      <selection pane="bottomLeft" activeCell="A102" sqref="A102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30</v>
      </c>
    </row>
    <row r="2" spans="1:1" x14ac:dyDescent="0.25">
      <c r="A2" t="s">
        <v>39</v>
      </c>
    </row>
    <row r="3" spans="1:1" x14ac:dyDescent="0.25">
      <c r="A3" t="str">
        <f>initData!$I7&amp;","</f>
        <v>"NFL:Dallas:NewYorkGiants",</v>
      </c>
    </row>
    <row r="4" spans="1:1" x14ac:dyDescent="0.25">
      <c r="A4" t="str">
        <f>initData!$I8&amp;","</f>
        <v>"NFL:Washington:Arizona",</v>
      </c>
    </row>
    <row r="5" spans="1:1" x14ac:dyDescent="0.25">
      <c r="A5" t="str">
        <f>initData!$I9&amp;","</f>
        <v>"NFL:Houston:Baltimore",</v>
      </c>
    </row>
    <row r="6" spans="1:1" x14ac:dyDescent="0.25">
      <c r="A6" t="str">
        <f>initData!$I10&amp;","</f>
        <v>"NFL:GreenBay:Chicago",</v>
      </c>
    </row>
    <row r="7" spans="1:1" x14ac:dyDescent="0.25">
      <c r="A7" t="str">
        <f>initData!$I11&amp;","</f>
        <v>"NFL:LasVegas:Denver",</v>
      </c>
    </row>
    <row r="8" spans="1:1" x14ac:dyDescent="0.25">
      <c r="A8" t="str">
        <f>initData!$I12&amp;","</f>
        <v>"NFL:Pittsburgh:SanFrancisco",</v>
      </c>
    </row>
    <row r="9" spans="1:1" x14ac:dyDescent="0.25">
      <c r="A9" t="str">
        <f>initData!$I13&amp;","</f>
        <v>"NFL:Washington:Arizona",</v>
      </c>
    </row>
    <row r="10" spans="1:1" x14ac:dyDescent="0.25">
      <c r="A10" t="str">
        <f>initData!$I14&amp;","</f>
        <v>"NFL:Baltimore:Houston",</v>
      </c>
    </row>
    <row r="11" spans="1:1" x14ac:dyDescent="0.25">
      <c r="A11" t="str">
        <f>initData!$I15&amp;","</f>
        <v>"NFL:Chicago:GreenBay",</v>
      </c>
    </row>
    <row r="12" spans="1:1" x14ac:dyDescent="0.25">
      <c r="A12" t="str">
        <f>initData!$I16&amp;","</f>
        <v>"NFL:Denver:LasVegas",</v>
      </c>
    </row>
    <row r="13" spans="1:1" x14ac:dyDescent="0.25">
      <c r="A13" t="str">
        <f>initData!$I17&amp;","</f>
        <v>"NFL:NewEngland:Philadelphia",</v>
      </c>
    </row>
    <row r="14" spans="1:1" x14ac:dyDescent="0.25">
      <c r="A14" t="str">
        <f>initData!$I18&amp;","</f>
        <v>"NFL:LosAngelesChargers:Miami",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37</v>
      </c>
    </row>
    <row r="36" spans="1:1" x14ac:dyDescent="0.25">
      <c r="A36" t="str">
        <f>initData!J7&amp;","</f>
        <v>1691859600,</v>
      </c>
    </row>
    <row r="37" spans="1:1" x14ac:dyDescent="0.25">
      <c r="A37" t="str">
        <f>initData!J8&amp;","</f>
        <v>1691859600,</v>
      </c>
    </row>
    <row r="38" spans="1:1" x14ac:dyDescent="0.25">
      <c r="A38" t="str">
        <f>initData!J9&amp;","</f>
        <v>1691859600,</v>
      </c>
    </row>
    <row r="39" spans="1:1" x14ac:dyDescent="0.25">
      <c r="A39" t="str">
        <f>initData!J10&amp;","</f>
        <v>1691859600,</v>
      </c>
    </row>
    <row r="40" spans="1:1" x14ac:dyDescent="0.25">
      <c r="A40" t="str">
        <f>initData!J11&amp;","</f>
        <v>1691859600,</v>
      </c>
    </row>
    <row r="41" spans="1:1" x14ac:dyDescent="0.25">
      <c r="A41" t="str">
        <f>initData!J12&amp;","</f>
        <v>1691859600,</v>
      </c>
    </row>
    <row r="42" spans="1:1" x14ac:dyDescent="0.25">
      <c r="A42" t="str">
        <f>initData!J13&amp;","</f>
        <v>1691859600,</v>
      </c>
    </row>
    <row r="43" spans="1:1" x14ac:dyDescent="0.25">
      <c r="A43" t="str">
        <f>initData!J14&amp;","</f>
        <v>1691859600,</v>
      </c>
    </row>
    <row r="44" spans="1:1" x14ac:dyDescent="0.25">
      <c r="A44" t="str">
        <f>initData!J15&amp;","</f>
        <v>1691859600,</v>
      </c>
    </row>
    <row r="45" spans="1:1" x14ac:dyDescent="0.25">
      <c r="A45" t="str">
        <f>initData!J16&amp;","</f>
        <v>1691859600,</v>
      </c>
    </row>
    <row r="46" spans="1:1" x14ac:dyDescent="0.25">
      <c r="A46" t="str">
        <f>initData!J17&amp;","</f>
        <v>1691859600,</v>
      </c>
    </row>
    <row r="47" spans="1:1" x14ac:dyDescent="0.25">
      <c r="A47" t="str">
        <f>initData!J18&amp;","</f>
        <v>1691859600,</v>
      </c>
    </row>
    <row r="48" spans="1:1" x14ac:dyDescent="0.25">
      <c r="A48" t="str">
        <f>initData!J19&amp;","</f>
        <v>1691859600,</v>
      </c>
    </row>
    <row r="49" spans="1:1" x14ac:dyDescent="0.25">
      <c r="A49" t="str">
        <f>initData!J20&amp;","</f>
        <v>1691859600,</v>
      </c>
    </row>
    <row r="50" spans="1:1" x14ac:dyDescent="0.25">
      <c r="A50" t="str">
        <f>initData!J21&amp;","</f>
        <v>1691859600,</v>
      </c>
    </row>
    <row r="51" spans="1:1" x14ac:dyDescent="0.25">
      <c r="A51" t="str">
        <f>initData!J22&amp;","</f>
        <v>1691859600,</v>
      </c>
    </row>
    <row r="52" spans="1:1" x14ac:dyDescent="0.25">
      <c r="A52" t="str">
        <f>initData!J23&amp;","</f>
        <v>1691859600,</v>
      </c>
    </row>
    <row r="53" spans="1:1" x14ac:dyDescent="0.25">
      <c r="A53" t="str">
        <f>initData!J24&amp;","</f>
        <v>1691859600,</v>
      </c>
    </row>
    <row r="54" spans="1:1" x14ac:dyDescent="0.25">
      <c r="A54" t="str">
        <f>initData!J25&amp;","</f>
        <v>1691859600,</v>
      </c>
    </row>
    <row r="55" spans="1:1" x14ac:dyDescent="0.25">
      <c r="A55" t="str">
        <f>initData!J26&amp;","</f>
        <v>1691859600,</v>
      </c>
    </row>
    <row r="56" spans="1:1" x14ac:dyDescent="0.25">
      <c r="A56" t="str">
        <f>initData!J27&amp;","</f>
        <v>1691859600,</v>
      </c>
    </row>
    <row r="57" spans="1:1" x14ac:dyDescent="0.25">
      <c r="A57" t="str">
        <f>initData!J28&amp;","</f>
        <v>1691859600,</v>
      </c>
    </row>
    <row r="58" spans="1:1" x14ac:dyDescent="0.25">
      <c r="A58" t="str">
        <f>initData!J29&amp;","</f>
        <v>1691859600,</v>
      </c>
    </row>
    <row r="59" spans="1:1" x14ac:dyDescent="0.25">
      <c r="A59" t="str">
        <f>initData!J30&amp;","</f>
        <v>1691859600,</v>
      </c>
    </row>
    <row r="60" spans="1:1" x14ac:dyDescent="0.25">
      <c r="A60" t="str">
        <f>initData!J31&amp;","</f>
        <v>1691859600,</v>
      </c>
    </row>
    <row r="61" spans="1:1" x14ac:dyDescent="0.25">
      <c r="A61" t="str">
        <f>initData!J32&amp;","</f>
        <v>1691859600,</v>
      </c>
    </row>
    <row r="62" spans="1:1" x14ac:dyDescent="0.25">
      <c r="A62" t="str">
        <f>initData!J33&amp;","</f>
        <v>1691859600,</v>
      </c>
    </row>
    <row r="63" spans="1:1" x14ac:dyDescent="0.25">
      <c r="A63" t="str">
        <f>initData!J34&amp;","</f>
        <v>1691859600,</v>
      </c>
    </row>
    <row r="64" spans="1:1" x14ac:dyDescent="0.25">
      <c r="A64" t="str">
        <f>initData!J35&amp;","</f>
        <v>1627794000,</v>
      </c>
    </row>
    <row r="65" spans="1:1" x14ac:dyDescent="0.25">
      <c r="A65" t="str">
        <f>initData!J36&amp;","</f>
        <v>1627794000,</v>
      </c>
    </row>
    <row r="66" spans="1:1" x14ac:dyDescent="0.25">
      <c r="A66" t="str">
        <f>initData!J37&amp;","</f>
        <v>1627794000,</v>
      </c>
    </row>
    <row r="67" spans="1:1" x14ac:dyDescent="0.25">
      <c r="A67" s="69" t="str">
        <f>initData!J38&amp;"],"</f>
        <v>1627794000],</v>
      </c>
    </row>
    <row r="68" spans="1:1" x14ac:dyDescent="0.25">
      <c r="A68" t="s">
        <v>38</v>
      </c>
    </row>
    <row r="69" spans="1:1" x14ac:dyDescent="0.25">
      <c r="A69" t="str">
        <f>initData!K7&amp;","</f>
        <v>300,</v>
      </c>
    </row>
    <row r="70" spans="1:1" x14ac:dyDescent="0.25">
      <c r="A70" t="str">
        <f>initData!K8&amp;","</f>
        <v>400,</v>
      </c>
    </row>
    <row r="71" spans="1:1" x14ac:dyDescent="0.25">
      <c r="A71" t="str">
        <f>initData!K9&amp;","</f>
        <v>500,</v>
      </c>
    </row>
    <row r="72" spans="1:1" x14ac:dyDescent="0.25">
      <c r="A72" t="str">
        <f>initData!K10&amp;","</f>
        <v>999,</v>
      </c>
    </row>
    <row r="73" spans="1:1" x14ac:dyDescent="0.25">
      <c r="A73" t="str">
        <f>initData!K11&amp;","</f>
        <v>957,</v>
      </c>
    </row>
    <row r="74" spans="1:1" x14ac:dyDescent="0.25">
      <c r="A74" t="str">
        <f>initData!K12&amp;","</f>
        <v>907,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956,</v>
      </c>
    </row>
    <row r="97" spans="1:1" x14ac:dyDescent="0.25">
      <c r="A97" t="str">
        <f>initData!K35&amp;","</f>
        <v>791,</v>
      </c>
    </row>
    <row r="98" spans="1:1" x14ac:dyDescent="0.25">
      <c r="A98" t="str">
        <f>initData!K36&amp;","</f>
        <v>548,</v>
      </c>
    </row>
    <row r="99" spans="1:1" x14ac:dyDescent="0.25">
      <c r="A99" t="str">
        <f>initData!K37&amp;","</f>
        <v>287,</v>
      </c>
    </row>
    <row r="100" spans="1:1" x14ac:dyDescent="0.25">
      <c r="A100" s="69" t="str">
        <f>initData!K38&amp;"]"</f>
        <v>956]</v>
      </c>
    </row>
    <row r="101" spans="1:1" x14ac:dyDescent="0.25">
      <c r="A10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38</v>
      </c>
    </row>
    <row r="3" spans="1:1" x14ac:dyDescent="0.25">
      <c r="A3" t="str">
        <f>initData!K7&amp;","</f>
        <v>300,</v>
      </c>
    </row>
    <row r="4" spans="1:1" x14ac:dyDescent="0.25">
      <c r="A4" t="str">
        <f>initData!K8&amp;","</f>
        <v>400,</v>
      </c>
    </row>
    <row r="5" spans="1:1" x14ac:dyDescent="0.25">
      <c r="A5" t="str">
        <f>initData!K9&amp;","</f>
        <v>500,</v>
      </c>
    </row>
    <row r="6" spans="1:1" x14ac:dyDescent="0.25">
      <c r="A6" t="str">
        <f>initData!K10&amp;","</f>
        <v>999,</v>
      </c>
    </row>
    <row r="7" spans="1:1" x14ac:dyDescent="0.25">
      <c r="A7" t="str">
        <f>initData!K11&amp;","</f>
        <v>957,</v>
      </c>
    </row>
    <row r="8" spans="1:1" x14ac:dyDescent="0.25">
      <c r="A8" t="str">
        <f>initData!K12&amp;","</f>
        <v>907,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956,</v>
      </c>
    </row>
    <row r="31" spans="1:1" x14ac:dyDescent="0.25">
      <c r="A31" t="str">
        <f>initData!K35&amp;","</f>
        <v>791,</v>
      </c>
    </row>
    <row r="32" spans="1:1" x14ac:dyDescent="0.25">
      <c r="A32" t="str">
        <f>initData!K36&amp;","</f>
        <v>548,</v>
      </c>
    </row>
    <row r="33" spans="1:1" x14ac:dyDescent="0.25">
      <c r="A33" t="str">
        <f>initData!K37&amp;","</f>
        <v>287,</v>
      </c>
    </row>
    <row r="34" spans="1:1" x14ac:dyDescent="0.25">
      <c r="A34" t="str">
        <f>initData!K38&amp;"]"</f>
        <v>956]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C3" sqref="C3"/>
      <selection pane="bottomLeft" activeCell="E38" sqref="E38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40</v>
      </c>
    </row>
    <row r="3" spans="1:1" x14ac:dyDescent="0.25">
      <c r="A3" t="str">
        <f>initData!L7&amp;","</f>
        <v>,</v>
      </c>
    </row>
    <row r="4" spans="1:1" x14ac:dyDescent="0.25">
      <c r="A4" t="str">
        <f>initData!L8&amp;","</f>
        <v>,</v>
      </c>
    </row>
    <row r="5" spans="1:1" x14ac:dyDescent="0.25">
      <c r="A5" t="str">
        <f>initData!L9&amp;","</f>
        <v>,</v>
      </c>
    </row>
    <row r="6" spans="1:1" x14ac:dyDescent="0.25">
      <c r="A6" t="str">
        <f>initData!L10&amp;","</f>
        <v>,</v>
      </c>
    </row>
    <row r="7" spans="1:1" x14ac:dyDescent="0.25">
      <c r="A7" t="str">
        <f>initData!L11&amp;","</f>
        <v>,</v>
      </c>
    </row>
    <row r="8" spans="1:1" x14ac:dyDescent="0.25">
      <c r="A8" t="str">
        <f>initData!L12&amp;","</f>
        <v>,</v>
      </c>
    </row>
    <row r="9" spans="1:1" x14ac:dyDescent="0.25">
      <c r="A9" t="str">
        <f>initData!L13&amp;","</f>
        <v>,</v>
      </c>
    </row>
    <row r="10" spans="1:1" x14ac:dyDescent="0.25">
      <c r="A10" t="str">
        <f>initData!L14&amp;","</f>
        <v>,</v>
      </c>
    </row>
    <row r="11" spans="1:1" x14ac:dyDescent="0.25">
      <c r="A11" t="str">
        <f>initData!L15&amp;","</f>
        <v>,</v>
      </c>
    </row>
    <row r="12" spans="1:1" x14ac:dyDescent="0.25">
      <c r="A12" t="str">
        <f>initData!L16&amp;","</f>
        <v>,</v>
      </c>
    </row>
    <row r="13" spans="1:1" x14ac:dyDescent="0.25">
      <c r="A13" t="str">
        <f>initData!L17&amp;","</f>
        <v>,</v>
      </c>
    </row>
    <row r="14" spans="1:1" x14ac:dyDescent="0.25">
      <c r="A14" t="str">
        <f>initData!L18&amp;","</f>
        <v>,</v>
      </c>
    </row>
    <row r="15" spans="1:1" x14ac:dyDescent="0.25">
      <c r="A15" t="str">
        <f>initData!L19&amp;","</f>
        <v>,</v>
      </c>
    </row>
    <row r="16" spans="1:1" x14ac:dyDescent="0.25">
      <c r="A16" t="str">
        <f>initData!L20&amp;","</f>
        <v>,</v>
      </c>
    </row>
    <row r="17" spans="1:1" x14ac:dyDescent="0.25">
      <c r="A17" t="str">
        <f>initData!L21&amp;","</f>
        <v>,</v>
      </c>
    </row>
    <row r="18" spans="1:1" x14ac:dyDescent="0.25">
      <c r="A18" t="str">
        <f>initData!L22&amp;","</f>
        <v>,</v>
      </c>
    </row>
    <row r="19" spans="1:1" x14ac:dyDescent="0.25">
      <c r="A19" t="str">
        <f>initData!L23&amp;","</f>
        <v>,</v>
      </c>
    </row>
    <row r="20" spans="1:1" x14ac:dyDescent="0.25">
      <c r="A20" t="str">
        <f>initData!L24&amp;","</f>
        <v>,</v>
      </c>
    </row>
    <row r="21" spans="1:1" x14ac:dyDescent="0.25">
      <c r="A21" t="str">
        <f>initData!L25&amp;","</f>
        <v>,</v>
      </c>
    </row>
    <row r="22" spans="1:1" x14ac:dyDescent="0.25">
      <c r="A22" t="str">
        <f>initData!L26&amp;","</f>
        <v>,</v>
      </c>
    </row>
    <row r="23" spans="1:1" x14ac:dyDescent="0.25">
      <c r="A23" t="str">
        <f>initData!L27&amp;","</f>
        <v>,</v>
      </c>
    </row>
    <row r="24" spans="1:1" x14ac:dyDescent="0.25">
      <c r="A24" t="str">
        <f>initData!L28&amp;","</f>
        <v>,</v>
      </c>
    </row>
    <row r="25" spans="1:1" x14ac:dyDescent="0.25">
      <c r="A25" t="str">
        <f>initData!L29&amp;","</f>
        <v>,</v>
      </c>
    </row>
    <row r="26" spans="1:1" x14ac:dyDescent="0.25">
      <c r="A26" t="str">
        <f>initData!L30&amp;","</f>
        <v>,</v>
      </c>
    </row>
    <row r="27" spans="1:1" x14ac:dyDescent="0.25">
      <c r="A27" t="str">
        <f>initData!L31&amp;","</f>
        <v>,</v>
      </c>
    </row>
    <row r="28" spans="1:1" x14ac:dyDescent="0.25">
      <c r="A28" t="str">
        <f>initData!L32&amp;","</f>
        <v>,</v>
      </c>
    </row>
    <row r="29" spans="1:1" x14ac:dyDescent="0.25">
      <c r="A29" t="str">
        <f>initData!L33&amp;","</f>
        <v>,</v>
      </c>
    </row>
    <row r="30" spans="1:1" x14ac:dyDescent="0.25">
      <c r="A30" t="str">
        <f>initData!L34&amp;","</f>
        <v>,</v>
      </c>
    </row>
    <row r="31" spans="1:1" x14ac:dyDescent="0.25">
      <c r="A31" t="str">
        <f>initData!L35&amp;","</f>
        <v>,</v>
      </c>
    </row>
    <row r="32" spans="1:1" x14ac:dyDescent="0.25">
      <c r="A32" t="str">
        <f>initData!L36&amp;","</f>
        <v>,</v>
      </c>
    </row>
    <row r="33" spans="1:1" x14ac:dyDescent="0.25">
      <c r="A33" t="str">
        <f>initData!L37&amp;","</f>
        <v>,</v>
      </c>
    </row>
    <row r="34" spans="1:1" x14ac:dyDescent="0.25">
      <c r="A34" t="str">
        <f>initData!L38&amp;"]"</f>
        <v>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37"/>
  <sheetViews>
    <sheetView topLeftCell="A24" zoomScale="75" zoomScaleNormal="75" workbookViewId="0">
      <selection activeCell="I6" sqref="I6:N8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  <col min="15" max="15" width="11" bestFit="1" customWidth="1"/>
  </cols>
  <sheetData>
    <row r="1" spans="3:26" x14ac:dyDescent="0.25">
      <c r="E1" s="10">
        <f>E3+E4</f>
        <v>1.074074074074074</v>
      </c>
      <c r="F1" s="10"/>
      <c r="I1" s="10"/>
    </row>
    <row r="2" spans="3:26" x14ac:dyDescent="0.25">
      <c r="C2" s="7" t="s">
        <v>16</v>
      </c>
      <c r="D2" s="7" t="s">
        <v>15</v>
      </c>
      <c r="E2" s="7" t="s">
        <v>0</v>
      </c>
      <c r="F2" s="7" t="s">
        <v>5</v>
      </c>
      <c r="G2" s="8"/>
      <c r="V2" t="s">
        <v>109</v>
      </c>
      <c r="W2" s="76">
        <v>30</v>
      </c>
    </row>
    <row r="3" spans="3:26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26</v>
      </c>
      <c r="K3" t="s">
        <v>35</v>
      </c>
      <c r="M3" t="s">
        <v>36</v>
      </c>
      <c r="V3" t="s">
        <v>110</v>
      </c>
      <c r="W3" s="76">
        <v>0</v>
      </c>
    </row>
    <row r="4" spans="3:26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65" t="s">
        <v>34</v>
      </c>
      <c r="J4" s="7" t="s">
        <v>24</v>
      </c>
      <c r="K4" s="7" t="s">
        <v>25</v>
      </c>
      <c r="L4" s="7" t="s">
        <v>24</v>
      </c>
      <c r="M4" s="7" t="s">
        <v>25</v>
      </c>
      <c r="N4" s="7" t="s">
        <v>24</v>
      </c>
      <c r="V4" t="s">
        <v>111</v>
      </c>
      <c r="W4" s="76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66">
        <v>125</v>
      </c>
      <c r="J5" s="58">
        <f>INT(1000000/(I5+45)-45)</f>
        <v>5837</v>
      </c>
      <c r="K5" s="59">
        <f>I5*0.95/1000+1</f>
        <v>1.1187499999999999</v>
      </c>
      <c r="L5" s="59">
        <f>J5*0.95/1000+1</f>
        <v>6.5451499999999996</v>
      </c>
      <c r="M5" s="60">
        <f>IF(K5&lt;2,-100/(K5-1),(K5-1)*100)</f>
        <v>-842.10526315789537</v>
      </c>
      <c r="N5" s="61">
        <f>IF(L5&lt;2,-100/(L5-1),(L5-1)*100)</f>
        <v>554.51499999999999</v>
      </c>
      <c r="O5">
        <f>(K5-1)*1</f>
        <v>0.11874999999999991</v>
      </c>
      <c r="P5">
        <f>(L5-1)*1</f>
        <v>5.5451499999999996</v>
      </c>
      <c r="Q5">
        <f>P5-O5+6</f>
        <v>11.426399999999999</v>
      </c>
      <c r="R5">
        <f>6+O5-P5</f>
        <v>0.57360000000000078</v>
      </c>
      <c r="V5" t="s">
        <v>112</v>
      </c>
      <c r="W5" s="76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67">
        <v>475</v>
      </c>
      <c r="J6" s="21">
        <f t="shared" ref="J6:J9" si="3">INT(1000000/(I6+45)-45)</f>
        <v>1878</v>
      </c>
      <c r="K6" s="13">
        <f t="shared" ref="K6:K9" si="4">I6*0.95/1000+1</f>
        <v>1.4512499999999999</v>
      </c>
      <c r="L6" s="13">
        <f t="shared" ref="L6:L9" si="5">J6*0.95/1000+1</f>
        <v>2.7841</v>
      </c>
      <c r="M6" s="2">
        <f t="shared" ref="M6:M9" si="6">IF(K6&lt;2,-100/(K6-1),(K6-1)*100)</f>
        <v>-221.60664819944603</v>
      </c>
      <c r="N6" s="15">
        <f t="shared" ref="N6:N9" si="7">IF(L6&lt;2,-100/(L6-1),(L6-1)*100)</f>
        <v>178.41</v>
      </c>
      <c r="P6">
        <f>P5-O5</f>
        <v>5.4263999999999992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67">
        <v>952</v>
      </c>
      <c r="J7" s="21">
        <f t="shared" si="3"/>
        <v>958</v>
      </c>
      <c r="K7" s="13">
        <f t="shared" si="4"/>
        <v>1.9043999999999999</v>
      </c>
      <c r="L7" s="13">
        <f t="shared" si="5"/>
        <v>1.9100999999999999</v>
      </c>
      <c r="M7" s="2">
        <f t="shared" si="6"/>
        <v>-110.57054400707653</v>
      </c>
      <c r="N7" s="15">
        <f t="shared" si="7"/>
        <v>-109.8780353807274</v>
      </c>
      <c r="P7">
        <f>30-P6</f>
        <v>24.573599999999999</v>
      </c>
      <c r="V7" s="7" t="s">
        <v>105</v>
      </c>
      <c r="W7" s="7" t="s">
        <v>106</v>
      </c>
      <c r="Y7" s="7" t="s">
        <v>107</v>
      </c>
      <c r="Z7" s="7" t="s">
        <v>108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67">
        <v>635</v>
      </c>
      <c r="J8" s="21">
        <f t="shared" si="3"/>
        <v>1425</v>
      </c>
      <c r="K8" s="13">
        <f>I8*0.95/1000+1</f>
        <v>1.6032500000000001</v>
      </c>
      <c r="L8" s="13">
        <f t="shared" si="5"/>
        <v>2.3537499999999998</v>
      </c>
      <c r="M8" s="2">
        <f t="shared" si="6"/>
        <v>-165.76875259013673</v>
      </c>
      <c r="N8" s="15">
        <f t="shared" si="7"/>
        <v>135.37499999999997</v>
      </c>
      <c r="O8" s="2">
        <v>10000</v>
      </c>
      <c r="P8" s="2">
        <f>O8*I8/1000</f>
        <v>6350</v>
      </c>
      <c r="Q8" s="2">
        <v>0</v>
      </c>
      <c r="R8" s="2">
        <f>Q8*J8/1000</f>
        <v>0</v>
      </c>
      <c r="S8" s="2"/>
      <c r="T8">
        <f>O8/10000</f>
        <v>1</v>
      </c>
      <c r="V8" s="6">
        <f>P8/10000</f>
        <v>0.63500000000000001</v>
      </c>
      <c r="W8" s="6">
        <f>(Q8-O8)/10000</f>
        <v>-1</v>
      </c>
      <c r="X8" s="79">
        <f>MAX(V8,W8)</f>
        <v>0.63500000000000001</v>
      </c>
      <c r="Y8" s="6">
        <f>W5/(I8/1000)</f>
        <v>9.4488188976377945</v>
      </c>
      <c r="Z8" s="6">
        <f>W5/(J8/1000)</f>
        <v>4.2105263157894735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68">
        <v>500</v>
      </c>
      <c r="J9" s="62">
        <f t="shared" si="3"/>
        <v>1789</v>
      </c>
      <c r="K9" s="63">
        <f t="shared" si="4"/>
        <v>1.4750000000000001</v>
      </c>
      <c r="L9" s="63">
        <f t="shared" si="5"/>
        <v>2.6995499999999999</v>
      </c>
      <c r="M9" s="64">
        <f t="shared" si="6"/>
        <v>-210.52631578947364</v>
      </c>
      <c r="N9" s="40">
        <f t="shared" si="7"/>
        <v>169.95499999999998</v>
      </c>
      <c r="O9" s="2">
        <f>O8</f>
        <v>10000</v>
      </c>
      <c r="P9" s="2">
        <f>P8</f>
        <v>6350</v>
      </c>
      <c r="Q9" s="2">
        <v>5000</v>
      </c>
      <c r="R9" s="2">
        <f>Q9*J8/1000</f>
        <v>7125</v>
      </c>
      <c r="S9" s="2"/>
      <c r="T9">
        <f>O9/10000</f>
        <v>1</v>
      </c>
      <c r="U9" s="5">
        <f>P9/10000</f>
        <v>0.63500000000000001</v>
      </c>
      <c r="V9" s="6">
        <f>(P9-Q9)/10000</f>
        <v>0.13500000000000001</v>
      </c>
      <c r="W9" s="6">
        <f>(R9-O9)/10000</f>
        <v>-0.28749999999999998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57"/>
      <c r="J10" s="21"/>
      <c r="K10" s="13"/>
      <c r="L10" s="13"/>
      <c r="M10" s="2"/>
      <c r="N10" s="2"/>
      <c r="O10" s="2"/>
      <c r="P10" s="2"/>
      <c r="Q10" s="2"/>
      <c r="R10" s="2"/>
      <c r="S10" s="2"/>
      <c r="V10">
        <f>SUM(V8:V9)</f>
        <v>0.77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57"/>
      <c r="J11" s="21"/>
      <c r="K11" s="13"/>
      <c r="L11" s="13"/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77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1.0841750841750841</v>
      </c>
      <c r="J14">
        <f>P15/O15</f>
        <v>4</v>
      </c>
      <c r="M14" t="s">
        <v>93</v>
      </c>
      <c r="N14" s="3" t="s">
        <v>88</v>
      </c>
      <c r="O14" s="75" t="s">
        <v>102</v>
      </c>
      <c r="P14" s="7" t="s">
        <v>103</v>
      </c>
    </row>
    <row r="15" spans="3:26" x14ac:dyDescent="0.25">
      <c r="C15" s="7" t="s">
        <v>15</v>
      </c>
      <c r="D15" t="s">
        <v>16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</row>
    <row r="17" spans="1:22" x14ac:dyDescent="0.25">
      <c r="A17" s="48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J17" s="7" t="s">
        <v>95</v>
      </c>
      <c r="K17" s="7" t="s">
        <v>94</v>
      </c>
      <c r="L17" t="s">
        <v>104</v>
      </c>
      <c r="M17" s="3" t="s">
        <v>89</v>
      </c>
      <c r="N17" s="3" t="s">
        <v>90</v>
      </c>
      <c r="O17" s="3" t="s">
        <v>91</v>
      </c>
      <c r="P17" s="3" t="s">
        <v>92</v>
      </c>
      <c r="Q17" s="3" t="s">
        <v>96</v>
      </c>
      <c r="R17" s="3" t="s">
        <v>97</v>
      </c>
      <c r="S17" s="3" t="s">
        <v>98</v>
      </c>
      <c r="T17" s="3" t="s">
        <v>99</v>
      </c>
      <c r="U17" s="3" t="s">
        <v>100</v>
      </c>
      <c r="V17" s="3" t="s">
        <v>101</v>
      </c>
    </row>
    <row r="18" spans="1:22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J18" s="74"/>
      <c r="M18">
        <v>0</v>
      </c>
      <c r="N18">
        <v>0</v>
      </c>
      <c r="O18" s="76">
        <f>N$15/M$15/O$15</f>
        <v>12</v>
      </c>
      <c r="P18">
        <f>N15/M15/P15</f>
        <v>3</v>
      </c>
    </row>
    <row r="19" spans="1:22" x14ac:dyDescent="0.25">
      <c r="A19" s="48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74"/>
      <c r="I19" s="74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76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74"/>
      <c r="I20" s="74"/>
      <c r="J20" s="71">
        <v>0.5</v>
      </c>
      <c r="K20" s="71">
        <v>1</v>
      </c>
      <c r="L20">
        <f>J20*P15</f>
        <v>1</v>
      </c>
      <c r="M20">
        <f>P15*J20-M19</f>
        <v>0.5</v>
      </c>
      <c r="N20">
        <v>2</v>
      </c>
      <c r="O20" s="76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74"/>
      <c r="I21" s="74"/>
      <c r="J21" s="71">
        <v>3</v>
      </c>
      <c r="K21" s="71">
        <v>1</v>
      </c>
      <c r="L21">
        <f>J21*P15</f>
        <v>6</v>
      </c>
      <c r="M21">
        <f>P16*J21-M20</f>
        <v>-0.5</v>
      </c>
      <c r="N21">
        <v>2</v>
      </c>
      <c r="O21" s="76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74"/>
      <c r="I22" s="74"/>
      <c r="J22" s="71"/>
      <c r="K22" s="71"/>
      <c r="S22" s="6"/>
      <c r="T22" s="6"/>
      <c r="U22" s="6"/>
      <c r="V22" s="6"/>
    </row>
    <row r="23" spans="1:22" x14ac:dyDescent="0.25">
      <c r="A23" s="48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74"/>
      <c r="I23" s="74"/>
      <c r="J23" s="71"/>
      <c r="K23" s="71"/>
      <c r="S23" s="6"/>
      <c r="T23" s="6"/>
      <c r="U23" s="6"/>
      <c r="V23" s="6"/>
    </row>
    <row r="24" spans="1:22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74"/>
      <c r="I24" s="74"/>
      <c r="S24" s="6"/>
      <c r="T24" s="6"/>
      <c r="U24" s="6"/>
      <c r="V24" s="6"/>
    </row>
    <row r="25" spans="1:22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74"/>
      <c r="I25" s="74"/>
      <c r="J25" s="74"/>
      <c r="M25">
        <v>0</v>
      </c>
      <c r="N25">
        <v>0</v>
      </c>
      <c r="O25" s="76">
        <f>N$15/M$15/O$15</f>
        <v>12</v>
      </c>
    </row>
    <row r="26" spans="1:22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74"/>
      <c r="I26" s="74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76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  <c r="J27" s="71">
        <f>7</f>
        <v>7</v>
      </c>
      <c r="K27" s="71">
        <v>0</v>
      </c>
      <c r="L27">
        <f>J27*P22</f>
        <v>0</v>
      </c>
      <c r="M27">
        <f>P22*J27-M26</f>
        <v>0</v>
      </c>
      <c r="N27">
        <v>2</v>
      </c>
      <c r="O27" s="76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  <c r="J28" s="71">
        <v>12</v>
      </c>
      <c r="K28" s="71">
        <v>0</v>
      </c>
      <c r="L28">
        <f>J28*P23</f>
        <v>0</v>
      </c>
      <c r="M28">
        <f>P23*J28-M27</f>
        <v>0</v>
      </c>
      <c r="N28">
        <v>2</v>
      </c>
      <c r="O28" s="76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2023-08-19T15:24:35Z</dcterms:modified>
</cp:coreProperties>
</file>