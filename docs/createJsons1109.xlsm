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1089D585-3FBB-454D-9244-6C3C7783291D}" xr6:coauthVersionLast="47" xr6:coauthVersionMax="47" xr10:uidLastSave="{00000000-0000-0000-0000-000000000000}"/>
  <bookViews>
    <workbookView xWindow="33810" yWindow="2205" windowWidth="21600" windowHeight="12840" activeTab="2" xr2:uid="{1230EDBB-7CF7-4CB6-8A8B-436EE42A5ED4}"/>
  </bookViews>
  <sheets>
    <sheet name="oldData" sheetId="14" r:id="rId1"/>
    <sheet name="currentData" sheetId="3" r:id="rId2"/>
    <sheet name="outcomes" sheetId="15" r:id="rId3"/>
    <sheet name="FromMSAccess" sheetId="13" r:id="rId4"/>
    <sheet name="rawInputs" sheetId="9" r:id="rId5"/>
    <sheet name="adjNames" sheetId="12" r:id="rId6"/>
    <sheet name="oddscsv" sheetId="6" r:id="rId7"/>
    <sheet name="settleRefreshcsv" sheetId="7" r:id="rId8"/>
  </sheets>
  <definedNames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5" l="1"/>
  <c r="W3" i="15"/>
  <c r="V4" i="15"/>
  <c r="W4" i="15"/>
  <c r="V5" i="15"/>
  <c r="W5" i="15"/>
  <c r="V6" i="15"/>
  <c r="W6" i="15"/>
  <c r="V7" i="15"/>
  <c r="W7" i="15"/>
  <c r="V8" i="15"/>
  <c r="W8" i="15"/>
  <c r="V9" i="15"/>
  <c r="W9" i="15"/>
  <c r="V10" i="15"/>
  <c r="W10" i="15"/>
  <c r="V11" i="15"/>
  <c r="W11" i="15"/>
  <c r="V12" i="15"/>
  <c r="W12" i="15"/>
  <c r="V13" i="15"/>
  <c r="W13" i="15"/>
  <c r="V14" i="15"/>
  <c r="W14" i="15"/>
  <c r="V15" i="15"/>
  <c r="W15" i="15"/>
  <c r="V16" i="15"/>
  <c r="W16" i="15"/>
  <c r="V17" i="15"/>
  <c r="W17" i="15"/>
  <c r="V18" i="15"/>
  <c r="W18" i="15"/>
  <c r="V19" i="15"/>
  <c r="W19" i="15"/>
  <c r="V20" i="15"/>
  <c r="W20" i="15"/>
  <c r="V21" i="15"/>
  <c r="W21" i="15"/>
  <c r="V22" i="15"/>
  <c r="W22" i="15"/>
  <c r="V23" i="15"/>
  <c r="W23" i="15"/>
  <c r="V24" i="15"/>
  <c r="W24" i="15"/>
  <c r="V25" i="15"/>
  <c r="W25" i="15"/>
  <c r="V26" i="15"/>
  <c r="W26" i="15"/>
  <c r="V27" i="15"/>
  <c r="W27" i="15"/>
  <c r="V28" i="15"/>
  <c r="W28" i="15"/>
  <c r="V29" i="15"/>
  <c r="W29" i="15"/>
  <c r="V30" i="15"/>
  <c r="W30" i="15"/>
  <c r="V31" i="15"/>
  <c r="W31" i="15"/>
  <c r="V32" i="15"/>
  <c r="W32" i="15"/>
  <c r="V33" i="15"/>
  <c r="W33" i="15"/>
  <c r="V34" i="15"/>
  <c r="W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T4" i="15"/>
  <c r="T5" i="15"/>
  <c r="T6" i="15"/>
  <c r="T7" i="15"/>
  <c r="T8" i="15"/>
  <c r="T9" i="15"/>
  <c r="T10" i="15"/>
  <c r="T11" i="15"/>
  <c r="T12" i="15"/>
  <c r="T13" i="15"/>
  <c r="T14" i="15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" i="15"/>
  <c r="R29" i="15"/>
  <c r="R30" i="15"/>
  <c r="R31" i="15"/>
  <c r="R4" i="15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3" i="15"/>
  <c r="F4" i="15" l="1"/>
  <c r="G4" i="15" s="1"/>
  <c r="F5" i="15"/>
  <c r="G5" i="15" s="1"/>
  <c r="F6" i="15"/>
  <c r="G6" i="15" s="1"/>
  <c r="F7" i="15"/>
  <c r="G7" i="15" s="1"/>
  <c r="F8" i="15"/>
  <c r="G8" i="15" s="1"/>
  <c r="F9" i="15"/>
  <c r="G9" i="15" s="1"/>
  <c r="F10" i="15"/>
  <c r="G10" i="15" s="1"/>
  <c r="F11" i="15"/>
  <c r="G11" i="15" s="1"/>
  <c r="F12" i="15"/>
  <c r="G12" i="15" s="1"/>
  <c r="F13" i="15"/>
  <c r="G13" i="15" s="1"/>
  <c r="F14" i="15"/>
  <c r="G14" i="15" s="1"/>
  <c r="F15" i="15"/>
  <c r="G15" i="15" s="1"/>
  <c r="F16" i="15"/>
  <c r="G16" i="15" s="1"/>
  <c r="F17" i="15"/>
  <c r="G17" i="15" s="1"/>
  <c r="F18" i="15"/>
  <c r="G18" i="15" s="1"/>
  <c r="F19" i="15"/>
  <c r="G19" i="15" s="1"/>
  <c r="F20" i="15"/>
  <c r="G20" i="15" s="1"/>
  <c r="F21" i="15"/>
  <c r="G21" i="15" s="1"/>
  <c r="F22" i="15"/>
  <c r="G22" i="15" s="1"/>
  <c r="F23" i="15"/>
  <c r="G23" i="15" s="1"/>
  <c r="F24" i="15"/>
  <c r="G24" i="15" s="1"/>
  <c r="F25" i="15"/>
  <c r="G25" i="15" s="1"/>
  <c r="F26" i="15"/>
  <c r="G26" i="15" s="1"/>
  <c r="F27" i="15"/>
  <c r="G27" i="15" s="1"/>
  <c r="F28" i="15"/>
  <c r="G28" i="15" s="1"/>
  <c r="F29" i="15"/>
  <c r="G29" i="15" s="1"/>
  <c r="F30" i="15"/>
  <c r="G30" i="15" s="1"/>
  <c r="F31" i="15"/>
  <c r="G31" i="15" s="1"/>
  <c r="F32" i="15"/>
  <c r="G32" i="15" s="1"/>
  <c r="F33" i="15"/>
  <c r="G33" i="15" s="1"/>
  <c r="F34" i="15"/>
  <c r="G34" i="15" s="1"/>
  <c r="F35" i="15"/>
  <c r="G35" i="15" s="1"/>
  <c r="F36" i="15"/>
  <c r="G36" i="15" s="1"/>
  <c r="F37" i="15"/>
  <c r="G37" i="15" s="1"/>
  <c r="F38" i="15"/>
  <c r="G38" i="15" s="1"/>
  <c r="F39" i="15"/>
  <c r="G39" i="15" s="1"/>
  <c r="F40" i="15"/>
  <c r="G40" i="15" s="1"/>
  <c r="F41" i="15"/>
  <c r="G41" i="15" s="1"/>
  <c r="F42" i="15"/>
  <c r="G42" i="15" s="1"/>
  <c r="F43" i="15"/>
  <c r="G43" i="15" s="1"/>
  <c r="F44" i="15"/>
  <c r="G44" i="15" s="1"/>
  <c r="F45" i="15"/>
  <c r="G45" i="15" s="1"/>
  <c r="F46" i="15"/>
  <c r="G46" i="15" s="1"/>
  <c r="F47" i="15"/>
  <c r="G47" i="15" s="1"/>
  <c r="F48" i="15"/>
  <c r="G48" i="15" s="1"/>
  <c r="F49" i="15"/>
  <c r="G49" i="15" s="1"/>
  <c r="F50" i="15"/>
  <c r="G50" i="15" s="1"/>
  <c r="F51" i="15"/>
  <c r="G51" i="15" s="1"/>
  <c r="F52" i="15"/>
  <c r="G52" i="15" s="1"/>
  <c r="F53" i="15"/>
  <c r="G53" i="15" s="1"/>
  <c r="F54" i="15"/>
  <c r="G54" i="15" s="1"/>
  <c r="F55" i="15"/>
  <c r="G55" i="15" s="1"/>
  <c r="F56" i="15"/>
  <c r="G56" i="15" s="1"/>
  <c r="F57" i="15"/>
  <c r="G57" i="15" s="1"/>
  <c r="F58" i="15"/>
  <c r="G58" i="15" s="1"/>
  <c r="F59" i="15"/>
  <c r="G59" i="15" s="1"/>
  <c r="F60" i="15"/>
  <c r="G60" i="15" s="1"/>
  <c r="F61" i="15"/>
  <c r="G61" i="15" s="1"/>
  <c r="F62" i="15"/>
  <c r="G62" i="15" s="1"/>
  <c r="F63" i="15"/>
  <c r="G63" i="15" s="1"/>
  <c r="F64" i="15"/>
  <c r="G64" i="15" s="1"/>
  <c r="F65" i="15"/>
  <c r="G65" i="15" s="1"/>
  <c r="F66" i="15"/>
  <c r="G66" i="15" s="1"/>
  <c r="F67" i="15"/>
  <c r="G67" i="15" s="1"/>
  <c r="F68" i="15"/>
  <c r="G68" i="15" s="1"/>
  <c r="F69" i="15"/>
  <c r="G69" i="15" s="1"/>
  <c r="F70" i="15"/>
  <c r="G70" i="15" s="1"/>
  <c r="F71" i="15"/>
  <c r="G71" i="15" s="1"/>
  <c r="F72" i="15"/>
  <c r="G72" i="15" s="1"/>
  <c r="F73" i="15"/>
  <c r="G73" i="15" s="1"/>
  <c r="F74" i="15"/>
  <c r="G74" i="15" s="1"/>
  <c r="F75" i="15"/>
  <c r="G75" i="15" s="1"/>
  <c r="F76" i="15"/>
  <c r="G76" i="15" s="1"/>
  <c r="F77" i="15"/>
  <c r="G77" i="15" s="1"/>
  <c r="F78" i="15"/>
  <c r="G78" i="15" s="1"/>
  <c r="F79" i="15"/>
  <c r="G79" i="15" s="1"/>
  <c r="F80" i="15"/>
  <c r="G80" i="15" s="1"/>
  <c r="F81" i="15"/>
  <c r="G81" i="15" s="1"/>
  <c r="F82" i="15"/>
  <c r="G82" i="15" s="1"/>
  <c r="F83" i="15"/>
  <c r="G83" i="15" s="1"/>
  <c r="F84" i="15"/>
  <c r="G84" i="15" s="1"/>
  <c r="F85" i="15"/>
  <c r="G85" i="15" s="1"/>
  <c r="F86" i="15"/>
  <c r="G86" i="15" s="1"/>
  <c r="F87" i="15"/>
  <c r="G87" i="15" s="1"/>
  <c r="F88" i="15"/>
  <c r="G88" i="15" s="1"/>
  <c r="F89" i="15"/>
  <c r="G89" i="15" s="1"/>
  <c r="F90" i="15"/>
  <c r="G90" i="15" s="1"/>
  <c r="F91" i="15"/>
  <c r="G91" i="15" s="1"/>
  <c r="F92" i="15"/>
  <c r="G92" i="15" s="1"/>
  <c r="F93" i="15"/>
  <c r="G93" i="15" s="1"/>
  <c r="F94" i="15"/>
  <c r="G94" i="15" s="1"/>
  <c r="F95" i="15"/>
  <c r="G95" i="15" s="1"/>
  <c r="F96" i="15"/>
  <c r="G96" i="15" s="1"/>
  <c r="F97" i="15"/>
  <c r="G97" i="15" s="1"/>
  <c r="F98" i="15"/>
  <c r="G98" i="15" s="1"/>
  <c r="F99" i="15"/>
  <c r="G99" i="15" s="1"/>
  <c r="F100" i="15"/>
  <c r="G100" i="15" s="1"/>
  <c r="F101" i="15"/>
  <c r="G101" i="15" s="1"/>
  <c r="F102" i="15"/>
  <c r="G102" i="15" s="1"/>
  <c r="F103" i="15"/>
  <c r="G103" i="15" s="1"/>
  <c r="F104" i="15"/>
  <c r="G104" i="15" s="1"/>
  <c r="F105" i="15"/>
  <c r="G105" i="15" s="1"/>
  <c r="F106" i="15"/>
  <c r="G106" i="15" s="1"/>
  <c r="F107" i="15"/>
  <c r="G107" i="15" s="1"/>
  <c r="F108" i="15"/>
  <c r="G108" i="15" s="1"/>
  <c r="F109" i="15"/>
  <c r="G109" i="15" s="1"/>
  <c r="F110" i="15"/>
  <c r="G110" i="15" s="1"/>
  <c r="F111" i="15"/>
  <c r="G111" i="15" s="1"/>
  <c r="F112" i="15"/>
  <c r="G112" i="15" s="1"/>
  <c r="F113" i="15"/>
  <c r="G113" i="15" s="1"/>
  <c r="F114" i="15"/>
  <c r="G114" i="15" s="1"/>
  <c r="F115" i="15"/>
  <c r="G115" i="15" s="1"/>
  <c r="F116" i="15"/>
  <c r="G116" i="15" s="1"/>
  <c r="F117" i="15"/>
  <c r="G117" i="15" s="1"/>
  <c r="F118" i="15"/>
  <c r="G118" i="15" s="1"/>
  <c r="F119" i="15"/>
  <c r="G119" i="15" s="1"/>
  <c r="F120" i="15"/>
  <c r="G120" i="15" s="1"/>
  <c r="F121" i="15"/>
  <c r="G121" i="15" s="1"/>
  <c r="F122" i="15"/>
  <c r="G122" i="15" s="1"/>
  <c r="F123" i="15"/>
  <c r="G123" i="15" s="1"/>
  <c r="F124" i="15"/>
  <c r="G124" i="15" s="1"/>
  <c r="F125" i="15"/>
  <c r="G125" i="15" s="1"/>
  <c r="F126" i="15"/>
  <c r="G126" i="15" s="1"/>
  <c r="F127" i="15"/>
  <c r="G127" i="15" s="1"/>
  <c r="F128" i="15"/>
  <c r="G128" i="15" s="1"/>
  <c r="F129" i="15"/>
  <c r="G129" i="15" s="1"/>
  <c r="F130" i="15"/>
  <c r="G130" i="15" s="1"/>
  <c r="F131" i="15"/>
  <c r="G131" i="15" s="1"/>
  <c r="F3" i="15"/>
  <c r="G3" i="15" s="1"/>
  <c r="M6" i="15"/>
  <c r="M7" i="15"/>
  <c r="M9" i="15"/>
  <c r="M11" i="15"/>
  <c r="M13" i="15"/>
  <c r="M16" i="15"/>
  <c r="M17" i="15"/>
  <c r="M19" i="15"/>
  <c r="M21" i="15"/>
  <c r="M23" i="15"/>
  <c r="M25" i="15"/>
  <c r="M27" i="15"/>
  <c r="M4" i="15"/>
  <c r="B3" i="15"/>
  <c r="H41" i="3"/>
  <c r="H40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8" i="3"/>
  <c r="J683" i="12"/>
  <c r="J684" i="12" s="1"/>
  <c r="J685" i="12" s="1"/>
  <c r="I683" i="12"/>
  <c r="I684" i="12" s="1"/>
  <c r="I685" i="12" s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H33" i="3"/>
  <c r="G33" i="14"/>
  <c r="G34" i="14"/>
  <c r="A32" i="7" s="1"/>
  <c r="G35" i="14"/>
  <c r="C2" i="13"/>
  <c r="J8" i="13"/>
  <c r="A14" i="13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J55" i="13"/>
  <c r="J56" i="13"/>
  <c r="J10" i="13"/>
  <c r="J57" i="13"/>
  <c r="J58" i="13"/>
  <c r="J59" i="13"/>
  <c r="J11" i="13"/>
  <c r="J60" i="13"/>
  <c r="J61" i="13"/>
  <c r="J12" i="13"/>
  <c r="J62" i="13"/>
  <c r="J13" i="13"/>
  <c r="J63" i="13"/>
  <c r="J14" i="13"/>
  <c r="J64" i="13"/>
  <c r="J15" i="13"/>
  <c r="J16" i="13"/>
  <c r="J65" i="13"/>
  <c r="J66" i="13"/>
  <c r="J17" i="13"/>
  <c r="J67" i="13"/>
  <c r="J18" i="13"/>
  <c r="J68" i="13"/>
  <c r="J19" i="13"/>
  <c r="J20" i="13"/>
  <c r="J69" i="13"/>
  <c r="J70" i="13"/>
  <c r="J21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A34" i="7"/>
  <c r="A4" i="7"/>
  <c r="A18" i="7"/>
  <c r="A23" i="7"/>
  <c r="A24" i="7"/>
  <c r="A25" i="7"/>
  <c r="A29" i="7"/>
  <c r="A31" i="7"/>
  <c r="A33" i="7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35" i="3"/>
  <c r="H30" i="3"/>
  <c r="H28" i="3"/>
  <c r="H39" i="3"/>
  <c r="H34" i="3"/>
  <c r="H31" i="3"/>
  <c r="H26" i="3"/>
  <c r="H36" i="3"/>
  <c r="H32" i="3"/>
  <c r="H27" i="3"/>
  <c r="H37" i="3"/>
  <c r="H38" i="3"/>
  <c r="H8" i="3"/>
  <c r="J36" i="14"/>
  <c r="M36" i="14" s="1"/>
  <c r="H36" i="14"/>
  <c r="H35" i="14"/>
  <c r="J35" i="14"/>
  <c r="M35" i="14" s="1"/>
  <c r="J34" i="14"/>
  <c r="M34" i="14" s="1"/>
  <c r="H34" i="14"/>
  <c r="H33" i="14"/>
  <c r="J33" i="14"/>
  <c r="M33" i="14" s="1"/>
  <c r="H32" i="14"/>
  <c r="G32" i="14"/>
  <c r="J32" i="14" s="1"/>
  <c r="M32" i="14" s="1"/>
  <c r="H31" i="14"/>
  <c r="G31" i="14"/>
  <c r="J31" i="14" s="1"/>
  <c r="M31" i="14" s="1"/>
  <c r="H30" i="14"/>
  <c r="G30" i="14"/>
  <c r="J30" i="14" s="1"/>
  <c r="M30" i="14" s="1"/>
  <c r="H29" i="14"/>
  <c r="G29" i="14"/>
  <c r="J29" i="14" s="1"/>
  <c r="M29" i="14" s="1"/>
  <c r="H28" i="14"/>
  <c r="G28" i="14"/>
  <c r="J28" i="14" s="1"/>
  <c r="M28" i="14" s="1"/>
  <c r="H27" i="14"/>
  <c r="G27" i="14"/>
  <c r="J27" i="14" s="1"/>
  <c r="M27" i="14" s="1"/>
  <c r="J26" i="14"/>
  <c r="M26" i="14" s="1"/>
  <c r="H26" i="14"/>
  <c r="G26" i="14"/>
  <c r="H25" i="14"/>
  <c r="G25" i="14"/>
  <c r="J25" i="14" s="1"/>
  <c r="M25" i="14" s="1"/>
  <c r="H24" i="14"/>
  <c r="G24" i="14"/>
  <c r="J24" i="14" s="1"/>
  <c r="M24" i="14" s="1"/>
  <c r="H23" i="14"/>
  <c r="G23" i="14"/>
  <c r="J23" i="14" s="1"/>
  <c r="M23" i="14" s="1"/>
  <c r="H22" i="14"/>
  <c r="G22" i="14"/>
  <c r="A20" i="7" s="1"/>
  <c r="H21" i="14"/>
  <c r="G21" i="14"/>
  <c r="J21" i="14" s="1"/>
  <c r="M21" i="14" s="1"/>
  <c r="H20" i="14"/>
  <c r="G20" i="14"/>
  <c r="J20" i="14" s="1"/>
  <c r="M20" i="14" s="1"/>
  <c r="H19" i="14"/>
  <c r="G19" i="14"/>
  <c r="J19" i="14" s="1"/>
  <c r="M19" i="14" s="1"/>
  <c r="H18" i="14"/>
  <c r="G18" i="14"/>
  <c r="A16" i="7" s="1"/>
  <c r="H17" i="14"/>
  <c r="G17" i="14"/>
  <c r="J17" i="14" s="1"/>
  <c r="M17" i="14" s="1"/>
  <c r="H16" i="14"/>
  <c r="G16" i="14"/>
  <c r="J16" i="14" s="1"/>
  <c r="M16" i="14" s="1"/>
  <c r="H15" i="14"/>
  <c r="G15" i="14"/>
  <c r="J15" i="14" s="1"/>
  <c r="M15" i="14" s="1"/>
  <c r="H14" i="14"/>
  <c r="G14" i="14"/>
  <c r="A12" i="7" s="1"/>
  <c r="H13" i="14"/>
  <c r="G13" i="14"/>
  <c r="J13" i="14" s="1"/>
  <c r="M13" i="14" s="1"/>
  <c r="H12" i="14"/>
  <c r="G12" i="14"/>
  <c r="J12" i="14" s="1"/>
  <c r="M12" i="14" s="1"/>
  <c r="H11" i="14"/>
  <c r="G11" i="14"/>
  <c r="J11" i="14" s="1"/>
  <c r="M11" i="14" s="1"/>
  <c r="J10" i="14"/>
  <c r="M10" i="14" s="1"/>
  <c r="H10" i="14"/>
  <c r="G10" i="14"/>
  <c r="A8" i="7" s="1"/>
  <c r="H9" i="14"/>
  <c r="G9" i="14"/>
  <c r="J9" i="14" s="1"/>
  <c r="M9" i="14" s="1"/>
  <c r="H8" i="14"/>
  <c r="G8" i="14"/>
  <c r="J8" i="14" s="1"/>
  <c r="M8" i="14" s="1"/>
  <c r="H7" i="14"/>
  <c r="G7" i="14"/>
  <c r="J7" i="14" s="1"/>
  <c r="M7" i="14" s="1"/>
  <c r="J6" i="14"/>
  <c r="M6" i="14" s="1"/>
  <c r="H6" i="14"/>
  <c r="H5" i="14"/>
  <c r="G5" i="14"/>
  <c r="J5" i="14" s="1"/>
  <c r="M5" i="14" s="1"/>
  <c r="J36" i="13"/>
  <c r="J37" i="13"/>
  <c r="J38" i="13"/>
  <c r="J39" i="13"/>
  <c r="J40" i="13"/>
  <c r="J41" i="13"/>
  <c r="J42" i="13"/>
  <c r="J43" i="13"/>
  <c r="J44" i="13"/>
  <c r="J45" i="13"/>
  <c r="J4" i="13"/>
  <c r="J5" i="13"/>
  <c r="J46" i="13"/>
  <c r="J47" i="13"/>
  <c r="J48" i="13"/>
  <c r="J49" i="13"/>
  <c r="J50" i="13"/>
  <c r="J51" i="13"/>
  <c r="J6" i="13"/>
  <c r="J52" i="13"/>
  <c r="J7" i="13"/>
  <c r="J53" i="13"/>
  <c r="J54" i="13"/>
  <c r="J9" i="13"/>
  <c r="M3" i="15" l="1"/>
  <c r="M28" i="15"/>
  <c r="M18" i="15"/>
  <c r="M15" i="15"/>
  <c r="M22" i="15"/>
  <c r="M12" i="15"/>
  <c r="M20" i="15"/>
  <c r="M8" i="15"/>
  <c r="M5" i="15"/>
  <c r="M26" i="15"/>
  <c r="M14" i="15"/>
  <c r="M24" i="15"/>
  <c r="M10" i="15"/>
  <c r="A22" i="7"/>
  <c r="J22" i="14"/>
  <c r="M22" i="14" s="1"/>
  <c r="A21" i="7"/>
  <c r="A9" i="7"/>
  <c r="A19" i="7"/>
  <c r="A7" i="7"/>
  <c r="A6" i="7"/>
  <c r="J18" i="14"/>
  <c r="M18" i="14" s="1"/>
  <c r="A5" i="7"/>
  <c r="A30" i="7"/>
  <c r="A15" i="7"/>
  <c r="A17" i="7"/>
  <c r="A28" i="7"/>
  <c r="J14" i="14"/>
  <c r="M14" i="14" s="1"/>
  <c r="A27" i="7"/>
  <c r="A26" i="7"/>
  <c r="A14" i="7"/>
  <c r="A13" i="7"/>
  <c r="A11" i="7"/>
  <c r="A10" i="7"/>
  <c r="A3" i="7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67" i="7" l="1"/>
  <c r="A36" i="7"/>
  <c r="A100" i="7" l="1"/>
  <c r="A69" i="7"/>
</calcChain>
</file>

<file path=xl/sharedStrings.xml><?xml version="1.0" encoding="utf-8"?>
<sst xmlns="http://schemas.openxmlformats.org/spreadsheetml/2006/main" count="12311" uniqueCount="629">
  <si>
    <t>Schedule</t>
  </si>
  <si>
    <t>StartTime</t>
  </si>
  <si>
    <t>Odds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</si>
  <si>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</si>
  <si>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</si>
  <si>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</si>
  <si>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</si>
  <si>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</si>
  <si>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</si>
  <si>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</si>
  <si>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</si>
  <si>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</si>
  <si>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</si>
  <si>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sched</t>
  </si>
  <si>
    <t>utc</t>
  </si>
  <si>
    <t>BetRivers</t>
  </si>
  <si>
    <t>Pending</t>
  </si>
  <si>
    <t>Unibet</t>
  </si>
  <si>
    <t>FanDuel</t>
  </si>
  <si>
    <t>Alabama Crimson Tide_LSU Tigers</t>
  </si>
  <si>
    <t>USC Trojans_Washington Huskies</t>
  </si>
  <si>
    <t>LowVig.ag</t>
  </si>
  <si>
    <t>BetUS</t>
  </si>
  <si>
    <t>SuperBook</t>
  </si>
  <si>
    <t>BetOnline.ag</t>
  </si>
  <si>
    <t>Caesars</t>
  </si>
  <si>
    <t>Bovada</t>
  </si>
  <si>
    <t>DraftKings</t>
  </si>
  <si>
    <t>BetMGM</t>
  </si>
  <si>
    <t>WynnBET</t>
  </si>
  <si>
    <t>odd_draw</t>
  </si>
  <si>
    <t>odd_2</t>
  </si>
  <si>
    <t>odd_1</t>
  </si>
  <si>
    <t>last_update</t>
  </si>
  <si>
    <t>bookmaker</t>
  </si>
  <si>
    <t>status</t>
  </si>
  <si>
    <t>commence</t>
  </si>
  <si>
    <t>2023-12-17T03:00:00.000Z</t>
  </si>
  <si>
    <t>Paddy Pimblett_Tony Ferguson</t>
  </si>
  <si>
    <t>Shavkat Rakhmonov_Stephen Thompson</t>
  </si>
  <si>
    <t>Alexandre Pantoja_Brandon Royval</t>
  </si>
  <si>
    <t>Colby Covington_Leon Edwards</t>
  </si>
  <si>
    <t>Alex Pereira_Jiri Prochazka</t>
  </si>
  <si>
    <t>WakeForest</t>
  </si>
  <si>
    <t>TexasTech</t>
  </si>
  <si>
    <t>North_</t>
  </si>
  <si>
    <t>South_</t>
  </si>
  <si>
    <t>_State</t>
  </si>
  <si>
    <t>San_</t>
  </si>
  <si>
    <t>BoiseState</t>
  </si>
  <si>
    <t>NotreDame</t>
  </si>
  <si>
    <t>OleMiss</t>
  </si>
  <si>
    <t>Derrick Lewis_Jailton Almeida</t>
  </si>
  <si>
    <t>Jessica Andrade_Mackenzie Dern</t>
  </si>
  <si>
    <t>bigSched</t>
  </si>
  <si>
    <t>Sport</t>
  </si>
  <si>
    <t>2023-11-12T04:45:00.000Z</t>
  </si>
  <si>
    <t>2023-12-17T04:45:00.000Z</t>
  </si>
  <si>
    <t>TexasA&amp;M</t>
  </si>
  <si>
    <t>Joshua Van_Kevin Borjas</t>
  </si>
  <si>
    <t>2023-11-11T23:00:03.000Z</t>
  </si>
  <si>
    <t>Dennis Buzukja_Jamall Emmers</t>
  </si>
  <si>
    <t>Nazim Sadykhov_Viacheslav Borshchev</t>
  </si>
  <si>
    <t>Jared Gordon_Mark O. Madsen</t>
  </si>
  <si>
    <t>2023-11-11T23:00:48.000Z</t>
  </si>
  <si>
    <t>Lupita Godinez_Tabatha Ricci</t>
  </si>
  <si>
    <t>Benoit Saint-Denis_Matt Frevola</t>
  </si>
  <si>
    <t>2023-11-12T03:15:00.000Z</t>
  </si>
  <si>
    <t>Diego Lopes_Pat Sabatini</t>
  </si>
  <si>
    <t>Green Bay Packers_Los Angeles Rams</t>
  </si>
  <si>
    <t>Houston Texans_Tampa Bay Buccaneers</t>
  </si>
  <si>
    <t>New England Patriots_Washington Commanders</t>
  </si>
  <si>
    <t>Chicago Bears_New Orleans Saints</t>
  </si>
  <si>
    <t>Atlanta Falcons_Minnesota Vikings</t>
  </si>
  <si>
    <t>Baltimore Ravens_Seattle Seahawks</t>
  </si>
  <si>
    <t>Arizona Cardinals_Cleveland Browns</t>
  </si>
  <si>
    <t>Carolina Panthers_Indianapolis Colts</t>
  </si>
  <si>
    <t>Dallas Cowboys_Philadelphia Eagles</t>
  </si>
  <si>
    <t>Las Vegas Raiders_New York Giants</t>
  </si>
  <si>
    <t>Buffalo Bills_Cincinnati Bengals</t>
  </si>
  <si>
    <t>Los Angeles Chargers_New York Jets</t>
  </si>
  <si>
    <t>probSpread2</t>
  </si>
  <si>
    <t>faveDec</t>
  </si>
  <si>
    <t>"_resultVector": [</t>
  </si>
  <si>
    <t>"_starts": [</t>
  </si>
  <si>
    <t>"_teamsched": [</t>
  </si>
  <si>
    <t>John Castaneda_Kyung Ho Kang</t>
  </si>
  <si>
    <t>Sergey Pavlovich_Tom Aspinall</t>
  </si>
  <si>
    <t>2023-11-12T03:00:00.000Z</t>
  </si>
  <si>
    <t>Kansas City Chiefs_Miami Dolphins</t>
  </si>
  <si>
    <t>West Virgina</t>
  </si>
  <si>
    <t>Arkansas Razorbacks_Florida Gators</t>
  </si>
  <si>
    <t>Iowa Hawkeyes_Northwestern Wildcats</t>
  </si>
  <si>
    <t>Illinois Fighting Illini_Minnesota Golden Gophers</t>
  </si>
  <si>
    <t>Arizona Wildcats_UCLA Bruins</t>
  </si>
  <si>
    <t>2023-11-12T02:00:00.000Z</t>
  </si>
  <si>
    <t>Jake Matthews_Michael Morales</t>
  </si>
  <si>
    <t>2023-11-18T22:15:00.000Z</t>
  </si>
  <si>
    <t>Chase Hooper_Jordan Leavitt</t>
  </si>
  <si>
    <t>Brendan Allen_Paul Craig</t>
  </si>
  <si>
    <t>Clemson Tigers_NotreDame Fighting Irish</t>
  </si>
  <si>
    <t>KansasState Wildcats_Texas Longhorns</t>
  </si>
  <si>
    <t>MichiganState Spartans_Nebraska Cornhuskers</t>
  </si>
  <si>
    <t>ArizonaState Sun Devils_Utah Utes</t>
  </si>
  <si>
    <t>Maryland Terrapins_PennState Nittany Lions</t>
  </si>
  <si>
    <t>Oklahoma Sooners_OklahomaState Cowboys</t>
  </si>
  <si>
    <t>IowaState Cyclones_Kansas Jayhawks</t>
  </si>
  <si>
    <t>Kentucky Wildcats_MississippiState Bulldogs</t>
  </si>
  <si>
    <t>Miami Hurricanes_NCState Wolfpack</t>
  </si>
  <si>
    <t>Stanford Cardinal_WashingtonState Cougars</t>
  </si>
  <si>
    <t>Colorado Buffaloes_OregonState Beavers</t>
  </si>
  <si>
    <t>OleMiss Rebels_TexasA&amp;M Aggies</t>
  </si>
  <si>
    <t>Michigan Wolverines_Penn State Nittany Lions</t>
  </si>
  <si>
    <t>2023-11-11T17:00:00.000Z</t>
  </si>
  <si>
    <t>Oregon Ducks_USC Trojans</t>
  </si>
  <si>
    <t>Georgia Bulldogs_Tennessee Volunteers</t>
  </si>
  <si>
    <t>Michigan Wolverines_Ohio State Buckeyes</t>
  </si>
  <si>
    <t>2023-11-25T17:00:00.000Z</t>
  </si>
  <si>
    <t>Michigan Wolverines_PennState Nittany Lions</t>
  </si>
  <si>
    <t>Alabama Crimson Tide_Kentucky Wildcats</t>
  </si>
  <si>
    <t>Florida Gators_LSU Tigers</t>
  </si>
  <si>
    <t>Michigan State Spartans_Ohio State Buckeyes</t>
  </si>
  <si>
    <t>Amanda Ribas_Luana Pinheiro</t>
  </si>
  <si>
    <t>Jonny Parsons_Uros Medic</t>
  </si>
  <si>
    <t>Carolina Panthers_Chicago Bears</t>
  </si>
  <si>
    <t>Indianapolis Colts_New England Patriots</t>
  </si>
  <si>
    <t>Jacksonville Jaguars_San Francisco 49ers</t>
  </si>
  <si>
    <t>Minnesota Vikings_New Orleans Saints</t>
  </si>
  <si>
    <t>Tampa Bay Buccaneers_Tennessee Titans</t>
  </si>
  <si>
    <t>Baltimore Ravens_Cleveland Browns</t>
  </si>
  <si>
    <t>Cincinnati Bengals_Houston Texans</t>
  </si>
  <si>
    <t>Green Bay Packers_Pittsburgh Steelers</t>
  </si>
  <si>
    <t>Arizona Cardinals_Atlanta Falcons</t>
  </si>
  <si>
    <t>Detroit Lions_Los Angeles Chargers</t>
  </si>
  <si>
    <t>Dallas Cowboys_New York Giants</t>
  </si>
  <si>
    <t>Seattle Seahawks_Washington Commanders</t>
  </si>
  <si>
    <t>Las Vegas Raiders_New York Jets</t>
  </si>
  <si>
    <t>2023-11-13T01:20:00.000Z</t>
  </si>
  <si>
    <t>Buffalo Bills_Denver Broncos</t>
  </si>
  <si>
    <t>2023-11-14T01:15:00.000Z</t>
  </si>
  <si>
    <t>Jacksonville Jaguars_SanFrancisco 49ers</t>
  </si>
  <si>
    <t>MichiganState Spartans_OhioState Buckeyes</t>
  </si>
  <si>
    <t>Clemson</t>
  </si>
  <si>
    <t>Texas</t>
  </si>
  <si>
    <t>Arkansas</t>
  </si>
  <si>
    <t>Florida</t>
  </si>
  <si>
    <t>Utah</t>
  </si>
  <si>
    <t>Illinois</t>
  </si>
  <si>
    <t>Minnesota</t>
  </si>
  <si>
    <t>Iowa</t>
  </si>
  <si>
    <t>OklahomaState</t>
  </si>
  <si>
    <t>PennState</t>
  </si>
  <si>
    <t>Kansas</t>
  </si>
  <si>
    <t>Washington</t>
  </si>
  <si>
    <t>Kentucky</t>
  </si>
  <si>
    <t>Alabama</t>
  </si>
  <si>
    <t>NCState</t>
  </si>
  <si>
    <t>Stanford</t>
  </si>
  <si>
    <t>OregonState</t>
  </si>
  <si>
    <t>Arizona</t>
  </si>
  <si>
    <t>Chiefs</t>
  </si>
  <si>
    <t>Texans</t>
  </si>
  <si>
    <t>Buccaneers</t>
  </si>
  <si>
    <t>Commanders</t>
  </si>
  <si>
    <t>Patriots</t>
  </si>
  <si>
    <t>Vikings</t>
  </si>
  <si>
    <t>Falcons</t>
  </si>
  <si>
    <t>Saints</t>
  </si>
  <si>
    <t>Packers</t>
  </si>
  <si>
    <t>Ravens</t>
  </si>
  <si>
    <t>Browns</t>
  </si>
  <si>
    <t>Colts</t>
  </si>
  <si>
    <t>Raiders</t>
  </si>
  <si>
    <t>Eagles</t>
  </si>
  <si>
    <t>Bengals</t>
  </si>
  <si>
    <t>Bills</t>
  </si>
  <si>
    <t>Northwestern</t>
  </si>
  <si>
    <t>LSU</t>
  </si>
  <si>
    <t>Colorado</t>
  </si>
  <si>
    <t>Seahawks</t>
  </si>
  <si>
    <t>Cardinals</t>
  </si>
  <si>
    <t>Chargers</t>
  </si>
  <si>
    <t>Jets</t>
  </si>
  <si>
    <t>UTC in Chicago time</t>
  </si>
  <si>
    <t>Enter Here</t>
  </si>
  <si>
    <t>Winner2</t>
  </si>
  <si>
    <t>favorite</t>
  </si>
  <si>
    <t>underdog</t>
  </si>
  <si>
    <t>Central Michigan Chippewas_Western Michigan Broncos</t>
  </si>
  <si>
    <t>Buffalo Bulls_Ohio Bobcats</t>
  </si>
  <si>
    <t>Louisville Cardinals_Virginia Cavaliers</t>
  </si>
  <si>
    <t>2023-11-10T00:30:00.000Z</t>
  </si>
  <si>
    <t>Louisiana Ragin Cajuns_Southern Mississippi Golden Eagles</t>
  </si>
  <si>
    <t>North Texas Mean Green_SMU Mustangs</t>
  </si>
  <si>
    <t>2023-11-11T02:00:00.000Z</t>
  </si>
  <si>
    <t>UNLV Rebels_Wyoming Cowboys</t>
  </si>
  <si>
    <t>2023-11-11T03:45:00.000Z</t>
  </si>
  <si>
    <t>Tulane Green Wave_Tulsa Golden Hurricane</t>
  </si>
  <si>
    <t>Clemson Tigers_Georgia Tech Yellow Jackets</t>
  </si>
  <si>
    <t>Kansas Jayhawks_Texas Tech Red Raiders</t>
  </si>
  <si>
    <t>Boston College Eagles_Virginia Tech Hokies</t>
  </si>
  <si>
    <t>Maryland Terrapins_Nebraska Cornhuskers</t>
  </si>
  <si>
    <t>Illinois Fighting Illini_Indiana Hoosiers</t>
  </si>
  <si>
    <t>South Carolina Gamecocks_Vanderbilt Commodores</t>
  </si>
  <si>
    <t>South Florida Bulls_Temple Owls</t>
  </si>
  <si>
    <t>Liberty Flames_Old Dominion Monarchs</t>
  </si>
  <si>
    <t>2023-11-11T18:00:00.000Z</t>
  </si>
  <si>
    <t>Arizona Wildcats_Colorado Buffaloes</t>
  </si>
  <si>
    <t>2023-11-11T19:00:00.000Z</t>
  </si>
  <si>
    <t>NC State Wolfpack_Wake Forest Demon Deacons</t>
  </si>
  <si>
    <t>James Madison Dukes_UConn Huskies</t>
  </si>
  <si>
    <t>Charlotte 49ers_Memphis Tigers</t>
  </si>
  <si>
    <t>Appalachian State Mountaineers_Georgia State Panthers</t>
  </si>
  <si>
    <t>Troy Trojans_UL Monroe Warhawks</t>
  </si>
  <si>
    <t>Nevada Wolf Pack_Utah State Aggies</t>
  </si>
  <si>
    <t>2023-11-11T20:00:00.000Z</t>
  </si>
  <si>
    <t>Louisiana Tech Bulldogs_Sam Houston State Bearkats</t>
  </si>
  <si>
    <t>Florida State Seminoles_Miami Hurricanes</t>
  </si>
  <si>
    <t>2023-11-11T20:30:00.000Z</t>
  </si>
  <si>
    <t>Utah Utes_Washington Huskies</t>
  </si>
  <si>
    <t>Missouri Tigers_Tennessee Volunteers</t>
  </si>
  <si>
    <t>Oklahoma State Cowboys_UCF Knights</t>
  </si>
  <si>
    <t>Northwestern Wildcats_Wisconsin Badgers</t>
  </si>
  <si>
    <t>Baylor Bears_Kansas State Wildcats</t>
  </si>
  <si>
    <t>Pittsburgh Panthers_Syracuse Orange</t>
  </si>
  <si>
    <t>Minnesota Golden Gophers_Purdue Boilermakers</t>
  </si>
  <si>
    <t>Florida International Panthers_Middle Tennessee Blue Raiders</t>
  </si>
  <si>
    <t>New Mexico State Aggies_Western Kentucky Hilltoppers</t>
  </si>
  <si>
    <t>Navy Midshipmen_UAB Blazers</t>
  </si>
  <si>
    <t>Coastal Carolina Chanticleers_Texas State Bobcats</t>
  </si>
  <si>
    <t>Iowa Hawkeyes_Rutgers Scarlet Knights</t>
  </si>
  <si>
    <t>Arkansas Razorbacks_Auburn Tigers</t>
  </si>
  <si>
    <t>2023-11-11T21:00:00.000Z</t>
  </si>
  <si>
    <t>California Golden Bears_Washington State Cougars</t>
  </si>
  <si>
    <t>East Carolina Pirates_Florida Atlantic Owls</t>
  </si>
  <si>
    <t>Arkansas State Red Wolves_South Alabama Jaguars</t>
  </si>
  <si>
    <t>2023-11-11T22:00:00.000Z</t>
  </si>
  <si>
    <t>Oregon State Beavers_Stanford Cardinal</t>
  </si>
  <si>
    <t>2023-11-11T22:30:00.000Z</t>
  </si>
  <si>
    <t>Georgia Bulldogs_Ole Miss Rebels</t>
  </si>
  <si>
    <t>2023-11-12T00:00:00.000Z</t>
  </si>
  <si>
    <t>Oklahoma Sooners_West Virginia Mountaineers</t>
  </si>
  <si>
    <t>Cincinnati Bearcats_Houston Cougars</t>
  </si>
  <si>
    <t>Colorado State Rams_San Diego State Aztecs</t>
  </si>
  <si>
    <t>Georgia Southern Eagles_Marshall Thundering Herd</t>
  </si>
  <si>
    <t>2023-11-12T00:30:00.000Z</t>
  </si>
  <si>
    <t>TCU Horned Frogs_Texas Longhorns</t>
  </si>
  <si>
    <t>Mississippi State Bulldogs_Texas A&amp;M Aggies</t>
  </si>
  <si>
    <t>Rice Owls_UTSA Roadrunners</t>
  </si>
  <si>
    <t>Duke Blue Devils_North Carolina Tar Heels</t>
  </si>
  <si>
    <t>2023-11-12T01:00:00.000Z</t>
  </si>
  <si>
    <t>Boise State Broncos_New Mexico Lobos</t>
  </si>
  <si>
    <t>Arizona State Sun Devils_UCLA Bruins</t>
  </si>
  <si>
    <t>BYU Cougars_Iowa State Cyclones</t>
  </si>
  <si>
    <t>Fresno State Bulldogs_San Jose State Spartans</t>
  </si>
  <si>
    <t>2023-11-12T03:30:00.000Z</t>
  </si>
  <si>
    <t>Air Force Falcons_Hawaii Rainbow Warriors</t>
  </si>
  <si>
    <t>2023-11-12T04:00:00.000Z</t>
  </si>
  <si>
    <t>2023-11-18T20:30:00.000Z</t>
  </si>
  <si>
    <t>Alessandro Costa_Stephen Erceg</t>
  </si>
  <si>
    <t>2023-11-12T03:45:00.000Z</t>
  </si>
  <si>
    <t>2023-11-12T04:15:00.000Z</t>
  </si>
  <si>
    <t>2023-11-12T05:30:00.000Z</t>
  </si>
  <si>
    <t>Cesar Almeida_Christian Leroy Duncan</t>
  </si>
  <si>
    <t>2023-11-18T19:00:19.000Z</t>
  </si>
  <si>
    <t>Nikolas Motta_Trey Ogden</t>
  </si>
  <si>
    <t>2023-11-18T19:10:00.000Z</t>
  </si>
  <si>
    <t>Charles Johnson_Rafael Estevam</t>
  </si>
  <si>
    <t>Jeka Saragih_Lucas Alexander</t>
  </si>
  <si>
    <t>Joanderson Brito_Jonathan Pearce</t>
  </si>
  <si>
    <t>Ailin Perez_Lucie Pudilova</t>
  </si>
  <si>
    <t>Chad Anheliger_Jose Johnson</t>
  </si>
  <si>
    <t>Caio Machado_Michael Parkin</t>
  </si>
  <si>
    <t>Nick Aguirre_Payton Talbott</t>
  </si>
  <si>
    <t>2023-11-18T23:15:00.000Z</t>
  </si>
  <si>
    <t>Georgia Bulldogs_OleMiss Rebels</t>
  </si>
  <si>
    <t>BoiseState Broncos_New Mexico Lobos</t>
  </si>
  <si>
    <t>BallState Cardinals_Northern Illinois Huskies</t>
  </si>
  <si>
    <t>Bowling Green Falcons_KentState Golden Flashes</t>
  </si>
  <si>
    <t>AppalachianState Mountaineers_GeorgiaState Panthers</t>
  </si>
  <si>
    <t>Nevada Wolf Pack_UtahState Aggies</t>
  </si>
  <si>
    <t>Louisiana Tech Bulldogs_Sam HoustonState Bearkats</t>
  </si>
  <si>
    <t>FloridaState Seminoles_Miami Hurricanes</t>
  </si>
  <si>
    <t>OklahomaState Cowboys_UCF Knights</t>
  </si>
  <si>
    <t>Baylor Bears_KansasState Wildcats</t>
  </si>
  <si>
    <t>New MexicoState Aggies_Western Kentucky Hilltoppers</t>
  </si>
  <si>
    <t>Coastal Carolina Chanticleers_TexasState Bobcats</t>
  </si>
  <si>
    <t>California Golden Bears_WashingtonState Cougars</t>
  </si>
  <si>
    <t>OregonState Beavers_Stanford Cardinal</t>
  </si>
  <si>
    <t>ColoradoState Rams_SanDiegoState Aztecs</t>
  </si>
  <si>
    <t>ArizonaState Sun Devils_UCLA Bruins</t>
  </si>
  <si>
    <t>BYU Cougars_IowaState Cyclones</t>
  </si>
  <si>
    <t>FresnoState Bulldogs_SanJoseState Spartans</t>
  </si>
  <si>
    <t>SouthCarolina Gamecocks_Vanderbilt Commodores</t>
  </si>
  <si>
    <t>SouthFlorida Bulls_Temple Owls</t>
  </si>
  <si>
    <t>ArkansasState Red Wolves_SouthAlabama Jaguars</t>
  </si>
  <si>
    <t>NorthTexas Mean Green_SMU Mustangs</t>
  </si>
  <si>
    <t>Duke Blue Devils_NorthCarolina Tar Heels</t>
  </si>
  <si>
    <t>Kansas Jayhawks_TexasTech Red Raiders</t>
  </si>
  <si>
    <t>MississippiState Bulldogs_TexasA&amp;M Aggies</t>
  </si>
  <si>
    <t>NCState Wolfpack_WakeForest Demon Deacons</t>
  </si>
  <si>
    <t>Oklahoma Sooners_WestVirginia Mountaineers</t>
  </si>
  <si>
    <t>"NCAAF:Northern:BallState"</t>
  </si>
  <si>
    <t>"NCAAF:Western:Central"</t>
  </si>
  <si>
    <t>"NCAAF:Ohio:Buffalo"</t>
  </si>
  <si>
    <t>"NCAAF:Bowling:KentState"</t>
  </si>
  <si>
    <t>"NCAAF:Louisiana:Southern"</t>
  </si>
  <si>
    <t>"NFL:Bears:Panthers"</t>
  </si>
  <si>
    <t>"NCAAF:UNLV:Wyoming"</t>
  </si>
  <si>
    <t>"NCAAF:Alabama:Kentucky"</t>
  </si>
  <si>
    <t>"NCAAF:Maryland:Nebraska"</t>
  </si>
  <si>
    <t>"NCAAF:Illinois:Indiana"</t>
  </si>
  <si>
    <t>"NCAAF:Kansas:TexasTech"</t>
  </si>
  <si>
    <t>"NCAAF:SouthFlorida:Temple"</t>
  </si>
  <si>
    <t>"NCAAF:Virginia:Boston"</t>
  </si>
  <si>
    <t>"NCAAF:Michigan:PennState"</t>
  </si>
  <si>
    <t>"NCAAF:Liberty:Old"</t>
  </si>
  <si>
    <t>"NCAAF:Memphis:Charlotte"</t>
  </si>
  <si>
    <t>"NCAAF:GeorgiaState:AppalachianState"</t>
  </si>
  <si>
    <t>"NCAAF:Arizona:Colorado"</t>
  </si>
  <si>
    <t>"NCAAF:NCState:WakeForest"</t>
  </si>
  <si>
    <t>"NCAAF:Louisiana:Sam"</t>
  </si>
  <si>
    <t>"NCAAF:UtahState:Nevada"</t>
  </si>
  <si>
    <t>"NCAAF:TexasState:Coastal"</t>
  </si>
  <si>
    <t>"NCAAF:Pittsburgh:Syracuse"</t>
  </si>
  <si>
    <t>"NCAAF:Washington:Utah"</t>
  </si>
  <si>
    <t>"NCAAF:Iowa:Rutgers"</t>
  </si>
  <si>
    <t>"NCAAF:OklahomaState:UCF"</t>
  </si>
  <si>
    <t>"NCAAF:Purdue:Minnesota"</t>
  </si>
  <si>
    <t>"NCAAF:Wisconsin:Northwestern"</t>
  </si>
  <si>
    <t>"NCAAF:Western:New"</t>
  </si>
  <si>
    <t>"NCAAF:UAB:Navy"</t>
  </si>
  <si>
    <t>"NCAAF:Tennessee:Missouri"</t>
  </si>
  <si>
    <t>"NCAAF:Middle:Florida"</t>
  </si>
  <si>
    <t>"NCAAF:California:WashingtonState"</t>
  </si>
  <si>
    <t>"NCAAF:Arkansas:Auburn"</t>
  </si>
  <si>
    <t>"NCAAF:Florida:East"</t>
  </si>
  <si>
    <t>"NCAAF:SouthAlabama:ArkansasState"</t>
  </si>
  <si>
    <t>"MMA:Van:Borjas"</t>
  </si>
  <si>
    <t>"MMA:Sadykhov:Borshchev"</t>
  </si>
  <si>
    <t>"MMA:Emmers:Buzukja"</t>
  </si>
  <si>
    <t>"MMA:Gordon:Madsen"</t>
  </si>
  <si>
    <t>"MMA:Castaneda:Kang"</t>
  </si>
  <si>
    <t>"NCAAF:Houston:Cincinnati"</t>
  </si>
  <si>
    <t>"NCAAF:Georgia:OleMiss"</t>
  </si>
  <si>
    <t>"NCAAF:Oklahoma:WestVirginia"</t>
  </si>
  <si>
    <t>"NCAAF:Georgia:Marshall"</t>
  </si>
  <si>
    <t>"NCAAF:ColoradoState:SanDiegoState"</t>
  </si>
  <si>
    <t>"NCAAF:LSU:Florida"</t>
  </si>
  <si>
    <t>"NCAAF:Texas:TCU"</t>
  </si>
  <si>
    <t>"NCAAF:UTSA:Rice"</t>
  </si>
  <si>
    <t>"NCAAF:NorthCarolina:Duke"</t>
  </si>
  <si>
    <t>"MMA:Erceg:Costa"</t>
  </si>
  <si>
    <t>"MMA:Godinez:Ricci"</t>
  </si>
  <si>
    <t>"NCAAF:IowaState:BYU"</t>
  </si>
  <si>
    <t>"MMA:Sabatini:Lopes"</t>
  </si>
  <si>
    <t>"NCAAF:FresnoState:SanJoseState"</t>
  </si>
  <si>
    <t>"MMA:Saint-Denis:Frevola"</t>
  </si>
  <si>
    <t>"MMA:Dern:Andrade"</t>
  </si>
  <si>
    <t>"MMA:Aspinall:Pavlovich"</t>
  </si>
  <si>
    <t>"MMA:Pereira:Prochazka"</t>
  </si>
  <si>
    <t>"NFL:Colts:Patriots"</t>
  </si>
  <si>
    <t>"NFL:Ravens:Browns"</t>
  </si>
  <si>
    <t>"NFL:Bengals:Texans"</t>
  </si>
  <si>
    <t>"NFL:49ers:Jaguars"</t>
  </si>
  <si>
    <t>"NFL:Saints:Vikings"</t>
  </si>
  <si>
    <t>"NFL:Buccaneers:Titans"</t>
  </si>
  <si>
    <t>"NFL:Steelers:Packers"</t>
  </si>
  <si>
    <t>"NFL:Lions:Chargers"</t>
  </si>
  <si>
    <t>"NFL:Falcons:Cardinals"</t>
  </si>
  <si>
    <t>"NFL:Cowboys:Giants"</t>
  </si>
  <si>
    <t>"NFL:Seahawks:Commanders"</t>
  </si>
  <si>
    <t>"NFL:Jets:Raiders"</t>
  </si>
  <si>
    <t>"NFL:Bills:Broncos"</t>
  </si>
  <si>
    <t>Boston College</t>
  </si>
  <si>
    <t>VirginiaTech</t>
  </si>
  <si>
    <t>"NCAAF:Michigan-4.5:PennState"</t>
  </si>
  <si>
    <t>Baltimore Ravens_Cincinnati Bengals</t>
  </si>
  <si>
    <t>2023-11-17T01:16:00.000Z</t>
  </si>
  <si>
    <t>Green Bay Packers_Los Angeles Chargers</t>
  </si>
  <si>
    <t>2023-11-19T18:01:00.000Z</t>
  </si>
  <si>
    <t>Jacksonville Jaguars_Tennessee Titans</t>
  </si>
  <si>
    <t>Las Vegas Raiders_Miami Dolphins</t>
  </si>
  <si>
    <t>Carolina Panthers_Dallas Cowboys</t>
  </si>
  <si>
    <t>Arizona Cardinals_Houston Texans</t>
  </si>
  <si>
    <t>Cleveland Browns_Pittsburgh Steelers</t>
  </si>
  <si>
    <t>New York Giants_Washington Commanders</t>
  </si>
  <si>
    <t>Chicago Bears_Detroit Lions</t>
  </si>
  <si>
    <t>San Francisco 49ers_Tampa Bay Buccaneers</t>
  </si>
  <si>
    <t>2023-11-19T21:06:00.000Z</t>
  </si>
  <si>
    <t>Buffalo Bills_New York Jets</t>
  </si>
  <si>
    <t>2023-11-19T21:26:00.000Z</t>
  </si>
  <si>
    <t>Los Angeles Rams_Seattle Seahawks</t>
  </si>
  <si>
    <t>Denver Broncos_Minnesota Vikings</t>
  </si>
  <si>
    <t>2023-11-20T01:21:00.000Z</t>
  </si>
  <si>
    <t>Kansas City Chiefs_Philadelphia Eagles</t>
  </si>
  <si>
    <t>2023-11-21T01:16:00.000Z</t>
  </si>
  <si>
    <t>"AAA:aaa:bbb"</t>
  </si>
  <si>
    <t>2023-11-10T00:35:30.000Z</t>
  </si>
  <si>
    <t>2023-11-10T01:18:00.000Z</t>
  </si>
  <si>
    <t>2023-11-12T14:33:00.000Z</t>
  </si>
  <si>
    <t>2023-11-12T18:03:00.000Z</t>
  </si>
  <si>
    <t>2023-11-12T21:08:00.000Z</t>
  </si>
  <si>
    <t>2023-11-12T21:28:00.000Z</t>
  </si>
  <si>
    <t>2023-11-10T00:50:26.000Z</t>
  </si>
  <si>
    <t>2023-11-10T00:49:50.000Z</t>
  </si>
  <si>
    <t>2023-11-10T00:50:28.000Z</t>
  </si>
  <si>
    <t>2023-11-10T00:48:55.000Z</t>
  </si>
  <si>
    <t>2023-11-10T00:48:56.000Z</t>
  </si>
  <si>
    <t>2023-11-10T00:48:54.000Z</t>
  </si>
  <si>
    <t>2023-11-10T00:49:37.000Z</t>
  </si>
  <si>
    <t>2023-11-10T00:50:24.000Z</t>
  </si>
  <si>
    <t>2023-11-10T00:47:26.000Z</t>
  </si>
  <si>
    <t>2023-11-10T00:49:35.000Z</t>
  </si>
  <si>
    <t>2023-11-12T00:15:00.000Z</t>
  </si>
  <si>
    <t>Mateusz Rebecki_Roosevelt Roberts</t>
  </si>
  <si>
    <t>2023-11-12T01:40:00.000Z</t>
  </si>
  <si>
    <t>2023-11-12T01:45:00.000Z</t>
  </si>
  <si>
    <t>2023-11-12T02:45:00.000Z</t>
  </si>
  <si>
    <t>2023-11-12T03:19:00.000Z</t>
  </si>
  <si>
    <t>Azamat Murzakanov_Khalil Rountree</t>
  </si>
  <si>
    <t>2023-12-03T00:15:00.000Z</t>
  </si>
  <si>
    <t>Dustin Stoltzfus_Punahele Soriano</t>
  </si>
  <si>
    <t>Kelvin Gastelum_Sean Brady</t>
  </si>
  <si>
    <t>2023-12-03T01:15:00.000Z</t>
  </si>
  <si>
    <t>Deiveson Figueiredo_Rob Font</t>
  </si>
  <si>
    <t>2023-12-03T01:45:00.000Z</t>
  </si>
  <si>
    <t>Bobby Green_Daniel Hooker</t>
  </si>
  <si>
    <t>2023-12-03T02:15:00.000Z</t>
  </si>
  <si>
    <t>Arman Tsarukyan_Beneil Dariush</t>
  </si>
  <si>
    <t>2023-12-03T03:00:00.000Z</t>
  </si>
  <si>
    <t>Dricus Du Plessis_Sean Strickland</t>
  </si>
  <si>
    <t>2024-01-21T03:00:00.000Z</t>
  </si>
  <si>
    <t>start time</t>
  </si>
  <si>
    <t>id</t>
  </si>
  <si>
    <t>"_probSpread2": [</t>
  </si>
  <si>
    <t>startTime</t>
  </si>
  <si>
    <t>SanFrancisco 49ers_Tampa Bay Buccaneers</t>
  </si>
  <si>
    <t>Michigan Wolverines_OhioState Buckeyes</t>
  </si>
  <si>
    <t>Ole Miss</t>
  </si>
  <si>
    <t>Notre Dame</t>
  </si>
  <si>
    <t>Boise State</t>
  </si>
  <si>
    <t>Texas Tech</t>
  </si>
  <si>
    <t>Texas A&amp;M</t>
  </si>
  <si>
    <t>Wake Forest</t>
  </si>
  <si>
    <t>Central Michigan ChippewasCentral Michigan · 28</t>
  </si>
  <si>
    <t>Panthers · 13</t>
  </si>
  <si>
    <t>Western Michigan BroncosWestern Michigan · 38 </t>
  </si>
  <si>
    <t>Bears · 16 </t>
  </si>
  <si>
    <t>Buffalo BullsBuffalo · 10</t>
  </si>
  <si>
    <t>Patriots · 6</t>
  </si>
  <si>
    <t>Ohio BobcatsOhio · 20 </t>
  </si>
  <si>
    <t>Colts · 10 </t>
  </si>
  <si>
    <t>Akron ZipsAkron · 0</t>
  </si>
  <si>
    <t>Packers · 19</t>
  </si>
  <si>
    <t>Miami (OH) RedHawksMiami (OH) · 19 </t>
  </si>
  <si>
    <t>Steelers · 23 </t>
  </si>
  <si>
    <t>Kent State Golden FlashesKent State · 19</t>
  </si>
  <si>
    <t>Bengals · 27</t>
  </si>
  <si>
    <t>Bowling Green FalconsBowling Green · 49 </t>
  </si>
  <si>
    <t>Texans · 30 </t>
  </si>
  <si>
    <t>Eastern Michigan EaglesEastern Michigan · 23</t>
  </si>
  <si>
    <t>Titans · 6</t>
  </si>
  <si>
    <t>Toledo RocketsToledo · 49 </t>
  </si>
  <si>
    <t>Buccaneers · 20 </t>
  </si>
  <si>
    <t>Virginia CavaliersVirginia · 24</t>
  </si>
  <si>
    <t>Saints · 19</t>
  </si>
  <si>
    <t>Louisville CardinalsLouisville · 31 </t>
  </si>
  <si>
    <t>Vikings · 27 </t>
  </si>
  <si>
    <t>Louisiana Ragin CajunsLouisiana · 31</t>
  </si>
  <si>
    <t>Ravens · 31</t>
  </si>
  <si>
    <t>Southern Miss Golden EaglesSouthern Miss · 34 </t>
  </si>
  <si>
    <t>Browns · 33 </t>
  </si>
  <si>
    <t>North Texas Mean GreenNorth Texas · 21</t>
  </si>
  <si>
    <t>Jaguars · 3</t>
  </si>
  <si>
    <t>SMU MustangsSMU · 45 </t>
  </si>
  <si>
    <t>49ers · 34 </t>
  </si>
  <si>
    <t>Wyoming CowboysWyoming · 14</t>
  </si>
  <si>
    <t>Chargers · 38</t>
  </si>
  <si>
    <t>UNLV RebelsUNLV · 34 </t>
  </si>
  <si>
    <t>Lions · 41 </t>
  </si>
  <si>
    <t>Vanderbilt CommodoresVanderbilt · 6</t>
  </si>
  <si>
    <t>Falcons · 23</t>
  </si>
  <si>
    <t>South Carolina GamecocksSouth Carolina · 47 </t>
  </si>
  <si>
    <t>Cardinals · 25 </t>
  </si>
  <si>
    <t>Kansas JayhawksKansas · 13</t>
  </si>
  <si>
    <t>Giants · 17</t>
  </si>
  <si>
    <t>Texas Tech Red RaidersTexas Tech · 16 </t>
  </si>
  <si>
    <t>Cowboys · 49 </t>
  </si>
  <si>
    <t>Georgia Tech Yellow JacketsGeorgia Tech · 21</t>
  </si>
  <si>
    <t>Commanders · 26</t>
  </si>
  <si>
    <t>Clemson TigersClemson · 42 </t>
  </si>
  <si>
    <t>Seahawks · 29 </t>
  </si>
  <si>
    <t>Holy Cross</t>
  </si>
  <si>
    <t>Jets · 12</t>
  </si>
  <si>
    <t>Army Black KnightsArmy · 17 </t>
  </si>
  <si>
    <t>Raiders · 16 </t>
  </si>
  <si>
    <t>Kentucky WildcatsKentucky · 21</t>
  </si>
  <si>
    <t>Indiana HoosiersIndiana · 45</t>
  </si>
  <si>
    <t>Illinois Fighting IlliniIllinois · 48 </t>
  </si>
  <si>
    <t>Alabama Crimson TideAlabama · 49 </t>
  </si>
  <si>
    <t>Temple OwlsTemple · 23</t>
  </si>
  <si>
    <t>South Florida BullsSouth Florida · 27 </t>
  </si>
  <si>
    <t>Nebraska CornhuskersNebraska · 10</t>
  </si>
  <si>
    <t>Maryland TerrapinsMaryland · 13 </t>
  </si>
  <si>
    <t>Boston College EaglesBoston College · 22</t>
  </si>
  <si>
    <t>Virginia Tech HokiesVirginia Tech · 48 </t>
  </si>
  <si>
    <t>Penn State Nittany LionsPenn State · 15</t>
  </si>
  <si>
    <t>Michigan WolverinesMichigan · 24 </t>
  </si>
  <si>
    <t>Tulsa Golden HurricaneTulsa · 22</t>
  </si>
  <si>
    <t>Tulane Green WaveTulane · 24 </t>
  </si>
  <si>
    <t>F/OT</t>
  </si>
  <si>
    <t>Old Dominion MonarchsOld Dominion · 10</t>
  </si>
  <si>
    <t>Liberty FlamesLiberty · 38 </t>
  </si>
  <si>
    <t>Charlotte 49ersCharlotte · 38</t>
  </si>
  <si>
    <t>Memphis TigersMemphis · 44 </t>
  </si>
  <si>
    <t>Georgia State PanthersGeorgia State · 14</t>
  </si>
  <si>
    <t>Appalachian State MountaineersAppalachian State · 42 </t>
  </si>
  <si>
    <t>UConn HuskiesUConn · 6</t>
  </si>
  <si>
    <t>James Madison DukesJames Madison · 44 </t>
  </si>
  <si>
    <t>Colorado BuffaloesColorado · 31</t>
  </si>
  <si>
    <t>Arizona WildcatsArizona · 34 </t>
  </si>
  <si>
    <t>Wake Forest Demon DeaconsWake Forest · 6</t>
  </si>
  <si>
    <t>NC State WolfpackNC State · 26 </t>
  </si>
  <si>
    <t>UL Monroe WarhawksUL Monroe · 14</t>
  </si>
  <si>
    <t>Troy TrojansTroy · 45 </t>
  </si>
  <si>
    <t>Baylor BearsBaylor · 25</t>
  </si>
  <si>
    <t>Kansas State WildcatsKansas State · 59 </t>
  </si>
  <si>
    <t>Nevada Wolf PackNevada · 24</t>
  </si>
  <si>
    <t>Utah State AggiesUtah State · 41 </t>
  </si>
  <si>
    <t>Louisiana Tech BulldogsLouisiana Tech · 27</t>
  </si>
  <si>
    <t>Sam Houston BearkatsSam Houston · 42 </t>
  </si>
  <si>
    <t>Oklahoma State CowboysOklahoma State · 3</t>
  </si>
  <si>
    <t>UCF KnightsUCF · 45 </t>
  </si>
  <si>
    <t>Tennessee VolunteersTennessee · 7</t>
  </si>
  <si>
    <t>Missouri TigersMissouri · 36 </t>
  </si>
  <si>
    <t>Miami HurricanesMiami · 20</t>
  </si>
  <si>
    <t>Florida State SeminolesFlorida State · 27 </t>
  </si>
  <si>
    <t>UAB BlazersUAB · 6</t>
  </si>
  <si>
    <t>Navy MidshipmenNavy · 31 </t>
  </si>
  <si>
    <t>Pittsburgh PanthersPittsburgh · 13</t>
  </si>
  <si>
    <t>Syracuse OrangeSyracuse · 28 </t>
  </si>
  <si>
    <t>Florida International PanthersFlorida International · 6</t>
  </si>
  <si>
    <t>Middle Tennessee Blue RaidersMiddle Tennessee · 40 </t>
  </si>
  <si>
    <t>Western Kentucky HilltoppersWestern Kentucky · 29</t>
  </si>
  <si>
    <t>New Mexico State AggiesNew Mexico State · 38 </t>
  </si>
  <si>
    <t>Wisconsin BadgersWisconsin · 10</t>
  </si>
  <si>
    <t>Northwestern WildcatsNorthwestern · 24 </t>
  </si>
  <si>
    <t>Texas State BobcatsTexas State · 23</t>
  </si>
  <si>
    <t>Coastal Carolina ChanticleersCoastal Carolina · 31 </t>
  </si>
  <si>
    <t>Rutgers Scarlet KnightsRutgers · 0</t>
  </si>
  <si>
    <t>Iowa HawkeyesIowa · 22 </t>
  </si>
  <si>
    <t>Utah UtesUtah · 28</t>
  </si>
  <si>
    <t>Washington HuskiesWashington · 35 </t>
  </si>
  <si>
    <t>Minnesota Golden GophersMinnesota · 30</t>
  </si>
  <si>
    <t>Purdue BoilermakersPurdue · 49 </t>
  </si>
  <si>
    <t>Florida Atlantic OwlsFlorida Atlantic · 7</t>
  </si>
  <si>
    <t>East Carolina PiratesEast Carolina · 22 </t>
  </si>
  <si>
    <t>Washington State CougarsWashington State · 39</t>
  </si>
  <si>
    <t>California Golden BearsCalifornia · 42 </t>
  </si>
  <si>
    <t>Arkansas RazorbacksArkansas · 10</t>
  </si>
  <si>
    <t>Auburn TigersAuburn · 48 </t>
  </si>
  <si>
    <t>Arkansas State Red WolvesArkansas State · 14</t>
  </si>
  <si>
    <t>South Alabama JaguarsSouth Alabama · 21 </t>
  </si>
  <si>
    <t>Stanford CardinalStanford · 17</t>
  </si>
  <si>
    <t>Oregon State BeaversOregon State · 62 </t>
  </si>
  <si>
    <t>Ole Miss RebelsOle Miss · 17</t>
  </si>
  <si>
    <t>Georgia BulldogsGeorgia · 52 </t>
  </si>
  <si>
    <t>West Virginia MountaineersWest Virginia · 20</t>
  </si>
  <si>
    <t>Oklahoma SoonersOklahoma · 59 </t>
  </si>
  <si>
    <t>Georgia Southern EaglesGeorgia Southern · 33</t>
  </si>
  <si>
    <t>Marshall Thundering HerdMarshall · 38 </t>
  </si>
  <si>
    <t>San Diego State AztecsSan Diego State · 19</t>
  </si>
  <si>
    <t>Colorado State RamsColorado State · 22 </t>
  </si>
  <si>
    <t>Houston CougarsHouston · 14</t>
  </si>
  <si>
    <t>Cincinnati BearcatsCincinnati · 24 </t>
  </si>
  <si>
    <t>TCU Horned FrogsTCU · 26</t>
  </si>
  <si>
    <t>Texas LonghornsTexas · 29 </t>
  </si>
  <si>
    <t>Florida GatorsFlorida · 35</t>
  </si>
  <si>
    <t>LSU TigersLSU · 52 </t>
  </si>
  <si>
    <t>Rice OwlsRice · 14</t>
  </si>
  <si>
    <t>UTSA RoadrunnersUTSA · 34 </t>
  </si>
  <si>
    <t>Michigan State SpartansMichigan State · 3</t>
  </si>
  <si>
    <t>Ohio State BuckeyesOhio State · 38 </t>
  </si>
  <si>
    <t>Mississippi State BulldogsMississippi State · 10</t>
  </si>
  <si>
    <t>Texas A&amp;M AggiesTexas A&amp;M · 51 </t>
  </si>
  <si>
    <t>Duke Blue DevilsDuke · 45</t>
  </si>
  <si>
    <t>North Carolina Tar HeelsNorth Carolina · 47 </t>
  </si>
  <si>
    <t>UCLA BruinsUCLA · 7</t>
  </si>
  <si>
    <t>Arizona State Sun DevilsArizona State · 17 </t>
  </si>
  <si>
    <t>New Mexico LobosNew Mexico · 14</t>
  </si>
  <si>
    <t>Boise State BroncosBoise State · 42 </t>
  </si>
  <si>
    <t>BYU CougarsBYU · 13</t>
  </si>
  <si>
    <t>Iowa State CyclonesIowa State · 45 </t>
  </si>
  <si>
    <t>USC TrojansUSC · 27</t>
  </si>
  <si>
    <t>Oregon DucksOregon · 36 </t>
  </si>
  <si>
    <t>Fresno State BulldogsFresno State · 18</t>
  </si>
  <si>
    <t>San Jose State SpartansSan Jose State · 42 </t>
  </si>
  <si>
    <t>Air Force FalconsAir Force · 13</t>
  </si>
  <si>
    <t>Hawaii Rainbow WarriorsHawaii · 27 </t>
  </si>
  <si>
    <t>Aspinall</t>
  </si>
  <si>
    <t>Pereira</t>
  </si>
  <si>
    <t>Pavlovich</t>
  </si>
  <si>
    <t>Prochazka</t>
  </si>
  <si>
    <t>Michigan</t>
  </si>
  <si>
    <t>Michigan-4.5</t>
  </si>
  <si>
    <t>Wisconsin</t>
  </si>
  <si>
    <t>UCF</t>
  </si>
  <si>
    <t>Rutgers</t>
  </si>
  <si>
    <t>Tennessee</t>
  </si>
  <si>
    <t>Missouri</t>
  </si>
  <si>
    <t>Purdue</t>
  </si>
  <si>
    <t>Auburn</t>
  </si>
  <si>
    <t>Houston</t>
  </si>
  <si>
    <t>Cincinnati</t>
  </si>
  <si>
    <t>Georgia</t>
  </si>
  <si>
    <t>TCU</t>
  </si>
  <si>
    <t>Steelers</t>
  </si>
  <si>
    <t>49ers</t>
  </si>
  <si>
    <t>Jaguars</t>
  </si>
  <si>
    <t>Titans</t>
  </si>
  <si>
    <t>Lions</t>
  </si>
  <si>
    <t>Broncos</t>
  </si>
  <si>
    <t>AAA</t>
  </si>
  <si>
    <t>aaa</t>
  </si>
  <si>
    <t>bbb</t>
  </si>
  <si>
    <t>match</t>
  </si>
  <si>
    <t>score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</si>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</sst>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;[Red]#,##0.00"/>
    <numFmt numFmtId="165" formatCode="###0;[Red]###0"/>
    <numFmt numFmtId="166" formatCode="[$-409]m/d/yy\ h:mm\ AM/PM;@"/>
    <numFmt numFmtId="167" formatCode="0.0%;[Red]\-0.0%"/>
    <numFmt numFmtId="168" formatCode="0%;[Red]\-0%"/>
    <numFmt numFmtId="169" formatCode="#,##0;[Red]#,##0"/>
  </numFmts>
  <fonts count="11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2"/>
      <color rgb="FF222222"/>
      <name val="Arial"/>
      <family val="2"/>
    </font>
    <font>
      <sz val="11"/>
      <color rgb="FF222222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9" fontId="10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166" fontId="0" fillId="0" borderId="0" xfId="0" applyNumberFormat="1"/>
    <xf numFmtId="0" fontId="4" fillId="0" borderId="0" xfId="3" applyFill="1" applyBorder="1"/>
    <xf numFmtId="167" fontId="2" fillId="0" borderId="0" xfId="0" applyNumberFormat="1" applyFont="1"/>
    <xf numFmtId="0" fontId="5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right"/>
    </xf>
    <xf numFmtId="0" fontId="0" fillId="5" borderId="1" xfId="0" applyFill="1" applyBorder="1"/>
    <xf numFmtId="0" fontId="9" fillId="5" borderId="2" xfId="0" applyFont="1" applyFill="1" applyBorder="1"/>
    <xf numFmtId="0" fontId="0" fillId="5" borderId="4" xfId="0" applyFill="1" applyBorder="1"/>
    <xf numFmtId="0" fontId="9" fillId="5" borderId="0" xfId="0" applyFont="1" applyFill="1"/>
    <xf numFmtId="0" fontId="0" fillId="5" borderId="0" xfId="0" applyFill="1"/>
    <xf numFmtId="0" fontId="0" fillId="5" borderId="6" xfId="0" applyFill="1" applyBorder="1"/>
    <xf numFmtId="0" fontId="0" fillId="5" borderId="7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8" xfId="0" applyFill="1" applyBorder="1"/>
    <xf numFmtId="168" fontId="2" fillId="0" borderId="0" xfId="0" applyNumberFormat="1" applyFont="1"/>
    <xf numFmtId="169" fontId="2" fillId="0" borderId="0" xfId="0" applyNumberFormat="1" applyFont="1"/>
    <xf numFmtId="10" fontId="0" fillId="0" borderId="0" xfId="4" applyNumberFormat="1" applyFont="1"/>
    <xf numFmtId="0" fontId="4" fillId="3" borderId="0" xfId="3"/>
  </cellXfs>
  <cellStyles count="5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752475</xdr:colOff>
      <xdr:row>0</xdr:row>
      <xdr:rowOff>76201</xdr:rowOff>
    </xdr:from>
    <xdr:to>
      <xdr:col>3</xdr:col>
      <xdr:colOff>1412875</xdr:colOff>
      <xdr:row>3</xdr:row>
      <xdr:rowOff>127001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55725" y="76201"/>
          <a:ext cx="3057525" cy="6223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130175</xdr:colOff>
      <xdr:row>0</xdr:row>
      <xdr:rowOff>95250</xdr:rowOff>
    </xdr:from>
    <xdr:to>
      <xdr:col>7</xdr:col>
      <xdr:colOff>365125</xdr:colOff>
      <xdr:row>3</xdr:row>
      <xdr:rowOff>95250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908800" y="95250"/>
          <a:ext cx="2663825" cy="5715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2</xdr:row>
          <xdr:rowOff>123825</xdr:rowOff>
        </xdr:from>
        <xdr:to>
          <xdr:col>15</xdr:col>
          <xdr:colOff>180975</xdr:colOff>
          <xdr:row>7</xdr:row>
          <xdr:rowOff>180975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R36"/>
  <sheetViews>
    <sheetView zoomScale="60" zoomScaleNormal="60" workbookViewId="0">
      <selection activeCell="K5" sqref="K5:L34"/>
    </sheetView>
  </sheetViews>
  <sheetFormatPr defaultRowHeight="15" x14ac:dyDescent="0.25"/>
  <cols>
    <col min="2" max="2" width="19.140625" customWidth="1"/>
    <col min="3" max="3" width="17" customWidth="1"/>
    <col min="4" max="4" width="36.7109375" customWidth="1"/>
    <col min="5" max="5" width="20" customWidth="1"/>
    <col min="6" max="6" width="17.42578125" customWidth="1"/>
    <col min="7" max="8" width="19.140625" customWidth="1"/>
    <col min="9" max="9" width="28" customWidth="1"/>
    <col min="10" max="10" width="24.140625" customWidth="1"/>
    <col min="11" max="11" width="23.7109375" customWidth="1"/>
    <col min="12" max="12" width="22.42578125" customWidth="1"/>
  </cols>
  <sheetData>
    <row r="2" spans="1:18" x14ac:dyDescent="0.25">
      <c r="C2" s="2"/>
      <c r="D2" s="2"/>
      <c r="E2" s="14"/>
      <c r="F2" s="5"/>
      <c r="G2" t="s">
        <v>184</v>
      </c>
    </row>
    <row r="3" spans="1:18" x14ac:dyDescent="0.25">
      <c r="E3" s="7" t="s">
        <v>6</v>
      </c>
    </row>
    <row r="4" spans="1:18" x14ac:dyDescent="0.25">
      <c r="A4" t="s">
        <v>3</v>
      </c>
      <c r="B4" t="s">
        <v>54</v>
      </c>
      <c r="C4" t="s">
        <v>55</v>
      </c>
      <c r="D4" t="s">
        <v>0</v>
      </c>
      <c r="E4" t="s">
        <v>1</v>
      </c>
      <c r="F4" t="s">
        <v>2</v>
      </c>
      <c r="G4" s="3" t="s">
        <v>7</v>
      </c>
      <c r="I4" s="3" t="s">
        <v>7</v>
      </c>
      <c r="J4" s="3" t="s">
        <v>185</v>
      </c>
      <c r="K4" s="3" t="s">
        <v>186</v>
      </c>
      <c r="L4" s="3" t="s">
        <v>187</v>
      </c>
    </row>
    <row r="5" spans="1:18" ht="15.75" x14ac:dyDescent="0.25">
      <c r="A5" s="1">
        <v>0</v>
      </c>
      <c r="B5" t="s">
        <v>52</v>
      </c>
      <c r="C5" t="s">
        <v>10</v>
      </c>
      <c r="D5" t="s">
        <v>359</v>
      </c>
      <c r="E5" s="14">
        <v>1699760699</v>
      </c>
      <c r="F5">
        <v>17</v>
      </c>
      <c r="G5" s="10">
        <f>IF(I5=K5,0,1)</f>
        <v>0</v>
      </c>
      <c r="H5" s="11">
        <f>E5/86400+25569-5/24</f>
        <v>45241.947905092595</v>
      </c>
      <c r="I5" s="15" t="s">
        <v>600</v>
      </c>
      <c r="J5" s="17" t="str">
        <f t="shared" ref="J5:J36" ca="1" si="0">OFFSET(K5,0,G5)</f>
        <v>Aspinall</v>
      </c>
      <c r="K5" t="s">
        <v>600</v>
      </c>
      <c r="L5" t="s">
        <v>602</v>
      </c>
      <c r="M5">
        <f ca="1">IF(I5=J5,0,1)</f>
        <v>0</v>
      </c>
      <c r="P5" t="s">
        <v>10</v>
      </c>
      <c r="Q5" t="s">
        <v>600</v>
      </c>
      <c r="R5" t="s">
        <v>602</v>
      </c>
    </row>
    <row r="6" spans="1:18" ht="15.75" x14ac:dyDescent="0.25">
      <c r="A6" s="1">
        <v>1</v>
      </c>
      <c r="B6" t="s">
        <v>102</v>
      </c>
      <c r="C6" t="s">
        <v>8</v>
      </c>
      <c r="D6" t="s">
        <v>360</v>
      </c>
      <c r="E6">
        <v>1699763399</v>
      </c>
      <c r="F6">
        <v>36</v>
      </c>
      <c r="G6" s="10">
        <v>0</v>
      </c>
      <c r="H6" s="11">
        <f t="shared" ref="H6:H36" si="1">E6/86400+25569-5/24</f>
        <v>45241.979155092595</v>
      </c>
      <c r="I6" s="15" t="s">
        <v>601</v>
      </c>
      <c r="J6" s="17" t="str">
        <f t="shared" ca="1" si="0"/>
        <v>Pereira</v>
      </c>
      <c r="K6" t="s">
        <v>601</v>
      </c>
      <c r="L6" t="s">
        <v>603</v>
      </c>
      <c r="M6">
        <f t="shared" ref="M6:M36" ca="1" si="2">IF(I6=J6,0,1)</f>
        <v>0</v>
      </c>
      <c r="P6" t="s">
        <v>10</v>
      </c>
      <c r="Q6" t="s">
        <v>601</v>
      </c>
      <c r="R6" t="s">
        <v>603</v>
      </c>
    </row>
    <row r="7" spans="1:18" ht="15.75" x14ac:dyDescent="0.25">
      <c r="A7" s="1">
        <v>2</v>
      </c>
      <c r="B7" t="s">
        <v>111</v>
      </c>
      <c r="C7" t="s">
        <v>8</v>
      </c>
      <c r="D7" t="s">
        <v>309</v>
      </c>
      <c r="E7">
        <v>1699722000</v>
      </c>
      <c r="F7">
        <v>289</v>
      </c>
      <c r="G7" s="10">
        <f t="shared" ref="G6:G35" si="3">IF(I7=K7,0,1)</f>
        <v>1</v>
      </c>
      <c r="H7" s="11">
        <f t="shared" si="1"/>
        <v>45241.499999999993</v>
      </c>
      <c r="I7" s="15" t="s">
        <v>51</v>
      </c>
      <c r="J7" s="17" t="str">
        <f t="shared" ca="1" si="0"/>
        <v>Kentucky</v>
      </c>
      <c r="K7" t="s">
        <v>155</v>
      </c>
      <c r="L7" t="s">
        <v>154</v>
      </c>
      <c r="M7">
        <f t="shared" ca="1" si="2"/>
        <v>1</v>
      </c>
      <c r="P7" t="s">
        <v>8</v>
      </c>
      <c r="Q7" t="s">
        <v>155</v>
      </c>
      <c r="R7" t="s">
        <v>154</v>
      </c>
    </row>
    <row r="8" spans="1:18" ht="15.75" x14ac:dyDescent="0.25">
      <c r="A8" s="1">
        <v>3</v>
      </c>
      <c r="B8" t="s">
        <v>100</v>
      </c>
      <c r="C8" t="s">
        <v>8</v>
      </c>
      <c r="D8" t="s">
        <v>315</v>
      </c>
      <c r="E8">
        <v>1699722000</v>
      </c>
      <c r="F8">
        <v>149</v>
      </c>
      <c r="G8" s="10">
        <f t="shared" si="3"/>
        <v>1</v>
      </c>
      <c r="H8" s="11">
        <f t="shared" si="1"/>
        <v>45241.499999999993</v>
      </c>
      <c r="I8" s="15" t="s">
        <v>142</v>
      </c>
      <c r="J8" s="17" t="str">
        <f t="shared" ca="1" si="0"/>
        <v>PennState</v>
      </c>
      <c r="K8" t="s">
        <v>604</v>
      </c>
      <c r="L8" t="s">
        <v>151</v>
      </c>
      <c r="M8">
        <f t="shared" ca="1" si="2"/>
        <v>1</v>
      </c>
      <c r="P8" t="s">
        <v>8</v>
      </c>
      <c r="Q8" t="s">
        <v>604</v>
      </c>
      <c r="R8" t="s">
        <v>151</v>
      </c>
    </row>
    <row r="9" spans="1:18" ht="15.75" x14ac:dyDescent="0.25">
      <c r="A9" s="1">
        <v>4</v>
      </c>
      <c r="B9" t="s">
        <v>101</v>
      </c>
      <c r="C9" t="s">
        <v>8</v>
      </c>
      <c r="D9" t="s">
        <v>376</v>
      </c>
      <c r="E9">
        <v>1699722000</v>
      </c>
      <c r="F9">
        <v>0</v>
      </c>
      <c r="G9" s="10">
        <f t="shared" si="3"/>
        <v>1</v>
      </c>
      <c r="H9" s="11">
        <f t="shared" si="1"/>
        <v>45241.499999999993</v>
      </c>
      <c r="I9" s="15" t="s">
        <v>143</v>
      </c>
      <c r="J9" s="17" t="str">
        <f t="shared" ca="1" si="0"/>
        <v>PennState</v>
      </c>
      <c r="K9" t="s">
        <v>605</v>
      </c>
      <c r="L9" t="s">
        <v>151</v>
      </c>
      <c r="M9">
        <f t="shared" ca="1" si="2"/>
        <v>1</v>
      </c>
      <c r="P9" t="s">
        <v>8</v>
      </c>
      <c r="Q9" t="s">
        <v>605</v>
      </c>
      <c r="R9" t="s">
        <v>151</v>
      </c>
    </row>
    <row r="10" spans="1:18" ht="15.75" x14ac:dyDescent="0.25">
      <c r="A10" s="1">
        <v>5</v>
      </c>
      <c r="B10" t="s">
        <v>91</v>
      </c>
      <c r="C10" t="s">
        <v>8</v>
      </c>
      <c r="D10" t="s">
        <v>312</v>
      </c>
      <c r="E10">
        <v>1699722000</v>
      </c>
      <c r="F10">
        <v>119</v>
      </c>
      <c r="G10" s="10">
        <f t="shared" si="3"/>
        <v>1</v>
      </c>
      <c r="H10" s="11">
        <f t="shared" si="1"/>
        <v>45241.499999999993</v>
      </c>
      <c r="I10" s="15" t="s">
        <v>144</v>
      </c>
      <c r="J10" s="17" t="str">
        <f t="shared" ca="1" si="0"/>
        <v>TexasTech</v>
      </c>
      <c r="K10" t="s">
        <v>152</v>
      </c>
      <c r="L10" t="s">
        <v>44</v>
      </c>
      <c r="M10">
        <f t="shared" ca="1" si="2"/>
        <v>1</v>
      </c>
      <c r="P10" t="s">
        <v>8</v>
      </c>
      <c r="Q10" t="s">
        <v>152</v>
      </c>
      <c r="R10" t="s">
        <v>44</v>
      </c>
    </row>
    <row r="11" spans="1:18" ht="15.75" x14ac:dyDescent="0.25">
      <c r="A11" s="1">
        <v>6</v>
      </c>
      <c r="B11" t="s">
        <v>103</v>
      </c>
      <c r="C11" t="s">
        <v>8</v>
      </c>
      <c r="D11" t="s">
        <v>319</v>
      </c>
      <c r="E11">
        <v>1699729199</v>
      </c>
      <c r="F11">
        <v>285</v>
      </c>
      <c r="G11" s="10">
        <f t="shared" si="3"/>
        <v>1</v>
      </c>
      <c r="H11" s="11">
        <f t="shared" si="1"/>
        <v>45241.583321759252</v>
      </c>
      <c r="I11" s="15" t="s">
        <v>146</v>
      </c>
      <c r="J11" s="17" t="str">
        <f t="shared" ca="1" si="0"/>
        <v>Colorado</v>
      </c>
      <c r="K11" t="s">
        <v>159</v>
      </c>
      <c r="L11" t="s">
        <v>178</v>
      </c>
      <c r="M11">
        <f t="shared" ca="1" si="2"/>
        <v>1</v>
      </c>
      <c r="P11" t="s">
        <v>8</v>
      </c>
      <c r="Q11" t="s">
        <v>159</v>
      </c>
      <c r="R11" t="s">
        <v>178</v>
      </c>
    </row>
    <row r="12" spans="1:18" s="4" customFormat="1" ht="15.75" x14ac:dyDescent="0.25">
      <c r="A12" s="1">
        <v>7</v>
      </c>
      <c r="B12" t="s">
        <v>93</v>
      </c>
      <c r="C12" t="s">
        <v>8</v>
      </c>
      <c r="D12" t="s">
        <v>329</v>
      </c>
      <c r="E12">
        <v>1699734599</v>
      </c>
      <c r="F12">
        <v>283</v>
      </c>
      <c r="G12" s="10">
        <f t="shared" si="3"/>
        <v>1</v>
      </c>
      <c r="H12" s="11">
        <f t="shared" si="1"/>
        <v>45241.645821759252</v>
      </c>
      <c r="I12" s="15" t="s">
        <v>147</v>
      </c>
      <c r="J12" s="17" t="str">
        <f t="shared" ca="1" si="0"/>
        <v>Northwestern</v>
      </c>
      <c r="K12" s="4" t="s">
        <v>606</v>
      </c>
      <c r="L12" s="4" t="s">
        <v>176</v>
      </c>
      <c r="M12">
        <f t="shared" ca="1" si="2"/>
        <v>1</v>
      </c>
      <c r="P12" s="4" t="s">
        <v>8</v>
      </c>
      <c r="Q12" s="4" t="s">
        <v>606</v>
      </c>
      <c r="R12" s="4" t="s">
        <v>176</v>
      </c>
    </row>
    <row r="13" spans="1:18" ht="15.75" x14ac:dyDescent="0.25">
      <c r="A13" s="1">
        <v>8</v>
      </c>
      <c r="B13" t="s">
        <v>92</v>
      </c>
      <c r="C13" t="s">
        <v>8</v>
      </c>
      <c r="D13" t="s">
        <v>327</v>
      </c>
      <c r="E13">
        <v>1699734599</v>
      </c>
      <c r="F13">
        <v>63</v>
      </c>
      <c r="G13" s="10">
        <f t="shared" si="3"/>
        <v>1</v>
      </c>
      <c r="H13" s="11">
        <f t="shared" si="1"/>
        <v>45241.645821759252</v>
      </c>
      <c r="I13" s="15" t="s">
        <v>149</v>
      </c>
      <c r="J13" s="17" t="str">
        <f t="shared" ca="1" si="0"/>
        <v>UCF</v>
      </c>
      <c r="K13" t="s">
        <v>150</v>
      </c>
      <c r="L13" t="s">
        <v>607</v>
      </c>
      <c r="M13">
        <f t="shared" ca="1" si="2"/>
        <v>1</v>
      </c>
      <c r="P13" t="s">
        <v>8</v>
      </c>
      <c r="Q13" t="s">
        <v>150</v>
      </c>
      <c r="R13" t="s">
        <v>607</v>
      </c>
    </row>
    <row r="14" spans="1:18" ht="15.75" x14ac:dyDescent="0.25">
      <c r="A14" s="1">
        <v>9</v>
      </c>
      <c r="B14" t="s">
        <v>105</v>
      </c>
      <c r="C14" t="s">
        <v>8</v>
      </c>
      <c r="D14" t="s">
        <v>325</v>
      </c>
      <c r="E14">
        <v>1699734599</v>
      </c>
      <c r="F14">
        <v>257</v>
      </c>
      <c r="G14" s="10">
        <f t="shared" si="3"/>
        <v>1</v>
      </c>
      <c r="H14" s="11">
        <f t="shared" si="1"/>
        <v>45241.645821759252</v>
      </c>
      <c r="I14" s="15" t="s">
        <v>150</v>
      </c>
      <c r="J14" s="17" t="str">
        <f t="shared" ca="1" si="0"/>
        <v>Utah</v>
      </c>
      <c r="K14" t="s">
        <v>153</v>
      </c>
      <c r="L14" t="s">
        <v>146</v>
      </c>
      <c r="M14">
        <f t="shared" ca="1" si="2"/>
        <v>1</v>
      </c>
      <c r="P14" t="s">
        <v>8</v>
      </c>
      <c r="Q14" t="s">
        <v>153</v>
      </c>
      <c r="R14" t="s">
        <v>146</v>
      </c>
    </row>
    <row r="15" spans="1:18" ht="15.75" x14ac:dyDescent="0.25">
      <c r="A15" s="1">
        <v>10</v>
      </c>
      <c r="B15" t="s">
        <v>104</v>
      </c>
      <c r="C15" t="s">
        <v>8</v>
      </c>
      <c r="D15" t="s">
        <v>326</v>
      </c>
      <c r="E15">
        <v>1699734599</v>
      </c>
      <c r="F15">
        <v>21</v>
      </c>
      <c r="G15" s="10">
        <f t="shared" si="3"/>
        <v>1</v>
      </c>
      <c r="H15" s="11">
        <f t="shared" si="1"/>
        <v>45241.645821759252</v>
      </c>
      <c r="I15" s="15" t="s">
        <v>151</v>
      </c>
      <c r="J15" s="17" t="str">
        <f t="shared" ca="1" si="0"/>
        <v>Rutgers</v>
      </c>
      <c r="K15" t="s">
        <v>149</v>
      </c>
      <c r="L15" t="s">
        <v>608</v>
      </c>
      <c r="M15">
        <f t="shared" ca="1" si="2"/>
        <v>1</v>
      </c>
      <c r="P15" t="s">
        <v>8</v>
      </c>
      <c r="Q15" t="s">
        <v>149</v>
      </c>
      <c r="R15" t="s">
        <v>608</v>
      </c>
    </row>
    <row r="16" spans="1:18" ht="15.75" x14ac:dyDescent="0.25">
      <c r="A16" s="1">
        <v>11</v>
      </c>
      <c r="B16" t="s">
        <v>106</v>
      </c>
      <c r="C16" t="s">
        <v>8</v>
      </c>
      <c r="D16" t="s">
        <v>332</v>
      </c>
      <c r="E16">
        <v>1699734599</v>
      </c>
      <c r="F16">
        <v>15</v>
      </c>
      <c r="G16" s="10">
        <f t="shared" si="3"/>
        <v>1</v>
      </c>
      <c r="H16" s="11">
        <f t="shared" si="1"/>
        <v>45241.645821759252</v>
      </c>
      <c r="I16" s="15" t="s">
        <v>152</v>
      </c>
      <c r="J16" s="17" t="str">
        <f t="shared" ca="1" si="0"/>
        <v>Missouri</v>
      </c>
      <c r="K16" t="s">
        <v>609</v>
      </c>
      <c r="L16" t="s">
        <v>610</v>
      </c>
      <c r="M16">
        <f t="shared" ca="1" si="2"/>
        <v>1</v>
      </c>
      <c r="P16" t="s">
        <v>8</v>
      </c>
      <c r="Q16" t="s">
        <v>609</v>
      </c>
      <c r="R16" t="s">
        <v>610</v>
      </c>
    </row>
    <row r="17" spans="1:18" ht="15.75" x14ac:dyDescent="0.25">
      <c r="A17" s="1">
        <v>12</v>
      </c>
      <c r="B17" t="s">
        <v>20</v>
      </c>
      <c r="C17" t="s">
        <v>8</v>
      </c>
      <c r="D17" t="s">
        <v>328</v>
      </c>
      <c r="E17">
        <v>1699734599</v>
      </c>
      <c r="F17">
        <v>5</v>
      </c>
      <c r="G17" s="10">
        <f t="shared" si="3"/>
        <v>1</v>
      </c>
      <c r="H17" s="11">
        <f t="shared" si="1"/>
        <v>45241.645821759252</v>
      </c>
      <c r="I17" s="15" t="s">
        <v>153</v>
      </c>
      <c r="J17" s="17" t="str">
        <f t="shared" ca="1" si="0"/>
        <v>Minnesota</v>
      </c>
      <c r="K17" t="s">
        <v>611</v>
      </c>
      <c r="L17" t="s">
        <v>148</v>
      </c>
      <c r="M17">
        <f t="shared" ca="1" si="2"/>
        <v>1</v>
      </c>
      <c r="P17" t="s">
        <v>8</v>
      </c>
      <c r="Q17" t="s">
        <v>611</v>
      </c>
      <c r="R17" t="s">
        <v>148</v>
      </c>
    </row>
    <row r="18" spans="1:18" ht="15.75" x14ac:dyDescent="0.25">
      <c r="A18" s="1">
        <v>13</v>
      </c>
      <c r="B18" t="s">
        <v>107</v>
      </c>
      <c r="C18" t="s">
        <v>8</v>
      </c>
      <c r="D18" t="s">
        <v>335</v>
      </c>
      <c r="E18">
        <v>1699736400</v>
      </c>
      <c r="F18">
        <v>78</v>
      </c>
      <c r="G18" s="10">
        <f t="shared" si="3"/>
        <v>1</v>
      </c>
      <c r="H18" s="11">
        <f t="shared" si="1"/>
        <v>45241.666666666664</v>
      </c>
      <c r="I18" s="15" t="s">
        <v>154</v>
      </c>
      <c r="J18" s="17" t="str">
        <f t="shared" ca="1" si="0"/>
        <v>Auburn</v>
      </c>
      <c r="K18" t="s">
        <v>144</v>
      </c>
      <c r="L18" t="s">
        <v>612</v>
      </c>
      <c r="M18">
        <f t="shared" ca="1" si="2"/>
        <v>1</v>
      </c>
      <c r="P18" t="s">
        <v>8</v>
      </c>
      <c r="Q18" t="s">
        <v>144</v>
      </c>
      <c r="R18" t="s">
        <v>612</v>
      </c>
    </row>
    <row r="19" spans="1:18" ht="15.75" x14ac:dyDescent="0.25">
      <c r="A19" s="1">
        <v>14</v>
      </c>
      <c r="B19" t="s">
        <v>19</v>
      </c>
      <c r="C19" t="s">
        <v>8</v>
      </c>
      <c r="D19" t="s">
        <v>343</v>
      </c>
      <c r="E19">
        <v>1699747200</v>
      </c>
      <c r="F19">
        <v>51</v>
      </c>
      <c r="G19" s="10">
        <f t="shared" si="3"/>
        <v>1</v>
      </c>
      <c r="H19" s="11">
        <f t="shared" si="1"/>
        <v>45241.791666666664</v>
      </c>
      <c r="I19" s="15" t="s">
        <v>155</v>
      </c>
      <c r="J19" s="17" t="str">
        <f t="shared" ca="1" si="0"/>
        <v>Cincinnati</v>
      </c>
      <c r="K19" t="s">
        <v>613</v>
      </c>
      <c r="L19" t="s">
        <v>614</v>
      </c>
      <c r="M19">
        <f t="shared" ca="1" si="2"/>
        <v>1</v>
      </c>
      <c r="P19" t="s">
        <v>8</v>
      </c>
      <c r="Q19" t="s">
        <v>613</v>
      </c>
      <c r="R19" t="s">
        <v>614</v>
      </c>
    </row>
    <row r="20" spans="1:18" ht="15.75" x14ac:dyDescent="0.25">
      <c r="A20" s="1">
        <v>15</v>
      </c>
      <c r="B20" t="s">
        <v>108</v>
      </c>
      <c r="C20" t="s">
        <v>8</v>
      </c>
      <c r="D20" t="s">
        <v>348</v>
      </c>
      <c r="E20">
        <v>1699747200</v>
      </c>
      <c r="F20">
        <v>335</v>
      </c>
      <c r="G20" s="10">
        <f t="shared" si="3"/>
        <v>1</v>
      </c>
      <c r="H20" s="11">
        <f t="shared" si="1"/>
        <v>45241.791666666664</v>
      </c>
      <c r="I20" s="15" t="s">
        <v>156</v>
      </c>
      <c r="J20" s="17" t="str">
        <f t="shared" ca="1" si="0"/>
        <v>Florida</v>
      </c>
      <c r="K20" t="s">
        <v>177</v>
      </c>
      <c r="L20" t="s">
        <v>145</v>
      </c>
      <c r="M20">
        <f t="shared" ca="1" si="2"/>
        <v>1</v>
      </c>
      <c r="P20" t="s">
        <v>8</v>
      </c>
      <c r="Q20" t="s">
        <v>177</v>
      </c>
      <c r="R20" t="s">
        <v>145</v>
      </c>
    </row>
    <row r="21" spans="1:18" ht="15.75" x14ac:dyDescent="0.25">
      <c r="A21" s="1">
        <v>16</v>
      </c>
      <c r="B21" t="s">
        <v>109</v>
      </c>
      <c r="C21" t="s">
        <v>8</v>
      </c>
      <c r="D21" t="s">
        <v>344</v>
      </c>
      <c r="E21">
        <v>1699747200</v>
      </c>
      <c r="F21">
        <v>290</v>
      </c>
      <c r="G21" s="10">
        <f t="shared" si="3"/>
        <v>1</v>
      </c>
      <c r="H21" s="11">
        <f t="shared" si="1"/>
        <v>45241.791666666664</v>
      </c>
      <c r="I21" s="15" t="s">
        <v>157</v>
      </c>
      <c r="J21" s="17" t="str">
        <f t="shared" ca="1" si="0"/>
        <v>OleMiss</v>
      </c>
      <c r="K21" t="s">
        <v>615</v>
      </c>
      <c r="L21" t="s">
        <v>51</v>
      </c>
      <c r="M21">
        <f t="shared" ca="1" si="2"/>
        <v>1</v>
      </c>
      <c r="P21" t="s">
        <v>8</v>
      </c>
      <c r="Q21" t="s">
        <v>615</v>
      </c>
      <c r="R21" t="s">
        <v>51</v>
      </c>
    </row>
    <row r="22" spans="1:18" ht="15.75" x14ac:dyDescent="0.25">
      <c r="A22" s="1">
        <v>17</v>
      </c>
      <c r="B22" t="s">
        <v>110</v>
      </c>
      <c r="C22" t="s">
        <v>8</v>
      </c>
      <c r="D22" t="s">
        <v>349</v>
      </c>
      <c r="E22">
        <v>1699749000</v>
      </c>
      <c r="F22">
        <v>264</v>
      </c>
      <c r="G22" s="10">
        <f t="shared" si="3"/>
        <v>1</v>
      </c>
      <c r="H22" s="11">
        <f t="shared" si="1"/>
        <v>45241.812499999993</v>
      </c>
      <c r="I22" s="15" t="s">
        <v>158</v>
      </c>
      <c r="J22" s="17" t="str">
        <f t="shared" ca="1" si="0"/>
        <v>TCU</v>
      </c>
      <c r="K22" t="s">
        <v>143</v>
      </c>
      <c r="L22" t="s">
        <v>616</v>
      </c>
      <c r="M22">
        <f t="shared" ca="1" si="2"/>
        <v>1</v>
      </c>
      <c r="P22" t="s">
        <v>8</v>
      </c>
      <c r="Q22" t="s">
        <v>143</v>
      </c>
      <c r="R22" t="s">
        <v>616</v>
      </c>
    </row>
    <row r="23" spans="1:18" ht="15.75" x14ac:dyDescent="0.25">
      <c r="A23" s="1">
        <v>18</v>
      </c>
      <c r="B23" t="s">
        <v>94</v>
      </c>
      <c r="C23" t="s">
        <v>8</v>
      </c>
      <c r="D23" t="s">
        <v>361</v>
      </c>
      <c r="E23">
        <v>1699799399</v>
      </c>
      <c r="F23">
        <v>27</v>
      </c>
      <c r="G23" s="10">
        <f t="shared" si="3"/>
        <v>1</v>
      </c>
      <c r="H23" s="11">
        <f t="shared" si="1"/>
        <v>45242.395821759252</v>
      </c>
      <c r="I23" s="15" t="s">
        <v>159</v>
      </c>
      <c r="J23" s="17" t="str">
        <f t="shared" ca="1" si="0"/>
        <v>Patriots</v>
      </c>
      <c r="K23" t="s">
        <v>171</v>
      </c>
      <c r="L23" t="s">
        <v>164</v>
      </c>
      <c r="M23">
        <f t="shared" ca="1" si="2"/>
        <v>1</v>
      </c>
      <c r="P23" t="s">
        <v>9</v>
      </c>
      <c r="Q23" t="s">
        <v>171</v>
      </c>
      <c r="R23" t="s">
        <v>164</v>
      </c>
    </row>
    <row r="24" spans="1:18" ht="15.75" x14ac:dyDescent="0.25">
      <c r="A24" s="1">
        <v>19</v>
      </c>
      <c r="B24" t="s">
        <v>89</v>
      </c>
      <c r="C24" t="s">
        <v>9</v>
      </c>
      <c r="D24" t="s">
        <v>362</v>
      </c>
      <c r="E24">
        <v>1699812000</v>
      </c>
      <c r="F24">
        <v>201</v>
      </c>
      <c r="G24" s="10">
        <f t="shared" si="3"/>
        <v>1</v>
      </c>
      <c r="H24" s="11">
        <f t="shared" si="1"/>
        <v>45242.541666666664</v>
      </c>
      <c r="I24" s="15" t="s">
        <v>160</v>
      </c>
      <c r="J24" s="17" t="str">
        <f t="shared" ca="1" si="0"/>
        <v>Browns</v>
      </c>
      <c r="K24" t="s">
        <v>169</v>
      </c>
      <c r="L24" t="s">
        <v>170</v>
      </c>
      <c r="M24">
        <f t="shared" ca="1" si="2"/>
        <v>1</v>
      </c>
      <c r="P24" t="s">
        <v>9</v>
      </c>
      <c r="Q24" t="s">
        <v>169</v>
      </c>
      <c r="R24" t="s">
        <v>170</v>
      </c>
    </row>
    <row r="25" spans="1:18" ht="15.75" x14ac:dyDescent="0.25">
      <c r="A25" s="1">
        <v>20</v>
      </c>
      <c r="B25" t="s">
        <v>70</v>
      </c>
      <c r="C25" t="s">
        <v>9</v>
      </c>
      <c r="D25" t="s">
        <v>363</v>
      </c>
      <c r="E25">
        <v>1699812000</v>
      </c>
      <c r="F25">
        <v>232</v>
      </c>
      <c r="G25" s="10">
        <f t="shared" si="3"/>
        <v>1</v>
      </c>
      <c r="H25" s="11">
        <f t="shared" si="1"/>
        <v>45242.541666666664</v>
      </c>
      <c r="I25" s="15" t="s">
        <v>161</v>
      </c>
      <c r="J25" s="17" t="str">
        <f t="shared" ca="1" si="0"/>
        <v>Texans</v>
      </c>
      <c r="K25" t="s">
        <v>174</v>
      </c>
      <c r="L25" t="s">
        <v>161</v>
      </c>
      <c r="M25">
        <f t="shared" ca="1" si="2"/>
        <v>0</v>
      </c>
      <c r="P25" t="s">
        <v>9</v>
      </c>
      <c r="Q25" t="s">
        <v>174</v>
      </c>
      <c r="R25" t="s">
        <v>161</v>
      </c>
    </row>
    <row r="26" spans="1:18" ht="15.75" x14ac:dyDescent="0.25">
      <c r="A26" s="1">
        <v>21</v>
      </c>
      <c r="B26" t="s">
        <v>71</v>
      </c>
      <c r="C26" t="s">
        <v>9</v>
      </c>
      <c r="D26" t="s">
        <v>367</v>
      </c>
      <c r="E26">
        <v>1699812000</v>
      </c>
      <c r="F26">
        <v>115</v>
      </c>
      <c r="G26" s="10">
        <f t="shared" si="3"/>
        <v>1</v>
      </c>
      <c r="H26" s="11">
        <f t="shared" si="1"/>
        <v>45242.541666666664</v>
      </c>
      <c r="I26" s="15" t="s">
        <v>163</v>
      </c>
      <c r="J26" s="17" t="str">
        <f t="shared" ca="1" si="0"/>
        <v>Packers</v>
      </c>
      <c r="K26" t="s">
        <v>617</v>
      </c>
      <c r="L26" t="s">
        <v>168</v>
      </c>
      <c r="M26">
        <f t="shared" ca="1" si="2"/>
        <v>1</v>
      </c>
      <c r="P26" t="s">
        <v>9</v>
      </c>
      <c r="Q26" t="s">
        <v>617</v>
      </c>
      <c r="R26" t="s">
        <v>168</v>
      </c>
    </row>
    <row r="27" spans="1:18" ht="15.75" x14ac:dyDescent="0.25">
      <c r="A27" s="1">
        <v>22</v>
      </c>
      <c r="B27" t="s">
        <v>73</v>
      </c>
      <c r="C27" t="s">
        <v>9</v>
      </c>
      <c r="D27" t="s">
        <v>364</v>
      </c>
      <c r="E27">
        <v>1699812000</v>
      </c>
      <c r="F27">
        <v>103</v>
      </c>
      <c r="G27" s="10">
        <f t="shared" si="3"/>
        <v>1</v>
      </c>
      <c r="H27" s="11">
        <f t="shared" si="1"/>
        <v>45242.541666666664</v>
      </c>
      <c r="I27" s="15" t="s">
        <v>165</v>
      </c>
      <c r="J27" s="17" t="str">
        <f t="shared" ca="1" si="0"/>
        <v>Jaguars</v>
      </c>
      <c r="K27" t="s">
        <v>618</v>
      </c>
      <c r="L27" t="s">
        <v>619</v>
      </c>
      <c r="M27">
        <f t="shared" ca="1" si="2"/>
        <v>1</v>
      </c>
      <c r="P27" t="s">
        <v>9</v>
      </c>
      <c r="Q27" t="s">
        <v>618</v>
      </c>
      <c r="R27" t="s">
        <v>619</v>
      </c>
    </row>
    <row r="28" spans="1:18" ht="15.75" x14ac:dyDescent="0.25">
      <c r="A28" s="1">
        <v>23</v>
      </c>
      <c r="B28" t="s">
        <v>72</v>
      </c>
      <c r="C28" t="s">
        <v>9</v>
      </c>
      <c r="D28" t="s">
        <v>365</v>
      </c>
      <c r="E28">
        <v>1699812000</v>
      </c>
      <c r="F28">
        <v>68</v>
      </c>
      <c r="G28" s="10">
        <f t="shared" si="3"/>
        <v>0</v>
      </c>
      <c r="H28" s="11">
        <f t="shared" si="1"/>
        <v>45242.541666666664</v>
      </c>
      <c r="I28" s="15" t="s">
        <v>167</v>
      </c>
      <c r="J28" s="17" t="str">
        <f t="shared" ca="1" si="0"/>
        <v>Saints</v>
      </c>
      <c r="K28" t="s">
        <v>167</v>
      </c>
      <c r="L28" t="s">
        <v>165</v>
      </c>
      <c r="M28">
        <f t="shared" ca="1" si="2"/>
        <v>0</v>
      </c>
      <c r="P28" t="s">
        <v>9</v>
      </c>
      <c r="Q28" t="s">
        <v>167</v>
      </c>
      <c r="R28" t="s">
        <v>165</v>
      </c>
    </row>
    <row r="29" spans="1:18" ht="15.75" x14ac:dyDescent="0.25">
      <c r="A29" s="1">
        <v>24</v>
      </c>
      <c r="B29" t="s">
        <v>69</v>
      </c>
      <c r="C29" t="s">
        <v>9</v>
      </c>
      <c r="D29" t="s">
        <v>366</v>
      </c>
      <c r="E29">
        <v>1699812000</v>
      </c>
      <c r="F29">
        <v>11</v>
      </c>
      <c r="G29" s="10">
        <f t="shared" si="3"/>
        <v>1</v>
      </c>
      <c r="H29" s="11">
        <f t="shared" si="1"/>
        <v>45242.541666666664</v>
      </c>
      <c r="I29" s="15" t="s">
        <v>168</v>
      </c>
      <c r="J29" s="17" t="str">
        <f t="shared" ca="1" si="0"/>
        <v>Titans</v>
      </c>
      <c r="K29" t="s">
        <v>162</v>
      </c>
      <c r="L29" t="s">
        <v>620</v>
      </c>
      <c r="M29">
        <f t="shared" ca="1" si="2"/>
        <v>1</v>
      </c>
      <c r="P29" t="s">
        <v>9</v>
      </c>
      <c r="Q29" t="s">
        <v>162</v>
      </c>
      <c r="R29" t="s">
        <v>620</v>
      </c>
    </row>
    <row r="30" spans="1:18" s="6" customFormat="1" ht="15.75" x14ac:dyDescent="0.25">
      <c r="A30" s="9">
        <v>25</v>
      </c>
      <c r="B30" t="s">
        <v>74</v>
      </c>
      <c r="C30" t="s">
        <v>9</v>
      </c>
      <c r="D30" t="s">
        <v>369</v>
      </c>
      <c r="E30">
        <v>1699823099</v>
      </c>
      <c r="F30">
        <v>13</v>
      </c>
      <c r="G30" s="10">
        <f t="shared" si="3"/>
        <v>1</v>
      </c>
      <c r="H30" s="11">
        <f t="shared" si="1"/>
        <v>45242.670127314814</v>
      </c>
      <c r="I30" s="15" t="s">
        <v>169</v>
      </c>
      <c r="J30" s="17" t="str">
        <f t="shared" ca="1" si="0"/>
        <v>Cardinals</v>
      </c>
      <c r="K30" s="6" t="s">
        <v>166</v>
      </c>
      <c r="L30" s="6" t="s">
        <v>180</v>
      </c>
      <c r="M30">
        <f t="shared" ca="1" si="2"/>
        <v>1</v>
      </c>
      <c r="P30" s="6" t="s">
        <v>9</v>
      </c>
      <c r="Q30" s="6" t="s">
        <v>166</v>
      </c>
      <c r="R30" s="6" t="s">
        <v>180</v>
      </c>
    </row>
    <row r="31" spans="1:18" ht="15.75" x14ac:dyDescent="0.25">
      <c r="A31" s="1">
        <v>26</v>
      </c>
      <c r="B31" t="s">
        <v>75</v>
      </c>
      <c r="C31" t="s">
        <v>9</v>
      </c>
      <c r="D31" t="s">
        <v>368</v>
      </c>
      <c r="E31">
        <v>1699823099</v>
      </c>
      <c r="F31">
        <v>36</v>
      </c>
      <c r="G31" s="10">
        <f t="shared" si="3"/>
        <v>1</v>
      </c>
      <c r="H31" s="11">
        <f t="shared" si="1"/>
        <v>45242.670127314814</v>
      </c>
      <c r="I31" s="15" t="s">
        <v>170</v>
      </c>
      <c r="J31" s="17" t="str">
        <f t="shared" ca="1" si="0"/>
        <v>Chargers</v>
      </c>
      <c r="K31" t="s">
        <v>621</v>
      </c>
      <c r="L31" t="s">
        <v>181</v>
      </c>
      <c r="M31">
        <f t="shared" ca="1" si="2"/>
        <v>1</v>
      </c>
      <c r="P31" t="s">
        <v>9</v>
      </c>
      <c r="Q31" t="s">
        <v>621</v>
      </c>
      <c r="R31" t="s">
        <v>181</v>
      </c>
    </row>
    <row r="32" spans="1:18" ht="15.75" x14ac:dyDescent="0.25">
      <c r="A32" s="1">
        <v>27</v>
      </c>
      <c r="B32" t="s">
        <v>76</v>
      </c>
      <c r="C32" t="s">
        <v>9</v>
      </c>
      <c r="D32" t="s">
        <v>371</v>
      </c>
      <c r="E32">
        <v>1699824299</v>
      </c>
      <c r="F32">
        <v>208</v>
      </c>
      <c r="G32" s="10">
        <f t="shared" si="3"/>
        <v>1</v>
      </c>
      <c r="H32" s="11">
        <f t="shared" si="1"/>
        <v>45242.684016203704</v>
      </c>
      <c r="I32" s="15" t="s">
        <v>171</v>
      </c>
      <c r="J32" s="17" t="str">
        <f t="shared" ca="1" si="0"/>
        <v>Commanders</v>
      </c>
      <c r="K32" t="s">
        <v>179</v>
      </c>
      <c r="L32" t="s">
        <v>163</v>
      </c>
      <c r="M32">
        <f t="shared" ca="1" si="2"/>
        <v>1</v>
      </c>
      <c r="P32" t="s">
        <v>9</v>
      </c>
      <c r="Q32" t="s">
        <v>179</v>
      </c>
      <c r="R32" t="s">
        <v>163</v>
      </c>
    </row>
    <row r="33" spans="1:18" ht="15.75" x14ac:dyDescent="0.25">
      <c r="A33" s="1">
        <v>28</v>
      </c>
      <c r="B33" t="s">
        <v>78</v>
      </c>
      <c r="C33" t="s">
        <v>9</v>
      </c>
      <c r="D33" t="s">
        <v>372</v>
      </c>
      <c r="E33">
        <v>1699838400</v>
      </c>
      <c r="F33">
        <v>41</v>
      </c>
      <c r="G33" s="10">
        <f t="shared" si="3"/>
        <v>1</v>
      </c>
      <c r="H33" s="11">
        <f t="shared" si="1"/>
        <v>45242.847222222219</v>
      </c>
      <c r="I33" s="15" t="s">
        <v>172</v>
      </c>
      <c r="J33" s="17" t="str">
        <f t="shared" ca="1" si="0"/>
        <v>Raiders</v>
      </c>
      <c r="K33" t="s">
        <v>182</v>
      </c>
      <c r="L33" t="s">
        <v>172</v>
      </c>
      <c r="M33">
        <f t="shared" ca="1" si="2"/>
        <v>0</v>
      </c>
      <c r="P33" t="s">
        <v>9</v>
      </c>
      <c r="Q33" t="s">
        <v>182</v>
      </c>
      <c r="R33" t="s">
        <v>172</v>
      </c>
    </row>
    <row r="34" spans="1:18" ht="15.75" x14ac:dyDescent="0.25">
      <c r="A34" s="1">
        <v>29</v>
      </c>
      <c r="B34" t="s">
        <v>77</v>
      </c>
      <c r="C34" t="s">
        <v>9</v>
      </c>
      <c r="D34" t="s">
        <v>373</v>
      </c>
      <c r="E34">
        <v>1699924500</v>
      </c>
      <c r="F34">
        <v>265</v>
      </c>
      <c r="G34" s="10">
        <f t="shared" si="3"/>
        <v>1</v>
      </c>
      <c r="H34" s="11">
        <f t="shared" si="1"/>
        <v>45243.843749999993</v>
      </c>
      <c r="I34" s="15" t="s">
        <v>173</v>
      </c>
      <c r="J34" s="17" t="str">
        <f t="shared" ca="1" si="0"/>
        <v>Broncos</v>
      </c>
      <c r="K34" t="s">
        <v>175</v>
      </c>
      <c r="L34" t="s">
        <v>622</v>
      </c>
      <c r="M34">
        <f t="shared" ca="1" si="2"/>
        <v>1</v>
      </c>
      <c r="P34" t="s">
        <v>9</v>
      </c>
      <c r="Q34" t="s">
        <v>175</v>
      </c>
      <c r="R34" t="s">
        <v>622</v>
      </c>
    </row>
    <row r="35" spans="1:18" ht="15.75" x14ac:dyDescent="0.25">
      <c r="A35" s="1">
        <v>30</v>
      </c>
      <c r="B35" t="s">
        <v>79</v>
      </c>
      <c r="C35" t="s">
        <v>9</v>
      </c>
      <c r="D35" t="s">
        <v>397</v>
      </c>
      <c r="E35">
        <v>1699924500</v>
      </c>
      <c r="F35">
        <v>0</v>
      </c>
      <c r="G35" s="10">
        <f t="shared" si="3"/>
        <v>1</v>
      </c>
      <c r="H35" s="11">
        <f t="shared" si="1"/>
        <v>45243.843749999993</v>
      </c>
      <c r="I35" s="15" t="s">
        <v>174</v>
      </c>
      <c r="J35" s="17" t="str">
        <f t="shared" ca="1" si="0"/>
        <v>bbb</v>
      </c>
      <c r="K35" t="s">
        <v>624</v>
      </c>
      <c r="L35" t="s">
        <v>625</v>
      </c>
      <c r="M35">
        <f t="shared" ca="1" si="2"/>
        <v>1</v>
      </c>
      <c r="P35" t="s">
        <v>623</v>
      </c>
      <c r="Q35" t="s">
        <v>624</v>
      </c>
      <c r="R35" t="s">
        <v>625</v>
      </c>
    </row>
    <row r="36" spans="1:18" ht="15.75" x14ac:dyDescent="0.25">
      <c r="A36" s="1">
        <v>31</v>
      </c>
      <c r="B36" t="s">
        <v>80</v>
      </c>
      <c r="C36" t="s">
        <v>9</v>
      </c>
      <c r="D36" t="s">
        <v>397</v>
      </c>
      <c r="E36">
        <v>1699924500</v>
      </c>
      <c r="F36">
        <v>0</v>
      </c>
      <c r="G36" s="10">
        <v>0</v>
      </c>
      <c r="H36" s="11">
        <f t="shared" si="1"/>
        <v>45243.843749999993</v>
      </c>
      <c r="I36" s="15" t="s">
        <v>181</v>
      </c>
      <c r="J36" s="17" t="str">
        <f t="shared" ca="1" si="0"/>
        <v>aaa</v>
      </c>
      <c r="K36" t="s">
        <v>624</v>
      </c>
      <c r="L36" t="s">
        <v>625</v>
      </c>
      <c r="M36">
        <f t="shared" ca="1" si="2"/>
        <v>1</v>
      </c>
      <c r="P36" t="s">
        <v>623</v>
      </c>
      <c r="Q36" t="s">
        <v>624</v>
      </c>
      <c r="R36" t="s">
        <v>625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O42"/>
  <sheetViews>
    <sheetView zoomScale="60" zoomScaleNormal="60" workbookViewId="0">
      <selection activeCell="D8" sqref="D8:F39"/>
    </sheetView>
  </sheetViews>
  <sheetFormatPr defaultRowHeight="15" x14ac:dyDescent="0.25"/>
  <cols>
    <col min="2" max="2" width="33.28515625" customWidth="1"/>
    <col min="3" max="3" width="17" customWidth="1"/>
    <col min="4" max="4" width="36.7109375" customWidth="1"/>
    <col min="5" max="5" width="20" customWidth="1"/>
    <col min="6" max="6" width="17.42578125" customWidth="1"/>
    <col min="7" max="7" width="19.140625" customWidth="1"/>
    <col min="8" max="8" width="22.140625" customWidth="1"/>
    <col min="9" max="9" width="28" customWidth="1"/>
    <col min="10" max="10" width="37.28515625" bestFit="1" customWidth="1"/>
    <col min="11" max="11" width="39" bestFit="1" customWidth="1"/>
    <col min="12" max="12" width="33.42578125" customWidth="1"/>
  </cols>
  <sheetData>
    <row r="2" spans="1:15" x14ac:dyDescent="0.25">
      <c r="C2" s="2"/>
      <c r="D2" s="2"/>
      <c r="E2" s="14"/>
      <c r="F2" s="5"/>
    </row>
    <row r="3" spans="1:15" x14ac:dyDescent="0.25">
      <c r="E3" s="7" t="s">
        <v>6</v>
      </c>
    </row>
    <row r="4" spans="1:15" x14ac:dyDescent="0.25">
      <c r="E4" s="7"/>
    </row>
    <row r="5" spans="1:15" x14ac:dyDescent="0.25">
      <c r="E5" s="7"/>
    </row>
    <row r="6" spans="1:15" x14ac:dyDescent="0.25">
      <c r="E6" s="7"/>
    </row>
    <row r="7" spans="1:15" ht="15.75" thickBot="1" x14ac:dyDescent="0.3">
      <c r="A7" t="s">
        <v>3</v>
      </c>
      <c r="B7" s="3" t="s">
        <v>54</v>
      </c>
      <c r="C7" s="3" t="s">
        <v>55</v>
      </c>
      <c r="D7" s="3" t="s">
        <v>0</v>
      </c>
      <c r="E7" s="3" t="s">
        <v>1</v>
      </c>
      <c r="F7" s="3" t="s">
        <v>2</v>
      </c>
      <c r="H7" t="s">
        <v>183</v>
      </c>
      <c r="I7" t="s">
        <v>434</v>
      </c>
      <c r="J7" t="s">
        <v>11</v>
      </c>
      <c r="K7" t="s">
        <v>12</v>
      </c>
      <c r="L7" t="s">
        <v>13</v>
      </c>
      <c r="M7" t="s">
        <v>14</v>
      </c>
      <c r="N7" t="s">
        <v>81</v>
      </c>
      <c r="O7" t="s">
        <v>82</v>
      </c>
    </row>
    <row r="8" spans="1:15" x14ac:dyDescent="0.25">
      <c r="A8" s="1">
        <v>0</v>
      </c>
      <c r="B8" t="s">
        <v>87</v>
      </c>
      <c r="C8" t="s">
        <v>10</v>
      </c>
      <c r="D8" s="18" t="s">
        <v>359</v>
      </c>
      <c r="E8" s="19">
        <v>1699760699</v>
      </c>
      <c r="F8" s="25">
        <v>17</v>
      </c>
      <c r="G8" s="29">
        <f>F8-N8</f>
        <v>0</v>
      </c>
      <c r="H8" s="11">
        <f>E8/86400+25569-4/24</f>
        <v>45241.989571759266</v>
      </c>
      <c r="I8" s="28">
        <f>G8/1000</f>
        <v>0</v>
      </c>
      <c r="J8" t="s">
        <v>87</v>
      </c>
      <c r="K8" t="s">
        <v>10</v>
      </c>
      <c r="L8" t="s">
        <v>359</v>
      </c>
      <c r="M8">
        <v>1699764299</v>
      </c>
      <c r="N8">
        <v>17</v>
      </c>
      <c r="O8">
        <v>1.845</v>
      </c>
    </row>
    <row r="9" spans="1:15" x14ac:dyDescent="0.25">
      <c r="A9" s="1">
        <v>1</v>
      </c>
      <c r="B9" t="s">
        <v>42</v>
      </c>
      <c r="C9" t="s">
        <v>10</v>
      </c>
      <c r="D9" s="20" t="s">
        <v>360</v>
      </c>
      <c r="E9" s="21">
        <v>1699763399</v>
      </c>
      <c r="F9" s="26">
        <v>36</v>
      </c>
      <c r="G9" s="29">
        <f t="shared" ref="G9:G37" si="0">F9-N9</f>
        <v>9</v>
      </c>
      <c r="H9" s="11">
        <f t="shared" ref="H9:H25" si="1">E9/86400+25569-4/24</f>
        <v>45242.020821759266</v>
      </c>
      <c r="I9" s="28">
        <f t="shared" ref="I9:I37" si="2">G9/1000</f>
        <v>8.9999999999999993E-3</v>
      </c>
      <c r="J9" t="s">
        <v>42</v>
      </c>
      <c r="K9" t="s">
        <v>10</v>
      </c>
      <c r="L9" t="s">
        <v>360</v>
      </c>
      <c r="M9">
        <v>1699766999</v>
      </c>
      <c r="N9">
        <v>27</v>
      </c>
      <c r="O9">
        <v>1.8145454545454549</v>
      </c>
    </row>
    <row r="10" spans="1:15" x14ac:dyDescent="0.25">
      <c r="A10" s="1">
        <v>2</v>
      </c>
      <c r="B10" t="s">
        <v>119</v>
      </c>
      <c r="C10" t="s">
        <v>8</v>
      </c>
      <c r="D10" s="20" t="s">
        <v>309</v>
      </c>
      <c r="E10" s="22">
        <v>1699722000</v>
      </c>
      <c r="F10" s="26">
        <v>289</v>
      </c>
      <c r="G10" s="29">
        <f t="shared" si="0"/>
        <v>-6</v>
      </c>
      <c r="H10" s="11">
        <f t="shared" si="1"/>
        <v>45241.541666666664</v>
      </c>
      <c r="I10" s="28">
        <f t="shared" si="2"/>
        <v>-6.0000000000000001E-3</v>
      </c>
      <c r="J10" t="s">
        <v>119</v>
      </c>
      <c r="K10" t="s">
        <v>8</v>
      </c>
      <c r="L10" t="s">
        <v>309</v>
      </c>
      <c r="M10">
        <v>1699722000</v>
      </c>
      <c r="N10">
        <v>295</v>
      </c>
      <c r="O10">
        <v>1.2228571428571429</v>
      </c>
    </row>
    <row r="11" spans="1:15" x14ac:dyDescent="0.25">
      <c r="A11" s="1">
        <v>3</v>
      </c>
      <c r="B11" t="s">
        <v>118</v>
      </c>
      <c r="C11" t="s">
        <v>8</v>
      </c>
      <c r="D11" s="20" t="s">
        <v>315</v>
      </c>
      <c r="E11" s="22">
        <v>1699722000</v>
      </c>
      <c r="F11" s="26">
        <v>149</v>
      </c>
      <c r="G11" s="29">
        <f t="shared" si="0"/>
        <v>0</v>
      </c>
      <c r="H11" s="11">
        <f t="shared" si="1"/>
        <v>45241.541666666664</v>
      </c>
      <c r="I11" s="28">
        <f t="shared" si="2"/>
        <v>0</v>
      </c>
      <c r="J11" t="s">
        <v>118</v>
      </c>
      <c r="K11" t="s">
        <v>8</v>
      </c>
      <c r="L11" t="s">
        <v>315</v>
      </c>
      <c r="M11">
        <v>1699722000</v>
      </c>
      <c r="N11">
        <v>149</v>
      </c>
      <c r="O11">
        <v>1.4935714285714288</v>
      </c>
    </row>
    <row r="12" spans="1:15" x14ac:dyDescent="0.25">
      <c r="A12" s="1">
        <v>4</v>
      </c>
      <c r="B12" t="s">
        <v>118</v>
      </c>
      <c r="C12" t="s">
        <v>8</v>
      </c>
      <c r="D12" s="20" t="s">
        <v>376</v>
      </c>
      <c r="E12" s="22">
        <v>1699722000</v>
      </c>
      <c r="F12" s="26">
        <v>0</v>
      </c>
      <c r="G12" s="29">
        <f t="shared" si="0"/>
        <v>0</v>
      </c>
      <c r="H12" s="11">
        <f t="shared" si="1"/>
        <v>45241.541666666664</v>
      </c>
      <c r="I12" s="28">
        <f t="shared" si="2"/>
        <v>0</v>
      </c>
      <c r="J12" t="s">
        <v>118</v>
      </c>
      <c r="K12" t="s">
        <v>8</v>
      </c>
      <c r="L12" t="s">
        <v>315</v>
      </c>
      <c r="M12">
        <v>1699722000</v>
      </c>
      <c r="N12">
        <v>0</v>
      </c>
      <c r="O12">
        <v>1.4935714285714288</v>
      </c>
    </row>
    <row r="13" spans="1:15" x14ac:dyDescent="0.25">
      <c r="A13" s="1">
        <v>5</v>
      </c>
      <c r="B13" t="s">
        <v>298</v>
      </c>
      <c r="C13" t="s">
        <v>8</v>
      </c>
      <c r="D13" s="20" t="s">
        <v>312</v>
      </c>
      <c r="E13" s="22">
        <v>1699722000</v>
      </c>
      <c r="F13" s="26">
        <v>119</v>
      </c>
      <c r="G13" s="29">
        <f t="shared" si="0"/>
        <v>-12</v>
      </c>
      <c r="H13" s="11">
        <f t="shared" si="1"/>
        <v>45241.541666666664</v>
      </c>
      <c r="I13" s="28">
        <f t="shared" si="2"/>
        <v>-1.2E-2</v>
      </c>
      <c r="J13" t="s">
        <v>298</v>
      </c>
      <c r="K13" t="s">
        <v>8</v>
      </c>
      <c r="L13" t="s">
        <v>312</v>
      </c>
      <c r="M13">
        <v>1699722000</v>
      </c>
      <c r="N13">
        <v>131</v>
      </c>
      <c r="O13">
        <v>1.5357142857142854</v>
      </c>
    </row>
    <row r="14" spans="1:15" x14ac:dyDescent="0.25">
      <c r="A14" s="1">
        <v>6</v>
      </c>
      <c r="B14" t="s">
        <v>207</v>
      </c>
      <c r="C14" t="s">
        <v>8</v>
      </c>
      <c r="D14" s="20" t="s">
        <v>319</v>
      </c>
      <c r="E14" s="22">
        <v>1699729199</v>
      </c>
      <c r="F14" s="26">
        <v>285</v>
      </c>
      <c r="G14" s="29">
        <f t="shared" si="0"/>
        <v>9</v>
      </c>
      <c r="H14" s="11">
        <f t="shared" si="1"/>
        <v>45241.624988425923</v>
      </c>
      <c r="I14" s="28">
        <f t="shared" si="2"/>
        <v>8.9999999999999993E-3</v>
      </c>
      <c r="J14" t="s">
        <v>207</v>
      </c>
      <c r="K14" t="s">
        <v>8</v>
      </c>
      <c r="L14" t="s">
        <v>319</v>
      </c>
      <c r="M14">
        <v>1699729199</v>
      </c>
      <c r="N14">
        <v>276</v>
      </c>
      <c r="O14">
        <v>1.2542857142857144</v>
      </c>
    </row>
    <row r="15" spans="1:15" s="4" customFormat="1" x14ac:dyDescent="0.25">
      <c r="A15" s="1">
        <v>7</v>
      </c>
      <c r="B15" t="s">
        <v>222</v>
      </c>
      <c r="C15" t="s">
        <v>8</v>
      </c>
      <c r="D15" s="20" t="s">
        <v>329</v>
      </c>
      <c r="E15" s="22">
        <v>1699734599</v>
      </c>
      <c r="F15" s="26">
        <v>283</v>
      </c>
      <c r="G15" s="29">
        <f t="shared" si="0"/>
        <v>11</v>
      </c>
      <c r="H15" s="11">
        <f t="shared" si="1"/>
        <v>45241.687488425923</v>
      </c>
      <c r="I15" s="28">
        <f t="shared" si="2"/>
        <v>1.0999999999999999E-2</v>
      </c>
      <c r="J15" t="s">
        <v>222</v>
      </c>
      <c r="K15" t="s">
        <v>8</v>
      </c>
      <c r="L15" t="s">
        <v>329</v>
      </c>
      <c r="M15">
        <v>1699734599</v>
      </c>
      <c r="N15">
        <v>272</v>
      </c>
      <c r="O15">
        <v>1.2592307692307689</v>
      </c>
    </row>
    <row r="16" spans="1:15" x14ac:dyDescent="0.25">
      <c r="A16" s="1">
        <v>8</v>
      </c>
      <c r="B16" t="s">
        <v>283</v>
      </c>
      <c r="C16" t="s">
        <v>8</v>
      </c>
      <c r="D16" s="20" t="s">
        <v>327</v>
      </c>
      <c r="E16" s="22">
        <v>1699734599</v>
      </c>
      <c r="F16" s="26">
        <v>63</v>
      </c>
      <c r="G16" s="29">
        <f t="shared" si="0"/>
        <v>6</v>
      </c>
      <c r="H16" s="11">
        <f t="shared" si="1"/>
        <v>45241.687488425923</v>
      </c>
      <c r="I16" s="28">
        <f t="shared" si="2"/>
        <v>6.0000000000000001E-3</v>
      </c>
      <c r="J16" t="s">
        <v>283</v>
      </c>
      <c r="K16" t="s">
        <v>8</v>
      </c>
      <c r="L16" t="s">
        <v>327</v>
      </c>
      <c r="M16">
        <v>1699734599</v>
      </c>
      <c r="N16">
        <v>57</v>
      </c>
      <c r="O16">
        <v>1.7269230769230768</v>
      </c>
    </row>
    <row r="17" spans="1:15" x14ac:dyDescent="0.25">
      <c r="A17" s="1">
        <v>9</v>
      </c>
      <c r="B17" t="s">
        <v>219</v>
      </c>
      <c r="C17" t="s">
        <v>8</v>
      </c>
      <c r="D17" s="20" t="s">
        <v>325</v>
      </c>
      <c r="E17" s="22">
        <v>1699734599</v>
      </c>
      <c r="F17" s="26">
        <v>257</v>
      </c>
      <c r="G17" s="29">
        <f t="shared" si="0"/>
        <v>1</v>
      </c>
      <c r="H17" s="11">
        <f t="shared" si="1"/>
        <v>45241.687488425923</v>
      </c>
      <c r="I17" s="28">
        <f t="shared" si="2"/>
        <v>1E-3</v>
      </c>
      <c r="J17" t="s">
        <v>219</v>
      </c>
      <c r="K17" t="s">
        <v>8</v>
      </c>
      <c r="L17" t="s">
        <v>325</v>
      </c>
      <c r="M17">
        <v>1699734599</v>
      </c>
      <c r="N17">
        <v>256</v>
      </c>
      <c r="O17">
        <v>1.2849999999999999</v>
      </c>
    </row>
    <row r="18" spans="1:15" x14ac:dyDescent="0.25">
      <c r="A18" s="1">
        <v>10</v>
      </c>
      <c r="B18" t="s">
        <v>230</v>
      </c>
      <c r="C18" t="s">
        <v>8</v>
      </c>
      <c r="D18" s="20" t="s">
        <v>326</v>
      </c>
      <c r="E18" s="22">
        <v>1699734599</v>
      </c>
      <c r="F18" s="26">
        <v>21</v>
      </c>
      <c r="G18" s="29">
        <f t="shared" si="0"/>
        <v>7</v>
      </c>
      <c r="H18" s="11">
        <f t="shared" si="1"/>
        <v>45241.687488425923</v>
      </c>
      <c r="I18" s="28">
        <f t="shared" si="2"/>
        <v>7.0000000000000001E-3</v>
      </c>
      <c r="J18" t="s">
        <v>230</v>
      </c>
      <c r="K18" t="s">
        <v>8</v>
      </c>
      <c r="L18" t="s">
        <v>326</v>
      </c>
      <c r="M18">
        <v>1699734599</v>
      </c>
      <c r="N18">
        <v>14</v>
      </c>
      <c r="O18">
        <v>1.8583333333333334</v>
      </c>
    </row>
    <row r="19" spans="1:15" x14ac:dyDescent="0.25">
      <c r="A19" s="1">
        <v>11</v>
      </c>
      <c r="B19" t="s">
        <v>220</v>
      </c>
      <c r="C19" t="s">
        <v>8</v>
      </c>
      <c r="D19" s="20" t="s">
        <v>332</v>
      </c>
      <c r="E19" s="22">
        <v>1699734599</v>
      </c>
      <c r="F19" s="26">
        <v>15</v>
      </c>
      <c r="G19" s="29">
        <f t="shared" si="0"/>
        <v>-18</v>
      </c>
      <c r="H19" s="11">
        <f t="shared" si="1"/>
        <v>45241.687488425923</v>
      </c>
      <c r="I19" s="28">
        <f t="shared" si="2"/>
        <v>-1.7999999999999999E-2</v>
      </c>
      <c r="J19" t="s">
        <v>220</v>
      </c>
      <c r="K19" t="s">
        <v>8</v>
      </c>
      <c r="L19" t="s">
        <v>332</v>
      </c>
      <c r="M19">
        <v>1699734599</v>
      </c>
      <c r="N19">
        <v>33</v>
      </c>
      <c r="O19">
        <v>1.7984615384615386</v>
      </c>
    </row>
    <row r="20" spans="1:15" x14ac:dyDescent="0.25">
      <c r="A20" s="1">
        <v>12</v>
      </c>
      <c r="B20" t="s">
        <v>225</v>
      </c>
      <c r="C20" t="s">
        <v>8</v>
      </c>
      <c r="D20" s="20" t="s">
        <v>328</v>
      </c>
      <c r="E20" s="22">
        <v>1699734599</v>
      </c>
      <c r="F20" s="26">
        <v>5</v>
      </c>
      <c r="G20" s="29">
        <f t="shared" si="0"/>
        <v>-4</v>
      </c>
      <c r="H20" s="11">
        <f t="shared" si="1"/>
        <v>45241.687488425923</v>
      </c>
      <c r="I20" s="28">
        <f t="shared" si="2"/>
        <v>-4.0000000000000001E-3</v>
      </c>
      <c r="J20" t="s">
        <v>225</v>
      </c>
      <c r="K20" t="s">
        <v>8</v>
      </c>
      <c r="L20" t="s">
        <v>328</v>
      </c>
      <c r="M20">
        <v>1699734599</v>
      </c>
      <c r="N20">
        <v>9</v>
      </c>
      <c r="O20">
        <v>1.874545454545455</v>
      </c>
    </row>
    <row r="21" spans="1:15" x14ac:dyDescent="0.25">
      <c r="A21" s="1">
        <v>13</v>
      </c>
      <c r="B21" t="s">
        <v>231</v>
      </c>
      <c r="C21" t="s">
        <v>8</v>
      </c>
      <c r="D21" s="20" t="s">
        <v>335</v>
      </c>
      <c r="E21" s="22">
        <v>1699736400</v>
      </c>
      <c r="F21" s="26">
        <v>78</v>
      </c>
      <c r="G21" s="29">
        <f t="shared" si="0"/>
        <v>28</v>
      </c>
      <c r="H21" s="11">
        <f t="shared" si="1"/>
        <v>45241.708333333336</v>
      </c>
      <c r="I21" s="28">
        <f t="shared" si="2"/>
        <v>2.8000000000000001E-2</v>
      </c>
      <c r="J21" t="s">
        <v>231</v>
      </c>
      <c r="K21" t="s">
        <v>8</v>
      </c>
      <c r="L21" t="s">
        <v>335</v>
      </c>
      <c r="M21">
        <v>1699736400</v>
      </c>
      <c r="N21">
        <v>50</v>
      </c>
      <c r="O21">
        <v>1.7484615384615385</v>
      </c>
    </row>
    <row r="22" spans="1:15" x14ac:dyDescent="0.25">
      <c r="A22" s="1">
        <v>14</v>
      </c>
      <c r="B22" t="s">
        <v>242</v>
      </c>
      <c r="C22" t="s">
        <v>8</v>
      </c>
      <c r="D22" s="20" t="s">
        <v>343</v>
      </c>
      <c r="E22" s="22">
        <v>1699747200</v>
      </c>
      <c r="F22" s="26">
        <v>51</v>
      </c>
      <c r="G22" s="29">
        <f t="shared" si="0"/>
        <v>-3</v>
      </c>
      <c r="H22" s="11">
        <f t="shared" si="1"/>
        <v>45241.833333333336</v>
      </c>
      <c r="I22" s="28">
        <f t="shared" si="2"/>
        <v>-3.0000000000000001E-3</v>
      </c>
      <c r="J22" t="s">
        <v>242</v>
      </c>
      <c r="K22" t="s">
        <v>8</v>
      </c>
      <c r="L22" t="s">
        <v>343</v>
      </c>
      <c r="M22">
        <v>1699747200</v>
      </c>
      <c r="N22">
        <v>54</v>
      </c>
      <c r="O22">
        <v>1.7384615384615383</v>
      </c>
    </row>
    <row r="23" spans="1:15" x14ac:dyDescent="0.25">
      <c r="A23" s="1">
        <v>15</v>
      </c>
      <c r="B23" t="s">
        <v>120</v>
      </c>
      <c r="C23" t="s">
        <v>8</v>
      </c>
      <c r="D23" s="20" t="s">
        <v>348</v>
      </c>
      <c r="E23" s="22">
        <v>1699747200</v>
      </c>
      <c r="F23" s="26">
        <v>335</v>
      </c>
      <c r="G23" s="29">
        <f t="shared" si="0"/>
        <v>335</v>
      </c>
      <c r="H23" s="11">
        <f t="shared" si="1"/>
        <v>45241.833333333336</v>
      </c>
      <c r="I23" s="28">
        <f t="shared" si="2"/>
        <v>0.33500000000000002</v>
      </c>
    </row>
    <row r="24" spans="1:15" x14ac:dyDescent="0.25">
      <c r="A24" s="1">
        <v>16</v>
      </c>
      <c r="B24" t="s">
        <v>275</v>
      </c>
      <c r="C24" t="s">
        <v>8</v>
      </c>
      <c r="D24" s="20" t="s">
        <v>344</v>
      </c>
      <c r="E24" s="22">
        <v>1699747200</v>
      </c>
      <c r="F24" s="26">
        <v>290</v>
      </c>
      <c r="G24" s="29">
        <f t="shared" si="0"/>
        <v>3</v>
      </c>
      <c r="H24" s="11">
        <f t="shared" si="1"/>
        <v>45241.833333333336</v>
      </c>
      <c r="I24" s="28">
        <f t="shared" si="2"/>
        <v>3.0000000000000001E-3</v>
      </c>
      <c r="J24" t="s">
        <v>275</v>
      </c>
      <c r="K24" t="s">
        <v>8</v>
      </c>
      <c r="L24" t="s">
        <v>344</v>
      </c>
      <c r="M24">
        <v>1699747200</v>
      </c>
      <c r="N24">
        <v>287</v>
      </c>
      <c r="O24">
        <v>1.2358333333333333</v>
      </c>
    </row>
    <row r="25" spans="1:15" x14ac:dyDescent="0.25">
      <c r="A25" s="1">
        <v>17</v>
      </c>
      <c r="B25" t="s">
        <v>246</v>
      </c>
      <c r="C25" t="s">
        <v>8</v>
      </c>
      <c r="D25" s="20" t="s">
        <v>349</v>
      </c>
      <c r="E25" s="22">
        <v>1699749000</v>
      </c>
      <c r="F25" s="26">
        <v>264</v>
      </c>
      <c r="G25" s="29">
        <f t="shared" si="0"/>
        <v>-38</v>
      </c>
      <c r="H25" s="11">
        <f t="shared" si="1"/>
        <v>45241.854166666664</v>
      </c>
      <c r="I25" s="28">
        <f t="shared" si="2"/>
        <v>-3.7999999999999999E-2</v>
      </c>
      <c r="J25" t="s">
        <v>246</v>
      </c>
      <c r="K25" t="s">
        <v>8</v>
      </c>
      <c r="L25" t="s">
        <v>349</v>
      </c>
      <c r="M25">
        <v>1699749000</v>
      </c>
      <c r="N25">
        <v>302</v>
      </c>
      <c r="O25">
        <v>1.2136363636363636</v>
      </c>
    </row>
    <row r="26" spans="1:15" x14ac:dyDescent="0.25">
      <c r="A26" s="1">
        <v>18</v>
      </c>
      <c r="B26" t="s">
        <v>125</v>
      </c>
      <c r="C26" t="s">
        <v>9</v>
      </c>
      <c r="D26" s="20" t="s">
        <v>361</v>
      </c>
      <c r="E26" s="22">
        <v>1699799399</v>
      </c>
      <c r="F26" s="26">
        <v>27</v>
      </c>
      <c r="G26" s="29">
        <f t="shared" si="0"/>
        <v>-13</v>
      </c>
      <c r="H26" s="11">
        <f t="shared" ref="H26:H40" si="3">E26/86400+25569-4/24</f>
        <v>45242.437488425923</v>
      </c>
      <c r="I26" s="28">
        <f t="shared" si="2"/>
        <v>-1.2999999999999999E-2</v>
      </c>
      <c r="J26" t="s">
        <v>125</v>
      </c>
      <c r="K26" t="s">
        <v>9</v>
      </c>
      <c r="L26" t="s">
        <v>361</v>
      </c>
      <c r="M26">
        <v>1699799579</v>
      </c>
      <c r="N26">
        <v>40</v>
      </c>
      <c r="O26">
        <v>1.7799999999999998</v>
      </c>
    </row>
    <row r="27" spans="1:15" x14ac:dyDescent="0.25">
      <c r="A27" s="1">
        <v>19</v>
      </c>
      <c r="B27" t="s">
        <v>129</v>
      </c>
      <c r="C27" t="s">
        <v>9</v>
      </c>
      <c r="D27" s="20" t="s">
        <v>362</v>
      </c>
      <c r="E27" s="22">
        <v>1699812000</v>
      </c>
      <c r="F27" s="26">
        <v>201</v>
      </c>
      <c r="G27" s="29">
        <f t="shared" si="0"/>
        <v>-19</v>
      </c>
      <c r="H27" s="11">
        <f t="shared" si="3"/>
        <v>45242.583333333336</v>
      </c>
      <c r="I27" s="28">
        <f t="shared" si="2"/>
        <v>-1.9E-2</v>
      </c>
      <c r="J27" t="s">
        <v>129</v>
      </c>
      <c r="K27" t="s">
        <v>9</v>
      </c>
      <c r="L27" t="s">
        <v>362</v>
      </c>
      <c r="M27">
        <v>1699812180</v>
      </c>
      <c r="N27">
        <v>220</v>
      </c>
      <c r="O27">
        <v>1.3468749999999998</v>
      </c>
    </row>
    <row r="28" spans="1:15" x14ac:dyDescent="0.25">
      <c r="A28" s="1">
        <v>20</v>
      </c>
      <c r="B28" t="s">
        <v>130</v>
      </c>
      <c r="C28" t="s">
        <v>9</v>
      </c>
      <c r="D28" s="20" t="s">
        <v>363</v>
      </c>
      <c r="E28" s="22">
        <v>1699812000</v>
      </c>
      <c r="F28" s="26">
        <v>232</v>
      </c>
      <c r="G28" s="29">
        <f t="shared" si="0"/>
        <v>14</v>
      </c>
      <c r="H28" s="11">
        <f t="shared" si="3"/>
        <v>45242.583333333336</v>
      </c>
      <c r="I28" s="28">
        <f t="shared" si="2"/>
        <v>1.4E-2</v>
      </c>
      <c r="J28" t="s">
        <v>130</v>
      </c>
      <c r="K28" t="s">
        <v>9</v>
      </c>
      <c r="L28" t="s">
        <v>363</v>
      </c>
      <c r="M28">
        <v>1699812180</v>
      </c>
      <c r="N28">
        <v>218</v>
      </c>
      <c r="O28">
        <v>1.35</v>
      </c>
    </row>
    <row r="29" spans="1:15" x14ac:dyDescent="0.25">
      <c r="A29" s="1">
        <v>21</v>
      </c>
      <c r="B29" t="s">
        <v>131</v>
      </c>
      <c r="C29" t="s">
        <v>9</v>
      </c>
      <c r="D29" s="20" t="s">
        <v>367</v>
      </c>
      <c r="E29" s="22">
        <v>1699812000</v>
      </c>
      <c r="F29" s="26">
        <v>115</v>
      </c>
      <c r="G29" s="29">
        <f t="shared" si="0"/>
        <v>0</v>
      </c>
      <c r="H29" s="11"/>
      <c r="I29" s="28">
        <f t="shared" si="2"/>
        <v>0</v>
      </c>
      <c r="J29" t="s">
        <v>131</v>
      </c>
      <c r="K29" t="s">
        <v>9</v>
      </c>
      <c r="L29" t="s">
        <v>367</v>
      </c>
      <c r="M29">
        <v>1699812180</v>
      </c>
      <c r="N29">
        <v>115</v>
      </c>
      <c r="O29">
        <v>1.575</v>
      </c>
    </row>
    <row r="30" spans="1:15" x14ac:dyDescent="0.25">
      <c r="A30" s="1">
        <v>22</v>
      </c>
      <c r="B30" t="s">
        <v>140</v>
      </c>
      <c r="C30" t="s">
        <v>9</v>
      </c>
      <c r="D30" s="20" t="s">
        <v>364</v>
      </c>
      <c r="E30" s="22">
        <v>1699812000</v>
      </c>
      <c r="F30" s="26">
        <v>103</v>
      </c>
      <c r="G30" s="29">
        <f t="shared" si="0"/>
        <v>0</v>
      </c>
      <c r="H30" s="11">
        <f t="shared" si="3"/>
        <v>45242.583333333336</v>
      </c>
      <c r="I30" s="28">
        <f t="shared" si="2"/>
        <v>0</v>
      </c>
      <c r="J30" t="s">
        <v>140</v>
      </c>
      <c r="K30" t="s">
        <v>9</v>
      </c>
      <c r="L30" t="s">
        <v>364</v>
      </c>
      <c r="M30">
        <v>1699812180</v>
      </c>
      <c r="N30">
        <v>103</v>
      </c>
      <c r="O30">
        <v>1.6031249999999997</v>
      </c>
    </row>
    <row r="31" spans="1:15" x14ac:dyDescent="0.25">
      <c r="A31" s="1">
        <v>23</v>
      </c>
      <c r="B31" t="s">
        <v>127</v>
      </c>
      <c r="C31" t="s">
        <v>9</v>
      </c>
      <c r="D31" s="20" t="s">
        <v>365</v>
      </c>
      <c r="E31" s="22">
        <v>1699812000</v>
      </c>
      <c r="F31" s="26">
        <v>68</v>
      </c>
      <c r="G31" s="29">
        <f t="shared" si="0"/>
        <v>-12</v>
      </c>
      <c r="H31" s="11">
        <f t="shared" si="3"/>
        <v>45242.583333333336</v>
      </c>
      <c r="I31" s="28">
        <f t="shared" si="2"/>
        <v>-1.2E-2</v>
      </c>
      <c r="J31" t="s">
        <v>127</v>
      </c>
      <c r="K31" t="s">
        <v>9</v>
      </c>
      <c r="L31" t="s">
        <v>365</v>
      </c>
      <c r="M31">
        <v>1699812180</v>
      </c>
      <c r="N31">
        <v>80</v>
      </c>
      <c r="O31">
        <v>1.6643749999999999</v>
      </c>
    </row>
    <row r="32" spans="1:15" x14ac:dyDescent="0.25">
      <c r="A32" s="1">
        <v>24</v>
      </c>
      <c r="B32" t="s">
        <v>128</v>
      </c>
      <c r="C32" t="s">
        <v>9</v>
      </c>
      <c r="D32" s="20" t="s">
        <v>366</v>
      </c>
      <c r="E32" s="22">
        <v>1699812000</v>
      </c>
      <c r="F32" s="26">
        <v>11</v>
      </c>
      <c r="G32" s="29">
        <f t="shared" si="0"/>
        <v>-4</v>
      </c>
      <c r="H32" s="11">
        <f t="shared" si="3"/>
        <v>45242.583333333336</v>
      </c>
      <c r="I32" s="28">
        <f t="shared" si="2"/>
        <v>-4.0000000000000001E-3</v>
      </c>
      <c r="J32" t="s">
        <v>128</v>
      </c>
      <c r="K32" t="s">
        <v>9</v>
      </c>
      <c r="L32" t="s">
        <v>366</v>
      </c>
      <c r="M32">
        <v>1699812180</v>
      </c>
      <c r="N32">
        <v>15</v>
      </c>
      <c r="O32">
        <v>1.8531250000000004</v>
      </c>
    </row>
    <row r="33" spans="1:15" s="6" customFormat="1" x14ac:dyDescent="0.25">
      <c r="A33" s="1">
        <v>25</v>
      </c>
      <c r="B33" t="s">
        <v>132</v>
      </c>
      <c r="C33" t="s">
        <v>9</v>
      </c>
      <c r="D33" s="20" t="s">
        <v>369</v>
      </c>
      <c r="E33" s="22">
        <v>1699823099</v>
      </c>
      <c r="F33" s="26">
        <v>13</v>
      </c>
      <c r="G33" s="29">
        <f t="shared" si="0"/>
        <v>-20</v>
      </c>
      <c r="H33" s="11">
        <f t="shared" si="3"/>
        <v>45242.711793981485</v>
      </c>
      <c r="I33" s="28">
        <f t="shared" si="2"/>
        <v>-0.02</v>
      </c>
      <c r="J33" t="s">
        <v>132</v>
      </c>
      <c r="K33" t="s">
        <v>9</v>
      </c>
      <c r="L33" t="s">
        <v>369</v>
      </c>
      <c r="M33">
        <v>1699823280</v>
      </c>
      <c r="N33">
        <v>33</v>
      </c>
      <c r="O33">
        <v>1.8031250000000001</v>
      </c>
    </row>
    <row r="34" spans="1:15" x14ac:dyDescent="0.25">
      <c r="A34" s="1">
        <v>26</v>
      </c>
      <c r="B34" t="s">
        <v>133</v>
      </c>
      <c r="C34" t="s">
        <v>9</v>
      </c>
      <c r="D34" s="20" t="s">
        <v>368</v>
      </c>
      <c r="E34" s="22">
        <v>1699823099</v>
      </c>
      <c r="F34" s="26">
        <v>36</v>
      </c>
      <c r="G34" s="29">
        <f t="shared" si="0"/>
        <v>-55</v>
      </c>
      <c r="H34" s="11">
        <f t="shared" si="3"/>
        <v>45242.711793981485</v>
      </c>
      <c r="I34" s="28">
        <f t="shared" si="2"/>
        <v>-5.5E-2</v>
      </c>
      <c r="J34" t="s">
        <v>133</v>
      </c>
      <c r="K34" t="s">
        <v>9</v>
      </c>
      <c r="L34" t="s">
        <v>368</v>
      </c>
      <c r="M34">
        <v>1699823280</v>
      </c>
      <c r="N34">
        <v>91</v>
      </c>
      <c r="O34">
        <v>1.6387499999999999</v>
      </c>
    </row>
    <row r="35" spans="1:15" x14ac:dyDescent="0.25">
      <c r="A35" s="1">
        <v>27</v>
      </c>
      <c r="B35" t="s">
        <v>135</v>
      </c>
      <c r="C35" t="s">
        <v>9</v>
      </c>
      <c r="D35" s="20" t="s">
        <v>371</v>
      </c>
      <c r="E35" s="22">
        <v>1699824299</v>
      </c>
      <c r="F35" s="26">
        <v>208</v>
      </c>
      <c r="G35" s="29">
        <f t="shared" si="0"/>
        <v>-10</v>
      </c>
      <c r="H35" s="11">
        <f t="shared" si="3"/>
        <v>45242.725682870376</v>
      </c>
      <c r="I35" s="28">
        <f t="shared" si="2"/>
        <v>-0.01</v>
      </c>
      <c r="J35" t="s">
        <v>135</v>
      </c>
      <c r="K35" t="s">
        <v>9</v>
      </c>
      <c r="L35" t="s">
        <v>371</v>
      </c>
      <c r="M35">
        <v>1699824479</v>
      </c>
      <c r="N35">
        <v>218</v>
      </c>
      <c r="O35">
        <v>1.3512499999999998</v>
      </c>
    </row>
    <row r="36" spans="1:15" x14ac:dyDescent="0.25">
      <c r="A36" s="1">
        <v>28</v>
      </c>
      <c r="B36" t="s">
        <v>136</v>
      </c>
      <c r="C36" t="s">
        <v>9</v>
      </c>
      <c r="D36" s="20" t="s">
        <v>372</v>
      </c>
      <c r="E36" s="22">
        <v>1699838400</v>
      </c>
      <c r="F36" s="26">
        <v>41</v>
      </c>
      <c r="G36" s="29">
        <f t="shared" si="0"/>
        <v>39</v>
      </c>
      <c r="H36" s="11">
        <f t="shared" si="3"/>
        <v>45242.888888888891</v>
      </c>
      <c r="I36" s="28">
        <f t="shared" si="2"/>
        <v>3.9E-2</v>
      </c>
      <c r="J36" t="s">
        <v>136</v>
      </c>
      <c r="K36" t="s">
        <v>9</v>
      </c>
      <c r="L36" t="s">
        <v>372</v>
      </c>
      <c r="M36">
        <v>1699838400</v>
      </c>
      <c r="N36">
        <v>2</v>
      </c>
      <c r="O36">
        <v>1.9038461538461537</v>
      </c>
    </row>
    <row r="37" spans="1:15" x14ac:dyDescent="0.25">
      <c r="A37" s="1">
        <v>29</v>
      </c>
      <c r="B37" t="s">
        <v>138</v>
      </c>
      <c r="C37" t="s">
        <v>9</v>
      </c>
      <c r="D37" s="20" t="s">
        <v>373</v>
      </c>
      <c r="E37" s="22">
        <v>1699924500</v>
      </c>
      <c r="F37" s="26">
        <v>265</v>
      </c>
      <c r="G37" s="29">
        <f t="shared" si="0"/>
        <v>7</v>
      </c>
      <c r="H37" s="11">
        <f t="shared" si="3"/>
        <v>45243.885416666664</v>
      </c>
      <c r="I37" s="28">
        <f t="shared" si="2"/>
        <v>7.0000000000000001E-3</v>
      </c>
      <c r="J37" t="s">
        <v>138</v>
      </c>
      <c r="K37" t="s">
        <v>9</v>
      </c>
      <c r="L37" t="s">
        <v>373</v>
      </c>
      <c r="M37">
        <v>1699924500</v>
      </c>
      <c r="N37">
        <v>258</v>
      </c>
      <c r="O37">
        <v>1.2818749999999999</v>
      </c>
    </row>
    <row r="38" spans="1:15" ht="15.75" x14ac:dyDescent="0.25">
      <c r="A38" s="1">
        <v>30</v>
      </c>
      <c r="D38" s="20" t="s">
        <v>397</v>
      </c>
      <c r="E38" s="22">
        <v>1699924500</v>
      </c>
      <c r="F38" s="26">
        <v>0</v>
      </c>
      <c r="H38" s="11">
        <f t="shared" si="3"/>
        <v>45243.885416666664</v>
      </c>
      <c r="I38" s="15"/>
    </row>
    <row r="39" spans="1:15" ht="16.5" thickBot="1" x14ac:dyDescent="0.3">
      <c r="A39" s="1">
        <v>31</v>
      </c>
      <c r="D39" s="23" t="s">
        <v>397</v>
      </c>
      <c r="E39" s="24">
        <v>1699924500</v>
      </c>
      <c r="F39" s="27">
        <v>0</v>
      </c>
      <c r="G39" s="11"/>
      <c r="H39" s="11">
        <f t="shared" si="3"/>
        <v>45243.885416666664</v>
      </c>
      <c r="I39" s="15"/>
    </row>
    <row r="40" spans="1:15" x14ac:dyDescent="0.25">
      <c r="H40" s="11">
        <f t="shared" si="3"/>
        <v>25568.833333333332</v>
      </c>
    </row>
    <row r="41" spans="1:15" x14ac:dyDescent="0.25">
      <c r="E41">
        <v>1697910047</v>
      </c>
      <c r="H41" s="11">
        <f>E41/86400+25569-4/24</f>
        <v>45220.56998842593</v>
      </c>
    </row>
    <row r="42" spans="1:15" x14ac:dyDescent="0.25">
      <c r="E42">
        <v>1697910047</v>
      </c>
    </row>
  </sheetData>
  <sheetProtection selectLockedCells="1"/>
  <sortState xmlns:xlrd2="http://schemas.microsoft.com/office/spreadsheetml/2017/richdata2" ref="J26:O38">
    <sortCondition ref="M26:M38"/>
  </sortState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E1324-A95F-4B6D-BCBA-79E3E660C947}">
  <dimension ref="B2:W131"/>
  <sheetViews>
    <sheetView tabSelected="1" zoomScale="75" zoomScaleNormal="75" workbookViewId="0">
      <selection activeCell="H15" sqref="H15"/>
    </sheetView>
  </sheetViews>
  <sheetFormatPr defaultRowHeight="15" x14ac:dyDescent="0.25"/>
  <cols>
    <col min="5" max="5" width="20.28515625" customWidth="1"/>
    <col min="15" max="15" width="14.140625" customWidth="1"/>
    <col min="16" max="16" width="15.5703125" customWidth="1"/>
    <col min="17" max="17" width="13.28515625" customWidth="1"/>
  </cols>
  <sheetData>
    <row r="2" spans="2:23" x14ac:dyDescent="0.25">
      <c r="C2" t="s">
        <v>626</v>
      </c>
      <c r="D2" t="s">
        <v>627</v>
      </c>
      <c r="E2" t="s">
        <v>628</v>
      </c>
      <c r="J2" t="s">
        <v>626</v>
      </c>
      <c r="K2" t="s">
        <v>627</v>
      </c>
      <c r="L2" t="s">
        <v>628</v>
      </c>
      <c r="O2" s="1" t="s">
        <v>7</v>
      </c>
      <c r="P2" s="1" t="s">
        <v>186</v>
      </c>
      <c r="Q2" s="1" t="s">
        <v>187</v>
      </c>
    </row>
    <row r="3" spans="2:23" x14ac:dyDescent="0.25">
      <c r="B3">
        <f>IF(D3&gt;D4,1,0)</f>
        <v>0</v>
      </c>
      <c r="C3">
        <v>1</v>
      </c>
      <c r="D3">
        <v>28</v>
      </c>
      <c r="E3" t="s">
        <v>445</v>
      </c>
      <c r="F3">
        <f>VLOOKUP(C3,$U$3:$W$74,2,FALSE)</f>
        <v>33</v>
      </c>
      <c r="G3">
        <f>IF(D3&gt;F3,1,0)</f>
        <v>0</v>
      </c>
      <c r="J3">
        <v>1</v>
      </c>
      <c r="K3">
        <v>13</v>
      </c>
      <c r="L3" t="s">
        <v>446</v>
      </c>
      <c r="M3">
        <f>VLOOKUP($J3,$U$3:$W$34,3,FALSE)</f>
        <v>14.5</v>
      </c>
      <c r="O3" t="s">
        <v>600</v>
      </c>
      <c r="P3" s="31" t="s">
        <v>600</v>
      </c>
      <c r="Q3" t="s">
        <v>602</v>
      </c>
      <c r="R3">
        <f>IF(O3=P3,0,1)</f>
        <v>0</v>
      </c>
      <c r="S3">
        <f>IF(O3=P3,0,1)</f>
        <v>0</v>
      </c>
      <c r="T3">
        <f>S3-R3</f>
        <v>0</v>
      </c>
      <c r="U3">
        <v>1</v>
      </c>
      <c r="V3">
        <f>AVERAGEIF($C$3:$C$131,$U3,$D$3:$D$131)</f>
        <v>33</v>
      </c>
      <c r="W3">
        <f>AVERAGEIF($J$3:$J$131,$U3,$K$3:$K$131)</f>
        <v>14.5</v>
      </c>
    </row>
    <row r="4" spans="2:23" x14ac:dyDescent="0.25">
      <c r="C4">
        <v>1</v>
      </c>
      <c r="D4">
        <v>38</v>
      </c>
      <c r="E4" t="s">
        <v>447</v>
      </c>
      <c r="F4">
        <f t="shared" ref="F4:F67" si="0">VLOOKUP(C4,$U$3:$W$74,2,FALSE)</f>
        <v>33</v>
      </c>
      <c r="G4">
        <f t="shared" ref="G4:G67" si="1">IF(D4&gt;F4,1,0)</f>
        <v>1</v>
      </c>
      <c r="J4">
        <v>1</v>
      </c>
      <c r="K4">
        <v>16</v>
      </c>
      <c r="L4" t="s">
        <v>448</v>
      </c>
      <c r="M4">
        <f t="shared" ref="M4:M28" si="2">VLOOKUP($J4,$U$3:$W$34,3,FALSE)</f>
        <v>14.5</v>
      </c>
      <c r="O4" t="s">
        <v>601</v>
      </c>
      <c r="P4" s="31" t="s">
        <v>601</v>
      </c>
      <c r="Q4" t="s">
        <v>603</v>
      </c>
      <c r="R4">
        <f t="shared" ref="R4:R31" si="3">IF(O4=P4,0,1)</f>
        <v>0</v>
      </c>
      <c r="S4">
        <f t="shared" ref="S4:S31" si="4">IF(O4=P4,0,1)</f>
        <v>0</v>
      </c>
      <c r="T4">
        <f t="shared" ref="T4:T31" si="5">S4-R4</f>
        <v>0</v>
      </c>
      <c r="U4">
        <v>2</v>
      </c>
      <c r="V4">
        <f t="shared" ref="V4:V64" si="6">AVERAGEIF($C$3:$C$131,$U4,$D$3:$D$131)</f>
        <v>15</v>
      </c>
      <c r="W4">
        <f t="shared" ref="W4:W34" si="7">AVERAGEIF($J$3:$J$131,$U4,$K$3:$K$131)</f>
        <v>8</v>
      </c>
    </row>
    <row r="5" spans="2:23" x14ac:dyDescent="0.25">
      <c r="C5">
        <v>2</v>
      </c>
      <c r="D5">
        <v>10</v>
      </c>
      <c r="E5" t="s">
        <v>449</v>
      </c>
      <c r="F5">
        <f t="shared" si="0"/>
        <v>15</v>
      </c>
      <c r="G5">
        <f t="shared" si="1"/>
        <v>0</v>
      </c>
      <c r="J5">
        <v>2</v>
      </c>
      <c r="K5">
        <v>6</v>
      </c>
      <c r="L5" t="s">
        <v>450</v>
      </c>
      <c r="M5">
        <f t="shared" si="2"/>
        <v>8</v>
      </c>
      <c r="O5" t="s">
        <v>155</v>
      </c>
      <c r="P5" s="31" t="s">
        <v>155</v>
      </c>
      <c r="Q5" t="s">
        <v>154</v>
      </c>
      <c r="R5">
        <f t="shared" si="3"/>
        <v>0</v>
      </c>
      <c r="S5">
        <f t="shared" si="4"/>
        <v>0</v>
      </c>
      <c r="T5">
        <f t="shared" si="5"/>
        <v>0</v>
      </c>
      <c r="U5">
        <v>3</v>
      </c>
      <c r="V5">
        <f t="shared" si="6"/>
        <v>9.5</v>
      </c>
      <c r="W5">
        <f t="shared" si="7"/>
        <v>21</v>
      </c>
    </row>
    <row r="6" spans="2:23" x14ac:dyDescent="0.25">
      <c r="C6">
        <v>2</v>
      </c>
      <c r="D6">
        <v>20</v>
      </c>
      <c r="E6" t="s">
        <v>451</v>
      </c>
      <c r="F6">
        <f t="shared" si="0"/>
        <v>15</v>
      </c>
      <c r="G6">
        <f t="shared" si="1"/>
        <v>1</v>
      </c>
      <c r="J6">
        <v>2</v>
      </c>
      <c r="K6">
        <v>10</v>
      </c>
      <c r="L6" t="s">
        <v>452</v>
      </c>
      <c r="M6">
        <f t="shared" si="2"/>
        <v>8</v>
      </c>
      <c r="O6" t="s">
        <v>604</v>
      </c>
      <c r="P6" s="31" t="s">
        <v>604</v>
      </c>
      <c r="Q6" t="s">
        <v>151</v>
      </c>
      <c r="R6">
        <f t="shared" si="3"/>
        <v>0</v>
      </c>
      <c r="S6">
        <f t="shared" si="4"/>
        <v>0</v>
      </c>
      <c r="T6">
        <f t="shared" si="5"/>
        <v>0</v>
      </c>
      <c r="U6">
        <v>4</v>
      </c>
      <c r="V6">
        <f t="shared" si="6"/>
        <v>34</v>
      </c>
      <c r="W6">
        <f t="shared" si="7"/>
        <v>28.5</v>
      </c>
    </row>
    <row r="7" spans="2:23" x14ac:dyDescent="0.25">
      <c r="C7">
        <v>3</v>
      </c>
      <c r="D7">
        <v>0</v>
      </c>
      <c r="E7" t="s">
        <v>453</v>
      </c>
      <c r="F7">
        <f t="shared" si="0"/>
        <v>9.5</v>
      </c>
      <c r="G7">
        <f t="shared" si="1"/>
        <v>0</v>
      </c>
      <c r="J7">
        <v>3</v>
      </c>
      <c r="K7">
        <v>19</v>
      </c>
      <c r="L7" t="s">
        <v>454</v>
      </c>
      <c r="M7">
        <f t="shared" si="2"/>
        <v>21</v>
      </c>
      <c r="O7" t="s">
        <v>604</v>
      </c>
      <c r="P7" s="31" t="s">
        <v>605</v>
      </c>
      <c r="Q7" t="s">
        <v>151</v>
      </c>
      <c r="R7">
        <f t="shared" si="3"/>
        <v>1</v>
      </c>
      <c r="S7">
        <f t="shared" si="4"/>
        <v>1</v>
      </c>
      <c r="T7">
        <f t="shared" si="5"/>
        <v>0</v>
      </c>
      <c r="U7">
        <v>5</v>
      </c>
      <c r="V7">
        <f t="shared" si="6"/>
        <v>36</v>
      </c>
      <c r="W7">
        <f t="shared" si="7"/>
        <v>13</v>
      </c>
    </row>
    <row r="8" spans="2:23" x14ac:dyDescent="0.25">
      <c r="C8">
        <v>3</v>
      </c>
      <c r="D8">
        <v>19</v>
      </c>
      <c r="E8" t="s">
        <v>455</v>
      </c>
      <c r="F8">
        <f t="shared" si="0"/>
        <v>9.5</v>
      </c>
      <c r="G8">
        <f t="shared" si="1"/>
        <v>1</v>
      </c>
      <c r="J8">
        <v>3</v>
      </c>
      <c r="K8">
        <v>23</v>
      </c>
      <c r="L8" t="s">
        <v>456</v>
      </c>
      <c r="M8">
        <f t="shared" si="2"/>
        <v>21</v>
      </c>
      <c r="O8" t="s">
        <v>44</v>
      </c>
      <c r="P8" t="s">
        <v>152</v>
      </c>
      <c r="Q8" s="31" t="s">
        <v>44</v>
      </c>
      <c r="R8">
        <f t="shared" si="3"/>
        <v>1</v>
      </c>
      <c r="S8">
        <f t="shared" si="4"/>
        <v>1</v>
      </c>
      <c r="T8">
        <f t="shared" si="5"/>
        <v>0</v>
      </c>
      <c r="U8">
        <v>6</v>
      </c>
      <c r="V8">
        <f t="shared" si="6"/>
        <v>27.5</v>
      </c>
      <c r="W8">
        <f t="shared" si="7"/>
        <v>23</v>
      </c>
    </row>
    <row r="9" spans="2:23" x14ac:dyDescent="0.25">
      <c r="C9">
        <v>4</v>
      </c>
      <c r="D9">
        <v>19</v>
      </c>
      <c r="E9" t="s">
        <v>457</v>
      </c>
      <c r="F9">
        <f t="shared" si="0"/>
        <v>34</v>
      </c>
      <c r="G9">
        <f t="shared" si="1"/>
        <v>0</v>
      </c>
      <c r="J9">
        <v>4</v>
      </c>
      <c r="K9">
        <v>27</v>
      </c>
      <c r="L9" t="s">
        <v>458</v>
      </c>
      <c r="M9">
        <f t="shared" si="2"/>
        <v>28.5</v>
      </c>
      <c r="O9" t="s">
        <v>159</v>
      </c>
      <c r="P9" s="31" t="s">
        <v>159</v>
      </c>
      <c r="Q9" t="s">
        <v>178</v>
      </c>
      <c r="R9">
        <f t="shared" si="3"/>
        <v>0</v>
      </c>
      <c r="S9">
        <f t="shared" si="4"/>
        <v>0</v>
      </c>
      <c r="T9">
        <f t="shared" si="5"/>
        <v>0</v>
      </c>
      <c r="U9">
        <v>7</v>
      </c>
      <c r="V9">
        <f t="shared" si="6"/>
        <v>32.5</v>
      </c>
      <c r="W9">
        <f t="shared" si="7"/>
        <v>32</v>
      </c>
    </row>
    <row r="10" spans="2:23" x14ac:dyDescent="0.25">
      <c r="C10">
        <v>4</v>
      </c>
      <c r="D10">
        <v>49</v>
      </c>
      <c r="E10" t="s">
        <v>459</v>
      </c>
      <c r="F10">
        <f t="shared" si="0"/>
        <v>34</v>
      </c>
      <c r="G10">
        <f t="shared" si="1"/>
        <v>1</v>
      </c>
      <c r="J10">
        <v>4</v>
      </c>
      <c r="K10">
        <v>30</v>
      </c>
      <c r="L10" t="s">
        <v>460</v>
      </c>
      <c r="M10">
        <f t="shared" si="2"/>
        <v>28.5</v>
      </c>
      <c r="O10" t="s">
        <v>176</v>
      </c>
      <c r="P10" s="4" t="s">
        <v>606</v>
      </c>
      <c r="Q10" s="31" t="s">
        <v>176</v>
      </c>
      <c r="R10">
        <f t="shared" si="3"/>
        <v>1</v>
      </c>
      <c r="S10">
        <f t="shared" si="4"/>
        <v>1</v>
      </c>
      <c r="T10">
        <f t="shared" si="5"/>
        <v>0</v>
      </c>
      <c r="U10">
        <v>8</v>
      </c>
      <c r="V10">
        <f t="shared" si="6"/>
        <v>33</v>
      </c>
      <c r="W10">
        <f t="shared" si="7"/>
        <v>18.5</v>
      </c>
    </row>
    <row r="11" spans="2:23" x14ac:dyDescent="0.25">
      <c r="C11">
        <v>5</v>
      </c>
      <c r="D11">
        <v>23</v>
      </c>
      <c r="E11" t="s">
        <v>461</v>
      </c>
      <c r="F11">
        <f t="shared" si="0"/>
        <v>36</v>
      </c>
      <c r="G11">
        <f t="shared" si="1"/>
        <v>0</v>
      </c>
      <c r="J11">
        <v>5</v>
      </c>
      <c r="K11">
        <v>6</v>
      </c>
      <c r="L11" t="s">
        <v>462</v>
      </c>
      <c r="M11">
        <f t="shared" si="2"/>
        <v>13</v>
      </c>
      <c r="O11" t="s">
        <v>607</v>
      </c>
      <c r="P11" t="s">
        <v>150</v>
      </c>
      <c r="Q11" s="31" t="s">
        <v>607</v>
      </c>
      <c r="R11">
        <f t="shared" si="3"/>
        <v>1</v>
      </c>
      <c r="S11">
        <f t="shared" si="4"/>
        <v>1</v>
      </c>
      <c r="T11">
        <f t="shared" si="5"/>
        <v>0</v>
      </c>
      <c r="U11">
        <v>9</v>
      </c>
      <c r="V11">
        <f t="shared" si="6"/>
        <v>24</v>
      </c>
      <c r="W11">
        <f t="shared" si="7"/>
        <v>39.5</v>
      </c>
    </row>
    <row r="12" spans="2:23" x14ac:dyDescent="0.25">
      <c r="C12">
        <v>5</v>
      </c>
      <c r="D12">
        <v>49</v>
      </c>
      <c r="E12" t="s">
        <v>463</v>
      </c>
      <c r="F12">
        <f t="shared" si="0"/>
        <v>36</v>
      </c>
      <c r="G12">
        <f t="shared" si="1"/>
        <v>1</v>
      </c>
      <c r="J12">
        <v>5</v>
      </c>
      <c r="K12">
        <v>20</v>
      </c>
      <c r="L12" t="s">
        <v>464</v>
      </c>
      <c r="M12">
        <f t="shared" si="2"/>
        <v>13</v>
      </c>
      <c r="O12" t="s">
        <v>153</v>
      </c>
      <c r="P12" s="31" t="s">
        <v>153</v>
      </c>
      <c r="Q12" t="s">
        <v>146</v>
      </c>
      <c r="R12">
        <f t="shared" si="3"/>
        <v>0</v>
      </c>
      <c r="S12">
        <f t="shared" si="4"/>
        <v>0</v>
      </c>
      <c r="T12">
        <f t="shared" si="5"/>
        <v>0</v>
      </c>
      <c r="U12">
        <v>10</v>
      </c>
      <c r="V12">
        <f t="shared" si="6"/>
        <v>26.5</v>
      </c>
      <c r="W12">
        <f t="shared" si="7"/>
        <v>24</v>
      </c>
    </row>
    <row r="13" spans="2:23" x14ac:dyDescent="0.25">
      <c r="C13">
        <v>6</v>
      </c>
      <c r="D13">
        <v>24</v>
      </c>
      <c r="E13" t="s">
        <v>465</v>
      </c>
      <c r="F13">
        <f t="shared" si="0"/>
        <v>27.5</v>
      </c>
      <c r="G13">
        <f t="shared" si="1"/>
        <v>0</v>
      </c>
      <c r="J13">
        <v>6</v>
      </c>
      <c r="K13">
        <v>19</v>
      </c>
      <c r="L13" t="s">
        <v>466</v>
      </c>
      <c r="M13">
        <f t="shared" si="2"/>
        <v>23</v>
      </c>
      <c r="O13" t="s">
        <v>149</v>
      </c>
      <c r="P13" s="31" t="s">
        <v>149</v>
      </c>
      <c r="Q13" t="s">
        <v>608</v>
      </c>
      <c r="R13">
        <f t="shared" si="3"/>
        <v>0</v>
      </c>
      <c r="S13">
        <f t="shared" si="4"/>
        <v>0</v>
      </c>
      <c r="T13">
        <f t="shared" si="5"/>
        <v>0</v>
      </c>
      <c r="U13">
        <v>11</v>
      </c>
      <c r="V13">
        <f t="shared" si="6"/>
        <v>14.5</v>
      </c>
      <c r="W13">
        <f t="shared" si="7"/>
        <v>33</v>
      </c>
    </row>
    <row r="14" spans="2:23" x14ac:dyDescent="0.25">
      <c r="C14">
        <v>6</v>
      </c>
      <c r="D14">
        <v>31</v>
      </c>
      <c r="E14" t="s">
        <v>467</v>
      </c>
      <c r="F14">
        <f t="shared" si="0"/>
        <v>27.5</v>
      </c>
      <c r="G14">
        <f t="shared" si="1"/>
        <v>1</v>
      </c>
      <c r="J14">
        <v>6</v>
      </c>
      <c r="K14">
        <v>27</v>
      </c>
      <c r="L14" t="s">
        <v>468</v>
      </c>
      <c r="M14">
        <f t="shared" si="2"/>
        <v>23</v>
      </c>
      <c r="O14" t="s">
        <v>610</v>
      </c>
      <c r="P14" t="s">
        <v>609</v>
      </c>
      <c r="Q14" s="31" t="s">
        <v>610</v>
      </c>
      <c r="R14">
        <f t="shared" si="3"/>
        <v>1</v>
      </c>
      <c r="S14">
        <f t="shared" si="4"/>
        <v>1</v>
      </c>
      <c r="T14">
        <f t="shared" si="5"/>
        <v>0</v>
      </c>
      <c r="U14">
        <v>12</v>
      </c>
      <c r="V14">
        <f t="shared" si="6"/>
        <v>31.5</v>
      </c>
      <c r="W14">
        <f t="shared" si="7"/>
        <v>27.5</v>
      </c>
    </row>
    <row r="15" spans="2:23" x14ac:dyDescent="0.25">
      <c r="C15">
        <v>7</v>
      </c>
      <c r="D15">
        <v>31</v>
      </c>
      <c r="E15" t="s">
        <v>469</v>
      </c>
      <c r="F15">
        <f t="shared" si="0"/>
        <v>32.5</v>
      </c>
      <c r="G15">
        <f t="shared" si="1"/>
        <v>0</v>
      </c>
      <c r="J15">
        <v>7</v>
      </c>
      <c r="K15">
        <v>31</v>
      </c>
      <c r="L15" t="s">
        <v>470</v>
      </c>
      <c r="M15">
        <f t="shared" si="2"/>
        <v>32</v>
      </c>
      <c r="O15" t="s">
        <v>611</v>
      </c>
      <c r="P15" s="31" t="s">
        <v>611</v>
      </c>
      <c r="Q15" t="s">
        <v>148</v>
      </c>
      <c r="R15">
        <f t="shared" si="3"/>
        <v>0</v>
      </c>
      <c r="S15">
        <f t="shared" si="4"/>
        <v>0</v>
      </c>
      <c r="T15">
        <f t="shared" si="5"/>
        <v>0</v>
      </c>
      <c r="U15">
        <v>13</v>
      </c>
      <c r="V15">
        <f t="shared" si="6"/>
        <v>15.5</v>
      </c>
      <c r="W15">
        <f t="shared" si="7"/>
        <v>14</v>
      </c>
    </row>
    <row r="16" spans="2:23" x14ac:dyDescent="0.25">
      <c r="C16">
        <v>7</v>
      </c>
      <c r="D16">
        <v>34</v>
      </c>
      <c r="E16" t="s">
        <v>471</v>
      </c>
      <c r="F16">
        <f t="shared" si="0"/>
        <v>32.5</v>
      </c>
      <c r="G16">
        <f t="shared" si="1"/>
        <v>1</v>
      </c>
      <c r="J16">
        <v>7</v>
      </c>
      <c r="K16">
        <v>33</v>
      </c>
      <c r="L16" t="s">
        <v>472</v>
      </c>
      <c r="M16">
        <f t="shared" si="2"/>
        <v>32</v>
      </c>
      <c r="O16" t="s">
        <v>612</v>
      </c>
      <c r="P16" t="s">
        <v>144</v>
      </c>
      <c r="Q16" s="31" t="s">
        <v>612</v>
      </c>
      <c r="R16">
        <f t="shared" si="3"/>
        <v>1</v>
      </c>
      <c r="S16">
        <f t="shared" si="4"/>
        <v>1</v>
      </c>
      <c r="T16">
        <f t="shared" si="5"/>
        <v>0</v>
      </c>
      <c r="U16">
        <v>14</v>
      </c>
      <c r="V16">
        <f t="shared" si="6"/>
        <v>40.75</v>
      </c>
      <c r="W16" t="e">
        <f t="shared" si="7"/>
        <v>#DIV/0!</v>
      </c>
    </row>
    <row r="17" spans="3:23" x14ac:dyDescent="0.25">
      <c r="C17">
        <v>8</v>
      </c>
      <c r="D17">
        <v>21</v>
      </c>
      <c r="E17" t="s">
        <v>473</v>
      </c>
      <c r="F17">
        <f t="shared" si="0"/>
        <v>33</v>
      </c>
      <c r="G17">
        <f t="shared" si="1"/>
        <v>0</v>
      </c>
      <c r="J17">
        <v>8</v>
      </c>
      <c r="K17">
        <v>3</v>
      </c>
      <c r="L17" t="s">
        <v>474</v>
      </c>
      <c r="M17">
        <f t="shared" si="2"/>
        <v>18.5</v>
      </c>
      <c r="O17" t="s">
        <v>614</v>
      </c>
      <c r="P17" t="s">
        <v>613</v>
      </c>
      <c r="Q17" s="31" t="s">
        <v>614</v>
      </c>
      <c r="R17">
        <f t="shared" si="3"/>
        <v>1</v>
      </c>
      <c r="S17">
        <f t="shared" si="4"/>
        <v>1</v>
      </c>
      <c r="T17">
        <f t="shared" si="5"/>
        <v>0</v>
      </c>
      <c r="U17">
        <v>15</v>
      </c>
      <c r="V17">
        <f t="shared" si="6"/>
        <v>25</v>
      </c>
      <c r="W17" t="e">
        <f t="shared" si="7"/>
        <v>#DIV/0!</v>
      </c>
    </row>
    <row r="18" spans="3:23" x14ac:dyDescent="0.25">
      <c r="C18">
        <v>8</v>
      </c>
      <c r="D18">
        <v>45</v>
      </c>
      <c r="E18" t="s">
        <v>475</v>
      </c>
      <c r="F18">
        <f t="shared" si="0"/>
        <v>33</v>
      </c>
      <c r="G18">
        <f t="shared" si="1"/>
        <v>1</v>
      </c>
      <c r="J18">
        <v>8</v>
      </c>
      <c r="K18">
        <v>34</v>
      </c>
      <c r="L18" t="s">
        <v>476</v>
      </c>
      <c r="M18">
        <f t="shared" si="2"/>
        <v>18.5</v>
      </c>
      <c r="O18" t="s">
        <v>177</v>
      </c>
      <c r="P18" s="31" t="s">
        <v>177</v>
      </c>
      <c r="Q18" t="s">
        <v>145</v>
      </c>
      <c r="R18">
        <f t="shared" si="3"/>
        <v>0</v>
      </c>
      <c r="S18">
        <f t="shared" si="4"/>
        <v>0</v>
      </c>
      <c r="T18">
        <f t="shared" si="5"/>
        <v>0</v>
      </c>
      <c r="U18">
        <v>16</v>
      </c>
      <c r="V18">
        <f t="shared" si="6"/>
        <v>11.5</v>
      </c>
      <c r="W18" t="e">
        <f t="shared" si="7"/>
        <v>#DIV/0!</v>
      </c>
    </row>
    <row r="19" spans="3:23" x14ac:dyDescent="0.25">
      <c r="C19">
        <v>9</v>
      </c>
      <c r="D19">
        <v>14</v>
      </c>
      <c r="E19" t="s">
        <v>477</v>
      </c>
      <c r="F19">
        <f t="shared" si="0"/>
        <v>24</v>
      </c>
      <c r="G19">
        <f t="shared" si="1"/>
        <v>0</v>
      </c>
      <c r="J19">
        <v>9</v>
      </c>
      <c r="K19">
        <v>38</v>
      </c>
      <c r="L19" t="s">
        <v>478</v>
      </c>
      <c r="M19">
        <f t="shared" si="2"/>
        <v>39.5</v>
      </c>
      <c r="O19" t="s">
        <v>615</v>
      </c>
      <c r="P19" s="31" t="s">
        <v>615</v>
      </c>
      <c r="Q19" t="s">
        <v>51</v>
      </c>
      <c r="R19">
        <f t="shared" si="3"/>
        <v>0</v>
      </c>
      <c r="S19">
        <f t="shared" si="4"/>
        <v>0</v>
      </c>
      <c r="T19">
        <f t="shared" si="5"/>
        <v>0</v>
      </c>
      <c r="U19">
        <v>17</v>
      </c>
      <c r="V19">
        <f t="shared" si="6"/>
        <v>35</v>
      </c>
      <c r="W19" t="e">
        <f t="shared" si="7"/>
        <v>#DIV/0!</v>
      </c>
    </row>
    <row r="20" spans="3:23" x14ac:dyDescent="0.25">
      <c r="C20">
        <v>9</v>
      </c>
      <c r="D20">
        <v>34</v>
      </c>
      <c r="E20" t="s">
        <v>479</v>
      </c>
      <c r="F20">
        <f t="shared" si="0"/>
        <v>24</v>
      </c>
      <c r="G20">
        <f t="shared" si="1"/>
        <v>1</v>
      </c>
      <c r="J20">
        <v>9</v>
      </c>
      <c r="K20">
        <v>41</v>
      </c>
      <c r="L20" t="s">
        <v>480</v>
      </c>
      <c r="M20">
        <f t="shared" si="2"/>
        <v>39.5</v>
      </c>
      <c r="O20" t="s">
        <v>143</v>
      </c>
      <c r="P20" s="31" t="s">
        <v>143</v>
      </c>
      <c r="Q20" t="s">
        <v>616</v>
      </c>
      <c r="R20">
        <f t="shared" si="3"/>
        <v>0</v>
      </c>
      <c r="S20">
        <f t="shared" si="4"/>
        <v>0</v>
      </c>
      <c r="T20">
        <f t="shared" si="5"/>
        <v>0</v>
      </c>
      <c r="U20">
        <v>18</v>
      </c>
      <c r="V20">
        <f t="shared" si="6"/>
        <v>19.5</v>
      </c>
      <c r="W20" t="e">
        <f t="shared" si="7"/>
        <v>#DIV/0!</v>
      </c>
    </row>
    <row r="21" spans="3:23" x14ac:dyDescent="0.25">
      <c r="C21">
        <v>10</v>
      </c>
      <c r="D21">
        <v>6</v>
      </c>
      <c r="E21" t="s">
        <v>481</v>
      </c>
      <c r="F21">
        <f t="shared" si="0"/>
        <v>26.5</v>
      </c>
      <c r="G21">
        <f t="shared" si="1"/>
        <v>0</v>
      </c>
      <c r="J21">
        <v>10</v>
      </c>
      <c r="K21">
        <v>23</v>
      </c>
      <c r="L21" t="s">
        <v>482</v>
      </c>
      <c r="M21">
        <f t="shared" si="2"/>
        <v>24</v>
      </c>
      <c r="O21" t="s">
        <v>171</v>
      </c>
      <c r="P21" s="31" t="s">
        <v>171</v>
      </c>
      <c r="Q21" t="s">
        <v>164</v>
      </c>
      <c r="R21">
        <f t="shared" si="3"/>
        <v>0</v>
      </c>
      <c r="S21">
        <f t="shared" si="4"/>
        <v>0</v>
      </c>
      <c r="T21">
        <f t="shared" si="5"/>
        <v>0</v>
      </c>
      <c r="U21">
        <v>19</v>
      </c>
      <c r="V21">
        <f t="shared" si="6"/>
        <v>23</v>
      </c>
      <c r="W21" t="e">
        <f t="shared" si="7"/>
        <v>#DIV/0!</v>
      </c>
    </row>
    <row r="22" spans="3:23" x14ac:dyDescent="0.25">
      <c r="C22">
        <v>10</v>
      </c>
      <c r="D22">
        <v>47</v>
      </c>
      <c r="E22" t="s">
        <v>483</v>
      </c>
      <c r="F22">
        <f t="shared" si="0"/>
        <v>26.5</v>
      </c>
      <c r="G22">
        <f t="shared" si="1"/>
        <v>1</v>
      </c>
      <c r="J22">
        <v>10</v>
      </c>
      <c r="K22">
        <v>25</v>
      </c>
      <c r="L22" t="s">
        <v>484</v>
      </c>
      <c r="M22">
        <f t="shared" si="2"/>
        <v>24</v>
      </c>
      <c r="O22" t="s">
        <v>170</v>
      </c>
      <c r="P22" t="s">
        <v>169</v>
      </c>
      <c r="Q22" s="31" t="s">
        <v>170</v>
      </c>
      <c r="R22">
        <f t="shared" si="3"/>
        <v>1</v>
      </c>
      <c r="S22">
        <f t="shared" si="4"/>
        <v>1</v>
      </c>
      <c r="T22">
        <f t="shared" si="5"/>
        <v>0</v>
      </c>
      <c r="U22">
        <v>20</v>
      </c>
      <c r="V22">
        <f t="shared" si="6"/>
        <v>26.8</v>
      </c>
      <c r="W22" t="e">
        <f t="shared" si="7"/>
        <v>#DIV/0!</v>
      </c>
    </row>
    <row r="23" spans="3:23" x14ac:dyDescent="0.25">
      <c r="C23">
        <v>11</v>
      </c>
      <c r="D23">
        <v>13</v>
      </c>
      <c r="E23" t="s">
        <v>485</v>
      </c>
      <c r="F23">
        <f t="shared" si="0"/>
        <v>14.5</v>
      </c>
      <c r="G23">
        <f t="shared" si="1"/>
        <v>0</v>
      </c>
      <c r="J23">
        <v>11</v>
      </c>
      <c r="K23">
        <v>17</v>
      </c>
      <c r="L23" t="s">
        <v>486</v>
      </c>
      <c r="M23">
        <f t="shared" si="2"/>
        <v>33</v>
      </c>
      <c r="O23" t="s">
        <v>161</v>
      </c>
      <c r="P23" t="s">
        <v>174</v>
      </c>
      <c r="Q23" s="31" t="s">
        <v>161</v>
      </c>
      <c r="R23">
        <f t="shared" si="3"/>
        <v>1</v>
      </c>
      <c r="S23">
        <f t="shared" si="4"/>
        <v>1</v>
      </c>
      <c r="T23">
        <f t="shared" si="5"/>
        <v>0</v>
      </c>
      <c r="U23">
        <v>21</v>
      </c>
      <c r="V23">
        <f t="shared" si="6"/>
        <v>28</v>
      </c>
      <c r="W23" t="e">
        <f t="shared" si="7"/>
        <v>#DIV/0!</v>
      </c>
    </row>
    <row r="24" spans="3:23" x14ac:dyDescent="0.25">
      <c r="C24">
        <v>11</v>
      </c>
      <c r="D24">
        <v>16</v>
      </c>
      <c r="E24" t="s">
        <v>487</v>
      </c>
      <c r="F24">
        <f t="shared" si="0"/>
        <v>14.5</v>
      </c>
      <c r="G24">
        <f t="shared" si="1"/>
        <v>1</v>
      </c>
      <c r="J24">
        <v>11</v>
      </c>
      <c r="K24">
        <v>49</v>
      </c>
      <c r="L24" t="s">
        <v>488</v>
      </c>
      <c r="M24">
        <f t="shared" si="2"/>
        <v>33</v>
      </c>
      <c r="O24" t="s">
        <v>617</v>
      </c>
      <c r="P24" s="31" t="s">
        <v>617</v>
      </c>
      <c r="Q24" t="s">
        <v>168</v>
      </c>
      <c r="R24">
        <f t="shared" si="3"/>
        <v>0</v>
      </c>
      <c r="S24">
        <f t="shared" si="4"/>
        <v>0</v>
      </c>
      <c r="T24">
        <f t="shared" si="5"/>
        <v>0</v>
      </c>
      <c r="U24">
        <v>22</v>
      </c>
      <c r="V24">
        <f t="shared" si="6"/>
        <v>25</v>
      </c>
      <c r="W24" t="e">
        <f t="shared" si="7"/>
        <v>#DIV/0!</v>
      </c>
    </row>
    <row r="25" spans="3:23" x14ac:dyDescent="0.25">
      <c r="C25">
        <v>12</v>
      </c>
      <c r="D25">
        <v>21</v>
      </c>
      <c r="E25" t="s">
        <v>489</v>
      </c>
      <c r="F25">
        <f t="shared" si="0"/>
        <v>31.5</v>
      </c>
      <c r="G25">
        <f t="shared" si="1"/>
        <v>0</v>
      </c>
      <c r="J25">
        <v>12</v>
      </c>
      <c r="K25">
        <v>26</v>
      </c>
      <c r="L25" t="s">
        <v>490</v>
      </c>
      <c r="M25">
        <f t="shared" si="2"/>
        <v>27.5</v>
      </c>
      <c r="O25" t="s">
        <v>618</v>
      </c>
      <c r="P25" s="31" t="s">
        <v>618</v>
      </c>
      <c r="Q25" t="s">
        <v>619</v>
      </c>
      <c r="R25">
        <f t="shared" si="3"/>
        <v>0</v>
      </c>
      <c r="S25">
        <f t="shared" si="4"/>
        <v>0</v>
      </c>
      <c r="T25">
        <f t="shared" si="5"/>
        <v>0</v>
      </c>
      <c r="U25">
        <v>23</v>
      </c>
      <c r="V25">
        <f t="shared" si="6"/>
        <v>32.5</v>
      </c>
      <c r="W25" t="e">
        <f t="shared" si="7"/>
        <v>#DIV/0!</v>
      </c>
    </row>
    <row r="26" spans="3:23" x14ac:dyDescent="0.25">
      <c r="C26">
        <v>12</v>
      </c>
      <c r="D26">
        <v>42</v>
      </c>
      <c r="E26" t="s">
        <v>491</v>
      </c>
      <c r="F26">
        <f t="shared" si="0"/>
        <v>31.5</v>
      </c>
      <c r="G26">
        <f t="shared" si="1"/>
        <v>1</v>
      </c>
      <c r="J26">
        <v>12</v>
      </c>
      <c r="K26">
        <v>29</v>
      </c>
      <c r="L26" t="s">
        <v>492</v>
      </c>
      <c r="M26">
        <f t="shared" si="2"/>
        <v>27.5</v>
      </c>
      <c r="O26" t="s">
        <v>165</v>
      </c>
      <c r="P26" t="s">
        <v>167</v>
      </c>
      <c r="Q26" s="31" t="s">
        <v>165</v>
      </c>
      <c r="R26">
        <f t="shared" si="3"/>
        <v>1</v>
      </c>
      <c r="S26">
        <f t="shared" si="4"/>
        <v>1</v>
      </c>
      <c r="T26">
        <f t="shared" si="5"/>
        <v>0</v>
      </c>
      <c r="U26">
        <v>24</v>
      </c>
      <c r="V26">
        <f t="shared" si="6"/>
        <v>16</v>
      </c>
      <c r="W26" t="e">
        <f t="shared" si="7"/>
        <v>#DIV/0!</v>
      </c>
    </row>
    <row r="27" spans="3:23" x14ac:dyDescent="0.25">
      <c r="C27">
        <v>13</v>
      </c>
      <c r="D27">
        <v>14</v>
      </c>
      <c r="E27" t="s">
        <v>493</v>
      </c>
      <c r="F27">
        <f t="shared" si="0"/>
        <v>15.5</v>
      </c>
      <c r="G27">
        <f t="shared" si="1"/>
        <v>0</v>
      </c>
      <c r="J27">
        <v>13</v>
      </c>
      <c r="K27">
        <v>12</v>
      </c>
      <c r="L27" t="s">
        <v>494</v>
      </c>
      <c r="M27">
        <f t="shared" si="2"/>
        <v>14</v>
      </c>
      <c r="O27" t="s">
        <v>162</v>
      </c>
      <c r="P27" s="31" t="s">
        <v>162</v>
      </c>
      <c r="Q27" t="s">
        <v>620</v>
      </c>
      <c r="R27">
        <f t="shared" si="3"/>
        <v>0</v>
      </c>
      <c r="S27">
        <f t="shared" si="4"/>
        <v>0</v>
      </c>
      <c r="T27">
        <f t="shared" si="5"/>
        <v>0</v>
      </c>
      <c r="U27">
        <v>25</v>
      </c>
      <c r="V27">
        <f t="shared" si="6"/>
        <v>29.5</v>
      </c>
      <c r="W27" t="e">
        <f t="shared" si="7"/>
        <v>#DIV/0!</v>
      </c>
    </row>
    <row r="28" spans="3:23" x14ac:dyDescent="0.25">
      <c r="C28">
        <v>13</v>
      </c>
      <c r="D28">
        <v>17</v>
      </c>
      <c r="E28" t="s">
        <v>495</v>
      </c>
      <c r="F28">
        <f t="shared" si="0"/>
        <v>15.5</v>
      </c>
      <c r="G28">
        <f t="shared" si="1"/>
        <v>1</v>
      </c>
      <c r="J28">
        <v>13</v>
      </c>
      <c r="K28">
        <v>16</v>
      </c>
      <c r="L28" t="s">
        <v>496</v>
      </c>
      <c r="M28">
        <f t="shared" si="2"/>
        <v>14</v>
      </c>
      <c r="O28" s="6" t="s">
        <v>180</v>
      </c>
      <c r="P28" t="s">
        <v>166</v>
      </c>
      <c r="Q28" s="31" t="s">
        <v>180</v>
      </c>
      <c r="R28">
        <f t="shared" si="3"/>
        <v>1</v>
      </c>
      <c r="S28">
        <f t="shared" si="4"/>
        <v>1</v>
      </c>
      <c r="T28">
        <f t="shared" si="5"/>
        <v>0</v>
      </c>
      <c r="U28">
        <v>26</v>
      </c>
      <c r="V28">
        <f t="shared" si="6"/>
        <v>42</v>
      </c>
      <c r="W28" t="e">
        <f t="shared" si="7"/>
        <v>#DIV/0!</v>
      </c>
    </row>
    <row r="29" spans="3:23" x14ac:dyDescent="0.25">
      <c r="C29">
        <v>14</v>
      </c>
      <c r="D29">
        <v>21</v>
      </c>
      <c r="E29" t="s">
        <v>497</v>
      </c>
      <c r="F29">
        <f t="shared" si="0"/>
        <v>40.75</v>
      </c>
      <c r="G29">
        <f t="shared" si="1"/>
        <v>0</v>
      </c>
      <c r="O29" t="s">
        <v>621</v>
      </c>
      <c r="P29" s="31" t="s">
        <v>621</v>
      </c>
      <c r="Q29" t="s">
        <v>181</v>
      </c>
      <c r="R29">
        <f t="shared" si="3"/>
        <v>0</v>
      </c>
      <c r="S29">
        <f t="shared" si="4"/>
        <v>0</v>
      </c>
      <c r="T29">
        <f t="shared" si="5"/>
        <v>0</v>
      </c>
      <c r="U29">
        <v>27</v>
      </c>
      <c r="V29">
        <f t="shared" si="6"/>
        <v>32.5</v>
      </c>
      <c r="W29" t="e">
        <f t="shared" si="7"/>
        <v>#DIV/0!</v>
      </c>
    </row>
    <row r="30" spans="3:23" x14ac:dyDescent="0.25">
      <c r="C30">
        <v>14</v>
      </c>
      <c r="D30">
        <v>45</v>
      </c>
      <c r="E30" t="s">
        <v>498</v>
      </c>
      <c r="F30">
        <f t="shared" si="0"/>
        <v>40.75</v>
      </c>
      <c r="G30">
        <f t="shared" si="1"/>
        <v>1</v>
      </c>
      <c r="O30" t="s">
        <v>179</v>
      </c>
      <c r="P30" s="31" t="s">
        <v>179</v>
      </c>
      <c r="Q30" t="s">
        <v>163</v>
      </c>
      <c r="R30">
        <f t="shared" si="3"/>
        <v>0</v>
      </c>
      <c r="S30">
        <f t="shared" si="4"/>
        <v>0</v>
      </c>
      <c r="T30">
        <f t="shared" si="5"/>
        <v>0</v>
      </c>
      <c r="U30">
        <v>28</v>
      </c>
      <c r="V30">
        <f t="shared" si="6"/>
        <v>34.5</v>
      </c>
      <c r="W30" t="e">
        <f t="shared" si="7"/>
        <v>#DIV/0!</v>
      </c>
    </row>
    <row r="31" spans="3:23" x14ac:dyDescent="0.25">
      <c r="C31">
        <v>14</v>
      </c>
      <c r="D31">
        <v>48</v>
      </c>
      <c r="E31" t="s">
        <v>499</v>
      </c>
      <c r="F31">
        <f t="shared" si="0"/>
        <v>40.75</v>
      </c>
      <c r="G31">
        <f t="shared" si="1"/>
        <v>1</v>
      </c>
      <c r="O31" t="s">
        <v>172</v>
      </c>
      <c r="P31" t="s">
        <v>182</v>
      </c>
      <c r="Q31" s="31" t="s">
        <v>172</v>
      </c>
      <c r="R31">
        <f t="shared" si="3"/>
        <v>1</v>
      </c>
      <c r="S31">
        <f t="shared" si="4"/>
        <v>1</v>
      </c>
      <c r="T31">
        <f t="shared" si="5"/>
        <v>0</v>
      </c>
      <c r="U31">
        <v>29</v>
      </c>
      <c r="V31">
        <f t="shared" si="6"/>
        <v>24</v>
      </c>
      <c r="W31" t="e">
        <f t="shared" si="7"/>
        <v>#DIV/0!</v>
      </c>
    </row>
    <row r="32" spans="3:23" x14ac:dyDescent="0.25">
      <c r="C32">
        <v>14</v>
      </c>
      <c r="D32">
        <v>49</v>
      </c>
      <c r="E32" t="s">
        <v>500</v>
      </c>
      <c r="F32">
        <f t="shared" si="0"/>
        <v>40.75</v>
      </c>
      <c r="G32">
        <f t="shared" si="1"/>
        <v>1</v>
      </c>
      <c r="P32" t="s">
        <v>175</v>
      </c>
      <c r="Q32" t="s">
        <v>622</v>
      </c>
      <c r="U32">
        <v>30</v>
      </c>
      <c r="V32">
        <f t="shared" si="6"/>
        <v>21.5</v>
      </c>
      <c r="W32" t="e">
        <f t="shared" si="7"/>
        <v>#DIV/0!</v>
      </c>
    </row>
    <row r="33" spans="3:23" x14ac:dyDescent="0.25">
      <c r="C33">
        <v>15</v>
      </c>
      <c r="D33">
        <v>23</v>
      </c>
      <c r="E33" t="s">
        <v>501</v>
      </c>
      <c r="F33">
        <f t="shared" si="0"/>
        <v>25</v>
      </c>
      <c r="G33">
        <f t="shared" si="1"/>
        <v>0</v>
      </c>
      <c r="U33">
        <v>31</v>
      </c>
      <c r="V33">
        <f t="shared" si="6"/>
        <v>23.5</v>
      </c>
      <c r="W33" t="e">
        <f t="shared" si="7"/>
        <v>#DIV/0!</v>
      </c>
    </row>
    <row r="34" spans="3:23" x14ac:dyDescent="0.25">
      <c r="C34">
        <v>15</v>
      </c>
      <c r="D34">
        <v>27</v>
      </c>
      <c r="E34" t="s">
        <v>502</v>
      </c>
      <c r="F34">
        <f t="shared" si="0"/>
        <v>25</v>
      </c>
      <c r="G34">
        <f t="shared" si="1"/>
        <v>1</v>
      </c>
      <c r="U34">
        <v>32</v>
      </c>
      <c r="V34">
        <f t="shared" si="6"/>
        <v>18.5</v>
      </c>
      <c r="W34" t="e">
        <f t="shared" si="7"/>
        <v>#DIV/0!</v>
      </c>
    </row>
    <row r="35" spans="3:23" x14ac:dyDescent="0.25">
      <c r="C35">
        <v>16</v>
      </c>
      <c r="D35">
        <v>10</v>
      </c>
      <c r="E35" t="s">
        <v>503</v>
      </c>
      <c r="F35">
        <f t="shared" si="0"/>
        <v>11.5</v>
      </c>
      <c r="G35">
        <f t="shared" si="1"/>
        <v>0</v>
      </c>
      <c r="U35">
        <v>33</v>
      </c>
      <c r="V35">
        <f t="shared" si="6"/>
        <v>20.5</v>
      </c>
    </row>
    <row r="36" spans="3:23" x14ac:dyDescent="0.25">
      <c r="C36">
        <v>16</v>
      </c>
      <c r="D36">
        <v>13</v>
      </c>
      <c r="E36" t="s">
        <v>504</v>
      </c>
      <c r="F36">
        <f t="shared" si="0"/>
        <v>11.5</v>
      </c>
      <c r="G36">
        <f t="shared" si="1"/>
        <v>1</v>
      </c>
      <c r="U36">
        <v>34</v>
      </c>
      <c r="V36">
        <f t="shared" si="6"/>
        <v>23</v>
      </c>
    </row>
    <row r="37" spans="3:23" x14ac:dyDescent="0.25">
      <c r="C37">
        <v>17</v>
      </c>
      <c r="D37">
        <v>22</v>
      </c>
      <c r="E37" t="s">
        <v>505</v>
      </c>
      <c r="F37">
        <f t="shared" si="0"/>
        <v>35</v>
      </c>
      <c r="G37">
        <f t="shared" si="1"/>
        <v>0</v>
      </c>
      <c r="M37" s="30"/>
      <c r="U37">
        <v>35</v>
      </c>
      <c r="V37">
        <f t="shared" si="6"/>
        <v>33.5</v>
      </c>
    </row>
    <row r="38" spans="3:23" x14ac:dyDescent="0.25">
      <c r="C38">
        <v>17</v>
      </c>
      <c r="D38">
        <v>48</v>
      </c>
      <c r="E38" t="s">
        <v>506</v>
      </c>
      <c r="F38">
        <f t="shared" si="0"/>
        <v>35</v>
      </c>
      <c r="G38">
        <f t="shared" si="1"/>
        <v>1</v>
      </c>
      <c r="U38">
        <v>36</v>
      </c>
      <c r="V38">
        <f t="shared" si="6"/>
        <v>17</v>
      </c>
    </row>
    <row r="39" spans="3:23" x14ac:dyDescent="0.25">
      <c r="C39">
        <v>18</v>
      </c>
      <c r="D39">
        <v>15</v>
      </c>
      <c r="E39" t="s">
        <v>507</v>
      </c>
      <c r="F39">
        <f t="shared" si="0"/>
        <v>19.5</v>
      </c>
      <c r="G39">
        <f t="shared" si="1"/>
        <v>0</v>
      </c>
      <c r="U39">
        <v>37</v>
      </c>
      <c r="V39">
        <f t="shared" si="6"/>
        <v>27</v>
      </c>
    </row>
    <row r="40" spans="3:23" x14ac:dyDescent="0.25">
      <c r="C40">
        <v>18</v>
      </c>
      <c r="D40">
        <v>24</v>
      </c>
      <c r="E40" t="s">
        <v>508</v>
      </c>
      <c r="F40">
        <f t="shared" si="0"/>
        <v>19.5</v>
      </c>
      <c r="G40">
        <f t="shared" si="1"/>
        <v>1</v>
      </c>
      <c r="U40">
        <v>38</v>
      </c>
      <c r="V40">
        <f t="shared" si="6"/>
        <v>11</v>
      </c>
    </row>
    <row r="41" spans="3:23" x14ac:dyDescent="0.25">
      <c r="C41">
        <v>19</v>
      </c>
      <c r="D41">
        <v>22</v>
      </c>
      <c r="E41" t="s">
        <v>509</v>
      </c>
      <c r="F41">
        <f t="shared" si="0"/>
        <v>23</v>
      </c>
      <c r="G41">
        <f t="shared" si="1"/>
        <v>0</v>
      </c>
      <c r="U41">
        <v>39</v>
      </c>
      <c r="V41">
        <f t="shared" si="6"/>
        <v>31.5</v>
      </c>
    </row>
    <row r="42" spans="3:23" x14ac:dyDescent="0.25">
      <c r="C42">
        <v>19</v>
      </c>
      <c r="D42">
        <v>24</v>
      </c>
      <c r="E42" t="s">
        <v>510</v>
      </c>
      <c r="F42">
        <f t="shared" si="0"/>
        <v>23</v>
      </c>
      <c r="G42">
        <f t="shared" si="1"/>
        <v>1</v>
      </c>
      <c r="U42">
        <v>40</v>
      </c>
      <c r="V42">
        <f t="shared" si="6"/>
        <v>39.5</v>
      </c>
    </row>
    <row r="43" spans="3:23" x14ac:dyDescent="0.25">
      <c r="C43">
        <v>20</v>
      </c>
      <c r="D43">
        <v>4</v>
      </c>
      <c r="E43" t="s">
        <v>511</v>
      </c>
      <c r="F43">
        <f t="shared" si="0"/>
        <v>26.8</v>
      </c>
      <c r="G43">
        <f t="shared" si="1"/>
        <v>0</v>
      </c>
      <c r="U43">
        <v>41</v>
      </c>
      <c r="V43">
        <f t="shared" si="6"/>
        <v>14.5</v>
      </c>
    </row>
    <row r="44" spans="3:23" x14ac:dyDescent="0.25">
      <c r="C44">
        <v>20</v>
      </c>
      <c r="D44">
        <v>10</v>
      </c>
      <c r="E44" t="s">
        <v>512</v>
      </c>
      <c r="F44">
        <f t="shared" si="0"/>
        <v>26.8</v>
      </c>
      <c r="G44">
        <f t="shared" si="1"/>
        <v>0</v>
      </c>
      <c r="U44">
        <v>42</v>
      </c>
      <c r="V44">
        <f t="shared" si="6"/>
        <v>40.5</v>
      </c>
    </row>
    <row r="45" spans="3:23" x14ac:dyDescent="0.25">
      <c r="C45">
        <v>20</v>
      </c>
      <c r="D45">
        <v>38</v>
      </c>
      <c r="E45" t="s">
        <v>513</v>
      </c>
      <c r="F45">
        <f t="shared" si="0"/>
        <v>26.8</v>
      </c>
      <c r="G45">
        <f t="shared" si="1"/>
        <v>1</v>
      </c>
      <c r="U45">
        <v>43</v>
      </c>
      <c r="V45">
        <f t="shared" si="6"/>
        <v>29</v>
      </c>
    </row>
    <row r="46" spans="3:23" x14ac:dyDescent="0.25">
      <c r="C46">
        <v>20</v>
      </c>
      <c r="D46">
        <v>38</v>
      </c>
      <c r="E46" t="s">
        <v>514</v>
      </c>
      <c r="F46">
        <f t="shared" si="0"/>
        <v>26.8</v>
      </c>
      <c r="G46">
        <f t="shared" si="1"/>
        <v>1</v>
      </c>
      <c r="U46">
        <v>44</v>
      </c>
      <c r="V46">
        <f t="shared" si="6"/>
        <v>17.5</v>
      </c>
    </row>
    <row r="47" spans="3:23" x14ac:dyDescent="0.25">
      <c r="C47">
        <v>20</v>
      </c>
      <c r="D47">
        <v>44</v>
      </c>
      <c r="E47" t="s">
        <v>515</v>
      </c>
      <c r="F47">
        <f t="shared" si="0"/>
        <v>26.8</v>
      </c>
      <c r="G47">
        <f t="shared" si="1"/>
        <v>1</v>
      </c>
      <c r="U47">
        <v>45</v>
      </c>
      <c r="V47">
        <f t="shared" si="6"/>
        <v>39.5</v>
      </c>
    </row>
    <row r="48" spans="3:23" x14ac:dyDescent="0.25">
      <c r="C48">
        <v>21</v>
      </c>
      <c r="D48">
        <v>14</v>
      </c>
      <c r="E48" t="s">
        <v>516</v>
      </c>
      <c r="F48">
        <f t="shared" si="0"/>
        <v>28</v>
      </c>
      <c r="G48">
        <f t="shared" si="1"/>
        <v>0</v>
      </c>
      <c r="U48">
        <v>46</v>
      </c>
      <c r="V48">
        <f t="shared" si="6"/>
        <v>34.5</v>
      </c>
    </row>
    <row r="49" spans="3:22" x14ac:dyDescent="0.25">
      <c r="C49">
        <v>21</v>
      </c>
      <c r="D49">
        <v>42</v>
      </c>
      <c r="E49" t="s">
        <v>517</v>
      </c>
      <c r="F49">
        <f t="shared" si="0"/>
        <v>28</v>
      </c>
      <c r="G49">
        <f t="shared" si="1"/>
        <v>1</v>
      </c>
      <c r="U49">
        <v>47</v>
      </c>
      <c r="V49">
        <f t="shared" si="6"/>
        <v>39.5</v>
      </c>
    </row>
    <row r="50" spans="3:22" x14ac:dyDescent="0.25">
      <c r="C50">
        <v>22</v>
      </c>
      <c r="D50">
        <v>6</v>
      </c>
      <c r="E50" t="s">
        <v>518</v>
      </c>
      <c r="F50">
        <f t="shared" si="0"/>
        <v>25</v>
      </c>
      <c r="G50">
        <f t="shared" si="1"/>
        <v>0</v>
      </c>
      <c r="U50">
        <v>48</v>
      </c>
      <c r="V50">
        <f t="shared" si="6"/>
        <v>35.5</v>
      </c>
    </row>
    <row r="51" spans="3:22" x14ac:dyDescent="0.25">
      <c r="C51">
        <v>22</v>
      </c>
      <c r="D51">
        <v>44</v>
      </c>
      <c r="E51" t="s">
        <v>519</v>
      </c>
      <c r="F51">
        <f t="shared" si="0"/>
        <v>25</v>
      </c>
      <c r="G51">
        <f t="shared" si="1"/>
        <v>1</v>
      </c>
      <c r="U51">
        <v>49</v>
      </c>
      <c r="V51">
        <f t="shared" si="6"/>
        <v>20.5</v>
      </c>
    </row>
    <row r="52" spans="3:22" x14ac:dyDescent="0.25">
      <c r="C52">
        <v>23</v>
      </c>
      <c r="D52">
        <v>31</v>
      </c>
      <c r="E52" t="s">
        <v>520</v>
      </c>
      <c r="F52">
        <f t="shared" si="0"/>
        <v>32.5</v>
      </c>
      <c r="G52">
        <f t="shared" si="1"/>
        <v>0</v>
      </c>
      <c r="U52">
        <v>50</v>
      </c>
      <c r="V52">
        <f t="shared" si="6"/>
        <v>19</v>
      </c>
    </row>
    <row r="53" spans="3:22" x14ac:dyDescent="0.25">
      <c r="C53">
        <v>23</v>
      </c>
      <c r="D53">
        <v>34</v>
      </c>
      <c r="E53" t="s">
        <v>521</v>
      </c>
      <c r="F53">
        <f t="shared" si="0"/>
        <v>32.5</v>
      </c>
      <c r="G53">
        <f t="shared" si="1"/>
        <v>1</v>
      </c>
      <c r="U53">
        <v>51</v>
      </c>
      <c r="V53">
        <f t="shared" si="6"/>
        <v>27.5</v>
      </c>
    </row>
    <row r="54" spans="3:22" x14ac:dyDescent="0.25">
      <c r="C54">
        <v>24</v>
      </c>
      <c r="D54">
        <v>6</v>
      </c>
      <c r="E54" t="s">
        <v>522</v>
      </c>
      <c r="F54">
        <f t="shared" si="0"/>
        <v>16</v>
      </c>
      <c r="G54">
        <f t="shared" si="1"/>
        <v>0</v>
      </c>
      <c r="U54">
        <v>52</v>
      </c>
      <c r="V54">
        <f t="shared" si="6"/>
        <v>43.5</v>
      </c>
    </row>
    <row r="55" spans="3:22" x14ac:dyDescent="0.25">
      <c r="C55">
        <v>24</v>
      </c>
      <c r="D55">
        <v>26</v>
      </c>
      <c r="E55" t="s">
        <v>523</v>
      </c>
      <c r="F55">
        <f t="shared" si="0"/>
        <v>16</v>
      </c>
      <c r="G55">
        <f t="shared" si="1"/>
        <v>1</v>
      </c>
      <c r="U55">
        <v>53</v>
      </c>
      <c r="V55">
        <f t="shared" si="6"/>
        <v>24</v>
      </c>
    </row>
    <row r="56" spans="3:22" x14ac:dyDescent="0.25">
      <c r="C56">
        <v>25</v>
      </c>
      <c r="D56">
        <v>14</v>
      </c>
      <c r="E56" t="s">
        <v>524</v>
      </c>
      <c r="F56">
        <f t="shared" si="0"/>
        <v>29.5</v>
      </c>
      <c r="G56">
        <f t="shared" si="1"/>
        <v>0</v>
      </c>
      <c r="U56">
        <v>54</v>
      </c>
      <c r="V56">
        <f t="shared" si="6"/>
        <v>20.5</v>
      </c>
    </row>
    <row r="57" spans="3:22" x14ac:dyDescent="0.25">
      <c r="C57">
        <v>25</v>
      </c>
      <c r="D57">
        <v>45</v>
      </c>
      <c r="E57" t="s">
        <v>525</v>
      </c>
      <c r="F57">
        <f t="shared" si="0"/>
        <v>29.5</v>
      </c>
      <c r="G57">
        <f t="shared" si="1"/>
        <v>1</v>
      </c>
      <c r="U57">
        <v>55</v>
      </c>
      <c r="V57">
        <f t="shared" si="6"/>
        <v>30.5</v>
      </c>
    </row>
    <row r="58" spans="3:22" x14ac:dyDescent="0.25">
      <c r="C58">
        <v>26</v>
      </c>
      <c r="D58">
        <v>25</v>
      </c>
      <c r="E58" t="s">
        <v>526</v>
      </c>
      <c r="F58">
        <f t="shared" si="0"/>
        <v>42</v>
      </c>
      <c r="G58">
        <f t="shared" si="1"/>
        <v>0</v>
      </c>
      <c r="U58">
        <v>56</v>
      </c>
      <c r="V58">
        <f t="shared" si="6"/>
        <v>46</v>
      </c>
    </row>
    <row r="59" spans="3:22" x14ac:dyDescent="0.25">
      <c r="C59">
        <v>26</v>
      </c>
      <c r="D59">
        <v>59</v>
      </c>
      <c r="E59" t="s">
        <v>527</v>
      </c>
      <c r="F59">
        <f t="shared" si="0"/>
        <v>42</v>
      </c>
      <c r="G59">
        <f t="shared" si="1"/>
        <v>1</v>
      </c>
      <c r="U59">
        <v>57</v>
      </c>
      <c r="V59">
        <f t="shared" si="6"/>
        <v>12</v>
      </c>
    </row>
    <row r="60" spans="3:22" x14ac:dyDescent="0.25">
      <c r="C60">
        <v>27</v>
      </c>
      <c r="D60">
        <v>24</v>
      </c>
      <c r="E60" t="s">
        <v>528</v>
      </c>
      <c r="F60">
        <f t="shared" si="0"/>
        <v>32.5</v>
      </c>
      <c r="G60">
        <f t="shared" si="1"/>
        <v>0</v>
      </c>
      <c r="U60">
        <v>58</v>
      </c>
      <c r="V60">
        <f t="shared" si="6"/>
        <v>28</v>
      </c>
    </row>
    <row r="61" spans="3:22" x14ac:dyDescent="0.25">
      <c r="C61">
        <v>27</v>
      </c>
      <c r="D61">
        <v>41</v>
      </c>
      <c r="E61" t="s">
        <v>529</v>
      </c>
      <c r="F61">
        <f t="shared" si="0"/>
        <v>32.5</v>
      </c>
      <c r="G61">
        <f t="shared" si="1"/>
        <v>1</v>
      </c>
      <c r="U61">
        <v>59</v>
      </c>
      <c r="V61">
        <f t="shared" si="6"/>
        <v>29</v>
      </c>
    </row>
    <row r="62" spans="3:22" x14ac:dyDescent="0.25">
      <c r="C62">
        <v>28</v>
      </c>
      <c r="D62">
        <v>27</v>
      </c>
      <c r="E62" t="s">
        <v>530</v>
      </c>
      <c r="F62">
        <f t="shared" si="0"/>
        <v>34.5</v>
      </c>
      <c r="G62">
        <f t="shared" si="1"/>
        <v>0</v>
      </c>
      <c r="U62">
        <v>60</v>
      </c>
      <c r="V62">
        <f t="shared" si="6"/>
        <v>31.5</v>
      </c>
    </row>
    <row r="63" spans="3:22" x14ac:dyDescent="0.25">
      <c r="C63">
        <v>28</v>
      </c>
      <c r="D63">
        <v>42</v>
      </c>
      <c r="E63" t="s">
        <v>531</v>
      </c>
      <c r="F63">
        <f t="shared" si="0"/>
        <v>34.5</v>
      </c>
      <c r="G63">
        <f t="shared" si="1"/>
        <v>1</v>
      </c>
      <c r="U63">
        <v>61</v>
      </c>
      <c r="V63">
        <f t="shared" si="6"/>
        <v>30</v>
      </c>
    </row>
    <row r="64" spans="3:22" x14ac:dyDescent="0.25">
      <c r="C64">
        <v>29</v>
      </c>
      <c r="D64">
        <v>3</v>
      </c>
      <c r="E64" t="s">
        <v>532</v>
      </c>
      <c r="F64">
        <f t="shared" si="0"/>
        <v>24</v>
      </c>
      <c r="G64">
        <f t="shared" si="1"/>
        <v>0</v>
      </c>
      <c r="U64">
        <v>62</v>
      </c>
      <c r="V64">
        <f t="shared" si="6"/>
        <v>20</v>
      </c>
    </row>
    <row r="65" spans="3:7" x14ac:dyDescent="0.25">
      <c r="C65">
        <v>29</v>
      </c>
      <c r="D65">
        <v>45</v>
      </c>
      <c r="E65" t="s">
        <v>533</v>
      </c>
      <c r="F65">
        <f t="shared" si="0"/>
        <v>24</v>
      </c>
      <c r="G65">
        <f t="shared" si="1"/>
        <v>1</v>
      </c>
    </row>
    <row r="66" spans="3:7" x14ac:dyDescent="0.25">
      <c r="C66">
        <v>30</v>
      </c>
      <c r="D66">
        <v>7</v>
      </c>
      <c r="E66" t="s">
        <v>534</v>
      </c>
      <c r="F66">
        <f t="shared" si="0"/>
        <v>21.5</v>
      </c>
      <c r="G66">
        <f t="shared" si="1"/>
        <v>0</v>
      </c>
    </row>
    <row r="67" spans="3:7" x14ac:dyDescent="0.25">
      <c r="C67">
        <v>30</v>
      </c>
      <c r="D67">
        <v>36</v>
      </c>
      <c r="E67" t="s">
        <v>535</v>
      </c>
      <c r="F67">
        <f t="shared" si="0"/>
        <v>21.5</v>
      </c>
      <c r="G67">
        <f t="shared" si="1"/>
        <v>1</v>
      </c>
    </row>
    <row r="68" spans="3:7" x14ac:dyDescent="0.25">
      <c r="C68">
        <v>31</v>
      </c>
      <c r="D68">
        <v>20</v>
      </c>
      <c r="E68" t="s">
        <v>536</v>
      </c>
      <c r="F68">
        <f t="shared" ref="F68:F131" si="8">VLOOKUP(C68,$U$3:$W$74,2,FALSE)</f>
        <v>23.5</v>
      </c>
      <c r="G68">
        <f t="shared" ref="G68:G131" si="9">IF(D68&gt;F68,1,0)</f>
        <v>0</v>
      </c>
    </row>
    <row r="69" spans="3:7" x14ac:dyDescent="0.25">
      <c r="C69">
        <v>31</v>
      </c>
      <c r="D69">
        <v>27</v>
      </c>
      <c r="E69" t="s">
        <v>537</v>
      </c>
      <c r="F69">
        <f t="shared" si="8"/>
        <v>23.5</v>
      </c>
      <c r="G69">
        <f t="shared" si="9"/>
        <v>1</v>
      </c>
    </row>
    <row r="70" spans="3:7" x14ac:dyDescent="0.25">
      <c r="C70">
        <v>32</v>
      </c>
      <c r="D70">
        <v>6</v>
      </c>
      <c r="E70" t="s">
        <v>538</v>
      </c>
      <c r="F70">
        <f t="shared" si="8"/>
        <v>18.5</v>
      </c>
      <c r="G70">
        <f t="shared" si="9"/>
        <v>0</v>
      </c>
    </row>
    <row r="71" spans="3:7" x14ac:dyDescent="0.25">
      <c r="C71">
        <v>32</v>
      </c>
      <c r="D71">
        <v>31</v>
      </c>
      <c r="E71" t="s">
        <v>539</v>
      </c>
      <c r="F71">
        <f t="shared" si="8"/>
        <v>18.5</v>
      </c>
      <c r="G71">
        <f t="shared" si="9"/>
        <v>1</v>
      </c>
    </row>
    <row r="72" spans="3:7" x14ac:dyDescent="0.25">
      <c r="C72">
        <v>33</v>
      </c>
      <c r="D72">
        <v>13</v>
      </c>
      <c r="E72" t="s">
        <v>540</v>
      </c>
      <c r="F72">
        <f t="shared" si="8"/>
        <v>20.5</v>
      </c>
      <c r="G72">
        <f t="shared" si="9"/>
        <v>0</v>
      </c>
    </row>
    <row r="73" spans="3:7" x14ac:dyDescent="0.25">
      <c r="C73">
        <v>33</v>
      </c>
      <c r="D73">
        <v>28</v>
      </c>
      <c r="E73" t="s">
        <v>541</v>
      </c>
      <c r="F73">
        <f t="shared" si="8"/>
        <v>20.5</v>
      </c>
      <c r="G73">
        <f t="shared" si="9"/>
        <v>1</v>
      </c>
    </row>
    <row r="74" spans="3:7" x14ac:dyDescent="0.25">
      <c r="C74">
        <v>34</v>
      </c>
      <c r="D74">
        <v>6</v>
      </c>
      <c r="E74" t="s">
        <v>542</v>
      </c>
      <c r="F74">
        <f t="shared" si="8"/>
        <v>23</v>
      </c>
      <c r="G74">
        <f t="shared" si="9"/>
        <v>0</v>
      </c>
    </row>
    <row r="75" spans="3:7" x14ac:dyDescent="0.25">
      <c r="C75">
        <v>34</v>
      </c>
      <c r="D75">
        <v>40</v>
      </c>
      <c r="E75" t="s">
        <v>543</v>
      </c>
      <c r="F75">
        <f t="shared" si="8"/>
        <v>23</v>
      </c>
      <c r="G75">
        <f t="shared" si="9"/>
        <v>1</v>
      </c>
    </row>
    <row r="76" spans="3:7" x14ac:dyDescent="0.25">
      <c r="C76">
        <v>35</v>
      </c>
      <c r="D76">
        <v>29</v>
      </c>
      <c r="E76" t="s">
        <v>544</v>
      </c>
      <c r="F76">
        <f t="shared" si="8"/>
        <v>33.5</v>
      </c>
      <c r="G76">
        <f t="shared" si="9"/>
        <v>0</v>
      </c>
    </row>
    <row r="77" spans="3:7" x14ac:dyDescent="0.25">
      <c r="C77">
        <v>35</v>
      </c>
      <c r="D77">
        <v>38</v>
      </c>
      <c r="E77" t="s">
        <v>545</v>
      </c>
      <c r="F77">
        <f t="shared" si="8"/>
        <v>33.5</v>
      </c>
      <c r="G77">
        <f t="shared" si="9"/>
        <v>1</v>
      </c>
    </row>
    <row r="78" spans="3:7" x14ac:dyDescent="0.25">
      <c r="C78">
        <v>36</v>
      </c>
      <c r="D78">
        <v>10</v>
      </c>
      <c r="E78" t="s">
        <v>546</v>
      </c>
      <c r="F78">
        <f t="shared" si="8"/>
        <v>17</v>
      </c>
      <c r="G78">
        <f t="shared" si="9"/>
        <v>0</v>
      </c>
    </row>
    <row r="79" spans="3:7" x14ac:dyDescent="0.25">
      <c r="C79">
        <v>36</v>
      </c>
      <c r="D79">
        <v>24</v>
      </c>
      <c r="E79" t="s">
        <v>547</v>
      </c>
      <c r="F79">
        <f t="shared" si="8"/>
        <v>17</v>
      </c>
      <c r="G79">
        <f t="shared" si="9"/>
        <v>1</v>
      </c>
    </row>
    <row r="80" spans="3:7" x14ac:dyDescent="0.25">
      <c r="C80">
        <v>37</v>
      </c>
      <c r="D80">
        <v>23</v>
      </c>
      <c r="E80" t="s">
        <v>548</v>
      </c>
      <c r="F80">
        <f t="shared" si="8"/>
        <v>27</v>
      </c>
      <c r="G80">
        <f t="shared" si="9"/>
        <v>0</v>
      </c>
    </row>
    <row r="81" spans="3:7" x14ac:dyDescent="0.25">
      <c r="C81">
        <v>37</v>
      </c>
      <c r="D81">
        <v>31</v>
      </c>
      <c r="E81" t="s">
        <v>549</v>
      </c>
      <c r="F81">
        <f t="shared" si="8"/>
        <v>27</v>
      </c>
      <c r="G81">
        <f t="shared" si="9"/>
        <v>1</v>
      </c>
    </row>
    <row r="82" spans="3:7" x14ac:dyDescent="0.25">
      <c r="C82">
        <v>38</v>
      </c>
      <c r="D82">
        <v>0</v>
      </c>
      <c r="E82" t="s">
        <v>550</v>
      </c>
      <c r="F82">
        <f t="shared" si="8"/>
        <v>11</v>
      </c>
      <c r="G82">
        <f t="shared" si="9"/>
        <v>0</v>
      </c>
    </row>
    <row r="83" spans="3:7" x14ac:dyDescent="0.25">
      <c r="C83">
        <v>38</v>
      </c>
      <c r="D83">
        <v>22</v>
      </c>
      <c r="E83" t="s">
        <v>551</v>
      </c>
      <c r="F83">
        <f t="shared" si="8"/>
        <v>11</v>
      </c>
      <c r="G83">
        <f t="shared" si="9"/>
        <v>1</v>
      </c>
    </row>
    <row r="84" spans="3:7" x14ac:dyDescent="0.25">
      <c r="C84">
        <v>39</v>
      </c>
      <c r="D84">
        <v>28</v>
      </c>
      <c r="E84" t="s">
        <v>552</v>
      </c>
      <c r="F84">
        <f t="shared" si="8"/>
        <v>31.5</v>
      </c>
      <c r="G84">
        <f t="shared" si="9"/>
        <v>0</v>
      </c>
    </row>
    <row r="85" spans="3:7" x14ac:dyDescent="0.25">
      <c r="C85">
        <v>39</v>
      </c>
      <c r="D85">
        <v>35</v>
      </c>
      <c r="E85" t="s">
        <v>553</v>
      </c>
      <c r="F85">
        <f t="shared" si="8"/>
        <v>31.5</v>
      </c>
      <c r="G85">
        <f t="shared" si="9"/>
        <v>1</v>
      </c>
    </row>
    <row r="86" spans="3:7" x14ac:dyDescent="0.25">
      <c r="C86">
        <v>40</v>
      </c>
      <c r="D86">
        <v>30</v>
      </c>
      <c r="E86" t="s">
        <v>554</v>
      </c>
      <c r="F86">
        <f t="shared" si="8"/>
        <v>39.5</v>
      </c>
      <c r="G86">
        <f t="shared" si="9"/>
        <v>0</v>
      </c>
    </row>
    <row r="87" spans="3:7" x14ac:dyDescent="0.25">
      <c r="C87">
        <v>40</v>
      </c>
      <c r="D87">
        <v>49</v>
      </c>
      <c r="E87" t="s">
        <v>555</v>
      </c>
      <c r="F87">
        <f t="shared" si="8"/>
        <v>39.5</v>
      </c>
      <c r="G87">
        <f t="shared" si="9"/>
        <v>1</v>
      </c>
    </row>
    <row r="88" spans="3:7" x14ac:dyDescent="0.25">
      <c r="C88">
        <v>41</v>
      </c>
      <c r="D88">
        <v>7</v>
      </c>
      <c r="E88" t="s">
        <v>556</v>
      </c>
      <c r="F88">
        <f t="shared" si="8"/>
        <v>14.5</v>
      </c>
      <c r="G88">
        <f t="shared" si="9"/>
        <v>0</v>
      </c>
    </row>
    <row r="89" spans="3:7" x14ac:dyDescent="0.25">
      <c r="C89">
        <v>41</v>
      </c>
      <c r="D89">
        <v>22</v>
      </c>
      <c r="E89" t="s">
        <v>557</v>
      </c>
      <c r="F89">
        <f t="shared" si="8"/>
        <v>14.5</v>
      </c>
      <c r="G89">
        <f t="shared" si="9"/>
        <v>1</v>
      </c>
    </row>
    <row r="90" spans="3:7" x14ac:dyDescent="0.25">
      <c r="C90">
        <v>42</v>
      </c>
      <c r="D90">
        <v>39</v>
      </c>
      <c r="E90" t="s">
        <v>558</v>
      </c>
      <c r="F90">
        <f t="shared" si="8"/>
        <v>40.5</v>
      </c>
      <c r="G90">
        <f t="shared" si="9"/>
        <v>0</v>
      </c>
    </row>
    <row r="91" spans="3:7" x14ac:dyDescent="0.25">
      <c r="C91">
        <v>42</v>
      </c>
      <c r="D91">
        <v>42</v>
      </c>
      <c r="E91" t="s">
        <v>559</v>
      </c>
      <c r="F91">
        <f t="shared" si="8"/>
        <v>40.5</v>
      </c>
      <c r="G91">
        <f t="shared" si="9"/>
        <v>1</v>
      </c>
    </row>
    <row r="92" spans="3:7" x14ac:dyDescent="0.25">
      <c r="C92">
        <v>43</v>
      </c>
      <c r="D92">
        <v>10</v>
      </c>
      <c r="E92" t="s">
        <v>560</v>
      </c>
      <c r="F92">
        <f t="shared" si="8"/>
        <v>29</v>
      </c>
      <c r="G92">
        <f t="shared" si="9"/>
        <v>0</v>
      </c>
    </row>
    <row r="93" spans="3:7" x14ac:dyDescent="0.25">
      <c r="C93">
        <v>43</v>
      </c>
      <c r="D93">
        <v>48</v>
      </c>
      <c r="E93" t="s">
        <v>561</v>
      </c>
      <c r="F93">
        <f t="shared" si="8"/>
        <v>29</v>
      </c>
      <c r="G93">
        <f t="shared" si="9"/>
        <v>1</v>
      </c>
    </row>
    <row r="94" spans="3:7" x14ac:dyDescent="0.25">
      <c r="C94">
        <v>44</v>
      </c>
      <c r="D94">
        <v>14</v>
      </c>
      <c r="E94" t="s">
        <v>562</v>
      </c>
      <c r="F94">
        <f t="shared" si="8"/>
        <v>17.5</v>
      </c>
      <c r="G94">
        <f t="shared" si="9"/>
        <v>0</v>
      </c>
    </row>
    <row r="95" spans="3:7" x14ac:dyDescent="0.25">
      <c r="C95">
        <v>44</v>
      </c>
      <c r="D95">
        <v>21</v>
      </c>
      <c r="E95" t="s">
        <v>563</v>
      </c>
      <c r="F95">
        <f t="shared" si="8"/>
        <v>17.5</v>
      </c>
      <c r="G95">
        <f t="shared" si="9"/>
        <v>1</v>
      </c>
    </row>
    <row r="96" spans="3:7" x14ac:dyDescent="0.25">
      <c r="C96">
        <v>45</v>
      </c>
      <c r="D96">
        <v>17</v>
      </c>
      <c r="E96" t="s">
        <v>564</v>
      </c>
      <c r="F96">
        <f t="shared" si="8"/>
        <v>39.5</v>
      </c>
      <c r="G96">
        <f t="shared" si="9"/>
        <v>0</v>
      </c>
    </row>
    <row r="97" spans="3:7" x14ac:dyDescent="0.25">
      <c r="C97">
        <v>45</v>
      </c>
      <c r="D97">
        <v>62</v>
      </c>
      <c r="E97" t="s">
        <v>565</v>
      </c>
      <c r="F97">
        <f t="shared" si="8"/>
        <v>39.5</v>
      </c>
      <c r="G97">
        <f t="shared" si="9"/>
        <v>1</v>
      </c>
    </row>
    <row r="98" spans="3:7" x14ac:dyDescent="0.25">
      <c r="C98">
        <v>46</v>
      </c>
      <c r="D98">
        <v>17</v>
      </c>
      <c r="E98" t="s">
        <v>566</v>
      </c>
      <c r="F98">
        <f t="shared" si="8"/>
        <v>34.5</v>
      </c>
      <c r="G98">
        <f t="shared" si="9"/>
        <v>0</v>
      </c>
    </row>
    <row r="99" spans="3:7" x14ac:dyDescent="0.25">
      <c r="C99">
        <v>46</v>
      </c>
      <c r="D99">
        <v>52</v>
      </c>
      <c r="E99" t="s">
        <v>567</v>
      </c>
      <c r="F99">
        <f t="shared" si="8"/>
        <v>34.5</v>
      </c>
      <c r="G99">
        <f t="shared" si="9"/>
        <v>1</v>
      </c>
    </row>
    <row r="100" spans="3:7" x14ac:dyDescent="0.25">
      <c r="C100">
        <v>47</v>
      </c>
      <c r="D100">
        <v>20</v>
      </c>
      <c r="E100" t="s">
        <v>568</v>
      </c>
      <c r="F100">
        <f t="shared" si="8"/>
        <v>39.5</v>
      </c>
      <c r="G100">
        <f t="shared" si="9"/>
        <v>0</v>
      </c>
    </row>
    <row r="101" spans="3:7" x14ac:dyDescent="0.25">
      <c r="C101">
        <v>47</v>
      </c>
      <c r="D101">
        <v>59</v>
      </c>
      <c r="E101" t="s">
        <v>569</v>
      </c>
      <c r="F101">
        <f t="shared" si="8"/>
        <v>39.5</v>
      </c>
      <c r="G101">
        <f t="shared" si="9"/>
        <v>1</v>
      </c>
    </row>
    <row r="102" spans="3:7" x14ac:dyDescent="0.25">
      <c r="C102">
        <v>48</v>
      </c>
      <c r="D102">
        <v>33</v>
      </c>
      <c r="E102" t="s">
        <v>570</v>
      </c>
      <c r="F102">
        <f t="shared" si="8"/>
        <v>35.5</v>
      </c>
      <c r="G102">
        <f t="shared" si="9"/>
        <v>0</v>
      </c>
    </row>
    <row r="103" spans="3:7" x14ac:dyDescent="0.25">
      <c r="C103">
        <v>48</v>
      </c>
      <c r="D103">
        <v>38</v>
      </c>
      <c r="E103" t="s">
        <v>571</v>
      </c>
      <c r="F103">
        <f t="shared" si="8"/>
        <v>35.5</v>
      </c>
      <c r="G103">
        <f t="shared" si="9"/>
        <v>1</v>
      </c>
    </row>
    <row r="104" spans="3:7" x14ac:dyDescent="0.25">
      <c r="C104">
        <v>49</v>
      </c>
      <c r="D104">
        <v>19</v>
      </c>
      <c r="E104" t="s">
        <v>572</v>
      </c>
      <c r="F104">
        <f t="shared" si="8"/>
        <v>20.5</v>
      </c>
      <c r="G104">
        <f t="shared" si="9"/>
        <v>0</v>
      </c>
    </row>
    <row r="105" spans="3:7" x14ac:dyDescent="0.25">
      <c r="C105">
        <v>49</v>
      </c>
      <c r="D105">
        <v>22</v>
      </c>
      <c r="E105" t="s">
        <v>573</v>
      </c>
      <c r="F105">
        <f t="shared" si="8"/>
        <v>20.5</v>
      </c>
      <c r="G105">
        <f t="shared" si="9"/>
        <v>1</v>
      </c>
    </row>
    <row r="106" spans="3:7" x14ac:dyDescent="0.25">
      <c r="C106">
        <v>50</v>
      </c>
      <c r="D106">
        <v>14</v>
      </c>
      <c r="E106" t="s">
        <v>574</v>
      </c>
      <c r="F106">
        <f t="shared" si="8"/>
        <v>19</v>
      </c>
      <c r="G106">
        <f t="shared" si="9"/>
        <v>0</v>
      </c>
    </row>
    <row r="107" spans="3:7" x14ac:dyDescent="0.25">
      <c r="C107">
        <v>50</v>
      </c>
      <c r="D107">
        <v>24</v>
      </c>
      <c r="E107" t="s">
        <v>575</v>
      </c>
      <c r="F107">
        <f t="shared" si="8"/>
        <v>19</v>
      </c>
      <c r="G107">
        <f t="shared" si="9"/>
        <v>1</v>
      </c>
    </row>
    <row r="108" spans="3:7" x14ac:dyDescent="0.25">
      <c r="C108">
        <v>51</v>
      </c>
      <c r="D108">
        <v>26</v>
      </c>
      <c r="E108" t="s">
        <v>576</v>
      </c>
      <c r="F108">
        <f t="shared" si="8"/>
        <v>27.5</v>
      </c>
      <c r="G108">
        <f t="shared" si="9"/>
        <v>0</v>
      </c>
    </row>
    <row r="109" spans="3:7" x14ac:dyDescent="0.25">
      <c r="C109">
        <v>51</v>
      </c>
      <c r="D109">
        <v>29</v>
      </c>
      <c r="E109" t="s">
        <v>577</v>
      </c>
      <c r="F109">
        <f t="shared" si="8"/>
        <v>27.5</v>
      </c>
      <c r="G109">
        <f t="shared" si="9"/>
        <v>1</v>
      </c>
    </row>
    <row r="110" spans="3:7" x14ac:dyDescent="0.25">
      <c r="C110">
        <v>52</v>
      </c>
      <c r="D110">
        <v>35</v>
      </c>
      <c r="E110" t="s">
        <v>578</v>
      </c>
      <c r="F110">
        <f t="shared" si="8"/>
        <v>43.5</v>
      </c>
      <c r="G110">
        <f t="shared" si="9"/>
        <v>0</v>
      </c>
    </row>
    <row r="111" spans="3:7" x14ac:dyDescent="0.25">
      <c r="C111">
        <v>52</v>
      </c>
      <c r="D111">
        <v>52</v>
      </c>
      <c r="E111" t="s">
        <v>579</v>
      </c>
      <c r="F111">
        <f t="shared" si="8"/>
        <v>43.5</v>
      </c>
      <c r="G111">
        <f t="shared" si="9"/>
        <v>1</v>
      </c>
    </row>
    <row r="112" spans="3:7" x14ac:dyDescent="0.25">
      <c r="C112">
        <v>53</v>
      </c>
      <c r="D112">
        <v>14</v>
      </c>
      <c r="E112" t="s">
        <v>580</v>
      </c>
      <c r="F112">
        <f t="shared" si="8"/>
        <v>24</v>
      </c>
      <c r="G112">
        <f t="shared" si="9"/>
        <v>0</v>
      </c>
    </row>
    <row r="113" spans="3:7" x14ac:dyDescent="0.25">
      <c r="C113">
        <v>53</v>
      </c>
      <c r="D113">
        <v>34</v>
      </c>
      <c r="E113" t="s">
        <v>581</v>
      </c>
      <c r="F113">
        <f t="shared" si="8"/>
        <v>24</v>
      </c>
      <c r="G113">
        <f t="shared" si="9"/>
        <v>1</v>
      </c>
    </row>
    <row r="114" spans="3:7" x14ac:dyDescent="0.25">
      <c r="C114">
        <v>54</v>
      </c>
      <c r="D114">
        <v>3</v>
      </c>
      <c r="E114" t="s">
        <v>582</v>
      </c>
      <c r="F114">
        <f t="shared" si="8"/>
        <v>20.5</v>
      </c>
      <c r="G114">
        <f t="shared" si="9"/>
        <v>0</v>
      </c>
    </row>
    <row r="115" spans="3:7" x14ac:dyDescent="0.25">
      <c r="C115">
        <v>54</v>
      </c>
      <c r="D115">
        <v>38</v>
      </c>
      <c r="E115" t="s">
        <v>583</v>
      </c>
      <c r="F115">
        <f t="shared" si="8"/>
        <v>20.5</v>
      </c>
      <c r="G115">
        <f t="shared" si="9"/>
        <v>1</v>
      </c>
    </row>
    <row r="116" spans="3:7" x14ac:dyDescent="0.25">
      <c r="C116">
        <v>55</v>
      </c>
      <c r="D116">
        <v>10</v>
      </c>
      <c r="E116" t="s">
        <v>584</v>
      </c>
      <c r="F116">
        <f t="shared" si="8"/>
        <v>30.5</v>
      </c>
      <c r="G116">
        <f t="shared" si="9"/>
        <v>0</v>
      </c>
    </row>
    <row r="117" spans="3:7" x14ac:dyDescent="0.25">
      <c r="C117">
        <v>55</v>
      </c>
      <c r="D117">
        <v>51</v>
      </c>
      <c r="E117" t="s">
        <v>585</v>
      </c>
      <c r="F117">
        <f t="shared" si="8"/>
        <v>30.5</v>
      </c>
      <c r="G117">
        <f t="shared" si="9"/>
        <v>1</v>
      </c>
    </row>
    <row r="118" spans="3:7" x14ac:dyDescent="0.25">
      <c r="C118">
        <v>56</v>
      </c>
      <c r="D118">
        <v>45</v>
      </c>
      <c r="E118" t="s">
        <v>586</v>
      </c>
      <c r="F118">
        <f t="shared" si="8"/>
        <v>46</v>
      </c>
      <c r="G118">
        <f t="shared" si="9"/>
        <v>0</v>
      </c>
    </row>
    <row r="119" spans="3:7" x14ac:dyDescent="0.25">
      <c r="C119">
        <v>56</v>
      </c>
      <c r="D119">
        <v>47</v>
      </c>
      <c r="E119" t="s">
        <v>587</v>
      </c>
      <c r="F119">
        <f t="shared" si="8"/>
        <v>46</v>
      </c>
      <c r="G119">
        <f t="shared" si="9"/>
        <v>1</v>
      </c>
    </row>
    <row r="120" spans="3:7" x14ac:dyDescent="0.25">
      <c r="C120">
        <v>57</v>
      </c>
      <c r="D120">
        <v>7</v>
      </c>
      <c r="E120" t="s">
        <v>588</v>
      </c>
      <c r="F120">
        <f t="shared" si="8"/>
        <v>12</v>
      </c>
      <c r="G120">
        <f t="shared" si="9"/>
        <v>0</v>
      </c>
    </row>
    <row r="121" spans="3:7" x14ac:dyDescent="0.25">
      <c r="C121">
        <v>57</v>
      </c>
      <c r="D121">
        <v>17</v>
      </c>
      <c r="E121" t="s">
        <v>589</v>
      </c>
      <c r="F121">
        <f t="shared" si="8"/>
        <v>12</v>
      </c>
      <c r="G121">
        <f t="shared" si="9"/>
        <v>1</v>
      </c>
    </row>
    <row r="122" spans="3:7" x14ac:dyDescent="0.25">
      <c r="C122">
        <v>58</v>
      </c>
      <c r="D122">
        <v>14</v>
      </c>
      <c r="E122" t="s">
        <v>590</v>
      </c>
      <c r="F122">
        <f t="shared" si="8"/>
        <v>28</v>
      </c>
      <c r="G122">
        <f t="shared" si="9"/>
        <v>0</v>
      </c>
    </row>
    <row r="123" spans="3:7" x14ac:dyDescent="0.25">
      <c r="C123">
        <v>58</v>
      </c>
      <c r="D123">
        <v>42</v>
      </c>
      <c r="E123" t="s">
        <v>591</v>
      </c>
      <c r="F123">
        <f t="shared" si="8"/>
        <v>28</v>
      </c>
      <c r="G123">
        <f t="shared" si="9"/>
        <v>1</v>
      </c>
    </row>
    <row r="124" spans="3:7" x14ac:dyDescent="0.25">
      <c r="C124">
        <v>59</v>
      </c>
      <c r="D124">
        <v>13</v>
      </c>
      <c r="E124" t="s">
        <v>592</v>
      </c>
      <c r="F124">
        <f t="shared" si="8"/>
        <v>29</v>
      </c>
      <c r="G124">
        <f t="shared" si="9"/>
        <v>0</v>
      </c>
    </row>
    <row r="125" spans="3:7" x14ac:dyDescent="0.25">
      <c r="C125">
        <v>59</v>
      </c>
      <c r="D125">
        <v>45</v>
      </c>
      <c r="E125" t="s">
        <v>593</v>
      </c>
      <c r="F125">
        <f t="shared" si="8"/>
        <v>29</v>
      </c>
      <c r="G125">
        <f t="shared" si="9"/>
        <v>1</v>
      </c>
    </row>
    <row r="126" spans="3:7" x14ac:dyDescent="0.25">
      <c r="C126">
        <v>60</v>
      </c>
      <c r="D126">
        <v>27</v>
      </c>
      <c r="E126" t="s">
        <v>594</v>
      </c>
      <c r="F126">
        <f t="shared" si="8"/>
        <v>31.5</v>
      </c>
      <c r="G126">
        <f t="shared" si="9"/>
        <v>0</v>
      </c>
    </row>
    <row r="127" spans="3:7" x14ac:dyDescent="0.25">
      <c r="C127">
        <v>60</v>
      </c>
      <c r="D127">
        <v>36</v>
      </c>
      <c r="E127" t="s">
        <v>595</v>
      </c>
      <c r="F127">
        <f t="shared" si="8"/>
        <v>31.5</v>
      </c>
      <c r="G127">
        <f t="shared" si="9"/>
        <v>1</v>
      </c>
    </row>
    <row r="128" spans="3:7" x14ac:dyDescent="0.25">
      <c r="C128">
        <v>61</v>
      </c>
      <c r="D128">
        <v>18</v>
      </c>
      <c r="E128" t="s">
        <v>596</v>
      </c>
      <c r="F128">
        <f t="shared" si="8"/>
        <v>30</v>
      </c>
      <c r="G128">
        <f t="shared" si="9"/>
        <v>0</v>
      </c>
    </row>
    <row r="129" spans="3:7" x14ac:dyDescent="0.25">
      <c r="C129">
        <v>61</v>
      </c>
      <c r="D129">
        <v>42</v>
      </c>
      <c r="E129" t="s">
        <v>597</v>
      </c>
      <c r="F129">
        <f t="shared" si="8"/>
        <v>30</v>
      </c>
      <c r="G129">
        <f t="shared" si="9"/>
        <v>1</v>
      </c>
    </row>
    <row r="130" spans="3:7" x14ac:dyDescent="0.25">
      <c r="C130">
        <v>62</v>
      </c>
      <c r="D130">
        <v>13</v>
      </c>
      <c r="E130" t="s">
        <v>598</v>
      </c>
      <c r="F130">
        <f t="shared" si="8"/>
        <v>20</v>
      </c>
      <c r="G130">
        <f t="shared" si="9"/>
        <v>0</v>
      </c>
    </row>
    <row r="131" spans="3:7" x14ac:dyDescent="0.25">
      <c r="C131">
        <v>62</v>
      </c>
      <c r="D131">
        <v>27</v>
      </c>
      <c r="E131" t="s">
        <v>599</v>
      </c>
      <c r="F131">
        <f t="shared" si="8"/>
        <v>20</v>
      </c>
      <c r="G131">
        <f t="shared" si="9"/>
        <v>1</v>
      </c>
    </row>
  </sheetData>
  <conditionalFormatting sqref="C3:C1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D774-0199-4408-BC65-F592C28FED1F}">
  <sheetPr codeName="Sheet9"/>
  <dimension ref="A2:AF94"/>
  <sheetViews>
    <sheetView zoomScale="75" zoomScaleNormal="75" workbookViewId="0">
      <selection activeCell="F4" sqref="F4"/>
    </sheetView>
  </sheetViews>
  <sheetFormatPr defaultRowHeight="15" x14ac:dyDescent="0.25"/>
  <cols>
    <col min="4" max="4" width="43.5703125" customWidth="1"/>
    <col min="6" max="6" width="31" customWidth="1"/>
    <col min="7" max="7" width="15.7109375" customWidth="1"/>
    <col min="8" max="8" width="16.42578125" customWidth="1"/>
    <col min="9" max="9" width="23.7109375" style="16" customWidth="1"/>
    <col min="10" max="10" width="18.5703125" bestFit="1" customWidth="1"/>
    <col min="12" max="12" width="16.5703125" customWidth="1"/>
    <col min="19" max="19" width="22.85546875" bestFit="1" customWidth="1"/>
  </cols>
  <sheetData>
    <row r="2" spans="1:32" x14ac:dyDescent="0.25">
      <c r="C2">
        <f>SUM(C4:C164)</f>
        <v>32</v>
      </c>
    </row>
    <row r="3" spans="1:32" x14ac:dyDescent="0.25">
      <c r="D3" t="s">
        <v>11</v>
      </c>
      <c r="E3" t="s">
        <v>12</v>
      </c>
      <c r="F3" t="s">
        <v>13</v>
      </c>
      <c r="G3" t="s">
        <v>14</v>
      </c>
      <c r="H3" t="s">
        <v>81</v>
      </c>
      <c r="I3" s="16" t="s">
        <v>82</v>
      </c>
      <c r="L3" t="s">
        <v>11</v>
      </c>
      <c r="M3" t="s">
        <v>12</v>
      </c>
      <c r="N3" t="s">
        <v>13</v>
      </c>
      <c r="O3" t="s">
        <v>14</v>
      </c>
      <c r="P3" t="s">
        <v>81</v>
      </c>
      <c r="Q3" t="s">
        <v>82</v>
      </c>
    </row>
    <row r="4" spans="1:32" x14ac:dyDescent="0.25">
      <c r="C4">
        <v>1</v>
      </c>
      <c r="D4" t="s">
        <v>87</v>
      </c>
      <c r="E4" t="s">
        <v>10</v>
      </c>
      <c r="F4" t="s">
        <v>359</v>
      </c>
      <c r="G4">
        <v>1699764299</v>
      </c>
      <c r="H4">
        <v>17</v>
      </c>
      <c r="I4" s="16">
        <v>1.8455555555555554</v>
      </c>
      <c r="J4" s="11">
        <f t="shared" ref="J4:J35" si="0">G4/86400+25569-5/24</f>
        <v>45241.989571759252</v>
      </c>
      <c r="L4" t="s">
        <v>59</v>
      </c>
      <c r="M4" t="s">
        <v>10</v>
      </c>
      <c r="N4" t="s">
        <v>338</v>
      </c>
      <c r="O4">
        <v>1699743603</v>
      </c>
      <c r="P4">
        <v>177</v>
      </c>
      <c r="Q4">
        <v>1.4263636363636363</v>
      </c>
      <c r="X4" s="13"/>
      <c r="Y4" s="13"/>
      <c r="AF4" s="13"/>
    </row>
    <row r="5" spans="1:32" x14ac:dyDescent="0.25">
      <c r="B5" s="1">
        <v>0</v>
      </c>
      <c r="C5">
        <v>1</v>
      </c>
      <c r="D5" t="s">
        <v>42</v>
      </c>
      <c r="E5" t="s">
        <v>10</v>
      </c>
      <c r="F5" t="s">
        <v>360</v>
      </c>
      <c r="G5">
        <v>1699766999</v>
      </c>
      <c r="H5">
        <v>36</v>
      </c>
      <c r="I5" s="16">
        <v>1.7872727272727269</v>
      </c>
      <c r="J5" s="11">
        <f t="shared" si="0"/>
        <v>45242.020821759252</v>
      </c>
      <c r="L5" t="s">
        <v>61</v>
      </c>
      <c r="M5" t="s">
        <v>10</v>
      </c>
      <c r="N5" t="s">
        <v>340</v>
      </c>
      <c r="O5">
        <v>1699743603</v>
      </c>
      <c r="P5">
        <v>198</v>
      </c>
      <c r="Q5">
        <v>1.3854545454545455</v>
      </c>
      <c r="X5" s="13"/>
      <c r="Y5" s="13"/>
      <c r="AF5" s="13"/>
    </row>
    <row r="6" spans="1:32" x14ac:dyDescent="0.25">
      <c r="B6" s="1">
        <v>1</v>
      </c>
      <c r="C6">
        <v>1</v>
      </c>
      <c r="D6" t="s">
        <v>119</v>
      </c>
      <c r="E6" t="s">
        <v>8</v>
      </c>
      <c r="F6" t="s">
        <v>309</v>
      </c>
      <c r="G6">
        <v>1699722000</v>
      </c>
      <c r="H6">
        <v>289</v>
      </c>
      <c r="I6" s="16">
        <v>1.2342857142857144</v>
      </c>
      <c r="J6" s="11">
        <f t="shared" si="0"/>
        <v>45241.499999999993</v>
      </c>
      <c r="L6" t="s">
        <v>62</v>
      </c>
      <c r="M6" t="s">
        <v>10</v>
      </c>
      <c r="N6" t="s">
        <v>339</v>
      </c>
      <c r="O6">
        <v>1699743603</v>
      </c>
      <c r="P6">
        <v>53</v>
      </c>
      <c r="Q6">
        <v>1.7354545454545454</v>
      </c>
      <c r="X6" s="13"/>
      <c r="Y6" s="13"/>
      <c r="AF6" s="13"/>
    </row>
    <row r="7" spans="1:32" x14ac:dyDescent="0.25">
      <c r="B7" s="1">
        <v>2</v>
      </c>
      <c r="C7">
        <v>1</v>
      </c>
      <c r="D7" t="s">
        <v>118</v>
      </c>
      <c r="E7" t="s">
        <v>8</v>
      </c>
      <c r="F7" t="s">
        <v>315</v>
      </c>
      <c r="G7">
        <v>1699722000</v>
      </c>
      <c r="H7">
        <v>149</v>
      </c>
      <c r="I7" s="16">
        <v>1.4942857142857144</v>
      </c>
      <c r="J7" s="11">
        <f t="shared" si="0"/>
        <v>45241.499999999993</v>
      </c>
      <c r="L7" t="s">
        <v>63</v>
      </c>
      <c r="M7" t="s">
        <v>10</v>
      </c>
      <c r="N7" t="s">
        <v>341</v>
      </c>
      <c r="O7">
        <v>1699743648</v>
      </c>
      <c r="P7">
        <v>128</v>
      </c>
      <c r="Q7">
        <v>1.5381818181818183</v>
      </c>
      <c r="X7" s="13"/>
      <c r="Y7" s="13"/>
      <c r="AF7" s="13"/>
    </row>
    <row r="8" spans="1:32" x14ac:dyDescent="0.25">
      <c r="B8" s="1">
        <v>3</v>
      </c>
      <c r="C8">
        <v>1</v>
      </c>
      <c r="D8" t="s">
        <v>118</v>
      </c>
      <c r="E8" t="s">
        <v>8</v>
      </c>
      <c r="F8" t="s">
        <v>376</v>
      </c>
      <c r="G8">
        <v>1699722000</v>
      </c>
      <c r="H8">
        <v>0</v>
      </c>
      <c r="I8" s="16">
        <v>1.4942857142857144</v>
      </c>
      <c r="J8" s="11">
        <f t="shared" si="0"/>
        <v>45241.499999999993</v>
      </c>
      <c r="L8" t="s">
        <v>86</v>
      </c>
      <c r="M8" t="s">
        <v>10</v>
      </c>
      <c r="N8" t="s">
        <v>342</v>
      </c>
      <c r="O8">
        <v>1699744500</v>
      </c>
      <c r="P8">
        <v>69</v>
      </c>
      <c r="Q8">
        <v>1.69</v>
      </c>
      <c r="X8" s="13"/>
      <c r="Y8" s="13"/>
      <c r="AF8" s="13"/>
    </row>
    <row r="9" spans="1:32" x14ac:dyDescent="0.25">
      <c r="B9" s="1">
        <v>4</v>
      </c>
      <c r="C9">
        <v>1</v>
      </c>
      <c r="D9" t="s">
        <v>298</v>
      </c>
      <c r="E9" t="s">
        <v>8</v>
      </c>
      <c r="F9" t="s">
        <v>312</v>
      </c>
      <c r="G9">
        <v>1699722000</v>
      </c>
      <c r="H9">
        <v>119</v>
      </c>
      <c r="I9" s="16">
        <v>1.5635714285714286</v>
      </c>
      <c r="J9" s="11">
        <f t="shared" si="0"/>
        <v>45241.499999999993</v>
      </c>
      <c r="L9" t="s">
        <v>65</v>
      </c>
      <c r="M9" t="s">
        <v>10</v>
      </c>
      <c r="N9" t="s">
        <v>353</v>
      </c>
      <c r="O9">
        <v>1699751700</v>
      </c>
      <c r="P9">
        <v>102</v>
      </c>
      <c r="Q9">
        <v>1.6036363636363637</v>
      </c>
      <c r="X9" s="13"/>
      <c r="Y9" s="13"/>
      <c r="AF9" s="13"/>
    </row>
    <row r="10" spans="1:32" x14ac:dyDescent="0.25">
      <c r="B10" s="1">
        <v>5</v>
      </c>
      <c r="C10">
        <v>1</v>
      </c>
      <c r="D10" t="s">
        <v>207</v>
      </c>
      <c r="E10" t="s">
        <v>8</v>
      </c>
      <c r="F10" t="s">
        <v>319</v>
      </c>
      <c r="G10">
        <v>1699729199</v>
      </c>
      <c r="H10">
        <v>285</v>
      </c>
      <c r="I10" s="16">
        <v>1.2384615384615385</v>
      </c>
      <c r="J10" s="11">
        <f t="shared" si="0"/>
        <v>45241.583321759252</v>
      </c>
      <c r="L10" t="s">
        <v>259</v>
      </c>
      <c r="M10" t="s">
        <v>10</v>
      </c>
      <c r="N10" t="s">
        <v>352</v>
      </c>
      <c r="O10">
        <v>1699751700</v>
      </c>
      <c r="P10">
        <v>124</v>
      </c>
      <c r="Q10">
        <v>1.5483333333333336</v>
      </c>
      <c r="X10" s="13"/>
      <c r="Y10" s="13"/>
      <c r="AF10" s="13"/>
    </row>
    <row r="11" spans="1:32" x14ac:dyDescent="0.25">
      <c r="B11" s="1">
        <v>6</v>
      </c>
      <c r="C11">
        <v>1</v>
      </c>
      <c r="D11" t="s">
        <v>222</v>
      </c>
      <c r="E11" t="s">
        <v>8</v>
      </c>
      <c r="F11" t="s">
        <v>329</v>
      </c>
      <c r="G11">
        <v>1699734599</v>
      </c>
      <c r="H11">
        <v>283</v>
      </c>
      <c r="I11" s="16">
        <v>1.2423076923076921</v>
      </c>
      <c r="J11" s="11">
        <f t="shared" si="0"/>
        <v>45241.645821759252</v>
      </c>
      <c r="L11" t="s">
        <v>68</v>
      </c>
      <c r="M11" t="s">
        <v>10</v>
      </c>
      <c r="N11" t="s">
        <v>355</v>
      </c>
      <c r="O11">
        <v>1699758899</v>
      </c>
      <c r="P11">
        <v>22</v>
      </c>
      <c r="Q11">
        <v>1.8272727272727272</v>
      </c>
      <c r="X11" s="13"/>
      <c r="Y11" s="13"/>
      <c r="AF11" s="13"/>
    </row>
    <row r="12" spans="1:32" x14ac:dyDescent="0.25">
      <c r="B12" s="1">
        <v>7</v>
      </c>
      <c r="C12">
        <v>1</v>
      </c>
      <c r="D12" t="s">
        <v>283</v>
      </c>
      <c r="E12" t="s">
        <v>8</v>
      </c>
      <c r="F12" t="s">
        <v>327</v>
      </c>
      <c r="G12">
        <v>1699734599</v>
      </c>
      <c r="H12">
        <v>63</v>
      </c>
      <c r="I12" s="16">
        <v>1.7123076923076928</v>
      </c>
      <c r="J12" s="11">
        <f t="shared" si="0"/>
        <v>45241.645821759252</v>
      </c>
      <c r="L12" t="s">
        <v>66</v>
      </c>
      <c r="M12" t="s">
        <v>10</v>
      </c>
      <c r="N12" t="s">
        <v>357</v>
      </c>
      <c r="O12">
        <v>1699760700</v>
      </c>
      <c r="P12">
        <v>176</v>
      </c>
      <c r="Q12">
        <v>1.4309999999999998</v>
      </c>
      <c r="X12" s="13"/>
      <c r="Y12" s="13"/>
      <c r="AF12" s="13"/>
    </row>
    <row r="13" spans="1:32" x14ac:dyDescent="0.25">
      <c r="B13" s="1">
        <v>8</v>
      </c>
      <c r="C13">
        <v>1</v>
      </c>
      <c r="D13" t="s">
        <v>219</v>
      </c>
      <c r="E13" t="s">
        <v>8</v>
      </c>
      <c r="F13" t="s">
        <v>325</v>
      </c>
      <c r="G13">
        <v>1699734599</v>
      </c>
      <c r="H13">
        <v>257</v>
      </c>
      <c r="I13" s="16">
        <v>1.2833333333333332</v>
      </c>
      <c r="J13" s="11">
        <f t="shared" si="0"/>
        <v>45241.645821759252</v>
      </c>
      <c r="L13" t="s">
        <v>53</v>
      </c>
      <c r="M13" t="s">
        <v>10</v>
      </c>
      <c r="N13" t="s">
        <v>358</v>
      </c>
      <c r="O13">
        <v>1699762500</v>
      </c>
      <c r="P13">
        <v>131</v>
      </c>
      <c r="Q13">
        <v>1.528</v>
      </c>
      <c r="X13" s="13"/>
      <c r="Y13" s="13"/>
      <c r="AF13" s="13"/>
    </row>
    <row r="14" spans="1:32" x14ac:dyDescent="0.25">
      <c r="A14">
        <f>C14+A13</f>
        <v>1</v>
      </c>
      <c r="B14" s="1">
        <v>9</v>
      </c>
      <c r="C14">
        <v>1</v>
      </c>
      <c r="D14" t="s">
        <v>230</v>
      </c>
      <c r="E14" t="s">
        <v>8</v>
      </c>
      <c r="F14" t="s">
        <v>326</v>
      </c>
      <c r="G14">
        <v>1699734599</v>
      </c>
      <c r="H14">
        <v>21</v>
      </c>
      <c r="I14" s="16">
        <v>1.8358333333333337</v>
      </c>
      <c r="J14" s="11">
        <f t="shared" si="0"/>
        <v>45241.645821759252</v>
      </c>
      <c r="L14" t="s">
        <v>87</v>
      </c>
      <c r="M14" t="s">
        <v>10</v>
      </c>
      <c r="N14" t="s">
        <v>359</v>
      </c>
      <c r="O14">
        <v>1699764299</v>
      </c>
      <c r="P14">
        <v>17</v>
      </c>
      <c r="Q14">
        <v>1.8455555555555554</v>
      </c>
      <c r="X14" s="13"/>
      <c r="Y14" s="13"/>
      <c r="AF14" s="13"/>
    </row>
    <row r="15" spans="1:32" x14ac:dyDescent="0.25">
      <c r="A15">
        <f t="shared" ref="A15:A74" si="1">C15+A14</f>
        <v>2</v>
      </c>
      <c r="B15" s="1">
        <v>10</v>
      </c>
      <c r="C15">
        <v>1</v>
      </c>
      <c r="D15" t="s">
        <v>220</v>
      </c>
      <c r="E15" t="s">
        <v>8</v>
      </c>
      <c r="F15" t="s">
        <v>332</v>
      </c>
      <c r="G15">
        <v>1699734599</v>
      </c>
      <c r="H15">
        <v>15</v>
      </c>
      <c r="I15" s="16">
        <v>1.855</v>
      </c>
      <c r="J15" s="11">
        <f t="shared" si="0"/>
        <v>45241.645821759252</v>
      </c>
      <c r="L15" t="s">
        <v>42</v>
      </c>
      <c r="M15" t="s">
        <v>10</v>
      </c>
      <c r="N15" t="s">
        <v>360</v>
      </c>
      <c r="O15">
        <v>1699766999</v>
      </c>
      <c r="P15">
        <v>36</v>
      </c>
      <c r="Q15">
        <v>1.7872727272727269</v>
      </c>
      <c r="X15" s="13"/>
      <c r="Y15" s="13"/>
      <c r="AF15" s="13"/>
    </row>
    <row r="16" spans="1:32" x14ac:dyDescent="0.25">
      <c r="A16">
        <f t="shared" si="1"/>
        <v>3</v>
      </c>
      <c r="B16" s="1">
        <v>11</v>
      </c>
      <c r="C16">
        <v>1</v>
      </c>
      <c r="D16" t="s">
        <v>225</v>
      </c>
      <c r="E16" t="s">
        <v>8</v>
      </c>
      <c r="F16" t="s">
        <v>328</v>
      </c>
      <c r="G16">
        <v>1699734599</v>
      </c>
      <c r="H16">
        <v>5</v>
      </c>
      <c r="I16" s="16">
        <v>1.8890000000000005</v>
      </c>
      <c r="J16" s="11">
        <f t="shared" si="0"/>
        <v>45241.645821759252</v>
      </c>
      <c r="L16" t="s">
        <v>188</v>
      </c>
      <c r="M16" t="s">
        <v>8</v>
      </c>
      <c r="N16" t="s">
        <v>303</v>
      </c>
      <c r="O16">
        <v>1699401600</v>
      </c>
      <c r="P16">
        <v>85</v>
      </c>
      <c r="Q16">
        <v>1.6521428571428574</v>
      </c>
      <c r="X16" s="13"/>
      <c r="Y16" s="13"/>
      <c r="AF16" s="13"/>
    </row>
    <row r="17" spans="1:32" x14ac:dyDescent="0.25">
      <c r="A17">
        <f t="shared" si="1"/>
        <v>4</v>
      </c>
      <c r="B17" s="1">
        <v>12</v>
      </c>
      <c r="C17" s="12">
        <v>1</v>
      </c>
      <c r="D17" t="s">
        <v>231</v>
      </c>
      <c r="E17" t="s">
        <v>8</v>
      </c>
      <c r="F17" t="s">
        <v>335</v>
      </c>
      <c r="G17">
        <v>1699736400</v>
      </c>
      <c r="H17">
        <v>78</v>
      </c>
      <c r="I17" s="16">
        <v>1.6700000000000002</v>
      </c>
      <c r="J17" s="11">
        <f t="shared" si="0"/>
        <v>45241.666666666664</v>
      </c>
      <c r="L17" t="s">
        <v>277</v>
      </c>
      <c r="M17" t="s">
        <v>8</v>
      </c>
      <c r="N17" t="s">
        <v>302</v>
      </c>
      <c r="O17">
        <v>1699401600</v>
      </c>
      <c r="P17">
        <v>251</v>
      </c>
      <c r="Q17">
        <v>1.2928571428571429</v>
      </c>
      <c r="X17" s="13"/>
      <c r="Y17" s="13"/>
      <c r="AF17" s="13"/>
    </row>
    <row r="18" spans="1:32" x14ac:dyDescent="0.25">
      <c r="A18">
        <f t="shared" si="1"/>
        <v>5</v>
      </c>
      <c r="B18" s="1">
        <v>13</v>
      </c>
      <c r="C18">
        <v>1</v>
      </c>
      <c r="D18" t="s">
        <v>242</v>
      </c>
      <c r="E18" t="s">
        <v>8</v>
      </c>
      <c r="F18" t="s">
        <v>343</v>
      </c>
      <c r="G18">
        <v>1699747200</v>
      </c>
      <c r="H18">
        <v>51</v>
      </c>
      <c r="I18" s="16">
        <v>1.7461538461538457</v>
      </c>
      <c r="J18" s="11">
        <f t="shared" si="0"/>
        <v>45241.791666666664</v>
      </c>
      <c r="L18" t="s">
        <v>189</v>
      </c>
      <c r="M18" t="s">
        <v>8</v>
      </c>
      <c r="N18" t="s">
        <v>304</v>
      </c>
      <c r="O18">
        <v>1699403400</v>
      </c>
      <c r="P18">
        <v>216</v>
      </c>
      <c r="Q18">
        <v>1.3553846153846152</v>
      </c>
      <c r="X18" s="13"/>
      <c r="Y18" s="13"/>
      <c r="AF18" s="13"/>
    </row>
    <row r="19" spans="1:32" x14ac:dyDescent="0.25">
      <c r="A19">
        <f t="shared" si="1"/>
        <v>6</v>
      </c>
      <c r="B19" s="1">
        <v>14</v>
      </c>
      <c r="C19">
        <v>1</v>
      </c>
      <c r="D19" t="s">
        <v>120</v>
      </c>
      <c r="E19" t="s">
        <v>8</v>
      </c>
      <c r="F19" t="s">
        <v>348</v>
      </c>
      <c r="G19">
        <v>1699747200</v>
      </c>
      <c r="H19">
        <v>332</v>
      </c>
      <c r="I19" s="16">
        <v>1.1699999999999997</v>
      </c>
      <c r="J19" s="11">
        <f t="shared" si="0"/>
        <v>45241.791666666664</v>
      </c>
      <c r="L19" t="s">
        <v>278</v>
      </c>
      <c r="M19" t="s">
        <v>8</v>
      </c>
      <c r="N19" t="s">
        <v>305</v>
      </c>
      <c r="O19">
        <v>1699488000</v>
      </c>
      <c r="P19">
        <v>247</v>
      </c>
      <c r="Q19">
        <v>1.3007142857142857</v>
      </c>
      <c r="X19" s="13"/>
      <c r="Y19" s="13"/>
      <c r="AF19" s="13"/>
    </row>
    <row r="20" spans="1:32" x14ac:dyDescent="0.25">
      <c r="A20">
        <f t="shared" si="1"/>
        <v>7</v>
      </c>
      <c r="B20" s="1">
        <v>15</v>
      </c>
      <c r="C20">
        <v>1</v>
      </c>
      <c r="D20" t="s">
        <v>275</v>
      </c>
      <c r="E20" t="s">
        <v>8</v>
      </c>
      <c r="F20" t="s">
        <v>344</v>
      </c>
      <c r="G20">
        <v>1699747200</v>
      </c>
      <c r="H20">
        <v>290</v>
      </c>
      <c r="I20" s="16">
        <v>1.2318181818181819</v>
      </c>
      <c r="J20" s="11">
        <f t="shared" si="0"/>
        <v>45241.791666666664</v>
      </c>
      <c r="L20" t="s">
        <v>192</v>
      </c>
      <c r="M20" t="s">
        <v>8</v>
      </c>
      <c r="N20" t="s">
        <v>306</v>
      </c>
      <c r="O20">
        <v>1699576200</v>
      </c>
      <c r="P20">
        <v>280</v>
      </c>
      <c r="Q20">
        <v>1.2471428571428571</v>
      </c>
      <c r="X20" s="13"/>
      <c r="Y20" s="13"/>
      <c r="AF20" s="13"/>
    </row>
    <row r="21" spans="1:32" x14ac:dyDescent="0.25">
      <c r="A21">
        <f t="shared" si="1"/>
        <v>8</v>
      </c>
      <c r="B21" s="1">
        <v>16</v>
      </c>
      <c r="C21">
        <v>1</v>
      </c>
      <c r="D21" t="s">
        <v>246</v>
      </c>
      <c r="E21" t="s">
        <v>8</v>
      </c>
      <c r="F21" t="s">
        <v>349</v>
      </c>
      <c r="G21">
        <v>1699749000</v>
      </c>
      <c r="H21">
        <v>264</v>
      </c>
      <c r="I21" s="16">
        <v>1.2716666666666669</v>
      </c>
      <c r="J21" s="11">
        <f t="shared" si="0"/>
        <v>45241.812499999993</v>
      </c>
      <c r="L21" t="s">
        <v>195</v>
      </c>
      <c r="M21" t="s">
        <v>8</v>
      </c>
      <c r="N21" t="s">
        <v>308</v>
      </c>
      <c r="O21">
        <v>1699674300</v>
      </c>
      <c r="P21">
        <v>131</v>
      </c>
      <c r="Q21">
        <v>1.5349999999999999</v>
      </c>
      <c r="X21" s="13"/>
      <c r="Y21" s="13"/>
      <c r="AF21" s="13"/>
    </row>
    <row r="22" spans="1:32" x14ac:dyDescent="0.25">
      <c r="A22">
        <f t="shared" si="1"/>
        <v>9</v>
      </c>
      <c r="B22" s="1">
        <v>17</v>
      </c>
      <c r="C22">
        <v>1</v>
      </c>
      <c r="D22" t="s">
        <v>140</v>
      </c>
      <c r="E22" t="s">
        <v>9</v>
      </c>
      <c r="F22" t="s">
        <v>364</v>
      </c>
      <c r="G22">
        <v>1699812000</v>
      </c>
      <c r="H22">
        <v>103</v>
      </c>
      <c r="I22" s="16">
        <v>1.605</v>
      </c>
      <c r="J22" s="11">
        <f t="shared" si="0"/>
        <v>45242.541666666664</v>
      </c>
      <c r="L22" t="s">
        <v>119</v>
      </c>
      <c r="M22" t="s">
        <v>8</v>
      </c>
      <c r="N22" t="s">
        <v>309</v>
      </c>
      <c r="O22">
        <v>1699722000</v>
      </c>
      <c r="P22">
        <v>289</v>
      </c>
      <c r="Q22">
        <v>1.2342857142857144</v>
      </c>
      <c r="X22" s="13"/>
      <c r="Y22" s="13"/>
      <c r="AF22" s="13"/>
    </row>
    <row r="23" spans="1:32" x14ac:dyDescent="0.25">
      <c r="A23">
        <f t="shared" si="1"/>
        <v>10</v>
      </c>
      <c r="B23" s="1">
        <v>18</v>
      </c>
      <c r="C23">
        <v>1</v>
      </c>
      <c r="D23" t="s">
        <v>124</v>
      </c>
      <c r="E23" t="s">
        <v>9</v>
      </c>
      <c r="F23" t="s">
        <v>307</v>
      </c>
      <c r="G23">
        <v>1699578900</v>
      </c>
      <c r="H23">
        <v>117</v>
      </c>
      <c r="I23" s="16">
        <v>1.5687500000000001</v>
      </c>
      <c r="J23" s="11">
        <f t="shared" si="0"/>
        <v>45239.843749999993</v>
      </c>
      <c r="L23" t="s">
        <v>294</v>
      </c>
      <c r="M23" t="s">
        <v>8</v>
      </c>
      <c r="N23" t="s">
        <v>313</v>
      </c>
      <c r="O23">
        <v>1699722000</v>
      </c>
      <c r="P23">
        <v>226</v>
      </c>
      <c r="Q23">
        <v>1.3378571428571426</v>
      </c>
      <c r="X23" s="13"/>
      <c r="Y23" s="13"/>
      <c r="AF23" s="13"/>
    </row>
    <row r="24" spans="1:32" x14ac:dyDescent="0.25">
      <c r="A24">
        <f t="shared" si="1"/>
        <v>11</v>
      </c>
      <c r="B24" s="1">
        <v>19</v>
      </c>
      <c r="C24">
        <v>1</v>
      </c>
      <c r="D24" t="s">
        <v>130</v>
      </c>
      <c r="E24" t="s">
        <v>9</v>
      </c>
      <c r="F24" t="s">
        <v>363</v>
      </c>
      <c r="G24">
        <v>1699812000</v>
      </c>
      <c r="H24">
        <v>232</v>
      </c>
      <c r="I24" s="16">
        <v>1.326875</v>
      </c>
      <c r="J24" s="11">
        <f t="shared" si="0"/>
        <v>45242.541666666664</v>
      </c>
      <c r="L24" t="s">
        <v>118</v>
      </c>
      <c r="M24" t="s">
        <v>8</v>
      </c>
      <c r="N24" t="s">
        <v>315</v>
      </c>
      <c r="O24">
        <v>1699722000</v>
      </c>
      <c r="P24">
        <v>149</v>
      </c>
      <c r="Q24">
        <v>1.4942857142857144</v>
      </c>
      <c r="X24" s="13"/>
      <c r="Y24" s="13"/>
      <c r="AF24" s="13"/>
    </row>
    <row r="25" spans="1:32" x14ac:dyDescent="0.25">
      <c r="A25">
        <f t="shared" si="1"/>
        <v>12</v>
      </c>
      <c r="B25" s="1">
        <v>20</v>
      </c>
      <c r="C25">
        <v>1</v>
      </c>
      <c r="D25" t="s">
        <v>138</v>
      </c>
      <c r="E25" t="s">
        <v>9</v>
      </c>
      <c r="F25" t="s">
        <v>373</v>
      </c>
      <c r="G25">
        <v>1699924500</v>
      </c>
      <c r="H25">
        <v>265</v>
      </c>
      <c r="I25" s="16">
        <v>1.2706249999999999</v>
      </c>
      <c r="J25" s="11">
        <f t="shared" si="0"/>
        <v>45243.843749999993</v>
      </c>
      <c r="L25" t="s">
        <v>201</v>
      </c>
      <c r="M25" t="s">
        <v>8</v>
      </c>
      <c r="N25" t="s">
        <v>310</v>
      </c>
      <c r="O25">
        <v>1699722000</v>
      </c>
      <c r="P25">
        <v>50</v>
      </c>
      <c r="Q25">
        <v>1.7507142857142857</v>
      </c>
      <c r="X25" s="13"/>
      <c r="Y25" s="13"/>
      <c r="AF25" s="13"/>
    </row>
    <row r="26" spans="1:32" x14ac:dyDescent="0.25">
      <c r="A26">
        <f t="shared" si="1"/>
        <v>13</v>
      </c>
      <c r="B26" s="1">
        <v>21</v>
      </c>
      <c r="C26">
        <v>1</v>
      </c>
      <c r="D26" t="s">
        <v>128</v>
      </c>
      <c r="E26" t="s">
        <v>9</v>
      </c>
      <c r="F26" t="s">
        <v>366</v>
      </c>
      <c r="G26">
        <v>1699812000</v>
      </c>
      <c r="H26">
        <v>11</v>
      </c>
      <c r="I26" s="16">
        <v>1.868125</v>
      </c>
      <c r="J26" s="11">
        <f t="shared" si="0"/>
        <v>45242.541666666664</v>
      </c>
      <c r="L26" t="s">
        <v>202</v>
      </c>
      <c r="M26" t="s">
        <v>8</v>
      </c>
      <c r="N26" t="s">
        <v>311</v>
      </c>
      <c r="O26">
        <v>1699722000</v>
      </c>
      <c r="P26">
        <v>198</v>
      </c>
      <c r="Q26">
        <v>1.3885714285714283</v>
      </c>
      <c r="X26" s="13"/>
      <c r="Y26" s="13"/>
      <c r="AF26" s="13"/>
    </row>
    <row r="27" spans="1:32" x14ac:dyDescent="0.25">
      <c r="A27">
        <f t="shared" si="1"/>
        <v>14</v>
      </c>
      <c r="B27" s="1">
        <v>22</v>
      </c>
      <c r="C27">
        <v>1</v>
      </c>
      <c r="D27" t="s">
        <v>125</v>
      </c>
      <c r="E27" t="s">
        <v>9</v>
      </c>
      <c r="F27" t="s">
        <v>361</v>
      </c>
      <c r="G27">
        <v>1699799399</v>
      </c>
      <c r="H27">
        <v>27</v>
      </c>
      <c r="I27" s="16">
        <v>1.816875</v>
      </c>
      <c r="J27" s="11">
        <f t="shared" si="0"/>
        <v>45242.395821759252</v>
      </c>
      <c r="L27" t="s">
        <v>298</v>
      </c>
      <c r="M27" t="s">
        <v>8</v>
      </c>
      <c r="N27" t="s">
        <v>312</v>
      </c>
      <c r="O27">
        <v>1699722000</v>
      </c>
      <c r="P27">
        <v>119</v>
      </c>
      <c r="Q27">
        <v>1.5635714285714286</v>
      </c>
      <c r="X27" s="13"/>
      <c r="Y27" s="13"/>
      <c r="AF27" s="13"/>
    </row>
    <row r="28" spans="1:32" x14ac:dyDescent="0.25">
      <c r="A28">
        <f t="shared" si="1"/>
        <v>15</v>
      </c>
      <c r="B28" s="1">
        <v>23</v>
      </c>
      <c r="C28">
        <v>1</v>
      </c>
      <c r="D28" t="s">
        <v>134</v>
      </c>
      <c r="E28" t="s">
        <v>9</v>
      </c>
      <c r="F28" t="s">
        <v>370</v>
      </c>
      <c r="G28">
        <v>1699824299</v>
      </c>
      <c r="H28">
        <v>412</v>
      </c>
      <c r="I28" s="16">
        <v>1.07125</v>
      </c>
      <c r="J28" s="11">
        <f t="shared" si="0"/>
        <v>45242.684016203704</v>
      </c>
      <c r="L28" t="s">
        <v>200</v>
      </c>
      <c r="M28" t="s">
        <v>8</v>
      </c>
      <c r="N28" t="s">
        <v>314</v>
      </c>
      <c r="O28">
        <v>1699722000</v>
      </c>
      <c r="P28">
        <v>27</v>
      </c>
      <c r="Q28">
        <v>1.8214285714285718</v>
      </c>
      <c r="X28" s="13"/>
      <c r="Y28" s="13"/>
      <c r="AF28" s="13"/>
    </row>
    <row r="29" spans="1:32" x14ac:dyDescent="0.25">
      <c r="A29">
        <f t="shared" si="1"/>
        <v>16</v>
      </c>
      <c r="B29" s="1">
        <v>24</v>
      </c>
      <c r="C29">
        <v>1</v>
      </c>
      <c r="D29" t="s">
        <v>132</v>
      </c>
      <c r="E29" t="s">
        <v>9</v>
      </c>
      <c r="F29" t="s">
        <v>369</v>
      </c>
      <c r="G29">
        <v>1699823099</v>
      </c>
      <c r="H29">
        <v>13</v>
      </c>
      <c r="I29" s="16">
        <v>1.86214285714286</v>
      </c>
      <c r="J29" s="11">
        <f t="shared" si="0"/>
        <v>45242.670127314814</v>
      </c>
      <c r="L29" t="s">
        <v>205</v>
      </c>
      <c r="M29" t="s">
        <v>8</v>
      </c>
      <c r="N29" t="s">
        <v>316</v>
      </c>
      <c r="O29">
        <v>1699725600</v>
      </c>
      <c r="P29">
        <v>328</v>
      </c>
      <c r="Q29">
        <v>1.1757142857142855</v>
      </c>
      <c r="X29" s="13"/>
      <c r="Y29" s="13"/>
      <c r="AF29" s="13"/>
    </row>
    <row r="30" spans="1:32" x14ac:dyDescent="0.25">
      <c r="A30">
        <f t="shared" si="1"/>
        <v>17</v>
      </c>
      <c r="B30" s="1">
        <v>25</v>
      </c>
      <c r="C30">
        <v>1</v>
      </c>
      <c r="D30" t="s">
        <v>136</v>
      </c>
      <c r="E30" t="s">
        <v>9</v>
      </c>
      <c r="F30" t="s">
        <v>372</v>
      </c>
      <c r="G30">
        <v>1699838400</v>
      </c>
      <c r="H30">
        <v>41</v>
      </c>
      <c r="I30" s="16">
        <v>1.775625</v>
      </c>
      <c r="J30" s="11">
        <f t="shared" si="0"/>
        <v>45242.847222222219</v>
      </c>
      <c r="L30" t="s">
        <v>279</v>
      </c>
      <c r="M30" t="s">
        <v>8</v>
      </c>
      <c r="N30" t="s">
        <v>318</v>
      </c>
      <c r="O30">
        <v>1699729199</v>
      </c>
      <c r="P30">
        <v>45</v>
      </c>
      <c r="Q30">
        <v>1.7623076923076924</v>
      </c>
      <c r="X30" s="13"/>
      <c r="Y30" s="13"/>
      <c r="AF30" s="13"/>
    </row>
    <row r="31" spans="1:32" x14ac:dyDescent="0.25">
      <c r="A31">
        <f t="shared" si="1"/>
        <v>18</v>
      </c>
      <c r="B31" s="1">
        <v>26</v>
      </c>
      <c r="C31">
        <v>1</v>
      </c>
      <c r="D31" t="s">
        <v>133</v>
      </c>
      <c r="E31" t="s">
        <v>9</v>
      </c>
      <c r="F31" t="s">
        <v>368</v>
      </c>
      <c r="G31">
        <v>1699823099</v>
      </c>
      <c r="H31">
        <v>36</v>
      </c>
      <c r="I31" s="16">
        <v>1.7925</v>
      </c>
      <c r="J31" s="11">
        <f t="shared" si="0"/>
        <v>45242.670127314814</v>
      </c>
      <c r="L31" t="s">
        <v>207</v>
      </c>
      <c r="M31" t="s">
        <v>8</v>
      </c>
      <c r="N31" t="s">
        <v>319</v>
      </c>
      <c r="O31">
        <v>1699729199</v>
      </c>
      <c r="P31">
        <v>285</v>
      </c>
      <c r="Q31">
        <v>1.2384615384615385</v>
      </c>
      <c r="X31" s="13"/>
      <c r="Y31" s="13"/>
      <c r="AF31" s="13"/>
    </row>
    <row r="32" spans="1:32" x14ac:dyDescent="0.25">
      <c r="A32">
        <f t="shared" si="1"/>
        <v>19</v>
      </c>
      <c r="B32" s="1">
        <v>27</v>
      </c>
      <c r="C32">
        <v>1</v>
      </c>
      <c r="D32" t="s">
        <v>129</v>
      </c>
      <c r="E32" t="s">
        <v>9</v>
      </c>
      <c r="F32" t="s">
        <v>362</v>
      </c>
      <c r="G32">
        <v>1699812000</v>
      </c>
      <c r="H32">
        <v>201</v>
      </c>
      <c r="I32" s="16">
        <v>1.380625</v>
      </c>
      <c r="J32" s="11">
        <f t="shared" si="0"/>
        <v>45242.541666666664</v>
      </c>
      <c r="L32" t="s">
        <v>211</v>
      </c>
      <c r="M32" t="s">
        <v>8</v>
      </c>
      <c r="N32" t="s">
        <v>317</v>
      </c>
      <c r="O32">
        <v>1699729199</v>
      </c>
      <c r="P32">
        <v>301</v>
      </c>
      <c r="Q32">
        <v>1.2158333333333335</v>
      </c>
      <c r="X32" s="13"/>
      <c r="Y32" s="13"/>
      <c r="AF32" s="13"/>
    </row>
    <row r="33" spans="1:32" x14ac:dyDescent="0.25">
      <c r="A33">
        <f t="shared" si="1"/>
        <v>20</v>
      </c>
      <c r="B33" s="1">
        <v>28</v>
      </c>
      <c r="C33">
        <v>1</v>
      </c>
      <c r="D33" t="s">
        <v>127</v>
      </c>
      <c r="E33" t="s">
        <v>9</v>
      </c>
      <c r="F33" t="s">
        <v>365</v>
      </c>
      <c r="G33">
        <v>1699812000</v>
      </c>
      <c r="H33">
        <v>68</v>
      </c>
      <c r="I33" s="16">
        <v>1.69875</v>
      </c>
      <c r="J33" s="11">
        <f t="shared" si="0"/>
        <v>45242.541666666664</v>
      </c>
      <c r="L33" t="s">
        <v>300</v>
      </c>
      <c r="M33" t="s">
        <v>8</v>
      </c>
      <c r="N33" t="s">
        <v>320</v>
      </c>
      <c r="O33">
        <v>1699729199</v>
      </c>
      <c r="P33">
        <v>52</v>
      </c>
      <c r="Q33">
        <v>1.7430769230769227</v>
      </c>
      <c r="X33" s="13"/>
      <c r="Y33" s="13"/>
      <c r="AF33" s="13"/>
    </row>
    <row r="34" spans="1:32" x14ac:dyDescent="0.25">
      <c r="A34">
        <f t="shared" si="1"/>
        <v>21</v>
      </c>
      <c r="B34" s="1">
        <v>29</v>
      </c>
      <c r="C34">
        <v>1</v>
      </c>
      <c r="D34" t="s">
        <v>135</v>
      </c>
      <c r="E34" t="s">
        <v>9</v>
      </c>
      <c r="F34" t="s">
        <v>371</v>
      </c>
      <c r="G34">
        <v>1699824299</v>
      </c>
      <c r="H34">
        <v>208</v>
      </c>
      <c r="I34" s="16">
        <v>1.37</v>
      </c>
      <c r="J34" s="11">
        <f t="shared" si="0"/>
        <v>45242.684016203704</v>
      </c>
      <c r="L34" t="s">
        <v>281</v>
      </c>
      <c r="M34" t="s">
        <v>8</v>
      </c>
      <c r="N34" t="s">
        <v>321</v>
      </c>
      <c r="O34">
        <v>1699732800</v>
      </c>
      <c r="P34">
        <v>235</v>
      </c>
      <c r="Q34">
        <v>1.320909090909091</v>
      </c>
      <c r="X34" s="13"/>
      <c r="Y34" s="13"/>
      <c r="AF34" s="13"/>
    </row>
    <row r="35" spans="1:32" x14ac:dyDescent="0.25">
      <c r="A35">
        <f t="shared" si="1"/>
        <v>22</v>
      </c>
      <c r="B35" s="1">
        <v>30</v>
      </c>
      <c r="C35">
        <v>1</v>
      </c>
      <c r="D35" t="s">
        <v>131</v>
      </c>
      <c r="E35" t="s">
        <v>9</v>
      </c>
      <c r="F35" t="s">
        <v>367</v>
      </c>
      <c r="G35">
        <v>1699812000</v>
      </c>
      <c r="H35">
        <v>115</v>
      </c>
      <c r="I35" s="16">
        <v>1.5731250000000001</v>
      </c>
      <c r="J35" s="11">
        <f t="shared" si="0"/>
        <v>45242.541666666664</v>
      </c>
      <c r="L35" t="s">
        <v>222</v>
      </c>
      <c r="M35" t="s">
        <v>8</v>
      </c>
      <c r="N35" t="s">
        <v>329</v>
      </c>
      <c r="O35">
        <v>1699734599</v>
      </c>
      <c r="P35">
        <v>283</v>
      </c>
      <c r="Q35">
        <v>1.2423076923076921</v>
      </c>
      <c r="X35" s="13"/>
      <c r="Y35" s="13"/>
      <c r="AF35" s="13"/>
    </row>
    <row r="36" spans="1:32" x14ac:dyDescent="0.25">
      <c r="A36">
        <f t="shared" si="1"/>
        <v>22</v>
      </c>
      <c r="B36" s="1">
        <v>31</v>
      </c>
      <c r="D36" t="s">
        <v>59</v>
      </c>
      <c r="E36" t="s">
        <v>10</v>
      </c>
      <c r="F36" t="s">
        <v>338</v>
      </c>
      <c r="G36">
        <v>1699743603</v>
      </c>
      <c r="H36">
        <v>177</v>
      </c>
      <c r="I36" s="16">
        <v>1.4263636363636363</v>
      </c>
      <c r="J36" s="11">
        <f t="shared" ref="J36:J67" si="2">G36/86400+25569-5/24</f>
        <v>45241.750034722216</v>
      </c>
      <c r="L36" t="s">
        <v>224</v>
      </c>
      <c r="M36" t="s">
        <v>8</v>
      </c>
      <c r="N36" t="s">
        <v>324</v>
      </c>
      <c r="O36">
        <v>1699734599</v>
      </c>
      <c r="P36">
        <v>78</v>
      </c>
      <c r="Q36">
        <v>1.6723076923076925</v>
      </c>
    </row>
    <row r="37" spans="1:32" x14ac:dyDescent="0.25">
      <c r="A37">
        <f t="shared" si="1"/>
        <v>22</v>
      </c>
      <c r="D37" t="s">
        <v>61</v>
      </c>
      <c r="E37" t="s">
        <v>10</v>
      </c>
      <c r="F37" t="s">
        <v>340</v>
      </c>
      <c r="G37">
        <v>1699743603</v>
      </c>
      <c r="H37">
        <v>198</v>
      </c>
      <c r="I37" s="16">
        <v>1.3854545454545455</v>
      </c>
      <c r="J37" s="11">
        <f t="shared" si="2"/>
        <v>45241.750034722216</v>
      </c>
      <c r="L37" t="s">
        <v>226</v>
      </c>
      <c r="M37" t="s">
        <v>8</v>
      </c>
      <c r="N37" t="s">
        <v>333</v>
      </c>
      <c r="O37">
        <v>1699734599</v>
      </c>
      <c r="P37">
        <v>296</v>
      </c>
      <c r="Q37">
        <v>1.2223076923076923</v>
      </c>
      <c r="X37" s="13"/>
      <c r="Y37" s="13"/>
    </row>
    <row r="38" spans="1:32" x14ac:dyDescent="0.25">
      <c r="A38">
        <f t="shared" si="1"/>
        <v>22</v>
      </c>
      <c r="D38" t="s">
        <v>62</v>
      </c>
      <c r="E38" t="s">
        <v>10</v>
      </c>
      <c r="F38" t="s">
        <v>339</v>
      </c>
      <c r="G38">
        <v>1699743603</v>
      </c>
      <c r="H38">
        <v>53</v>
      </c>
      <c r="I38" s="16">
        <v>1.7354545454545454</v>
      </c>
      <c r="J38" s="11">
        <f t="shared" si="2"/>
        <v>45241.750034722216</v>
      </c>
      <c r="L38" t="s">
        <v>283</v>
      </c>
      <c r="M38" t="s">
        <v>8</v>
      </c>
      <c r="N38" t="s">
        <v>327</v>
      </c>
      <c r="O38">
        <v>1699734599</v>
      </c>
      <c r="P38">
        <v>63</v>
      </c>
      <c r="Q38">
        <v>1.7123076923076928</v>
      </c>
    </row>
    <row r="39" spans="1:32" x14ac:dyDescent="0.25">
      <c r="A39">
        <f t="shared" si="1"/>
        <v>22</v>
      </c>
      <c r="D39" t="s">
        <v>63</v>
      </c>
      <c r="E39" t="s">
        <v>10</v>
      </c>
      <c r="F39" t="s">
        <v>341</v>
      </c>
      <c r="G39">
        <v>1699743648</v>
      </c>
      <c r="H39">
        <v>128</v>
      </c>
      <c r="I39" s="16">
        <v>1.5381818181818183</v>
      </c>
      <c r="J39" s="11">
        <f t="shared" si="2"/>
        <v>45241.750555555554</v>
      </c>
      <c r="L39" t="s">
        <v>286</v>
      </c>
      <c r="M39" t="s">
        <v>8</v>
      </c>
      <c r="N39" t="s">
        <v>323</v>
      </c>
      <c r="O39">
        <v>1699734599</v>
      </c>
      <c r="P39">
        <v>15</v>
      </c>
      <c r="Q39">
        <v>1.8553846153846156</v>
      </c>
    </row>
    <row r="40" spans="1:32" x14ac:dyDescent="0.25">
      <c r="A40">
        <f t="shared" si="1"/>
        <v>22</v>
      </c>
      <c r="D40" t="s">
        <v>86</v>
      </c>
      <c r="E40" t="s">
        <v>10</v>
      </c>
      <c r="F40" t="s">
        <v>342</v>
      </c>
      <c r="G40">
        <v>1699744500</v>
      </c>
      <c r="H40">
        <v>69</v>
      </c>
      <c r="I40" s="16">
        <v>1.69</v>
      </c>
      <c r="J40" s="11">
        <f t="shared" si="2"/>
        <v>45241.760416666664</v>
      </c>
      <c r="L40" t="s">
        <v>219</v>
      </c>
      <c r="M40" t="s">
        <v>8</v>
      </c>
      <c r="N40" t="s">
        <v>325</v>
      </c>
      <c r="O40">
        <v>1699734599</v>
      </c>
      <c r="P40">
        <v>257</v>
      </c>
      <c r="Q40">
        <v>1.2833333333333332</v>
      </c>
    </row>
    <row r="41" spans="1:32" x14ac:dyDescent="0.25">
      <c r="A41">
        <f t="shared" si="1"/>
        <v>22</v>
      </c>
      <c r="D41" t="s">
        <v>65</v>
      </c>
      <c r="E41" t="s">
        <v>10</v>
      </c>
      <c r="F41" t="s">
        <v>353</v>
      </c>
      <c r="G41">
        <v>1699751700</v>
      </c>
      <c r="H41">
        <v>102</v>
      </c>
      <c r="I41" s="16">
        <v>1.6036363636363637</v>
      </c>
      <c r="J41" s="11">
        <f t="shared" si="2"/>
        <v>45241.843749999993</v>
      </c>
      <c r="L41" t="s">
        <v>285</v>
      </c>
      <c r="M41" t="s">
        <v>8</v>
      </c>
      <c r="N41" t="s">
        <v>330</v>
      </c>
      <c r="O41">
        <v>1699734599</v>
      </c>
      <c r="P41">
        <v>144</v>
      </c>
      <c r="Q41">
        <v>1.5061538461538464</v>
      </c>
    </row>
    <row r="42" spans="1:32" x14ac:dyDescent="0.25">
      <c r="A42">
        <f t="shared" si="1"/>
        <v>22</v>
      </c>
      <c r="D42" t="s">
        <v>259</v>
      </c>
      <c r="E42" t="s">
        <v>10</v>
      </c>
      <c r="F42" t="s">
        <v>352</v>
      </c>
      <c r="G42">
        <v>1699751700</v>
      </c>
      <c r="H42">
        <v>124</v>
      </c>
      <c r="I42" s="16">
        <v>1.5483333333333336</v>
      </c>
      <c r="J42" s="11">
        <f t="shared" si="2"/>
        <v>45241.843749999993</v>
      </c>
      <c r="L42" t="s">
        <v>230</v>
      </c>
      <c r="M42" t="s">
        <v>8</v>
      </c>
      <c r="N42" t="s">
        <v>326</v>
      </c>
      <c r="O42">
        <v>1699734599</v>
      </c>
      <c r="P42">
        <v>21</v>
      </c>
      <c r="Q42">
        <v>1.8358333333333337</v>
      </c>
    </row>
    <row r="43" spans="1:32" x14ac:dyDescent="0.25">
      <c r="A43">
        <f t="shared" si="1"/>
        <v>22</v>
      </c>
      <c r="D43" t="s">
        <v>68</v>
      </c>
      <c r="E43" t="s">
        <v>10</v>
      </c>
      <c r="F43" t="s">
        <v>355</v>
      </c>
      <c r="G43">
        <v>1699758899</v>
      </c>
      <c r="H43">
        <v>22</v>
      </c>
      <c r="I43" s="16">
        <v>1.8272727272727272</v>
      </c>
      <c r="J43" s="11">
        <f t="shared" si="2"/>
        <v>45241.927071759252</v>
      </c>
      <c r="L43" t="s">
        <v>228</v>
      </c>
      <c r="M43" t="s">
        <v>8</v>
      </c>
      <c r="N43" t="s">
        <v>331</v>
      </c>
      <c r="O43">
        <v>1699734599</v>
      </c>
      <c r="P43">
        <v>84</v>
      </c>
      <c r="Q43">
        <v>1.6561538461538463</v>
      </c>
    </row>
    <row r="44" spans="1:32" x14ac:dyDescent="0.25">
      <c r="A44">
        <f t="shared" si="1"/>
        <v>22</v>
      </c>
      <c r="D44" t="s">
        <v>66</v>
      </c>
      <c r="E44" t="s">
        <v>10</v>
      </c>
      <c r="F44" t="s">
        <v>357</v>
      </c>
      <c r="G44">
        <v>1699760700</v>
      </c>
      <c r="H44">
        <v>176</v>
      </c>
      <c r="I44" s="16">
        <v>1.4309999999999998</v>
      </c>
      <c r="J44" s="11">
        <f t="shared" si="2"/>
        <v>45241.947916666664</v>
      </c>
      <c r="L44" t="s">
        <v>220</v>
      </c>
      <c r="M44" t="s">
        <v>8</v>
      </c>
      <c r="N44" t="s">
        <v>332</v>
      </c>
      <c r="O44">
        <v>1699734599</v>
      </c>
      <c r="P44">
        <v>15</v>
      </c>
      <c r="Q44">
        <v>1.855</v>
      </c>
    </row>
    <row r="45" spans="1:32" x14ac:dyDescent="0.25">
      <c r="A45">
        <f t="shared" si="1"/>
        <v>22</v>
      </c>
      <c r="D45" t="s">
        <v>53</v>
      </c>
      <c r="E45" t="s">
        <v>10</v>
      </c>
      <c r="F45" t="s">
        <v>358</v>
      </c>
      <c r="G45">
        <v>1699762500</v>
      </c>
      <c r="H45">
        <v>131</v>
      </c>
      <c r="I45" s="16">
        <v>1.528</v>
      </c>
      <c r="J45" s="11">
        <f t="shared" si="2"/>
        <v>45241.968749999993</v>
      </c>
      <c r="L45" t="s">
        <v>225</v>
      </c>
      <c r="M45" t="s">
        <v>8</v>
      </c>
      <c r="N45" t="s">
        <v>328</v>
      </c>
      <c r="O45">
        <v>1699734599</v>
      </c>
      <c r="P45">
        <v>5</v>
      </c>
      <c r="Q45">
        <v>1.8890000000000005</v>
      </c>
    </row>
    <row r="46" spans="1:32" x14ac:dyDescent="0.25">
      <c r="A46">
        <f t="shared" si="1"/>
        <v>22</v>
      </c>
      <c r="D46" t="s">
        <v>188</v>
      </c>
      <c r="E46" t="s">
        <v>8</v>
      </c>
      <c r="F46" t="s">
        <v>303</v>
      </c>
      <c r="G46">
        <v>1699401600</v>
      </c>
      <c r="H46">
        <v>85</v>
      </c>
      <c r="I46" s="16">
        <v>1.6521428571428574</v>
      </c>
      <c r="J46" s="11">
        <f t="shared" si="2"/>
        <v>45237.791666666664</v>
      </c>
      <c r="L46" t="s">
        <v>287</v>
      </c>
      <c r="M46" t="s">
        <v>8</v>
      </c>
      <c r="N46" t="s">
        <v>334</v>
      </c>
      <c r="O46">
        <v>1699736400</v>
      </c>
      <c r="P46">
        <v>19</v>
      </c>
      <c r="Q46">
        <v>1.8430769230769226</v>
      </c>
    </row>
    <row r="47" spans="1:32" x14ac:dyDescent="0.25">
      <c r="A47">
        <f t="shared" si="1"/>
        <v>22</v>
      </c>
      <c r="D47" t="s">
        <v>277</v>
      </c>
      <c r="E47" t="s">
        <v>8</v>
      </c>
      <c r="F47" t="s">
        <v>302</v>
      </c>
      <c r="G47">
        <v>1699401600</v>
      </c>
      <c r="H47">
        <v>251</v>
      </c>
      <c r="I47" s="16">
        <v>1.2928571428571429</v>
      </c>
      <c r="J47" s="11">
        <f t="shared" si="2"/>
        <v>45237.791666666664</v>
      </c>
      <c r="L47" t="s">
        <v>234</v>
      </c>
      <c r="M47" t="s">
        <v>8</v>
      </c>
      <c r="N47" t="s">
        <v>336</v>
      </c>
      <c r="O47">
        <v>1699736400</v>
      </c>
      <c r="P47">
        <v>245</v>
      </c>
      <c r="Q47">
        <v>1.3015384615384618</v>
      </c>
    </row>
    <row r="48" spans="1:32" x14ac:dyDescent="0.25">
      <c r="A48">
        <f t="shared" si="1"/>
        <v>22</v>
      </c>
      <c r="D48" t="s">
        <v>189</v>
      </c>
      <c r="E48" t="s">
        <v>8</v>
      </c>
      <c r="F48" t="s">
        <v>304</v>
      </c>
      <c r="G48">
        <v>1699403400</v>
      </c>
      <c r="H48">
        <v>216</v>
      </c>
      <c r="I48" s="16">
        <v>1.3553846153846152</v>
      </c>
      <c r="J48" s="11">
        <f t="shared" si="2"/>
        <v>45237.812499999993</v>
      </c>
      <c r="L48" t="s">
        <v>231</v>
      </c>
      <c r="M48" t="s">
        <v>8</v>
      </c>
      <c r="N48" t="s">
        <v>335</v>
      </c>
      <c r="O48">
        <v>1699736400</v>
      </c>
      <c r="P48">
        <v>78</v>
      </c>
      <c r="Q48">
        <v>1.6700000000000002</v>
      </c>
    </row>
    <row r="49" spans="1:17" x14ac:dyDescent="0.25">
      <c r="A49">
        <f t="shared" si="1"/>
        <v>22</v>
      </c>
      <c r="D49" t="s">
        <v>278</v>
      </c>
      <c r="E49" t="s">
        <v>8</v>
      </c>
      <c r="F49" t="s">
        <v>305</v>
      </c>
      <c r="G49">
        <v>1699488000</v>
      </c>
      <c r="H49">
        <v>247</v>
      </c>
      <c r="I49" s="16">
        <v>1.3007142857142857</v>
      </c>
      <c r="J49" s="11">
        <f t="shared" si="2"/>
        <v>45238.791666666664</v>
      </c>
      <c r="L49" t="s">
        <v>295</v>
      </c>
      <c r="M49" t="s">
        <v>8</v>
      </c>
      <c r="N49" t="s">
        <v>337</v>
      </c>
      <c r="O49">
        <v>1699739999</v>
      </c>
      <c r="P49">
        <v>294</v>
      </c>
      <c r="Q49">
        <v>1.2261538461538461</v>
      </c>
    </row>
    <row r="50" spans="1:17" x14ac:dyDescent="0.25">
      <c r="A50">
        <f t="shared" si="1"/>
        <v>22</v>
      </c>
      <c r="D50" t="s">
        <v>192</v>
      </c>
      <c r="E50" t="s">
        <v>8</v>
      </c>
      <c r="F50" t="s">
        <v>306</v>
      </c>
      <c r="G50">
        <v>1699576200</v>
      </c>
      <c r="H50">
        <v>280</v>
      </c>
      <c r="I50" s="16">
        <v>1.2471428571428571</v>
      </c>
      <c r="J50" s="11">
        <f t="shared" si="2"/>
        <v>45239.812499999993</v>
      </c>
      <c r="L50" t="s">
        <v>242</v>
      </c>
      <c r="M50" t="s">
        <v>8</v>
      </c>
      <c r="N50" t="s">
        <v>343</v>
      </c>
      <c r="O50">
        <v>1699747200</v>
      </c>
      <c r="P50">
        <v>51</v>
      </c>
      <c r="Q50">
        <v>1.7461538461538457</v>
      </c>
    </row>
    <row r="51" spans="1:17" x14ac:dyDescent="0.25">
      <c r="A51">
        <f t="shared" si="1"/>
        <v>22</v>
      </c>
      <c r="D51" t="s">
        <v>195</v>
      </c>
      <c r="E51" t="s">
        <v>8</v>
      </c>
      <c r="F51" t="s">
        <v>308</v>
      </c>
      <c r="G51">
        <v>1699674300</v>
      </c>
      <c r="H51">
        <v>131</v>
      </c>
      <c r="I51" s="16">
        <v>1.5349999999999999</v>
      </c>
      <c r="J51" s="11">
        <f t="shared" si="2"/>
        <v>45240.947916666664</v>
      </c>
      <c r="L51" t="s">
        <v>244</v>
      </c>
      <c r="M51" t="s">
        <v>8</v>
      </c>
      <c r="N51" t="s">
        <v>346</v>
      </c>
      <c r="O51">
        <v>1699747200</v>
      </c>
      <c r="P51">
        <v>50</v>
      </c>
      <c r="Q51">
        <v>1.7492307692307691</v>
      </c>
    </row>
    <row r="52" spans="1:17" x14ac:dyDescent="0.25">
      <c r="A52">
        <f t="shared" si="1"/>
        <v>22</v>
      </c>
      <c r="D52" t="s">
        <v>294</v>
      </c>
      <c r="E52" t="s">
        <v>8</v>
      </c>
      <c r="F52" t="s">
        <v>313</v>
      </c>
      <c r="G52">
        <v>1699722000</v>
      </c>
      <c r="H52">
        <v>226</v>
      </c>
      <c r="I52" s="16">
        <v>1.3378571428571426</v>
      </c>
      <c r="J52" s="11">
        <f t="shared" si="2"/>
        <v>45241.499999999993</v>
      </c>
      <c r="L52" t="s">
        <v>120</v>
      </c>
      <c r="M52" t="s">
        <v>8</v>
      </c>
      <c r="N52" t="s">
        <v>348</v>
      </c>
      <c r="O52">
        <v>1699747200</v>
      </c>
      <c r="P52">
        <v>332</v>
      </c>
      <c r="Q52">
        <v>1.1699999999999997</v>
      </c>
    </row>
    <row r="53" spans="1:17" x14ac:dyDescent="0.25">
      <c r="A53">
        <f t="shared" si="1"/>
        <v>22</v>
      </c>
      <c r="D53" t="s">
        <v>201</v>
      </c>
      <c r="E53" t="s">
        <v>8</v>
      </c>
      <c r="F53" t="s">
        <v>310</v>
      </c>
      <c r="G53">
        <v>1699722000</v>
      </c>
      <c r="H53">
        <v>50</v>
      </c>
      <c r="I53" s="16">
        <v>1.7507142857142857</v>
      </c>
      <c r="J53" s="11">
        <f t="shared" si="2"/>
        <v>45241.499999999993</v>
      </c>
      <c r="L53" t="s">
        <v>275</v>
      </c>
      <c r="M53" t="s">
        <v>8</v>
      </c>
      <c r="N53" t="s">
        <v>344</v>
      </c>
      <c r="O53">
        <v>1699747200</v>
      </c>
      <c r="P53">
        <v>290</v>
      </c>
      <c r="Q53">
        <v>1.2318181818181819</v>
      </c>
    </row>
    <row r="54" spans="1:17" x14ac:dyDescent="0.25">
      <c r="A54">
        <f t="shared" si="1"/>
        <v>22</v>
      </c>
      <c r="D54" t="s">
        <v>202</v>
      </c>
      <c r="E54" t="s">
        <v>8</v>
      </c>
      <c r="F54" t="s">
        <v>311</v>
      </c>
      <c r="G54">
        <v>1699722000</v>
      </c>
      <c r="H54">
        <v>198</v>
      </c>
      <c r="I54" s="16">
        <v>1.3885714285714283</v>
      </c>
      <c r="J54" s="11">
        <f t="shared" si="2"/>
        <v>45241.499999999993</v>
      </c>
      <c r="L54" t="s">
        <v>301</v>
      </c>
      <c r="M54" t="s">
        <v>8</v>
      </c>
      <c r="N54" t="s">
        <v>345</v>
      </c>
      <c r="O54">
        <v>1699747200</v>
      </c>
      <c r="P54">
        <v>316</v>
      </c>
      <c r="Q54">
        <v>1.1930769230769227</v>
      </c>
    </row>
    <row r="55" spans="1:17" x14ac:dyDescent="0.25">
      <c r="A55">
        <f t="shared" si="1"/>
        <v>22</v>
      </c>
      <c r="D55" t="s">
        <v>205</v>
      </c>
      <c r="E55" t="s">
        <v>8</v>
      </c>
      <c r="F55" t="s">
        <v>316</v>
      </c>
      <c r="G55">
        <v>1699725600</v>
      </c>
      <c r="H55">
        <v>328</v>
      </c>
      <c r="I55" s="16">
        <v>1.1757142857142855</v>
      </c>
      <c r="J55" s="11">
        <f t="shared" si="2"/>
        <v>45241.541666666664</v>
      </c>
      <c r="L55" t="s">
        <v>289</v>
      </c>
      <c r="M55" t="s">
        <v>8</v>
      </c>
      <c r="N55" t="s">
        <v>347</v>
      </c>
      <c r="O55">
        <v>1699747200</v>
      </c>
      <c r="P55">
        <v>135</v>
      </c>
      <c r="Q55">
        <v>1.5266666666666666</v>
      </c>
    </row>
    <row r="56" spans="1:17" x14ac:dyDescent="0.25">
      <c r="A56">
        <f t="shared" si="1"/>
        <v>22</v>
      </c>
      <c r="D56" t="s">
        <v>279</v>
      </c>
      <c r="E56" t="s">
        <v>8</v>
      </c>
      <c r="F56" t="s">
        <v>318</v>
      </c>
      <c r="G56">
        <v>1699729199</v>
      </c>
      <c r="H56">
        <v>45</v>
      </c>
      <c r="I56" s="16">
        <v>1.7623076923076924</v>
      </c>
      <c r="J56" s="11">
        <f t="shared" si="2"/>
        <v>45241.583321759252</v>
      </c>
      <c r="L56" t="s">
        <v>246</v>
      </c>
      <c r="M56" t="s">
        <v>8</v>
      </c>
      <c r="N56" t="s">
        <v>349</v>
      </c>
      <c r="O56">
        <v>1699749000</v>
      </c>
      <c r="P56">
        <v>264</v>
      </c>
      <c r="Q56">
        <v>1.2716666666666669</v>
      </c>
    </row>
    <row r="57" spans="1:17" x14ac:dyDescent="0.25">
      <c r="A57">
        <f t="shared" si="1"/>
        <v>22</v>
      </c>
      <c r="D57" t="s">
        <v>211</v>
      </c>
      <c r="E57" t="s">
        <v>8</v>
      </c>
      <c r="F57" t="s">
        <v>317</v>
      </c>
      <c r="G57">
        <v>1699729199</v>
      </c>
      <c r="H57">
        <v>301</v>
      </c>
      <c r="I57" s="16">
        <v>1.2158333333333335</v>
      </c>
      <c r="J57" s="11">
        <f t="shared" si="2"/>
        <v>45241.583321759252</v>
      </c>
      <c r="L57" t="s">
        <v>248</v>
      </c>
      <c r="M57" t="s">
        <v>8</v>
      </c>
      <c r="N57" t="s">
        <v>350</v>
      </c>
      <c r="O57">
        <v>1699749000</v>
      </c>
      <c r="P57">
        <v>325</v>
      </c>
      <c r="Q57">
        <v>1.1799999999999997</v>
      </c>
    </row>
    <row r="58" spans="1:17" x14ac:dyDescent="0.25">
      <c r="A58">
        <f t="shared" si="1"/>
        <v>22</v>
      </c>
      <c r="D58" t="s">
        <v>300</v>
      </c>
      <c r="E58" t="s">
        <v>8</v>
      </c>
      <c r="F58" t="s">
        <v>320</v>
      </c>
      <c r="G58">
        <v>1699729199</v>
      </c>
      <c r="H58">
        <v>52</v>
      </c>
      <c r="I58" s="16">
        <v>1.7430769230769227</v>
      </c>
      <c r="J58" s="11">
        <f t="shared" si="2"/>
        <v>45241.583321759252</v>
      </c>
      <c r="L58" t="s">
        <v>297</v>
      </c>
      <c r="M58" t="s">
        <v>8</v>
      </c>
      <c r="N58" t="s">
        <v>351</v>
      </c>
      <c r="O58">
        <v>1699750799</v>
      </c>
      <c r="P58">
        <v>317</v>
      </c>
      <c r="Q58">
        <v>1.1924999999999997</v>
      </c>
    </row>
    <row r="59" spans="1:17" x14ac:dyDescent="0.25">
      <c r="A59">
        <f t="shared" si="1"/>
        <v>22</v>
      </c>
      <c r="D59" t="s">
        <v>281</v>
      </c>
      <c r="E59" t="s">
        <v>8</v>
      </c>
      <c r="F59" t="s">
        <v>321</v>
      </c>
      <c r="G59">
        <v>1699732800</v>
      </c>
      <c r="H59">
        <v>235</v>
      </c>
      <c r="I59" s="16">
        <v>1.320909090909091</v>
      </c>
      <c r="J59" s="11">
        <f t="shared" si="2"/>
        <v>45241.624999999993</v>
      </c>
      <c r="L59" t="s">
        <v>291</v>
      </c>
      <c r="M59" t="s">
        <v>8</v>
      </c>
      <c r="N59" t="s">
        <v>354</v>
      </c>
      <c r="O59">
        <v>1699758000</v>
      </c>
      <c r="P59">
        <v>203</v>
      </c>
      <c r="Q59">
        <v>1.3783333333333332</v>
      </c>
    </row>
    <row r="60" spans="1:17" x14ac:dyDescent="0.25">
      <c r="A60">
        <f t="shared" si="1"/>
        <v>22</v>
      </c>
      <c r="D60" t="s">
        <v>224</v>
      </c>
      <c r="E60" t="s">
        <v>8</v>
      </c>
      <c r="F60" t="s">
        <v>324</v>
      </c>
      <c r="G60">
        <v>1699734599</v>
      </c>
      <c r="H60">
        <v>78</v>
      </c>
      <c r="I60" s="16">
        <v>1.6723076923076925</v>
      </c>
      <c r="J60" s="11">
        <f t="shared" si="2"/>
        <v>45241.645821759252</v>
      </c>
      <c r="L60" t="s">
        <v>292</v>
      </c>
      <c r="M60" t="s">
        <v>8</v>
      </c>
      <c r="N60" t="s">
        <v>356</v>
      </c>
      <c r="O60">
        <v>1699759800</v>
      </c>
      <c r="P60">
        <v>11</v>
      </c>
      <c r="Q60">
        <v>1.8600000000000003</v>
      </c>
    </row>
    <row r="61" spans="1:17" x14ac:dyDescent="0.25">
      <c r="A61">
        <f t="shared" si="1"/>
        <v>22</v>
      </c>
      <c r="D61" t="s">
        <v>226</v>
      </c>
      <c r="E61" t="s">
        <v>8</v>
      </c>
      <c r="F61" t="s">
        <v>333</v>
      </c>
      <c r="G61">
        <v>1699734599</v>
      </c>
      <c r="H61">
        <v>296</v>
      </c>
      <c r="I61" s="16">
        <v>1.2223076923076923</v>
      </c>
      <c r="J61" s="11">
        <f t="shared" si="2"/>
        <v>45241.645821759252</v>
      </c>
      <c r="L61" t="s">
        <v>124</v>
      </c>
      <c r="M61" t="s">
        <v>9</v>
      </c>
      <c r="N61" t="s">
        <v>307</v>
      </c>
      <c r="O61">
        <v>1699578900</v>
      </c>
      <c r="P61">
        <v>117</v>
      </c>
      <c r="Q61">
        <v>1.5687499999999999</v>
      </c>
    </row>
    <row r="62" spans="1:17" x14ac:dyDescent="0.25">
      <c r="A62">
        <f t="shared" si="1"/>
        <v>22</v>
      </c>
      <c r="D62" t="s">
        <v>286</v>
      </c>
      <c r="E62" t="s">
        <v>8</v>
      </c>
      <c r="F62" t="s">
        <v>323</v>
      </c>
      <c r="G62">
        <v>1699734599</v>
      </c>
      <c r="H62">
        <v>15</v>
      </c>
      <c r="I62" s="16">
        <v>1.8553846153846156</v>
      </c>
      <c r="J62" s="11">
        <f t="shared" si="2"/>
        <v>45241.645821759252</v>
      </c>
      <c r="L62" t="s">
        <v>125</v>
      </c>
      <c r="M62" t="s">
        <v>9</v>
      </c>
      <c r="N62" t="s">
        <v>361</v>
      </c>
      <c r="O62">
        <v>1699799399</v>
      </c>
      <c r="P62">
        <v>27</v>
      </c>
      <c r="Q62">
        <v>1.8168749999999998</v>
      </c>
    </row>
    <row r="63" spans="1:17" x14ac:dyDescent="0.25">
      <c r="A63">
        <f t="shared" si="1"/>
        <v>22</v>
      </c>
      <c r="C63" s="12"/>
      <c r="D63" t="s">
        <v>285</v>
      </c>
      <c r="E63" t="s">
        <v>8</v>
      </c>
      <c r="F63" t="s">
        <v>330</v>
      </c>
      <c r="G63">
        <v>1699734599</v>
      </c>
      <c r="H63">
        <v>144</v>
      </c>
      <c r="I63" s="16">
        <v>1.5061538461538464</v>
      </c>
      <c r="J63" s="11">
        <f t="shared" si="2"/>
        <v>45241.645821759252</v>
      </c>
      <c r="L63" t="s">
        <v>131</v>
      </c>
      <c r="M63" t="s">
        <v>9</v>
      </c>
      <c r="N63" t="s">
        <v>367</v>
      </c>
      <c r="O63">
        <v>1699812000</v>
      </c>
      <c r="P63">
        <v>115</v>
      </c>
      <c r="Q63">
        <v>1.5731249999999999</v>
      </c>
    </row>
    <row r="64" spans="1:17" x14ac:dyDescent="0.25">
      <c r="A64">
        <f t="shared" si="1"/>
        <v>22</v>
      </c>
      <c r="C64" s="12"/>
      <c r="D64" t="s">
        <v>228</v>
      </c>
      <c r="E64" t="s">
        <v>8</v>
      </c>
      <c r="F64" t="s">
        <v>331</v>
      </c>
      <c r="G64">
        <v>1699734599</v>
      </c>
      <c r="H64">
        <v>84</v>
      </c>
      <c r="I64" s="16">
        <v>1.6561538461538463</v>
      </c>
      <c r="J64" s="11">
        <f t="shared" si="2"/>
        <v>45241.645821759252</v>
      </c>
      <c r="L64" t="s">
        <v>129</v>
      </c>
      <c r="M64" t="s">
        <v>9</v>
      </c>
      <c r="N64" t="s">
        <v>362</v>
      </c>
      <c r="O64">
        <v>1699812000</v>
      </c>
      <c r="P64">
        <v>201</v>
      </c>
      <c r="Q64">
        <v>1.3806249999999998</v>
      </c>
    </row>
    <row r="65" spans="1:17" x14ac:dyDescent="0.25">
      <c r="A65">
        <f t="shared" si="1"/>
        <v>22</v>
      </c>
      <c r="D65" t="s">
        <v>287</v>
      </c>
      <c r="E65" t="s">
        <v>8</v>
      </c>
      <c r="F65" t="s">
        <v>334</v>
      </c>
      <c r="G65">
        <v>1699736400</v>
      </c>
      <c r="H65">
        <v>19</v>
      </c>
      <c r="I65" s="16">
        <v>1.8430769230769226</v>
      </c>
      <c r="J65" s="11">
        <f t="shared" si="2"/>
        <v>45241.666666666664</v>
      </c>
      <c r="L65" t="s">
        <v>127</v>
      </c>
      <c r="M65" t="s">
        <v>9</v>
      </c>
      <c r="N65" t="s">
        <v>365</v>
      </c>
      <c r="O65">
        <v>1699812000</v>
      </c>
      <c r="P65">
        <v>68</v>
      </c>
      <c r="Q65">
        <v>1.69875</v>
      </c>
    </row>
    <row r="66" spans="1:17" x14ac:dyDescent="0.25">
      <c r="A66">
        <f t="shared" si="1"/>
        <v>22</v>
      </c>
      <c r="D66" t="s">
        <v>234</v>
      </c>
      <c r="E66" t="s">
        <v>8</v>
      </c>
      <c r="F66" t="s">
        <v>336</v>
      </c>
      <c r="G66">
        <v>1699736400</v>
      </c>
      <c r="H66">
        <v>245</v>
      </c>
      <c r="I66" s="16">
        <v>1.3015384615384618</v>
      </c>
      <c r="J66" s="11">
        <f t="shared" si="2"/>
        <v>45241.666666666664</v>
      </c>
      <c r="L66" t="s">
        <v>128</v>
      </c>
      <c r="M66" t="s">
        <v>9</v>
      </c>
      <c r="N66" t="s">
        <v>366</v>
      </c>
      <c r="O66">
        <v>1699812000</v>
      </c>
      <c r="P66">
        <v>11</v>
      </c>
      <c r="Q66">
        <v>1.868125</v>
      </c>
    </row>
    <row r="67" spans="1:17" x14ac:dyDescent="0.25">
      <c r="A67">
        <f t="shared" si="1"/>
        <v>22</v>
      </c>
      <c r="D67" t="s">
        <v>295</v>
      </c>
      <c r="E67" t="s">
        <v>8</v>
      </c>
      <c r="F67" t="s">
        <v>337</v>
      </c>
      <c r="G67">
        <v>1699739999</v>
      </c>
      <c r="H67">
        <v>294</v>
      </c>
      <c r="I67" s="16">
        <v>1.2261538461538461</v>
      </c>
      <c r="J67" s="11">
        <f t="shared" si="2"/>
        <v>45241.708321759252</v>
      </c>
      <c r="L67" t="s">
        <v>130</v>
      </c>
      <c r="M67" t="s">
        <v>9</v>
      </c>
      <c r="N67" t="s">
        <v>363</v>
      </c>
      <c r="O67">
        <v>1699812000</v>
      </c>
      <c r="P67">
        <v>232</v>
      </c>
      <c r="Q67">
        <v>1.3268749999999998</v>
      </c>
    </row>
    <row r="68" spans="1:17" x14ac:dyDescent="0.25">
      <c r="A68">
        <f t="shared" si="1"/>
        <v>22</v>
      </c>
      <c r="C68" s="12"/>
      <c r="D68" t="s">
        <v>244</v>
      </c>
      <c r="E68" t="s">
        <v>8</v>
      </c>
      <c r="F68" t="s">
        <v>346</v>
      </c>
      <c r="G68">
        <v>1699747200</v>
      </c>
      <c r="H68">
        <v>50</v>
      </c>
      <c r="I68" s="16">
        <v>1.7492307692307691</v>
      </c>
      <c r="J68" s="11">
        <f t="shared" ref="J68:J94" si="3">G68/86400+25569-5/24</f>
        <v>45241.791666666664</v>
      </c>
      <c r="L68" t="s">
        <v>140</v>
      </c>
      <c r="M68" t="s">
        <v>9</v>
      </c>
      <c r="N68" t="s">
        <v>364</v>
      </c>
      <c r="O68">
        <v>1699812000</v>
      </c>
      <c r="P68">
        <v>103</v>
      </c>
      <c r="Q68">
        <v>1.6049999999999998</v>
      </c>
    </row>
    <row r="69" spans="1:17" x14ac:dyDescent="0.25">
      <c r="A69">
        <f t="shared" si="1"/>
        <v>22</v>
      </c>
      <c r="D69" t="s">
        <v>301</v>
      </c>
      <c r="E69" t="s">
        <v>8</v>
      </c>
      <c r="F69" t="s">
        <v>345</v>
      </c>
      <c r="G69">
        <v>1699747200</v>
      </c>
      <c r="H69">
        <v>316</v>
      </c>
      <c r="I69" s="16">
        <v>1.1930769230769227</v>
      </c>
      <c r="J69" s="11">
        <f t="shared" si="3"/>
        <v>45241.791666666664</v>
      </c>
      <c r="L69" t="s">
        <v>133</v>
      </c>
      <c r="M69" t="s">
        <v>9</v>
      </c>
      <c r="N69" t="s">
        <v>368</v>
      </c>
      <c r="O69">
        <v>1699823099</v>
      </c>
      <c r="P69">
        <v>36</v>
      </c>
      <c r="Q69">
        <v>1.7925</v>
      </c>
    </row>
    <row r="70" spans="1:17" x14ac:dyDescent="0.25">
      <c r="A70">
        <f t="shared" si="1"/>
        <v>22</v>
      </c>
      <c r="D70" t="s">
        <v>289</v>
      </c>
      <c r="E70" t="s">
        <v>8</v>
      </c>
      <c r="F70" t="s">
        <v>347</v>
      </c>
      <c r="G70">
        <v>1699747200</v>
      </c>
      <c r="H70">
        <v>135</v>
      </c>
      <c r="I70" s="16">
        <v>1.5266666666666666</v>
      </c>
      <c r="J70" s="11">
        <f t="shared" si="3"/>
        <v>45241.791666666664</v>
      </c>
      <c r="L70" t="s">
        <v>132</v>
      </c>
      <c r="M70" t="s">
        <v>9</v>
      </c>
      <c r="N70" t="s">
        <v>369</v>
      </c>
      <c r="O70">
        <v>1699823099</v>
      </c>
      <c r="P70">
        <v>13</v>
      </c>
      <c r="Q70">
        <v>1.8621428571428578</v>
      </c>
    </row>
    <row r="71" spans="1:17" x14ac:dyDescent="0.25">
      <c r="A71">
        <f t="shared" si="1"/>
        <v>22</v>
      </c>
      <c r="D71" t="s">
        <v>248</v>
      </c>
      <c r="E71" t="s">
        <v>8</v>
      </c>
      <c r="F71" t="s">
        <v>350</v>
      </c>
      <c r="G71">
        <v>1699749000</v>
      </c>
      <c r="H71">
        <v>325</v>
      </c>
      <c r="I71" s="16">
        <v>1.1799999999999997</v>
      </c>
      <c r="J71" s="11">
        <f t="shared" si="3"/>
        <v>45241.812499999993</v>
      </c>
      <c r="L71" t="s">
        <v>135</v>
      </c>
      <c r="M71" t="s">
        <v>9</v>
      </c>
      <c r="N71" t="s">
        <v>371</v>
      </c>
      <c r="O71">
        <v>1699824299</v>
      </c>
      <c r="P71">
        <v>208</v>
      </c>
      <c r="Q71">
        <v>1.3699999999999997</v>
      </c>
    </row>
    <row r="72" spans="1:17" x14ac:dyDescent="0.25">
      <c r="A72">
        <f t="shared" si="1"/>
        <v>22</v>
      </c>
      <c r="D72" t="s">
        <v>297</v>
      </c>
      <c r="E72" t="s">
        <v>8</v>
      </c>
      <c r="F72" t="s">
        <v>351</v>
      </c>
      <c r="G72">
        <v>1699750799</v>
      </c>
      <c r="H72">
        <v>317</v>
      </c>
      <c r="I72" s="16">
        <v>1.1924999999999997</v>
      </c>
      <c r="J72" s="11">
        <f t="shared" si="3"/>
        <v>45241.833321759252</v>
      </c>
      <c r="L72" t="s">
        <v>136</v>
      </c>
      <c r="M72" t="s">
        <v>9</v>
      </c>
      <c r="N72" t="s">
        <v>372</v>
      </c>
      <c r="O72">
        <v>1699838400</v>
      </c>
      <c r="P72">
        <v>41</v>
      </c>
      <c r="Q72">
        <v>1.775625</v>
      </c>
    </row>
    <row r="73" spans="1:17" x14ac:dyDescent="0.25">
      <c r="A73">
        <f t="shared" si="1"/>
        <v>22</v>
      </c>
      <c r="D73" t="s">
        <v>291</v>
      </c>
      <c r="E73" t="s">
        <v>8</v>
      </c>
      <c r="F73" t="s">
        <v>354</v>
      </c>
      <c r="G73">
        <v>1699758000</v>
      </c>
      <c r="H73">
        <v>203</v>
      </c>
      <c r="I73" s="16">
        <v>1.3783333333333332</v>
      </c>
      <c r="J73" s="11">
        <f t="shared" si="3"/>
        <v>45241.916666666664</v>
      </c>
      <c r="L73" t="s">
        <v>138</v>
      </c>
      <c r="M73" t="s">
        <v>9</v>
      </c>
      <c r="N73" t="s">
        <v>373</v>
      </c>
      <c r="O73">
        <v>1699924500</v>
      </c>
      <c r="P73">
        <v>265</v>
      </c>
      <c r="Q73">
        <v>1.2706249999999999</v>
      </c>
    </row>
    <row r="74" spans="1:17" x14ac:dyDescent="0.25">
      <c r="A74">
        <f t="shared" si="1"/>
        <v>22</v>
      </c>
      <c r="D74" t="s">
        <v>292</v>
      </c>
      <c r="E74" t="s">
        <v>8</v>
      </c>
      <c r="F74" t="s">
        <v>356</v>
      </c>
      <c r="G74">
        <v>1699759800</v>
      </c>
      <c r="H74">
        <v>11</v>
      </c>
      <c r="I74" s="16">
        <v>1.8600000000000003</v>
      </c>
      <c r="J74" s="11">
        <f t="shared" si="3"/>
        <v>45241.937499999993</v>
      </c>
    </row>
    <row r="75" spans="1:17" x14ac:dyDescent="0.25">
      <c r="D75" t="s">
        <v>124</v>
      </c>
      <c r="E75" t="s">
        <v>9</v>
      </c>
      <c r="F75" t="s">
        <v>307</v>
      </c>
      <c r="G75">
        <v>1699578900</v>
      </c>
      <c r="H75">
        <v>117</v>
      </c>
      <c r="I75" s="16">
        <v>1.5687499999999999</v>
      </c>
      <c r="J75" s="11">
        <f t="shared" si="3"/>
        <v>45239.843749999993</v>
      </c>
    </row>
    <row r="76" spans="1:17" x14ac:dyDescent="0.25">
      <c r="D76" t="s">
        <v>125</v>
      </c>
      <c r="E76" t="s">
        <v>9</v>
      </c>
      <c r="F76" t="s">
        <v>361</v>
      </c>
      <c r="G76">
        <v>1699799399</v>
      </c>
      <c r="H76">
        <v>27</v>
      </c>
      <c r="I76" s="16">
        <v>1.8168749999999998</v>
      </c>
      <c r="J76" s="11">
        <f t="shared" si="3"/>
        <v>45242.395821759252</v>
      </c>
    </row>
    <row r="77" spans="1:17" x14ac:dyDescent="0.25">
      <c r="D77" t="s">
        <v>131</v>
      </c>
      <c r="E77" t="s">
        <v>9</v>
      </c>
      <c r="F77" t="s">
        <v>367</v>
      </c>
      <c r="G77">
        <v>1699812000</v>
      </c>
      <c r="H77">
        <v>115</v>
      </c>
      <c r="I77" s="16">
        <v>1.5731249999999999</v>
      </c>
      <c r="J77" s="11">
        <f t="shared" si="3"/>
        <v>45242.541666666664</v>
      </c>
    </row>
    <row r="78" spans="1:17" x14ac:dyDescent="0.25">
      <c r="D78" t="s">
        <v>129</v>
      </c>
      <c r="E78" t="s">
        <v>9</v>
      </c>
      <c r="F78" t="s">
        <v>362</v>
      </c>
      <c r="G78">
        <v>1699812000</v>
      </c>
      <c r="H78">
        <v>201</v>
      </c>
      <c r="I78" s="16">
        <v>1.3806249999999998</v>
      </c>
      <c r="J78" s="11">
        <f t="shared" si="3"/>
        <v>45242.541666666664</v>
      </c>
    </row>
    <row r="79" spans="1:17" x14ac:dyDescent="0.25">
      <c r="D79" t="s">
        <v>127</v>
      </c>
      <c r="E79" t="s">
        <v>9</v>
      </c>
      <c r="F79" t="s">
        <v>365</v>
      </c>
      <c r="G79">
        <v>1699812000</v>
      </c>
      <c r="H79">
        <v>68</v>
      </c>
      <c r="I79" s="16">
        <v>1.69875</v>
      </c>
      <c r="J79" s="11">
        <f t="shared" si="3"/>
        <v>45242.541666666664</v>
      </c>
    </row>
    <row r="80" spans="1:17" x14ac:dyDescent="0.25">
      <c r="D80" t="s">
        <v>128</v>
      </c>
      <c r="E80" t="s">
        <v>9</v>
      </c>
      <c r="F80" t="s">
        <v>366</v>
      </c>
      <c r="G80">
        <v>1699812000</v>
      </c>
      <c r="H80">
        <v>11</v>
      </c>
      <c r="I80" s="16">
        <v>1.868125</v>
      </c>
      <c r="J80" s="11">
        <f t="shared" si="3"/>
        <v>45242.541666666664</v>
      </c>
    </row>
    <row r="81" spans="3:10" x14ac:dyDescent="0.25">
      <c r="D81" t="s">
        <v>130</v>
      </c>
      <c r="E81" t="s">
        <v>9</v>
      </c>
      <c r="F81" t="s">
        <v>363</v>
      </c>
      <c r="G81">
        <v>1699812000</v>
      </c>
      <c r="H81">
        <v>232</v>
      </c>
      <c r="I81" s="16">
        <v>1.3268749999999998</v>
      </c>
      <c r="J81" s="11">
        <f t="shared" si="3"/>
        <v>45242.541666666664</v>
      </c>
    </row>
    <row r="82" spans="3:10" x14ac:dyDescent="0.25">
      <c r="C82" s="12"/>
      <c r="D82" t="s">
        <v>140</v>
      </c>
      <c r="E82" t="s">
        <v>9</v>
      </c>
      <c r="F82" t="s">
        <v>364</v>
      </c>
      <c r="G82">
        <v>1699812000</v>
      </c>
      <c r="H82">
        <v>103</v>
      </c>
      <c r="I82" s="16">
        <v>1.6049999999999998</v>
      </c>
      <c r="J82" s="11">
        <f t="shared" si="3"/>
        <v>45242.541666666664</v>
      </c>
    </row>
    <row r="83" spans="3:10" x14ac:dyDescent="0.25">
      <c r="D83" t="s">
        <v>133</v>
      </c>
      <c r="E83" t="s">
        <v>9</v>
      </c>
      <c r="F83" t="s">
        <v>368</v>
      </c>
      <c r="G83">
        <v>1699823099</v>
      </c>
      <c r="H83">
        <v>36</v>
      </c>
      <c r="I83" s="16">
        <v>1.7925</v>
      </c>
      <c r="J83" s="11">
        <f t="shared" si="3"/>
        <v>45242.670127314814</v>
      </c>
    </row>
    <row r="84" spans="3:10" x14ac:dyDescent="0.25">
      <c r="C84" s="12"/>
      <c r="D84" t="s">
        <v>132</v>
      </c>
      <c r="E84" t="s">
        <v>9</v>
      </c>
      <c r="F84" t="s">
        <v>369</v>
      </c>
      <c r="G84">
        <v>1699823099</v>
      </c>
      <c r="H84">
        <v>13</v>
      </c>
      <c r="I84" s="16">
        <v>1.8621428571428578</v>
      </c>
      <c r="J84" s="11">
        <f t="shared" si="3"/>
        <v>45242.670127314814</v>
      </c>
    </row>
    <row r="85" spans="3:10" x14ac:dyDescent="0.25">
      <c r="D85" t="s">
        <v>135</v>
      </c>
      <c r="E85" t="s">
        <v>9</v>
      </c>
      <c r="F85" t="s">
        <v>371</v>
      </c>
      <c r="G85">
        <v>1699824299</v>
      </c>
      <c r="H85">
        <v>208</v>
      </c>
      <c r="I85" s="16">
        <v>1.3699999999999997</v>
      </c>
      <c r="J85" s="11">
        <f t="shared" si="3"/>
        <v>45242.684016203704</v>
      </c>
    </row>
    <row r="86" spans="3:10" x14ac:dyDescent="0.25">
      <c r="C86" s="12"/>
      <c r="D86" t="s">
        <v>136</v>
      </c>
      <c r="E86" t="s">
        <v>9</v>
      </c>
      <c r="F86" t="s">
        <v>372</v>
      </c>
      <c r="G86">
        <v>1699838400</v>
      </c>
      <c r="H86">
        <v>41</v>
      </c>
      <c r="I86" s="16">
        <v>1.775625</v>
      </c>
      <c r="J86" s="11">
        <f t="shared" si="3"/>
        <v>45242.847222222219</v>
      </c>
    </row>
    <row r="87" spans="3:10" x14ac:dyDescent="0.25">
      <c r="C87" s="12"/>
      <c r="D87" t="s">
        <v>138</v>
      </c>
      <c r="E87" t="s">
        <v>9</v>
      </c>
      <c r="F87" t="s">
        <v>373</v>
      </c>
      <c r="G87">
        <v>1699924500</v>
      </c>
      <c r="H87">
        <v>265</v>
      </c>
      <c r="I87" s="16">
        <v>1.2706249999999999</v>
      </c>
      <c r="J87" s="11">
        <f t="shared" si="3"/>
        <v>45243.843749999993</v>
      </c>
    </row>
    <row r="88" spans="3:10" x14ac:dyDescent="0.25">
      <c r="C88" s="12"/>
      <c r="D88" t="s">
        <v>280</v>
      </c>
      <c r="E88" t="s">
        <v>8</v>
      </c>
      <c r="F88" t="s">
        <v>322</v>
      </c>
      <c r="G88">
        <v>1699732800</v>
      </c>
      <c r="H88">
        <v>369</v>
      </c>
      <c r="I88" s="16">
        <v>1.1207692307692301</v>
      </c>
      <c r="J88" s="11">
        <f t="shared" si="3"/>
        <v>45241.624999999993</v>
      </c>
    </row>
    <row r="89" spans="3:10" x14ac:dyDescent="0.25">
      <c r="C89" s="12"/>
      <c r="D89" t="s">
        <v>248</v>
      </c>
      <c r="E89" t="s">
        <v>8</v>
      </c>
      <c r="F89" t="s">
        <v>350</v>
      </c>
      <c r="G89">
        <v>1699749000</v>
      </c>
      <c r="H89">
        <v>325</v>
      </c>
      <c r="I89" s="16">
        <v>1.18</v>
      </c>
      <c r="J89" s="11">
        <f t="shared" si="3"/>
        <v>45241.812499999993</v>
      </c>
    </row>
    <row r="90" spans="3:10" x14ac:dyDescent="0.25">
      <c r="D90" t="s">
        <v>200</v>
      </c>
      <c r="E90" t="s">
        <v>8</v>
      </c>
      <c r="F90" t="s">
        <v>314</v>
      </c>
      <c r="G90">
        <v>1699722000</v>
      </c>
      <c r="H90">
        <v>27</v>
      </c>
      <c r="I90" s="16">
        <v>1.8214285714285701</v>
      </c>
      <c r="J90" s="11">
        <f t="shared" si="3"/>
        <v>45241.499999999993</v>
      </c>
    </row>
    <row r="91" spans="3:10" x14ac:dyDescent="0.25">
      <c r="D91" t="s">
        <v>219</v>
      </c>
      <c r="E91" t="s">
        <v>8</v>
      </c>
      <c r="F91" t="s">
        <v>325</v>
      </c>
      <c r="G91">
        <v>1699734599</v>
      </c>
      <c r="H91">
        <v>257</v>
      </c>
      <c r="I91" s="16">
        <v>1.2833333333333301</v>
      </c>
      <c r="J91" s="11">
        <f t="shared" si="3"/>
        <v>45241.645821759252</v>
      </c>
    </row>
    <row r="92" spans="3:10" x14ac:dyDescent="0.25">
      <c r="D92" t="s">
        <v>188</v>
      </c>
      <c r="E92" t="s">
        <v>8</v>
      </c>
      <c r="F92" t="s">
        <v>303</v>
      </c>
      <c r="G92">
        <v>1699401600</v>
      </c>
      <c r="H92">
        <v>85</v>
      </c>
      <c r="I92" s="16">
        <v>1.65214285714286</v>
      </c>
      <c r="J92" s="11">
        <f t="shared" si="3"/>
        <v>45237.791666666664</v>
      </c>
    </row>
    <row r="93" spans="3:10" x14ac:dyDescent="0.25">
      <c r="D93" t="s">
        <v>285</v>
      </c>
      <c r="E93" t="s">
        <v>8</v>
      </c>
      <c r="F93" t="s">
        <v>330</v>
      </c>
      <c r="G93">
        <v>1699734599</v>
      </c>
      <c r="H93">
        <v>144</v>
      </c>
      <c r="I93" s="16">
        <v>1.50615384615385</v>
      </c>
      <c r="J93" s="11">
        <f t="shared" si="3"/>
        <v>45241.645821759252</v>
      </c>
    </row>
    <row r="94" spans="3:10" x14ac:dyDescent="0.25">
      <c r="D94" t="s">
        <v>222</v>
      </c>
      <c r="E94" t="s">
        <v>8</v>
      </c>
      <c r="F94" t="s">
        <v>329</v>
      </c>
      <c r="G94">
        <v>1699734599</v>
      </c>
      <c r="H94">
        <v>283</v>
      </c>
      <c r="I94" s="16">
        <v>1.2423076923076899</v>
      </c>
      <c r="J94" s="11">
        <f t="shared" si="3"/>
        <v>45241.645821759252</v>
      </c>
    </row>
  </sheetData>
  <sortState xmlns:xlrd2="http://schemas.microsoft.com/office/spreadsheetml/2017/richdata2" ref="C4:J94">
    <sortCondition descending="1" ref="C4:C9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D5B2-7F47-4264-9C3A-51091D64C761}">
  <sheetPr codeName="Sheet4"/>
  <dimension ref="A1:R1384"/>
  <sheetViews>
    <sheetView zoomScale="75" zoomScaleNormal="75" workbookViewId="0">
      <pane ySplit="3375" topLeftCell="A1362"/>
      <selection activeCell="J1" sqref="J1:N1"/>
      <selection pane="bottomLeft" activeCell="J1385" sqref="J1385"/>
    </sheetView>
  </sheetViews>
  <sheetFormatPr defaultRowHeight="15" x14ac:dyDescent="0.25"/>
  <cols>
    <col min="1" max="1" width="24.140625" customWidth="1"/>
    <col min="2" max="2" width="24.42578125" customWidth="1"/>
    <col min="5" max="5" width="13.7109375" customWidth="1"/>
    <col min="10" max="10" width="54.28515625" customWidth="1"/>
    <col min="11" max="11" width="26.140625" customWidth="1"/>
  </cols>
  <sheetData>
    <row r="1" spans="1:18" x14ac:dyDescent="0.25">
      <c r="A1" t="s">
        <v>11</v>
      </c>
      <c r="B1" t="s">
        <v>36</v>
      </c>
      <c r="C1" t="s">
        <v>35</v>
      </c>
      <c r="D1" t="s">
        <v>34</v>
      </c>
      <c r="E1" t="s">
        <v>33</v>
      </c>
      <c r="F1" t="s">
        <v>32</v>
      </c>
      <c r="G1" t="s">
        <v>31</v>
      </c>
      <c r="H1" t="s">
        <v>30</v>
      </c>
      <c r="J1" s="1" t="s">
        <v>11</v>
      </c>
      <c r="K1" s="1" t="s">
        <v>436</v>
      </c>
      <c r="L1" s="1" t="s">
        <v>32</v>
      </c>
      <c r="M1" s="1" t="s">
        <v>31</v>
      </c>
      <c r="N1" s="1" t="s">
        <v>12</v>
      </c>
      <c r="P1" s="1" t="s">
        <v>8</v>
      </c>
      <c r="Q1" s="1" t="s">
        <v>9</v>
      </c>
      <c r="R1" s="1" t="s">
        <v>10</v>
      </c>
    </row>
    <row r="2" spans="1:18" x14ac:dyDescent="0.25">
      <c r="A2" t="s">
        <v>59</v>
      </c>
      <c r="B2" t="s">
        <v>60</v>
      </c>
      <c r="C2" t="s">
        <v>16</v>
      </c>
      <c r="D2" t="s">
        <v>26</v>
      </c>
      <c r="E2" t="s">
        <v>404</v>
      </c>
      <c r="F2">
        <v>1.43</v>
      </c>
      <c r="G2">
        <v>2.9</v>
      </c>
      <c r="H2" s="1" t="s">
        <v>10</v>
      </c>
      <c r="J2" t="s">
        <v>192</v>
      </c>
      <c r="K2" t="s">
        <v>191</v>
      </c>
      <c r="L2">
        <v>1.41</v>
      </c>
      <c r="M2">
        <v>2.85</v>
      </c>
      <c r="N2" t="s">
        <v>8</v>
      </c>
    </row>
    <row r="3" spans="1:18" x14ac:dyDescent="0.25">
      <c r="A3" t="s">
        <v>59</v>
      </c>
      <c r="B3" t="s">
        <v>60</v>
      </c>
      <c r="C3" t="s">
        <v>16</v>
      </c>
      <c r="D3" t="s">
        <v>21</v>
      </c>
      <c r="E3" t="s">
        <v>405</v>
      </c>
      <c r="F3">
        <v>1.44</v>
      </c>
      <c r="G3">
        <v>2.9</v>
      </c>
      <c r="H3" s="1" t="s">
        <v>10</v>
      </c>
      <c r="J3" t="s">
        <v>192</v>
      </c>
      <c r="K3" t="s">
        <v>191</v>
      </c>
      <c r="L3">
        <v>1.34</v>
      </c>
      <c r="M3">
        <v>3.15</v>
      </c>
      <c r="N3" t="s">
        <v>8</v>
      </c>
    </row>
    <row r="4" spans="1:18" x14ac:dyDescent="0.25">
      <c r="A4" t="s">
        <v>59</v>
      </c>
      <c r="B4" t="s">
        <v>60</v>
      </c>
      <c r="C4" t="s">
        <v>16</v>
      </c>
      <c r="D4" t="s">
        <v>24</v>
      </c>
      <c r="E4" t="s">
        <v>406</v>
      </c>
      <c r="F4">
        <v>1.44</v>
      </c>
      <c r="G4">
        <v>2.9</v>
      </c>
      <c r="H4" s="1" t="s">
        <v>10</v>
      </c>
      <c r="J4" t="s">
        <v>192</v>
      </c>
      <c r="K4" t="s">
        <v>191</v>
      </c>
      <c r="L4">
        <v>1.38</v>
      </c>
      <c r="M4">
        <v>2.9</v>
      </c>
      <c r="N4" t="s">
        <v>8</v>
      </c>
    </row>
    <row r="5" spans="1:18" x14ac:dyDescent="0.25">
      <c r="A5" t="s">
        <v>59</v>
      </c>
      <c r="B5" t="s">
        <v>60</v>
      </c>
      <c r="C5" t="s">
        <v>16</v>
      </c>
      <c r="D5" t="s">
        <v>17</v>
      </c>
      <c r="E5" t="s">
        <v>407</v>
      </c>
      <c r="F5">
        <v>1.43</v>
      </c>
      <c r="G5">
        <v>2.85</v>
      </c>
      <c r="H5" s="1" t="s">
        <v>10</v>
      </c>
      <c r="J5" t="s">
        <v>192</v>
      </c>
      <c r="K5" t="s">
        <v>191</v>
      </c>
      <c r="L5">
        <v>1</v>
      </c>
      <c r="M5">
        <v>1</v>
      </c>
      <c r="N5" t="s">
        <v>8</v>
      </c>
    </row>
    <row r="6" spans="1:18" x14ac:dyDescent="0.25">
      <c r="A6" t="s">
        <v>59</v>
      </c>
      <c r="B6" t="s">
        <v>60</v>
      </c>
      <c r="C6" t="s">
        <v>16</v>
      </c>
      <c r="D6" t="s">
        <v>15</v>
      </c>
      <c r="E6" t="s">
        <v>408</v>
      </c>
      <c r="F6">
        <v>1.43</v>
      </c>
      <c r="G6">
        <v>2.85</v>
      </c>
      <c r="H6" s="1" t="s">
        <v>10</v>
      </c>
      <c r="J6" t="s">
        <v>192</v>
      </c>
      <c r="K6" t="s">
        <v>191</v>
      </c>
      <c r="L6">
        <v>1.43</v>
      </c>
      <c r="M6">
        <v>2.8</v>
      </c>
      <c r="N6" t="s">
        <v>8</v>
      </c>
    </row>
    <row r="7" spans="1:18" x14ac:dyDescent="0.25">
      <c r="A7" t="s">
        <v>59</v>
      </c>
      <c r="B7" t="s">
        <v>60</v>
      </c>
      <c r="C7" t="s">
        <v>16</v>
      </c>
      <c r="D7" t="s">
        <v>25</v>
      </c>
      <c r="E7" t="s">
        <v>409</v>
      </c>
      <c r="F7">
        <v>1.43</v>
      </c>
      <c r="G7">
        <v>2.9</v>
      </c>
      <c r="H7" s="1" t="s">
        <v>10</v>
      </c>
      <c r="J7" t="s">
        <v>192</v>
      </c>
      <c r="K7" t="s">
        <v>191</v>
      </c>
      <c r="L7">
        <v>1.36</v>
      </c>
      <c r="M7">
        <v>3</v>
      </c>
      <c r="N7" t="s">
        <v>8</v>
      </c>
    </row>
    <row r="8" spans="1:18" x14ac:dyDescent="0.25">
      <c r="A8" t="s">
        <v>59</v>
      </c>
      <c r="B8" t="s">
        <v>60</v>
      </c>
      <c r="C8" t="s">
        <v>16</v>
      </c>
      <c r="D8" t="s">
        <v>29</v>
      </c>
      <c r="E8" t="s">
        <v>410</v>
      </c>
      <c r="F8">
        <v>1.45</v>
      </c>
      <c r="G8">
        <v>2.83</v>
      </c>
      <c r="H8" s="1" t="s">
        <v>10</v>
      </c>
      <c r="J8" t="s">
        <v>192</v>
      </c>
      <c r="K8" t="s">
        <v>191</v>
      </c>
      <c r="L8">
        <v>1.36</v>
      </c>
      <c r="M8">
        <v>3</v>
      </c>
      <c r="N8" t="s">
        <v>8</v>
      </c>
    </row>
    <row r="9" spans="1:18" x14ac:dyDescent="0.25">
      <c r="A9" t="s">
        <v>59</v>
      </c>
      <c r="B9" t="s">
        <v>60</v>
      </c>
      <c r="C9" t="s">
        <v>16</v>
      </c>
      <c r="D9" t="s">
        <v>27</v>
      </c>
      <c r="E9" t="s">
        <v>409</v>
      </c>
      <c r="F9">
        <v>1.42</v>
      </c>
      <c r="G9">
        <v>2.95</v>
      </c>
      <c r="H9" s="1" t="s">
        <v>10</v>
      </c>
      <c r="J9" t="s">
        <v>192</v>
      </c>
      <c r="K9" t="s">
        <v>191</v>
      </c>
      <c r="L9">
        <v>1.48</v>
      </c>
      <c r="M9">
        <v>2.65</v>
      </c>
      <c r="N9" t="s">
        <v>8</v>
      </c>
    </row>
    <row r="10" spans="1:18" x14ac:dyDescent="0.25">
      <c r="A10" t="s">
        <v>59</v>
      </c>
      <c r="B10" t="s">
        <v>60</v>
      </c>
      <c r="C10" t="s">
        <v>16</v>
      </c>
      <c r="D10" t="s">
        <v>18</v>
      </c>
      <c r="E10" t="s">
        <v>411</v>
      </c>
      <c r="F10">
        <v>1.4</v>
      </c>
      <c r="G10">
        <v>2.98</v>
      </c>
      <c r="H10" s="1" t="s">
        <v>10</v>
      </c>
      <c r="J10" t="s">
        <v>192</v>
      </c>
      <c r="K10" t="s">
        <v>191</v>
      </c>
      <c r="L10">
        <v>1.28</v>
      </c>
      <c r="M10">
        <v>3.7</v>
      </c>
      <c r="N10" t="s">
        <v>8</v>
      </c>
    </row>
    <row r="11" spans="1:18" x14ac:dyDescent="0.25">
      <c r="A11" t="s">
        <v>59</v>
      </c>
      <c r="B11" t="s">
        <v>60</v>
      </c>
      <c r="C11" t="s">
        <v>16</v>
      </c>
      <c r="D11" t="s">
        <v>28</v>
      </c>
      <c r="E11" t="s">
        <v>412</v>
      </c>
      <c r="F11">
        <v>1.44</v>
      </c>
      <c r="G11">
        <v>2.85</v>
      </c>
      <c r="H11" s="1" t="s">
        <v>10</v>
      </c>
      <c r="J11" t="s">
        <v>192</v>
      </c>
      <c r="K11" t="s">
        <v>191</v>
      </c>
      <c r="L11">
        <v>1.33</v>
      </c>
      <c r="M11">
        <v>3.5</v>
      </c>
      <c r="N11" t="s">
        <v>8</v>
      </c>
    </row>
    <row r="12" spans="1:18" x14ac:dyDescent="0.25">
      <c r="A12" t="s">
        <v>59</v>
      </c>
      <c r="B12" t="s">
        <v>60</v>
      </c>
      <c r="C12" t="s">
        <v>16</v>
      </c>
      <c r="D12" t="s">
        <v>23</v>
      </c>
      <c r="E12" t="s">
        <v>413</v>
      </c>
      <c r="F12">
        <v>1.45</v>
      </c>
      <c r="G12">
        <v>2.8</v>
      </c>
      <c r="H12" s="1" t="s">
        <v>10</v>
      </c>
      <c r="J12" t="s">
        <v>192</v>
      </c>
      <c r="K12" t="s">
        <v>191</v>
      </c>
      <c r="L12">
        <v>1.32</v>
      </c>
      <c r="M12">
        <v>3.5</v>
      </c>
      <c r="N12" t="s">
        <v>8</v>
      </c>
    </row>
    <row r="13" spans="1:18" x14ac:dyDescent="0.25">
      <c r="A13" t="s">
        <v>61</v>
      </c>
      <c r="B13" t="s">
        <v>60</v>
      </c>
      <c r="C13" t="s">
        <v>16</v>
      </c>
      <c r="D13" t="s">
        <v>24</v>
      </c>
      <c r="E13" t="s">
        <v>406</v>
      </c>
      <c r="F13">
        <v>3.25</v>
      </c>
      <c r="G13">
        <v>1.38</v>
      </c>
      <c r="H13" s="1" t="s">
        <v>10</v>
      </c>
      <c r="J13" t="s">
        <v>192</v>
      </c>
      <c r="K13" t="s">
        <v>191</v>
      </c>
      <c r="L13">
        <v>1.33</v>
      </c>
      <c r="M13">
        <v>3.5</v>
      </c>
      <c r="N13" t="s">
        <v>8</v>
      </c>
    </row>
    <row r="14" spans="1:18" x14ac:dyDescent="0.25">
      <c r="A14" t="s">
        <v>61</v>
      </c>
      <c r="B14" t="s">
        <v>60</v>
      </c>
      <c r="C14" t="s">
        <v>16</v>
      </c>
      <c r="D14" t="s">
        <v>17</v>
      </c>
      <c r="E14" t="s">
        <v>407</v>
      </c>
      <c r="F14">
        <v>3.05</v>
      </c>
      <c r="G14">
        <v>1.38</v>
      </c>
      <c r="H14" s="1" t="s">
        <v>10</v>
      </c>
      <c r="J14" t="s">
        <v>192</v>
      </c>
      <c r="K14" t="s">
        <v>191</v>
      </c>
      <c r="L14">
        <v>1.36</v>
      </c>
      <c r="M14">
        <v>3.1</v>
      </c>
      <c r="N14" t="s">
        <v>8</v>
      </c>
    </row>
    <row r="15" spans="1:18" x14ac:dyDescent="0.25">
      <c r="A15" t="s">
        <v>61</v>
      </c>
      <c r="B15" t="s">
        <v>60</v>
      </c>
      <c r="C15" t="s">
        <v>16</v>
      </c>
      <c r="D15" t="s">
        <v>15</v>
      </c>
      <c r="E15" t="s">
        <v>408</v>
      </c>
      <c r="F15">
        <v>3.05</v>
      </c>
      <c r="G15">
        <v>1.38</v>
      </c>
      <c r="H15" s="1" t="s">
        <v>10</v>
      </c>
      <c r="J15" t="s">
        <v>192</v>
      </c>
      <c r="K15" t="s">
        <v>191</v>
      </c>
      <c r="L15">
        <v>1.38</v>
      </c>
      <c r="M15">
        <v>2.75</v>
      </c>
      <c r="N15" t="s">
        <v>8</v>
      </c>
    </row>
    <row r="16" spans="1:18" x14ac:dyDescent="0.25">
      <c r="A16" t="s">
        <v>61</v>
      </c>
      <c r="B16" t="s">
        <v>60</v>
      </c>
      <c r="C16" t="s">
        <v>16</v>
      </c>
      <c r="D16" t="s">
        <v>21</v>
      </c>
      <c r="E16" t="s">
        <v>405</v>
      </c>
      <c r="F16">
        <v>3.25</v>
      </c>
      <c r="G16">
        <v>1.38</v>
      </c>
      <c r="H16" s="1" t="s">
        <v>10</v>
      </c>
      <c r="J16" t="s">
        <v>190</v>
      </c>
      <c r="K16" t="s">
        <v>398</v>
      </c>
      <c r="L16">
        <v>1.0900000000000001</v>
      </c>
      <c r="M16">
        <v>7.5</v>
      </c>
      <c r="N16" t="s">
        <v>8</v>
      </c>
    </row>
    <row r="17" spans="1:14" x14ac:dyDescent="0.25">
      <c r="A17" t="s">
        <v>61</v>
      </c>
      <c r="B17" t="s">
        <v>60</v>
      </c>
      <c r="C17" t="s">
        <v>16</v>
      </c>
      <c r="D17" t="s">
        <v>25</v>
      </c>
      <c r="E17" t="s">
        <v>409</v>
      </c>
      <c r="F17">
        <v>3.15</v>
      </c>
      <c r="G17">
        <v>1.38</v>
      </c>
      <c r="H17" s="1" t="s">
        <v>10</v>
      </c>
      <c r="J17" t="s">
        <v>190</v>
      </c>
      <c r="K17" t="s">
        <v>398</v>
      </c>
      <c r="L17">
        <v>1.03</v>
      </c>
      <c r="M17">
        <v>11</v>
      </c>
      <c r="N17" t="s">
        <v>8</v>
      </c>
    </row>
    <row r="18" spans="1:14" x14ac:dyDescent="0.25">
      <c r="A18" t="s">
        <v>61</v>
      </c>
      <c r="B18" t="s">
        <v>60</v>
      </c>
      <c r="C18" t="s">
        <v>16</v>
      </c>
      <c r="D18" t="s">
        <v>23</v>
      </c>
      <c r="E18" t="s">
        <v>413</v>
      </c>
      <c r="F18">
        <v>3.1</v>
      </c>
      <c r="G18">
        <v>1.38</v>
      </c>
      <c r="H18" s="1" t="s">
        <v>10</v>
      </c>
      <c r="J18" t="s">
        <v>190</v>
      </c>
      <c r="K18" t="s">
        <v>398</v>
      </c>
      <c r="L18">
        <v>1.08</v>
      </c>
      <c r="M18">
        <v>7.5</v>
      </c>
      <c r="N18" t="s">
        <v>8</v>
      </c>
    </row>
    <row r="19" spans="1:14" x14ac:dyDescent="0.25">
      <c r="A19" t="s">
        <v>61</v>
      </c>
      <c r="B19" t="s">
        <v>60</v>
      </c>
      <c r="C19" t="s">
        <v>16</v>
      </c>
      <c r="D19" t="s">
        <v>27</v>
      </c>
      <c r="E19" t="s">
        <v>409</v>
      </c>
      <c r="F19">
        <v>3.2</v>
      </c>
      <c r="G19">
        <v>1.37</v>
      </c>
      <c r="H19" s="1" t="s">
        <v>10</v>
      </c>
      <c r="J19" t="s">
        <v>190</v>
      </c>
      <c r="K19" t="s">
        <v>398</v>
      </c>
      <c r="L19">
        <v>1</v>
      </c>
      <c r="M19">
        <v>1</v>
      </c>
      <c r="N19" t="s">
        <v>8</v>
      </c>
    </row>
    <row r="20" spans="1:14" x14ac:dyDescent="0.25">
      <c r="A20" t="s">
        <v>61</v>
      </c>
      <c r="B20" t="s">
        <v>60</v>
      </c>
      <c r="C20" t="s">
        <v>16</v>
      </c>
      <c r="D20" t="s">
        <v>18</v>
      </c>
      <c r="E20" t="s">
        <v>411</v>
      </c>
      <c r="F20">
        <v>3.1</v>
      </c>
      <c r="G20">
        <v>1.38</v>
      </c>
      <c r="H20" s="1" t="s">
        <v>10</v>
      </c>
      <c r="J20" t="s">
        <v>190</v>
      </c>
      <c r="K20" t="s">
        <v>398</v>
      </c>
      <c r="L20">
        <v>1.06</v>
      </c>
      <c r="M20">
        <v>9</v>
      </c>
      <c r="N20" t="s">
        <v>8</v>
      </c>
    </row>
    <row r="21" spans="1:14" x14ac:dyDescent="0.25">
      <c r="A21" t="s">
        <v>61</v>
      </c>
      <c r="B21" t="s">
        <v>60</v>
      </c>
      <c r="C21" t="s">
        <v>16</v>
      </c>
      <c r="D21" t="s">
        <v>29</v>
      </c>
      <c r="E21" t="s">
        <v>410</v>
      </c>
      <c r="F21">
        <v>3.15</v>
      </c>
      <c r="G21">
        <v>1.38</v>
      </c>
      <c r="H21" s="1" t="s">
        <v>10</v>
      </c>
      <c r="J21" t="s">
        <v>190</v>
      </c>
      <c r="K21" t="s">
        <v>398</v>
      </c>
      <c r="L21">
        <v>1.06</v>
      </c>
      <c r="M21">
        <v>8.5</v>
      </c>
      <c r="N21" t="s">
        <v>8</v>
      </c>
    </row>
    <row r="22" spans="1:14" x14ac:dyDescent="0.25">
      <c r="A22" t="s">
        <v>61</v>
      </c>
      <c r="B22" t="s">
        <v>60</v>
      </c>
      <c r="C22" t="s">
        <v>16</v>
      </c>
      <c r="D22" t="s">
        <v>26</v>
      </c>
      <c r="E22" t="s">
        <v>404</v>
      </c>
      <c r="F22">
        <v>3.1</v>
      </c>
      <c r="G22">
        <v>1.38</v>
      </c>
      <c r="H22" s="1" t="s">
        <v>10</v>
      </c>
      <c r="J22" t="s">
        <v>190</v>
      </c>
      <c r="K22" t="s">
        <v>398</v>
      </c>
      <c r="L22">
        <v>1.06</v>
      </c>
      <c r="M22">
        <v>8.5</v>
      </c>
      <c r="N22" t="s">
        <v>8</v>
      </c>
    </row>
    <row r="23" spans="1:14" x14ac:dyDescent="0.25">
      <c r="A23" t="s">
        <v>61</v>
      </c>
      <c r="B23" t="s">
        <v>60</v>
      </c>
      <c r="C23" t="s">
        <v>16</v>
      </c>
      <c r="D23" t="s">
        <v>28</v>
      </c>
      <c r="E23" t="s">
        <v>412</v>
      </c>
      <c r="F23">
        <v>3</v>
      </c>
      <c r="G23">
        <v>1.4</v>
      </c>
      <c r="H23" s="1" t="s">
        <v>10</v>
      </c>
      <c r="J23" t="s">
        <v>190</v>
      </c>
      <c r="K23" t="s">
        <v>398</v>
      </c>
      <c r="L23">
        <v>1.06</v>
      </c>
      <c r="M23">
        <v>9</v>
      </c>
      <c r="N23" t="s">
        <v>8</v>
      </c>
    </row>
    <row r="24" spans="1:14" x14ac:dyDescent="0.25">
      <c r="A24" t="s">
        <v>62</v>
      </c>
      <c r="B24" t="s">
        <v>60</v>
      </c>
      <c r="C24" t="s">
        <v>16</v>
      </c>
      <c r="D24" t="s">
        <v>24</v>
      </c>
      <c r="E24" t="s">
        <v>406</v>
      </c>
      <c r="F24">
        <v>1.77</v>
      </c>
      <c r="G24">
        <v>2.1</v>
      </c>
      <c r="H24" s="1" t="s">
        <v>10</v>
      </c>
      <c r="J24" t="s">
        <v>190</v>
      </c>
      <c r="K24" t="s">
        <v>398</v>
      </c>
      <c r="L24">
        <v>1.08</v>
      </c>
      <c r="M24">
        <v>8.9</v>
      </c>
      <c r="N24" t="s">
        <v>8</v>
      </c>
    </row>
    <row r="25" spans="1:14" x14ac:dyDescent="0.25">
      <c r="A25" t="s">
        <v>62</v>
      </c>
      <c r="B25" t="s">
        <v>60</v>
      </c>
      <c r="C25" t="s">
        <v>16</v>
      </c>
      <c r="D25" t="s">
        <v>17</v>
      </c>
      <c r="E25" t="s">
        <v>407</v>
      </c>
      <c r="F25">
        <v>1.83</v>
      </c>
      <c r="G25">
        <v>1.97</v>
      </c>
      <c r="H25" s="1" t="s">
        <v>10</v>
      </c>
      <c r="J25" t="s">
        <v>190</v>
      </c>
      <c r="K25" t="s">
        <v>398</v>
      </c>
      <c r="L25">
        <v>1.07</v>
      </c>
      <c r="M25">
        <v>8.5</v>
      </c>
      <c r="N25" t="s">
        <v>8</v>
      </c>
    </row>
    <row r="26" spans="1:14" x14ac:dyDescent="0.25">
      <c r="A26" t="s">
        <v>62</v>
      </c>
      <c r="B26" t="s">
        <v>60</v>
      </c>
      <c r="C26" t="s">
        <v>16</v>
      </c>
      <c r="D26" t="s">
        <v>15</v>
      </c>
      <c r="E26" t="s">
        <v>408</v>
      </c>
      <c r="F26">
        <v>1.83</v>
      </c>
      <c r="G26">
        <v>1.97</v>
      </c>
      <c r="H26" s="1" t="s">
        <v>10</v>
      </c>
      <c r="J26" t="s">
        <v>190</v>
      </c>
      <c r="K26" t="s">
        <v>398</v>
      </c>
      <c r="L26">
        <v>1.07</v>
      </c>
      <c r="M26">
        <v>9.1999999999999993</v>
      </c>
      <c r="N26" t="s">
        <v>8</v>
      </c>
    </row>
    <row r="27" spans="1:14" x14ac:dyDescent="0.25">
      <c r="A27" t="s">
        <v>62</v>
      </c>
      <c r="B27" t="s">
        <v>60</v>
      </c>
      <c r="C27" t="s">
        <v>16</v>
      </c>
      <c r="D27" t="s">
        <v>21</v>
      </c>
      <c r="E27" t="s">
        <v>405</v>
      </c>
      <c r="F27">
        <v>1.77</v>
      </c>
      <c r="G27">
        <v>2.1</v>
      </c>
      <c r="H27" s="1" t="s">
        <v>10</v>
      </c>
      <c r="J27" t="s">
        <v>190</v>
      </c>
      <c r="K27" t="s">
        <v>398</v>
      </c>
      <c r="L27">
        <v>1.08</v>
      </c>
      <c r="M27">
        <v>8.9</v>
      </c>
      <c r="N27" t="s">
        <v>8</v>
      </c>
    </row>
    <row r="28" spans="1:14" x14ac:dyDescent="0.25">
      <c r="A28" t="s">
        <v>62</v>
      </c>
      <c r="B28" t="s">
        <v>60</v>
      </c>
      <c r="C28" t="s">
        <v>16</v>
      </c>
      <c r="D28" t="s">
        <v>29</v>
      </c>
      <c r="E28" t="s">
        <v>410</v>
      </c>
      <c r="F28">
        <v>1.77</v>
      </c>
      <c r="G28">
        <v>2.1</v>
      </c>
      <c r="H28" s="1" t="s">
        <v>10</v>
      </c>
      <c r="J28" t="s">
        <v>190</v>
      </c>
      <c r="K28" t="s">
        <v>398</v>
      </c>
      <c r="L28">
        <v>1.05</v>
      </c>
      <c r="M28">
        <v>7</v>
      </c>
      <c r="N28" t="s">
        <v>8</v>
      </c>
    </row>
    <row r="29" spans="1:14" x14ac:dyDescent="0.25">
      <c r="A29" t="s">
        <v>62</v>
      </c>
      <c r="B29" t="s">
        <v>60</v>
      </c>
      <c r="C29" t="s">
        <v>16</v>
      </c>
      <c r="D29" t="s">
        <v>23</v>
      </c>
      <c r="E29" t="s">
        <v>413</v>
      </c>
      <c r="F29">
        <v>1.77</v>
      </c>
      <c r="G29">
        <v>2.1</v>
      </c>
      <c r="H29" s="1" t="s">
        <v>10</v>
      </c>
      <c r="J29" t="s">
        <v>193</v>
      </c>
      <c r="K29" t="s">
        <v>194</v>
      </c>
      <c r="L29">
        <v>7</v>
      </c>
      <c r="M29">
        <v>1.1100000000000001</v>
      </c>
      <c r="N29" t="s">
        <v>8</v>
      </c>
    </row>
    <row r="30" spans="1:14" x14ac:dyDescent="0.25">
      <c r="A30" t="s">
        <v>62</v>
      </c>
      <c r="B30" t="s">
        <v>60</v>
      </c>
      <c r="C30" t="s">
        <v>16</v>
      </c>
      <c r="D30" t="s">
        <v>25</v>
      </c>
      <c r="E30" t="s">
        <v>409</v>
      </c>
      <c r="F30">
        <v>1.77</v>
      </c>
      <c r="G30">
        <v>2.1</v>
      </c>
      <c r="H30" s="1" t="s">
        <v>10</v>
      </c>
      <c r="J30" t="s">
        <v>193</v>
      </c>
      <c r="K30" t="s">
        <v>194</v>
      </c>
      <c r="L30">
        <v>6.9</v>
      </c>
      <c r="M30">
        <v>1.1100000000000001</v>
      </c>
      <c r="N30" t="s">
        <v>8</v>
      </c>
    </row>
    <row r="31" spans="1:14" x14ac:dyDescent="0.25">
      <c r="A31" t="s">
        <v>62</v>
      </c>
      <c r="B31" t="s">
        <v>60</v>
      </c>
      <c r="C31" t="s">
        <v>16</v>
      </c>
      <c r="D31" t="s">
        <v>27</v>
      </c>
      <c r="E31" t="s">
        <v>409</v>
      </c>
      <c r="F31">
        <v>1.8</v>
      </c>
      <c r="G31">
        <v>2.0499999999999998</v>
      </c>
      <c r="H31" s="1" t="s">
        <v>10</v>
      </c>
      <c r="J31" t="s">
        <v>193</v>
      </c>
      <c r="K31" t="s">
        <v>194</v>
      </c>
      <c r="L31">
        <v>6.75</v>
      </c>
      <c r="M31">
        <v>1.1100000000000001</v>
      </c>
      <c r="N31" t="s">
        <v>8</v>
      </c>
    </row>
    <row r="32" spans="1:14" x14ac:dyDescent="0.25">
      <c r="A32" t="s">
        <v>62</v>
      </c>
      <c r="B32" t="s">
        <v>60</v>
      </c>
      <c r="C32" t="s">
        <v>16</v>
      </c>
      <c r="D32" t="s">
        <v>18</v>
      </c>
      <c r="E32" t="s">
        <v>411</v>
      </c>
      <c r="F32">
        <v>1.77</v>
      </c>
      <c r="G32">
        <v>2.02</v>
      </c>
      <c r="H32" s="1" t="s">
        <v>10</v>
      </c>
      <c r="J32" t="s">
        <v>193</v>
      </c>
      <c r="K32" t="s">
        <v>194</v>
      </c>
      <c r="L32">
        <v>6.75</v>
      </c>
      <c r="M32">
        <v>1.1100000000000001</v>
      </c>
      <c r="N32" t="s">
        <v>8</v>
      </c>
    </row>
    <row r="33" spans="1:14" x14ac:dyDescent="0.25">
      <c r="A33" t="s">
        <v>62</v>
      </c>
      <c r="B33" t="s">
        <v>60</v>
      </c>
      <c r="C33" t="s">
        <v>16</v>
      </c>
      <c r="D33" t="s">
        <v>26</v>
      </c>
      <c r="E33" t="s">
        <v>404</v>
      </c>
      <c r="F33">
        <v>1.8</v>
      </c>
      <c r="G33">
        <v>2.0499999999999998</v>
      </c>
      <c r="H33" s="1" t="s">
        <v>10</v>
      </c>
      <c r="J33" t="s">
        <v>193</v>
      </c>
      <c r="K33" t="s">
        <v>194</v>
      </c>
      <c r="L33">
        <v>6.5</v>
      </c>
      <c r="M33">
        <v>1.1200000000000001</v>
      </c>
      <c r="N33" t="s">
        <v>8</v>
      </c>
    </row>
    <row r="34" spans="1:14" x14ac:dyDescent="0.25">
      <c r="A34" t="s">
        <v>62</v>
      </c>
      <c r="B34" t="s">
        <v>60</v>
      </c>
      <c r="C34" t="s">
        <v>16</v>
      </c>
      <c r="D34" t="s">
        <v>28</v>
      </c>
      <c r="E34" t="s">
        <v>412</v>
      </c>
      <c r="F34">
        <v>1.74</v>
      </c>
      <c r="G34">
        <v>2.1</v>
      </c>
      <c r="H34" s="1" t="s">
        <v>10</v>
      </c>
      <c r="J34" t="s">
        <v>193</v>
      </c>
      <c r="K34" t="s">
        <v>194</v>
      </c>
      <c r="L34">
        <v>6.75</v>
      </c>
      <c r="M34">
        <v>1.1100000000000001</v>
      </c>
      <c r="N34" t="s">
        <v>8</v>
      </c>
    </row>
    <row r="35" spans="1:14" x14ac:dyDescent="0.25">
      <c r="A35" t="s">
        <v>63</v>
      </c>
      <c r="B35" t="s">
        <v>64</v>
      </c>
      <c r="C35" t="s">
        <v>16</v>
      </c>
      <c r="D35" t="s">
        <v>26</v>
      </c>
      <c r="E35" t="s">
        <v>404</v>
      </c>
      <c r="F35">
        <v>1.48</v>
      </c>
      <c r="G35">
        <v>2.7</v>
      </c>
      <c r="H35" s="1" t="s">
        <v>10</v>
      </c>
      <c r="J35" t="s">
        <v>193</v>
      </c>
      <c r="K35" t="s">
        <v>194</v>
      </c>
      <c r="L35">
        <v>6.5</v>
      </c>
      <c r="M35">
        <v>1.1200000000000001</v>
      </c>
      <c r="N35" t="s">
        <v>8</v>
      </c>
    </row>
    <row r="36" spans="1:14" x14ac:dyDescent="0.25">
      <c r="A36" t="s">
        <v>63</v>
      </c>
      <c r="B36" t="s">
        <v>64</v>
      </c>
      <c r="C36" t="s">
        <v>16</v>
      </c>
      <c r="D36" t="s">
        <v>24</v>
      </c>
      <c r="E36" t="s">
        <v>406</v>
      </c>
      <c r="F36">
        <v>1.46</v>
      </c>
      <c r="G36">
        <v>2.85</v>
      </c>
      <c r="H36" s="1" t="s">
        <v>10</v>
      </c>
      <c r="J36" t="s">
        <v>193</v>
      </c>
      <c r="K36" t="s">
        <v>194</v>
      </c>
      <c r="L36">
        <v>6.5</v>
      </c>
      <c r="M36">
        <v>1.1200000000000001</v>
      </c>
      <c r="N36" t="s">
        <v>8</v>
      </c>
    </row>
    <row r="37" spans="1:14" x14ac:dyDescent="0.25">
      <c r="A37" t="s">
        <v>63</v>
      </c>
      <c r="B37" t="s">
        <v>64</v>
      </c>
      <c r="C37" t="s">
        <v>16</v>
      </c>
      <c r="D37" t="s">
        <v>17</v>
      </c>
      <c r="E37" t="s">
        <v>407</v>
      </c>
      <c r="F37">
        <v>1.5</v>
      </c>
      <c r="G37">
        <v>2.5499999999999998</v>
      </c>
      <c r="H37" s="1" t="s">
        <v>10</v>
      </c>
      <c r="J37" t="s">
        <v>193</v>
      </c>
      <c r="K37" t="s">
        <v>194</v>
      </c>
      <c r="L37">
        <v>6.85</v>
      </c>
      <c r="M37">
        <v>1.1200000000000001</v>
      </c>
      <c r="N37" t="s">
        <v>8</v>
      </c>
    </row>
    <row r="38" spans="1:14" x14ac:dyDescent="0.25">
      <c r="A38" t="s">
        <v>63</v>
      </c>
      <c r="B38" t="s">
        <v>64</v>
      </c>
      <c r="C38" t="s">
        <v>16</v>
      </c>
      <c r="D38" t="s">
        <v>15</v>
      </c>
      <c r="E38" t="s">
        <v>408</v>
      </c>
      <c r="F38">
        <v>1.5</v>
      </c>
      <c r="G38">
        <v>2.5499999999999998</v>
      </c>
      <c r="H38" s="1" t="s">
        <v>10</v>
      </c>
      <c r="J38" t="s">
        <v>193</v>
      </c>
      <c r="K38" t="s">
        <v>194</v>
      </c>
      <c r="L38">
        <v>6.5</v>
      </c>
      <c r="M38">
        <v>1.1200000000000001</v>
      </c>
      <c r="N38" t="s">
        <v>8</v>
      </c>
    </row>
    <row r="39" spans="1:14" x14ac:dyDescent="0.25">
      <c r="A39" t="s">
        <v>63</v>
      </c>
      <c r="B39" t="s">
        <v>64</v>
      </c>
      <c r="C39" t="s">
        <v>16</v>
      </c>
      <c r="D39" t="s">
        <v>21</v>
      </c>
      <c r="E39" t="s">
        <v>405</v>
      </c>
      <c r="F39">
        <v>1.46</v>
      </c>
      <c r="G39">
        <v>2.85</v>
      </c>
      <c r="H39" s="1" t="s">
        <v>10</v>
      </c>
      <c r="J39" t="s">
        <v>193</v>
      </c>
      <c r="K39" t="s">
        <v>194</v>
      </c>
      <c r="L39">
        <v>6.55</v>
      </c>
      <c r="M39">
        <v>1.1200000000000001</v>
      </c>
      <c r="N39" t="s">
        <v>8</v>
      </c>
    </row>
    <row r="40" spans="1:14" x14ac:dyDescent="0.25">
      <c r="A40" t="s">
        <v>63</v>
      </c>
      <c r="B40" t="s">
        <v>64</v>
      </c>
      <c r="C40" t="s">
        <v>16</v>
      </c>
      <c r="D40" t="s">
        <v>25</v>
      </c>
      <c r="E40" t="s">
        <v>409</v>
      </c>
      <c r="F40">
        <v>1.48</v>
      </c>
      <c r="G40">
        <v>2.75</v>
      </c>
      <c r="H40" s="1" t="s">
        <v>10</v>
      </c>
      <c r="J40" t="s">
        <v>193</v>
      </c>
      <c r="K40" t="s">
        <v>194</v>
      </c>
      <c r="L40">
        <v>6.85</v>
      </c>
      <c r="M40">
        <v>1.1200000000000001</v>
      </c>
      <c r="N40" t="s">
        <v>8</v>
      </c>
    </row>
    <row r="41" spans="1:14" x14ac:dyDescent="0.25">
      <c r="A41" t="s">
        <v>63</v>
      </c>
      <c r="B41" t="s">
        <v>64</v>
      </c>
      <c r="C41" t="s">
        <v>16</v>
      </c>
      <c r="D41" t="s">
        <v>27</v>
      </c>
      <c r="E41" t="s">
        <v>409</v>
      </c>
      <c r="F41">
        <v>1.49</v>
      </c>
      <c r="G41">
        <v>2.8</v>
      </c>
      <c r="H41" s="1" t="s">
        <v>10</v>
      </c>
      <c r="J41" t="s">
        <v>193</v>
      </c>
      <c r="K41" t="s">
        <v>194</v>
      </c>
      <c r="L41">
        <v>6.5</v>
      </c>
      <c r="M41">
        <v>1.1200000000000001</v>
      </c>
      <c r="N41" t="s">
        <v>8</v>
      </c>
    </row>
    <row r="42" spans="1:14" x14ac:dyDescent="0.25">
      <c r="A42" t="s">
        <v>63</v>
      </c>
      <c r="B42" t="s">
        <v>64</v>
      </c>
      <c r="C42" t="s">
        <v>16</v>
      </c>
      <c r="D42" t="s">
        <v>18</v>
      </c>
      <c r="E42" t="s">
        <v>411</v>
      </c>
      <c r="F42">
        <v>1.52</v>
      </c>
      <c r="G42">
        <v>2.56</v>
      </c>
      <c r="H42" s="1" t="s">
        <v>10</v>
      </c>
      <c r="J42" t="s">
        <v>193</v>
      </c>
      <c r="K42" t="s">
        <v>194</v>
      </c>
      <c r="L42">
        <v>7</v>
      </c>
      <c r="M42">
        <v>1.1200000000000001</v>
      </c>
      <c r="N42" t="s">
        <v>8</v>
      </c>
    </row>
    <row r="43" spans="1:14" x14ac:dyDescent="0.25">
      <c r="A43" t="s">
        <v>63</v>
      </c>
      <c r="B43" t="s">
        <v>64</v>
      </c>
      <c r="C43" t="s">
        <v>16</v>
      </c>
      <c r="D43" t="s">
        <v>28</v>
      </c>
      <c r="E43" t="s">
        <v>412</v>
      </c>
      <c r="F43">
        <v>1.5</v>
      </c>
      <c r="G43">
        <v>2.65</v>
      </c>
      <c r="H43" s="1" t="s">
        <v>10</v>
      </c>
      <c r="J43" t="s">
        <v>195</v>
      </c>
      <c r="K43" t="s">
        <v>196</v>
      </c>
      <c r="L43">
        <v>1.46</v>
      </c>
      <c r="M43">
        <v>2.8</v>
      </c>
      <c r="N43" t="s">
        <v>8</v>
      </c>
    </row>
    <row r="44" spans="1:14" x14ac:dyDescent="0.25">
      <c r="A44" t="s">
        <v>63</v>
      </c>
      <c r="B44" t="s">
        <v>64</v>
      </c>
      <c r="C44" t="s">
        <v>16</v>
      </c>
      <c r="D44" t="s">
        <v>29</v>
      </c>
      <c r="E44" t="s">
        <v>410</v>
      </c>
      <c r="F44">
        <v>1.56</v>
      </c>
      <c r="G44">
        <v>2.52</v>
      </c>
      <c r="H44" s="1" t="s">
        <v>10</v>
      </c>
      <c r="J44" t="s">
        <v>195</v>
      </c>
      <c r="K44" t="s">
        <v>196</v>
      </c>
      <c r="L44">
        <v>1.47</v>
      </c>
      <c r="M44">
        <v>2.76</v>
      </c>
      <c r="N44" t="s">
        <v>8</v>
      </c>
    </row>
    <row r="45" spans="1:14" x14ac:dyDescent="0.25">
      <c r="A45" t="s">
        <v>63</v>
      </c>
      <c r="B45" t="s">
        <v>64</v>
      </c>
      <c r="C45" t="s">
        <v>16</v>
      </c>
      <c r="D45" t="s">
        <v>23</v>
      </c>
      <c r="E45" t="s">
        <v>413</v>
      </c>
      <c r="F45">
        <v>1.48</v>
      </c>
      <c r="G45">
        <v>2.75</v>
      </c>
      <c r="H45" s="1" t="s">
        <v>10</v>
      </c>
      <c r="J45" t="s">
        <v>195</v>
      </c>
      <c r="K45" t="s">
        <v>196</v>
      </c>
      <c r="L45">
        <v>1.44</v>
      </c>
      <c r="M45">
        <v>2.85</v>
      </c>
      <c r="N45" t="s">
        <v>8</v>
      </c>
    </row>
    <row r="46" spans="1:14" x14ac:dyDescent="0.25">
      <c r="A46" t="s">
        <v>86</v>
      </c>
      <c r="B46" t="s">
        <v>414</v>
      </c>
      <c r="C46" t="s">
        <v>16</v>
      </c>
      <c r="D46" t="s">
        <v>21</v>
      </c>
      <c r="E46" t="s">
        <v>405</v>
      </c>
      <c r="F46">
        <v>1.77</v>
      </c>
      <c r="G46">
        <v>2.1</v>
      </c>
      <c r="H46" s="1" t="s">
        <v>10</v>
      </c>
      <c r="J46" t="s">
        <v>195</v>
      </c>
      <c r="K46" t="s">
        <v>196</v>
      </c>
      <c r="L46">
        <v>1.45</v>
      </c>
      <c r="M46">
        <v>2.8</v>
      </c>
      <c r="N46" t="s">
        <v>8</v>
      </c>
    </row>
    <row r="47" spans="1:14" x14ac:dyDescent="0.25">
      <c r="A47" t="s">
        <v>86</v>
      </c>
      <c r="B47" t="s">
        <v>414</v>
      </c>
      <c r="C47" t="s">
        <v>16</v>
      </c>
      <c r="D47" t="s">
        <v>24</v>
      </c>
      <c r="E47" t="s">
        <v>406</v>
      </c>
      <c r="F47">
        <v>1.77</v>
      </c>
      <c r="G47">
        <v>2.1</v>
      </c>
      <c r="H47" s="1" t="s">
        <v>10</v>
      </c>
      <c r="J47" t="s">
        <v>195</v>
      </c>
      <c r="K47" t="s">
        <v>196</v>
      </c>
      <c r="L47">
        <v>1.45</v>
      </c>
      <c r="M47">
        <v>2.8</v>
      </c>
      <c r="N47" t="s">
        <v>8</v>
      </c>
    </row>
    <row r="48" spans="1:14" x14ac:dyDescent="0.25">
      <c r="A48" t="s">
        <v>86</v>
      </c>
      <c r="B48" t="s">
        <v>414</v>
      </c>
      <c r="C48" t="s">
        <v>16</v>
      </c>
      <c r="D48" t="s">
        <v>29</v>
      </c>
      <c r="E48" t="s">
        <v>410</v>
      </c>
      <c r="F48">
        <v>1.74</v>
      </c>
      <c r="G48">
        <v>2.15</v>
      </c>
      <c r="H48" s="1" t="s">
        <v>10</v>
      </c>
      <c r="J48" t="s">
        <v>195</v>
      </c>
      <c r="K48" t="s">
        <v>196</v>
      </c>
      <c r="L48">
        <v>1.44</v>
      </c>
      <c r="M48">
        <v>2.8</v>
      </c>
      <c r="N48" t="s">
        <v>8</v>
      </c>
    </row>
    <row r="49" spans="1:14" x14ac:dyDescent="0.25">
      <c r="A49" t="s">
        <v>86</v>
      </c>
      <c r="B49" t="s">
        <v>414</v>
      </c>
      <c r="C49" t="s">
        <v>16</v>
      </c>
      <c r="D49" t="s">
        <v>17</v>
      </c>
      <c r="E49" t="s">
        <v>407</v>
      </c>
      <c r="F49">
        <v>1.7</v>
      </c>
      <c r="G49">
        <v>2.16</v>
      </c>
      <c r="H49" s="1" t="s">
        <v>10</v>
      </c>
      <c r="J49" t="s">
        <v>195</v>
      </c>
      <c r="K49" t="s">
        <v>196</v>
      </c>
      <c r="L49">
        <v>1.48</v>
      </c>
      <c r="M49">
        <v>2.7</v>
      </c>
      <c r="N49" t="s">
        <v>8</v>
      </c>
    </row>
    <row r="50" spans="1:14" x14ac:dyDescent="0.25">
      <c r="A50" t="s">
        <v>86</v>
      </c>
      <c r="B50" t="s">
        <v>414</v>
      </c>
      <c r="C50" t="s">
        <v>16</v>
      </c>
      <c r="D50" t="s">
        <v>15</v>
      </c>
      <c r="E50" t="s">
        <v>408</v>
      </c>
      <c r="F50">
        <v>1.7</v>
      </c>
      <c r="G50">
        <v>2.16</v>
      </c>
      <c r="H50" s="1" t="s">
        <v>10</v>
      </c>
      <c r="J50" t="s">
        <v>195</v>
      </c>
      <c r="K50" t="s">
        <v>196</v>
      </c>
      <c r="L50">
        <v>1.48</v>
      </c>
      <c r="M50">
        <v>2.7</v>
      </c>
      <c r="N50" t="s">
        <v>8</v>
      </c>
    </row>
    <row r="51" spans="1:14" x14ac:dyDescent="0.25">
      <c r="A51" t="s">
        <v>86</v>
      </c>
      <c r="B51" t="s">
        <v>414</v>
      </c>
      <c r="C51" t="s">
        <v>16</v>
      </c>
      <c r="D51" t="s">
        <v>27</v>
      </c>
      <c r="E51" t="s">
        <v>409</v>
      </c>
      <c r="F51">
        <v>1.77</v>
      </c>
      <c r="G51">
        <v>2.1</v>
      </c>
      <c r="H51" s="1" t="s">
        <v>10</v>
      </c>
      <c r="J51" t="s">
        <v>195</v>
      </c>
      <c r="K51" t="s">
        <v>196</v>
      </c>
      <c r="L51">
        <v>1.48</v>
      </c>
      <c r="M51">
        <v>2.8</v>
      </c>
      <c r="N51" t="s">
        <v>8</v>
      </c>
    </row>
    <row r="52" spans="1:14" x14ac:dyDescent="0.25">
      <c r="A52" t="s">
        <v>86</v>
      </c>
      <c r="B52" t="s">
        <v>414</v>
      </c>
      <c r="C52" t="s">
        <v>16</v>
      </c>
      <c r="D52" t="s">
        <v>18</v>
      </c>
      <c r="E52" t="s">
        <v>411</v>
      </c>
      <c r="F52">
        <v>1.69</v>
      </c>
      <c r="G52">
        <v>2.1800000000000002</v>
      </c>
      <c r="H52" s="1" t="s">
        <v>10</v>
      </c>
      <c r="J52" t="s">
        <v>195</v>
      </c>
      <c r="K52" t="s">
        <v>196</v>
      </c>
      <c r="L52">
        <v>1.45</v>
      </c>
      <c r="M52">
        <v>2.8</v>
      </c>
      <c r="N52" t="s">
        <v>8</v>
      </c>
    </row>
    <row r="53" spans="1:14" x14ac:dyDescent="0.25">
      <c r="A53" t="s">
        <v>86</v>
      </c>
      <c r="B53" t="s">
        <v>414</v>
      </c>
      <c r="C53" t="s">
        <v>16</v>
      </c>
      <c r="D53" t="s">
        <v>25</v>
      </c>
      <c r="E53" t="s">
        <v>409</v>
      </c>
      <c r="F53">
        <v>1.74</v>
      </c>
      <c r="G53">
        <v>2.15</v>
      </c>
      <c r="H53" s="1" t="s">
        <v>10</v>
      </c>
      <c r="J53" t="s">
        <v>195</v>
      </c>
      <c r="K53" t="s">
        <v>196</v>
      </c>
      <c r="L53">
        <v>1.48</v>
      </c>
      <c r="M53">
        <v>2.75</v>
      </c>
      <c r="N53" t="s">
        <v>8</v>
      </c>
    </row>
    <row r="54" spans="1:14" x14ac:dyDescent="0.25">
      <c r="A54" t="s">
        <v>86</v>
      </c>
      <c r="B54" t="s">
        <v>414</v>
      </c>
      <c r="C54" t="s">
        <v>16</v>
      </c>
      <c r="D54" t="s">
        <v>26</v>
      </c>
      <c r="E54" t="s">
        <v>404</v>
      </c>
      <c r="F54">
        <v>1.74</v>
      </c>
      <c r="G54">
        <v>2.12</v>
      </c>
      <c r="H54" s="1" t="s">
        <v>10</v>
      </c>
      <c r="J54" t="s">
        <v>195</v>
      </c>
      <c r="K54" t="s">
        <v>196</v>
      </c>
      <c r="L54">
        <v>1.48</v>
      </c>
      <c r="M54">
        <v>2.8</v>
      </c>
      <c r="N54" t="s">
        <v>8</v>
      </c>
    </row>
    <row r="55" spans="1:14" x14ac:dyDescent="0.25">
      <c r="A55" t="s">
        <v>86</v>
      </c>
      <c r="B55" t="s">
        <v>414</v>
      </c>
      <c r="C55" t="s">
        <v>16</v>
      </c>
      <c r="D55" t="s">
        <v>28</v>
      </c>
      <c r="E55" t="s">
        <v>412</v>
      </c>
      <c r="F55">
        <v>1.71</v>
      </c>
      <c r="G55">
        <v>2.15</v>
      </c>
      <c r="H55" s="1" t="s">
        <v>10</v>
      </c>
      <c r="J55" t="s">
        <v>195</v>
      </c>
      <c r="K55" t="s">
        <v>196</v>
      </c>
      <c r="L55">
        <v>1.44</v>
      </c>
      <c r="M55">
        <v>2.9</v>
      </c>
      <c r="N55" t="s">
        <v>8</v>
      </c>
    </row>
    <row r="56" spans="1:14" x14ac:dyDescent="0.25">
      <c r="A56" t="s">
        <v>86</v>
      </c>
      <c r="B56" t="s">
        <v>414</v>
      </c>
      <c r="C56" t="s">
        <v>16</v>
      </c>
      <c r="D56" t="s">
        <v>23</v>
      </c>
      <c r="E56" t="s">
        <v>413</v>
      </c>
      <c r="F56">
        <v>1.71</v>
      </c>
      <c r="G56">
        <v>2.2000000000000002</v>
      </c>
      <c r="H56" s="1" t="s">
        <v>10</v>
      </c>
      <c r="J56" t="s">
        <v>195</v>
      </c>
      <c r="K56" t="s">
        <v>196</v>
      </c>
      <c r="L56">
        <v>1.48</v>
      </c>
      <c r="M56">
        <v>2.78</v>
      </c>
      <c r="N56" t="s">
        <v>8</v>
      </c>
    </row>
    <row r="57" spans="1:14" x14ac:dyDescent="0.25">
      <c r="A57" t="s">
        <v>415</v>
      </c>
      <c r="B57" t="s">
        <v>416</v>
      </c>
      <c r="C57" t="s">
        <v>16</v>
      </c>
      <c r="D57" t="s">
        <v>23</v>
      </c>
      <c r="E57" t="s">
        <v>413</v>
      </c>
      <c r="F57">
        <v>1.17</v>
      </c>
      <c r="G57">
        <v>5.25</v>
      </c>
      <c r="H57" s="1" t="s">
        <v>10</v>
      </c>
      <c r="J57" t="s">
        <v>112</v>
      </c>
      <c r="K57" t="s">
        <v>113</v>
      </c>
      <c r="L57">
        <v>1.48</v>
      </c>
      <c r="M57">
        <v>2.65</v>
      </c>
      <c r="N57" t="s">
        <v>8</v>
      </c>
    </row>
    <row r="58" spans="1:14" x14ac:dyDescent="0.25">
      <c r="A58" t="s">
        <v>415</v>
      </c>
      <c r="B58" t="s">
        <v>416</v>
      </c>
      <c r="C58" t="s">
        <v>16</v>
      </c>
      <c r="D58" t="s">
        <v>18</v>
      </c>
      <c r="E58" t="s">
        <v>411</v>
      </c>
      <c r="F58">
        <v>1.1100000000000001</v>
      </c>
      <c r="G58">
        <v>6.2</v>
      </c>
      <c r="H58" s="1" t="s">
        <v>10</v>
      </c>
      <c r="J58" t="s">
        <v>112</v>
      </c>
      <c r="K58" t="s">
        <v>113</v>
      </c>
      <c r="L58">
        <v>1.48</v>
      </c>
      <c r="M58">
        <v>2.65</v>
      </c>
      <c r="N58" t="s">
        <v>8</v>
      </c>
    </row>
    <row r="59" spans="1:14" x14ac:dyDescent="0.25">
      <c r="A59" t="s">
        <v>415</v>
      </c>
      <c r="B59" t="s">
        <v>416</v>
      </c>
      <c r="C59" t="s">
        <v>16</v>
      </c>
      <c r="D59" t="s">
        <v>21</v>
      </c>
      <c r="E59" t="s">
        <v>405</v>
      </c>
      <c r="F59">
        <v>1.1499999999999999</v>
      </c>
      <c r="G59">
        <v>5.75</v>
      </c>
      <c r="H59" s="1" t="s">
        <v>10</v>
      </c>
      <c r="J59" t="s">
        <v>112</v>
      </c>
      <c r="K59" t="s">
        <v>113</v>
      </c>
      <c r="L59">
        <v>1.47</v>
      </c>
      <c r="M59">
        <v>2.76</v>
      </c>
      <c r="N59" t="s">
        <v>8</v>
      </c>
    </row>
    <row r="60" spans="1:14" x14ac:dyDescent="0.25">
      <c r="A60" t="s">
        <v>415</v>
      </c>
      <c r="B60" t="s">
        <v>416</v>
      </c>
      <c r="C60" t="s">
        <v>16</v>
      </c>
      <c r="D60" t="s">
        <v>24</v>
      </c>
      <c r="E60" t="s">
        <v>406</v>
      </c>
      <c r="F60">
        <v>1.1499999999999999</v>
      </c>
      <c r="G60">
        <v>5.75</v>
      </c>
      <c r="H60" s="1" t="s">
        <v>10</v>
      </c>
      <c r="J60" t="s">
        <v>112</v>
      </c>
      <c r="K60" t="s">
        <v>113</v>
      </c>
      <c r="L60">
        <v>1.51</v>
      </c>
      <c r="M60">
        <v>2.64</v>
      </c>
      <c r="N60" t="s">
        <v>8</v>
      </c>
    </row>
    <row r="61" spans="1:14" x14ac:dyDescent="0.25">
      <c r="A61" t="s">
        <v>415</v>
      </c>
      <c r="B61" t="s">
        <v>416</v>
      </c>
      <c r="C61" t="s">
        <v>16</v>
      </c>
      <c r="D61" t="s">
        <v>29</v>
      </c>
      <c r="E61" t="s">
        <v>410</v>
      </c>
      <c r="F61">
        <v>1.1599999999999999</v>
      </c>
      <c r="G61">
        <v>5.7</v>
      </c>
      <c r="H61" s="1" t="s">
        <v>10</v>
      </c>
      <c r="J61" t="s">
        <v>112</v>
      </c>
      <c r="K61" t="s">
        <v>113</v>
      </c>
      <c r="L61">
        <v>1.53</v>
      </c>
      <c r="M61">
        <v>2.65</v>
      </c>
      <c r="N61" t="s">
        <v>8</v>
      </c>
    </row>
    <row r="62" spans="1:14" x14ac:dyDescent="0.25">
      <c r="A62" t="s">
        <v>415</v>
      </c>
      <c r="B62" t="s">
        <v>416</v>
      </c>
      <c r="C62" t="s">
        <v>16</v>
      </c>
      <c r="D62" t="s">
        <v>27</v>
      </c>
      <c r="E62" t="s">
        <v>409</v>
      </c>
      <c r="F62">
        <v>1.1399999999999999</v>
      </c>
      <c r="G62">
        <v>6</v>
      </c>
      <c r="H62" s="1" t="s">
        <v>10</v>
      </c>
      <c r="J62" t="s">
        <v>112</v>
      </c>
      <c r="K62" t="s">
        <v>113</v>
      </c>
      <c r="L62">
        <v>1.53</v>
      </c>
      <c r="M62">
        <v>2.65</v>
      </c>
      <c r="N62" t="s">
        <v>8</v>
      </c>
    </row>
    <row r="63" spans="1:14" x14ac:dyDescent="0.25">
      <c r="A63" t="s">
        <v>415</v>
      </c>
      <c r="B63" t="s">
        <v>416</v>
      </c>
      <c r="C63" t="s">
        <v>16</v>
      </c>
      <c r="D63" t="s">
        <v>25</v>
      </c>
      <c r="E63" t="s">
        <v>409</v>
      </c>
      <c r="F63">
        <v>1.1499999999999999</v>
      </c>
      <c r="G63">
        <v>5.6</v>
      </c>
      <c r="H63" s="1" t="s">
        <v>10</v>
      </c>
      <c r="J63" t="s">
        <v>112</v>
      </c>
      <c r="K63" t="s">
        <v>113</v>
      </c>
      <c r="L63">
        <v>1.5</v>
      </c>
      <c r="M63">
        <v>2.7</v>
      </c>
      <c r="N63" t="s">
        <v>8</v>
      </c>
    </row>
    <row r="64" spans="1:14" x14ac:dyDescent="0.25">
      <c r="A64" t="s">
        <v>415</v>
      </c>
      <c r="B64" t="s">
        <v>416</v>
      </c>
      <c r="C64" t="s">
        <v>16</v>
      </c>
      <c r="D64" t="s">
        <v>26</v>
      </c>
      <c r="E64" t="s">
        <v>404</v>
      </c>
      <c r="F64">
        <v>1.1399999999999999</v>
      </c>
      <c r="G64">
        <v>5.75</v>
      </c>
      <c r="H64" s="1" t="s">
        <v>10</v>
      </c>
      <c r="J64" t="s">
        <v>112</v>
      </c>
      <c r="K64" t="s">
        <v>113</v>
      </c>
      <c r="L64">
        <v>1.49</v>
      </c>
      <c r="M64">
        <v>2.7</v>
      </c>
      <c r="N64" t="s">
        <v>8</v>
      </c>
    </row>
    <row r="65" spans="1:14" x14ac:dyDescent="0.25">
      <c r="A65" t="s">
        <v>65</v>
      </c>
      <c r="B65" t="s">
        <v>417</v>
      </c>
      <c r="C65" t="s">
        <v>16</v>
      </c>
      <c r="D65" t="s">
        <v>24</v>
      </c>
      <c r="E65" t="s">
        <v>406</v>
      </c>
      <c r="F65">
        <v>1.61</v>
      </c>
      <c r="G65">
        <v>2.4500000000000002</v>
      </c>
      <c r="H65" s="1" t="s">
        <v>10</v>
      </c>
      <c r="J65" t="s">
        <v>112</v>
      </c>
      <c r="K65" t="s">
        <v>113</v>
      </c>
      <c r="L65">
        <v>1.47</v>
      </c>
      <c r="M65">
        <v>2.78</v>
      </c>
      <c r="N65" t="s">
        <v>8</v>
      </c>
    </row>
    <row r="66" spans="1:14" x14ac:dyDescent="0.25">
      <c r="A66" t="s">
        <v>65</v>
      </c>
      <c r="B66" t="s">
        <v>417</v>
      </c>
      <c r="C66" t="s">
        <v>16</v>
      </c>
      <c r="D66" t="s">
        <v>21</v>
      </c>
      <c r="E66" t="s">
        <v>405</v>
      </c>
      <c r="F66">
        <v>1.61</v>
      </c>
      <c r="G66">
        <v>2.4500000000000002</v>
      </c>
      <c r="H66" s="1" t="s">
        <v>10</v>
      </c>
      <c r="J66" t="s">
        <v>112</v>
      </c>
      <c r="K66" t="s">
        <v>113</v>
      </c>
      <c r="L66">
        <v>1.48</v>
      </c>
      <c r="M66">
        <v>2.7</v>
      </c>
      <c r="N66" t="s">
        <v>8</v>
      </c>
    </row>
    <row r="67" spans="1:14" x14ac:dyDescent="0.25">
      <c r="A67" t="s">
        <v>65</v>
      </c>
      <c r="B67" t="s">
        <v>417</v>
      </c>
      <c r="C67" t="s">
        <v>16</v>
      </c>
      <c r="D67" t="s">
        <v>27</v>
      </c>
      <c r="E67" t="s">
        <v>409</v>
      </c>
      <c r="F67">
        <v>1.56</v>
      </c>
      <c r="G67">
        <v>2.5</v>
      </c>
      <c r="H67" s="1" t="s">
        <v>10</v>
      </c>
      <c r="J67" t="s">
        <v>112</v>
      </c>
      <c r="K67" t="s">
        <v>113</v>
      </c>
      <c r="L67">
        <v>1.51</v>
      </c>
      <c r="M67">
        <v>2.68</v>
      </c>
      <c r="N67" t="s">
        <v>8</v>
      </c>
    </row>
    <row r="68" spans="1:14" x14ac:dyDescent="0.25">
      <c r="A68" t="s">
        <v>65</v>
      </c>
      <c r="B68" t="s">
        <v>417</v>
      </c>
      <c r="C68" t="s">
        <v>16</v>
      </c>
      <c r="D68" t="s">
        <v>29</v>
      </c>
      <c r="E68" t="s">
        <v>410</v>
      </c>
      <c r="F68">
        <v>1.59</v>
      </c>
      <c r="G68">
        <v>2.4300000000000002</v>
      </c>
      <c r="H68" s="1" t="s">
        <v>10</v>
      </c>
      <c r="J68" t="s">
        <v>112</v>
      </c>
      <c r="K68" t="s">
        <v>113</v>
      </c>
      <c r="L68">
        <v>1.48</v>
      </c>
      <c r="M68">
        <v>2.75</v>
      </c>
      <c r="N68" t="s">
        <v>8</v>
      </c>
    </row>
    <row r="69" spans="1:14" x14ac:dyDescent="0.25">
      <c r="A69" t="s">
        <v>65</v>
      </c>
      <c r="B69" t="s">
        <v>417</v>
      </c>
      <c r="C69" t="s">
        <v>16</v>
      </c>
      <c r="D69" t="s">
        <v>17</v>
      </c>
      <c r="E69" t="s">
        <v>407</v>
      </c>
      <c r="F69">
        <v>1.56</v>
      </c>
      <c r="G69">
        <v>2.4</v>
      </c>
      <c r="H69" s="1" t="s">
        <v>10</v>
      </c>
      <c r="J69" t="s">
        <v>112</v>
      </c>
      <c r="K69" t="s">
        <v>113</v>
      </c>
      <c r="L69">
        <v>1.48</v>
      </c>
      <c r="M69">
        <v>2.75</v>
      </c>
      <c r="N69" t="s">
        <v>8</v>
      </c>
    </row>
    <row r="70" spans="1:14" x14ac:dyDescent="0.25">
      <c r="A70" t="s">
        <v>65</v>
      </c>
      <c r="B70" t="s">
        <v>417</v>
      </c>
      <c r="C70" t="s">
        <v>16</v>
      </c>
      <c r="D70" t="s">
        <v>15</v>
      </c>
      <c r="E70" t="s">
        <v>408</v>
      </c>
      <c r="F70">
        <v>1.56</v>
      </c>
      <c r="G70">
        <v>2.4</v>
      </c>
      <c r="H70" s="1" t="s">
        <v>10</v>
      </c>
      <c r="J70" t="s">
        <v>112</v>
      </c>
      <c r="K70" t="s">
        <v>113</v>
      </c>
      <c r="L70">
        <v>1.5</v>
      </c>
      <c r="M70">
        <v>2.7</v>
      </c>
      <c r="N70" t="s">
        <v>8</v>
      </c>
    </row>
    <row r="71" spans="1:14" x14ac:dyDescent="0.25">
      <c r="A71" t="s">
        <v>65</v>
      </c>
      <c r="B71" t="s">
        <v>417</v>
      </c>
      <c r="C71" t="s">
        <v>16</v>
      </c>
      <c r="D71" t="s">
        <v>18</v>
      </c>
      <c r="E71" t="s">
        <v>411</v>
      </c>
      <c r="F71">
        <v>1.54</v>
      </c>
      <c r="G71">
        <v>2.42</v>
      </c>
      <c r="H71" s="1" t="s">
        <v>10</v>
      </c>
      <c r="J71" t="s">
        <v>119</v>
      </c>
      <c r="K71" t="s">
        <v>113</v>
      </c>
      <c r="L71">
        <v>1.24</v>
      </c>
      <c r="M71">
        <v>4.3</v>
      </c>
      <c r="N71" t="s">
        <v>8</v>
      </c>
    </row>
    <row r="72" spans="1:14" x14ac:dyDescent="0.25">
      <c r="A72" t="s">
        <v>65</v>
      </c>
      <c r="B72" t="s">
        <v>417</v>
      </c>
      <c r="C72" t="s">
        <v>16</v>
      </c>
      <c r="D72" t="s">
        <v>25</v>
      </c>
      <c r="E72" t="s">
        <v>409</v>
      </c>
      <c r="F72">
        <v>1.57</v>
      </c>
      <c r="G72">
        <v>2.5</v>
      </c>
      <c r="H72" s="1" t="s">
        <v>10</v>
      </c>
      <c r="J72" t="s">
        <v>119</v>
      </c>
      <c r="K72" t="s">
        <v>113</v>
      </c>
      <c r="L72">
        <v>1.22</v>
      </c>
      <c r="M72">
        <v>4.5</v>
      </c>
      <c r="N72" t="s">
        <v>8</v>
      </c>
    </row>
    <row r="73" spans="1:14" x14ac:dyDescent="0.25">
      <c r="A73" t="s">
        <v>65</v>
      </c>
      <c r="B73" t="s">
        <v>417</v>
      </c>
      <c r="C73" t="s">
        <v>16</v>
      </c>
      <c r="D73" t="s">
        <v>26</v>
      </c>
      <c r="E73" t="s">
        <v>404</v>
      </c>
      <c r="F73">
        <v>1.57</v>
      </c>
      <c r="G73">
        <v>2.46</v>
      </c>
      <c r="H73" s="1" t="s">
        <v>10</v>
      </c>
      <c r="J73" t="s">
        <v>119</v>
      </c>
      <c r="K73" t="s">
        <v>113</v>
      </c>
      <c r="L73">
        <v>1.21</v>
      </c>
      <c r="M73">
        <v>4.5</v>
      </c>
      <c r="N73" t="s">
        <v>8</v>
      </c>
    </row>
    <row r="74" spans="1:14" x14ac:dyDescent="0.25">
      <c r="A74" t="s">
        <v>65</v>
      </c>
      <c r="B74" t="s">
        <v>417</v>
      </c>
      <c r="C74" t="s">
        <v>16</v>
      </c>
      <c r="D74" t="s">
        <v>28</v>
      </c>
      <c r="E74" t="s">
        <v>412</v>
      </c>
      <c r="F74">
        <v>1.61</v>
      </c>
      <c r="G74">
        <v>2.35</v>
      </c>
      <c r="H74" s="1" t="s">
        <v>10</v>
      </c>
      <c r="J74" t="s">
        <v>119</v>
      </c>
      <c r="K74" t="s">
        <v>113</v>
      </c>
      <c r="L74">
        <v>1.21</v>
      </c>
      <c r="M74">
        <v>4.5</v>
      </c>
      <c r="N74" t="s">
        <v>8</v>
      </c>
    </row>
    <row r="75" spans="1:14" x14ac:dyDescent="0.25">
      <c r="A75" t="s">
        <v>65</v>
      </c>
      <c r="B75" t="s">
        <v>417</v>
      </c>
      <c r="C75" t="s">
        <v>16</v>
      </c>
      <c r="D75" t="s">
        <v>23</v>
      </c>
      <c r="E75" t="s">
        <v>413</v>
      </c>
      <c r="F75">
        <v>1.59</v>
      </c>
      <c r="G75">
        <v>2.4500000000000002</v>
      </c>
      <c r="H75" s="1" t="s">
        <v>10</v>
      </c>
      <c r="J75" t="s">
        <v>119</v>
      </c>
      <c r="K75" t="s">
        <v>113</v>
      </c>
      <c r="L75">
        <v>1.2</v>
      </c>
      <c r="M75">
        <v>4.55</v>
      </c>
      <c r="N75" t="s">
        <v>8</v>
      </c>
    </row>
    <row r="76" spans="1:14" x14ac:dyDescent="0.25">
      <c r="A76" t="s">
        <v>259</v>
      </c>
      <c r="B76" t="s">
        <v>418</v>
      </c>
      <c r="C76" t="s">
        <v>16</v>
      </c>
      <c r="D76" t="s">
        <v>24</v>
      </c>
      <c r="E76" t="s">
        <v>406</v>
      </c>
      <c r="F76">
        <v>2.7</v>
      </c>
      <c r="G76">
        <v>1.5</v>
      </c>
      <c r="H76" s="1" t="s">
        <v>10</v>
      </c>
      <c r="J76" t="s">
        <v>119</v>
      </c>
      <c r="K76" t="s">
        <v>113</v>
      </c>
      <c r="L76">
        <v>1.22</v>
      </c>
      <c r="M76">
        <v>4.3499999999999996</v>
      </c>
      <c r="N76" t="s">
        <v>8</v>
      </c>
    </row>
    <row r="77" spans="1:14" x14ac:dyDescent="0.25">
      <c r="A77" t="s">
        <v>259</v>
      </c>
      <c r="B77" t="s">
        <v>418</v>
      </c>
      <c r="C77" t="s">
        <v>16</v>
      </c>
      <c r="D77" t="s">
        <v>21</v>
      </c>
      <c r="E77" t="s">
        <v>405</v>
      </c>
      <c r="F77">
        <v>2.7</v>
      </c>
      <c r="G77">
        <v>1.5</v>
      </c>
      <c r="H77" s="1" t="s">
        <v>10</v>
      </c>
      <c r="J77" t="s">
        <v>119</v>
      </c>
      <c r="K77" t="s">
        <v>113</v>
      </c>
      <c r="L77">
        <v>1.23</v>
      </c>
      <c r="M77">
        <v>4.3499999999999996</v>
      </c>
      <c r="N77" t="s">
        <v>8</v>
      </c>
    </row>
    <row r="78" spans="1:14" x14ac:dyDescent="0.25">
      <c r="A78" t="s">
        <v>259</v>
      </c>
      <c r="B78" t="s">
        <v>418</v>
      </c>
      <c r="C78" t="s">
        <v>16</v>
      </c>
      <c r="D78" t="s">
        <v>29</v>
      </c>
      <c r="E78" t="s">
        <v>410</v>
      </c>
      <c r="F78">
        <v>2.63</v>
      </c>
      <c r="G78">
        <v>1.51</v>
      </c>
      <c r="H78" s="1" t="s">
        <v>10</v>
      </c>
      <c r="J78" t="s">
        <v>119</v>
      </c>
      <c r="K78" t="s">
        <v>113</v>
      </c>
      <c r="L78">
        <v>1.22</v>
      </c>
      <c r="M78">
        <v>4.4000000000000004</v>
      </c>
      <c r="N78" t="s">
        <v>8</v>
      </c>
    </row>
    <row r="79" spans="1:14" x14ac:dyDescent="0.25">
      <c r="A79" t="s">
        <v>259</v>
      </c>
      <c r="B79" t="s">
        <v>418</v>
      </c>
      <c r="C79" t="s">
        <v>16</v>
      </c>
      <c r="D79" t="s">
        <v>26</v>
      </c>
      <c r="E79" t="s">
        <v>404</v>
      </c>
      <c r="F79">
        <v>2.65</v>
      </c>
      <c r="G79">
        <v>1.5</v>
      </c>
      <c r="H79" s="1" t="s">
        <v>10</v>
      </c>
      <c r="J79" t="s">
        <v>119</v>
      </c>
      <c r="K79" t="s">
        <v>113</v>
      </c>
      <c r="L79">
        <v>1.25</v>
      </c>
      <c r="M79">
        <v>4.2</v>
      </c>
      <c r="N79" t="s">
        <v>8</v>
      </c>
    </row>
    <row r="80" spans="1:14" x14ac:dyDescent="0.25">
      <c r="A80" t="s">
        <v>259</v>
      </c>
      <c r="B80" t="s">
        <v>418</v>
      </c>
      <c r="C80" t="s">
        <v>16</v>
      </c>
      <c r="D80" t="s">
        <v>18</v>
      </c>
      <c r="E80" t="s">
        <v>411</v>
      </c>
      <c r="F80">
        <v>2.52</v>
      </c>
      <c r="G80">
        <v>1.51</v>
      </c>
      <c r="H80" s="1" t="s">
        <v>10</v>
      </c>
      <c r="J80" t="s">
        <v>119</v>
      </c>
      <c r="K80" t="s">
        <v>113</v>
      </c>
      <c r="L80">
        <v>1.21</v>
      </c>
      <c r="M80">
        <v>4.5999999999999996</v>
      </c>
      <c r="N80" t="s">
        <v>8</v>
      </c>
    </row>
    <row r="81" spans="1:14" x14ac:dyDescent="0.25">
      <c r="A81" t="s">
        <v>259</v>
      </c>
      <c r="B81" t="s">
        <v>418</v>
      </c>
      <c r="C81" t="s">
        <v>16</v>
      </c>
      <c r="D81" t="s">
        <v>27</v>
      </c>
      <c r="E81" t="s">
        <v>409</v>
      </c>
      <c r="F81">
        <v>2.7</v>
      </c>
      <c r="G81">
        <v>1.49</v>
      </c>
      <c r="H81" s="1" t="s">
        <v>10</v>
      </c>
      <c r="J81" t="s">
        <v>119</v>
      </c>
      <c r="K81" t="s">
        <v>113</v>
      </c>
      <c r="L81">
        <v>1.25</v>
      </c>
      <c r="M81">
        <v>4.2</v>
      </c>
      <c r="N81" t="s">
        <v>8</v>
      </c>
    </row>
    <row r="82" spans="1:14" x14ac:dyDescent="0.25">
      <c r="A82" t="s">
        <v>259</v>
      </c>
      <c r="B82" t="s">
        <v>418</v>
      </c>
      <c r="C82" t="s">
        <v>16</v>
      </c>
      <c r="D82" t="s">
        <v>23</v>
      </c>
      <c r="E82" t="s">
        <v>413</v>
      </c>
      <c r="F82">
        <v>2.6</v>
      </c>
      <c r="G82">
        <v>1.53</v>
      </c>
      <c r="H82" s="1" t="s">
        <v>10</v>
      </c>
      <c r="J82" t="s">
        <v>119</v>
      </c>
      <c r="K82" t="s">
        <v>113</v>
      </c>
      <c r="L82">
        <v>1.22</v>
      </c>
      <c r="M82">
        <v>4.4000000000000004</v>
      </c>
      <c r="N82" t="s">
        <v>8</v>
      </c>
    </row>
    <row r="83" spans="1:14" x14ac:dyDescent="0.25">
      <c r="A83" t="s">
        <v>259</v>
      </c>
      <c r="B83" t="s">
        <v>418</v>
      </c>
      <c r="C83" t="s">
        <v>16</v>
      </c>
      <c r="D83" t="s">
        <v>25</v>
      </c>
      <c r="E83" t="s">
        <v>409</v>
      </c>
      <c r="F83">
        <v>2.65</v>
      </c>
      <c r="G83">
        <v>1.51</v>
      </c>
      <c r="H83" s="1" t="s">
        <v>10</v>
      </c>
      <c r="J83" t="s">
        <v>119</v>
      </c>
      <c r="K83" t="s">
        <v>113</v>
      </c>
      <c r="L83">
        <v>1.22</v>
      </c>
      <c r="M83">
        <v>4.5999999999999996</v>
      </c>
      <c r="N83" t="s">
        <v>8</v>
      </c>
    </row>
    <row r="84" spans="1:14" x14ac:dyDescent="0.25">
      <c r="A84" t="s">
        <v>68</v>
      </c>
      <c r="B84" t="s">
        <v>419</v>
      </c>
      <c r="C84" t="s">
        <v>16</v>
      </c>
      <c r="D84" t="s">
        <v>24</v>
      </c>
      <c r="E84" t="s">
        <v>406</v>
      </c>
      <c r="F84">
        <v>1.96</v>
      </c>
      <c r="G84">
        <v>1.86</v>
      </c>
      <c r="H84" s="1" t="s">
        <v>10</v>
      </c>
      <c r="J84" t="s">
        <v>119</v>
      </c>
      <c r="K84" t="s">
        <v>113</v>
      </c>
      <c r="L84">
        <v>1.22</v>
      </c>
      <c r="M84">
        <v>4.5</v>
      </c>
      <c r="N84" t="s">
        <v>8</v>
      </c>
    </row>
    <row r="85" spans="1:14" x14ac:dyDescent="0.25">
      <c r="A85" t="s">
        <v>68</v>
      </c>
      <c r="B85" t="s">
        <v>419</v>
      </c>
      <c r="C85" t="s">
        <v>16</v>
      </c>
      <c r="D85" t="s">
        <v>25</v>
      </c>
      <c r="E85" t="s">
        <v>409</v>
      </c>
      <c r="F85">
        <v>1.95</v>
      </c>
      <c r="G85">
        <v>1.87</v>
      </c>
      <c r="H85" s="1" t="s">
        <v>10</v>
      </c>
      <c r="J85" t="s">
        <v>198</v>
      </c>
      <c r="K85" t="s">
        <v>113</v>
      </c>
      <c r="L85">
        <v>1.1599999999999999</v>
      </c>
      <c r="M85">
        <v>5.55</v>
      </c>
      <c r="N85" t="s">
        <v>8</v>
      </c>
    </row>
    <row r="86" spans="1:14" x14ac:dyDescent="0.25">
      <c r="A86" t="s">
        <v>68</v>
      </c>
      <c r="B86" t="s">
        <v>419</v>
      </c>
      <c r="C86" t="s">
        <v>16</v>
      </c>
      <c r="D86" t="s">
        <v>21</v>
      </c>
      <c r="E86" t="s">
        <v>405</v>
      </c>
      <c r="F86">
        <v>1.96</v>
      </c>
      <c r="G86">
        <v>1.86</v>
      </c>
      <c r="H86" s="1" t="s">
        <v>10</v>
      </c>
      <c r="J86" t="s">
        <v>198</v>
      </c>
      <c r="K86" t="s">
        <v>113</v>
      </c>
      <c r="L86">
        <v>1.1399999999999999</v>
      </c>
      <c r="M86">
        <v>5.9</v>
      </c>
      <c r="N86" t="s">
        <v>8</v>
      </c>
    </row>
    <row r="87" spans="1:14" x14ac:dyDescent="0.25">
      <c r="A87" t="s">
        <v>68</v>
      </c>
      <c r="B87" t="s">
        <v>419</v>
      </c>
      <c r="C87" t="s">
        <v>16</v>
      </c>
      <c r="D87" t="s">
        <v>27</v>
      </c>
      <c r="E87" t="s">
        <v>409</v>
      </c>
      <c r="F87">
        <v>2.02</v>
      </c>
      <c r="G87">
        <v>1.82</v>
      </c>
      <c r="H87" s="1" t="s">
        <v>10</v>
      </c>
      <c r="J87" t="s">
        <v>198</v>
      </c>
      <c r="K87" t="s">
        <v>113</v>
      </c>
      <c r="L87">
        <v>1.1499999999999999</v>
      </c>
      <c r="M87">
        <v>5.5</v>
      </c>
      <c r="N87" t="s">
        <v>8</v>
      </c>
    </row>
    <row r="88" spans="1:14" x14ac:dyDescent="0.25">
      <c r="A88" t="s">
        <v>68</v>
      </c>
      <c r="B88" t="s">
        <v>419</v>
      </c>
      <c r="C88" t="s">
        <v>16</v>
      </c>
      <c r="D88" t="s">
        <v>29</v>
      </c>
      <c r="E88" t="s">
        <v>410</v>
      </c>
      <c r="F88">
        <v>2</v>
      </c>
      <c r="G88">
        <v>1.83</v>
      </c>
      <c r="H88" s="1" t="s">
        <v>10</v>
      </c>
      <c r="J88" t="s">
        <v>198</v>
      </c>
      <c r="K88" t="s">
        <v>113</v>
      </c>
      <c r="L88">
        <v>1.1399999999999999</v>
      </c>
      <c r="M88">
        <v>5.8</v>
      </c>
      <c r="N88" t="s">
        <v>8</v>
      </c>
    </row>
    <row r="89" spans="1:14" x14ac:dyDescent="0.25">
      <c r="A89" t="s">
        <v>68</v>
      </c>
      <c r="B89" t="s">
        <v>419</v>
      </c>
      <c r="C89" t="s">
        <v>16</v>
      </c>
      <c r="D89" t="s">
        <v>17</v>
      </c>
      <c r="E89" t="s">
        <v>407</v>
      </c>
      <c r="F89">
        <v>2</v>
      </c>
      <c r="G89">
        <v>1.82</v>
      </c>
      <c r="H89" s="1" t="s">
        <v>10</v>
      </c>
      <c r="J89" t="s">
        <v>198</v>
      </c>
      <c r="K89" t="s">
        <v>113</v>
      </c>
      <c r="L89">
        <v>1.1499999999999999</v>
      </c>
      <c r="M89">
        <v>5.6</v>
      </c>
      <c r="N89" t="s">
        <v>8</v>
      </c>
    </row>
    <row r="90" spans="1:14" x14ac:dyDescent="0.25">
      <c r="A90" t="s">
        <v>68</v>
      </c>
      <c r="B90" t="s">
        <v>419</v>
      </c>
      <c r="C90" t="s">
        <v>16</v>
      </c>
      <c r="D90" t="s">
        <v>15</v>
      </c>
      <c r="E90" t="s">
        <v>408</v>
      </c>
      <c r="F90">
        <v>2</v>
      </c>
      <c r="G90">
        <v>1.82</v>
      </c>
      <c r="H90" s="1" t="s">
        <v>10</v>
      </c>
      <c r="J90" t="s">
        <v>198</v>
      </c>
      <c r="K90" t="s">
        <v>113</v>
      </c>
      <c r="L90">
        <v>1.1599999999999999</v>
      </c>
      <c r="M90">
        <v>5.3</v>
      </c>
      <c r="N90" t="s">
        <v>8</v>
      </c>
    </row>
    <row r="91" spans="1:14" x14ac:dyDescent="0.25">
      <c r="A91" t="s">
        <v>68</v>
      </c>
      <c r="B91" t="s">
        <v>419</v>
      </c>
      <c r="C91" t="s">
        <v>16</v>
      </c>
      <c r="D91" t="s">
        <v>18</v>
      </c>
      <c r="E91" t="s">
        <v>411</v>
      </c>
      <c r="F91">
        <v>1.94</v>
      </c>
      <c r="G91">
        <v>1.83</v>
      </c>
      <c r="H91" s="1" t="s">
        <v>10</v>
      </c>
      <c r="J91" t="s">
        <v>198</v>
      </c>
      <c r="K91" t="s">
        <v>113</v>
      </c>
      <c r="L91">
        <v>1.1499999999999999</v>
      </c>
      <c r="M91">
        <v>5.5</v>
      </c>
      <c r="N91" t="s">
        <v>8</v>
      </c>
    </row>
    <row r="92" spans="1:14" x14ac:dyDescent="0.25">
      <c r="A92" t="s">
        <v>68</v>
      </c>
      <c r="B92" t="s">
        <v>419</v>
      </c>
      <c r="C92" t="s">
        <v>16</v>
      </c>
      <c r="D92" t="s">
        <v>26</v>
      </c>
      <c r="E92" t="s">
        <v>404</v>
      </c>
      <c r="F92">
        <v>2</v>
      </c>
      <c r="G92">
        <v>1.83</v>
      </c>
      <c r="H92" s="1" t="s">
        <v>10</v>
      </c>
      <c r="J92" t="s">
        <v>198</v>
      </c>
      <c r="K92" t="s">
        <v>113</v>
      </c>
      <c r="L92">
        <v>1.1599999999999999</v>
      </c>
      <c r="M92">
        <v>5.3</v>
      </c>
      <c r="N92" t="s">
        <v>8</v>
      </c>
    </row>
    <row r="93" spans="1:14" x14ac:dyDescent="0.25">
      <c r="A93" t="s">
        <v>68</v>
      </c>
      <c r="B93" t="s">
        <v>419</v>
      </c>
      <c r="C93" t="s">
        <v>16</v>
      </c>
      <c r="D93" t="s">
        <v>28</v>
      </c>
      <c r="E93" t="s">
        <v>412</v>
      </c>
      <c r="F93">
        <v>2</v>
      </c>
      <c r="G93">
        <v>1.83</v>
      </c>
      <c r="H93" s="1" t="s">
        <v>10</v>
      </c>
      <c r="J93" t="s">
        <v>198</v>
      </c>
      <c r="K93" t="s">
        <v>113</v>
      </c>
      <c r="L93">
        <v>1.1599999999999999</v>
      </c>
      <c r="M93">
        <v>5.8</v>
      </c>
      <c r="N93" t="s">
        <v>8</v>
      </c>
    </row>
    <row r="94" spans="1:14" x14ac:dyDescent="0.25">
      <c r="A94" t="s">
        <v>68</v>
      </c>
      <c r="B94" t="s">
        <v>419</v>
      </c>
      <c r="C94" t="s">
        <v>16</v>
      </c>
      <c r="D94" t="s">
        <v>23</v>
      </c>
      <c r="E94" t="s">
        <v>413</v>
      </c>
      <c r="F94">
        <v>2</v>
      </c>
      <c r="G94">
        <v>1.83</v>
      </c>
      <c r="H94" s="1" t="s">
        <v>10</v>
      </c>
      <c r="J94" t="s">
        <v>198</v>
      </c>
      <c r="K94" t="s">
        <v>113</v>
      </c>
      <c r="L94">
        <v>1.1399999999999999</v>
      </c>
      <c r="M94">
        <v>5.75</v>
      </c>
      <c r="N94" t="s">
        <v>8</v>
      </c>
    </row>
    <row r="95" spans="1:14" x14ac:dyDescent="0.25">
      <c r="A95" t="s">
        <v>66</v>
      </c>
      <c r="B95" t="s">
        <v>260</v>
      </c>
      <c r="C95" t="s">
        <v>16</v>
      </c>
      <c r="D95" t="s">
        <v>24</v>
      </c>
      <c r="E95" t="s">
        <v>406</v>
      </c>
      <c r="F95">
        <v>1.45</v>
      </c>
      <c r="G95">
        <v>2.86</v>
      </c>
      <c r="H95" s="1" t="s">
        <v>10</v>
      </c>
      <c r="J95" t="s">
        <v>198</v>
      </c>
      <c r="K95" t="s">
        <v>113</v>
      </c>
      <c r="L95">
        <v>1.1399999999999999</v>
      </c>
      <c r="M95">
        <v>5.9</v>
      </c>
      <c r="N95" t="s">
        <v>8</v>
      </c>
    </row>
    <row r="96" spans="1:14" x14ac:dyDescent="0.25">
      <c r="A96" t="s">
        <v>66</v>
      </c>
      <c r="B96" t="s">
        <v>260</v>
      </c>
      <c r="C96" t="s">
        <v>16</v>
      </c>
      <c r="D96" t="s">
        <v>21</v>
      </c>
      <c r="E96" t="s">
        <v>405</v>
      </c>
      <c r="F96">
        <v>1.45</v>
      </c>
      <c r="G96">
        <v>2.86</v>
      </c>
      <c r="H96" s="1" t="s">
        <v>10</v>
      </c>
      <c r="J96" t="s">
        <v>198</v>
      </c>
      <c r="K96" t="s">
        <v>113</v>
      </c>
      <c r="L96">
        <v>1.1599999999999999</v>
      </c>
      <c r="M96">
        <v>5.8</v>
      </c>
      <c r="N96" t="s">
        <v>8</v>
      </c>
    </row>
    <row r="97" spans="1:14" x14ac:dyDescent="0.25">
      <c r="A97" t="s">
        <v>66</v>
      </c>
      <c r="B97" t="s">
        <v>260</v>
      </c>
      <c r="C97" t="s">
        <v>16</v>
      </c>
      <c r="D97" t="s">
        <v>25</v>
      </c>
      <c r="E97" t="s">
        <v>409</v>
      </c>
      <c r="F97">
        <v>1.43</v>
      </c>
      <c r="G97">
        <v>2.9</v>
      </c>
      <c r="H97" s="1" t="s">
        <v>10</v>
      </c>
      <c r="J97" t="s">
        <v>198</v>
      </c>
      <c r="K97" t="s">
        <v>113</v>
      </c>
      <c r="L97">
        <v>1.17</v>
      </c>
      <c r="M97">
        <v>5.5</v>
      </c>
      <c r="N97" t="s">
        <v>8</v>
      </c>
    </row>
    <row r="98" spans="1:14" x14ac:dyDescent="0.25">
      <c r="A98" t="s">
        <v>66</v>
      </c>
      <c r="B98" t="s">
        <v>260</v>
      </c>
      <c r="C98" t="s">
        <v>16</v>
      </c>
      <c r="D98" t="s">
        <v>27</v>
      </c>
      <c r="E98" t="s">
        <v>409</v>
      </c>
      <c r="F98">
        <v>1.44</v>
      </c>
      <c r="G98">
        <v>2.85</v>
      </c>
      <c r="H98" s="1" t="s">
        <v>10</v>
      </c>
      <c r="J98" t="s">
        <v>198</v>
      </c>
      <c r="K98" t="s">
        <v>113</v>
      </c>
      <c r="L98">
        <v>1.1499999999999999</v>
      </c>
      <c r="M98">
        <v>5.9</v>
      </c>
      <c r="N98" t="s">
        <v>8</v>
      </c>
    </row>
    <row r="99" spans="1:14" x14ac:dyDescent="0.25">
      <c r="A99" t="s">
        <v>66</v>
      </c>
      <c r="B99" t="s">
        <v>260</v>
      </c>
      <c r="C99" t="s">
        <v>16</v>
      </c>
      <c r="D99" t="s">
        <v>29</v>
      </c>
      <c r="E99" t="s">
        <v>410</v>
      </c>
      <c r="F99">
        <v>1.43</v>
      </c>
      <c r="G99">
        <v>2.95</v>
      </c>
      <c r="H99" s="1" t="s">
        <v>10</v>
      </c>
      <c r="J99" t="s">
        <v>199</v>
      </c>
      <c r="K99" t="s">
        <v>113</v>
      </c>
      <c r="L99">
        <v>1.52</v>
      </c>
      <c r="M99">
        <v>2.6</v>
      </c>
      <c r="N99" t="s">
        <v>8</v>
      </c>
    </row>
    <row r="100" spans="1:14" x14ac:dyDescent="0.25">
      <c r="A100" t="s">
        <v>66</v>
      </c>
      <c r="B100" t="s">
        <v>260</v>
      </c>
      <c r="C100" t="s">
        <v>16</v>
      </c>
      <c r="D100" t="s">
        <v>17</v>
      </c>
      <c r="E100" t="s">
        <v>407</v>
      </c>
      <c r="F100">
        <v>1.4</v>
      </c>
      <c r="G100">
        <v>2.95</v>
      </c>
      <c r="H100" s="1" t="s">
        <v>10</v>
      </c>
      <c r="J100" t="s">
        <v>199</v>
      </c>
      <c r="K100" t="s">
        <v>113</v>
      </c>
      <c r="L100">
        <v>1.53</v>
      </c>
      <c r="M100">
        <v>2.5499999999999998</v>
      </c>
      <c r="N100" t="s">
        <v>8</v>
      </c>
    </row>
    <row r="101" spans="1:14" x14ac:dyDescent="0.25">
      <c r="A101" t="s">
        <v>66</v>
      </c>
      <c r="B101" t="s">
        <v>260</v>
      </c>
      <c r="C101" t="s">
        <v>16</v>
      </c>
      <c r="D101" t="s">
        <v>15</v>
      </c>
      <c r="E101" t="s">
        <v>408</v>
      </c>
      <c r="F101">
        <v>1.4</v>
      </c>
      <c r="G101">
        <v>2.95</v>
      </c>
      <c r="H101" s="1" t="s">
        <v>10</v>
      </c>
      <c r="J101" t="s">
        <v>199</v>
      </c>
      <c r="K101" t="s">
        <v>113</v>
      </c>
      <c r="L101">
        <v>1.51</v>
      </c>
      <c r="M101">
        <v>2.65</v>
      </c>
      <c r="N101" t="s">
        <v>8</v>
      </c>
    </row>
    <row r="102" spans="1:14" x14ac:dyDescent="0.25">
      <c r="A102" t="s">
        <v>66</v>
      </c>
      <c r="B102" t="s">
        <v>260</v>
      </c>
      <c r="C102" t="s">
        <v>16</v>
      </c>
      <c r="D102" t="s">
        <v>18</v>
      </c>
      <c r="E102" t="s">
        <v>411</v>
      </c>
      <c r="F102">
        <v>1.41</v>
      </c>
      <c r="G102">
        <v>2.86</v>
      </c>
      <c r="H102" s="1" t="s">
        <v>10</v>
      </c>
      <c r="J102" t="s">
        <v>199</v>
      </c>
      <c r="K102" t="s">
        <v>113</v>
      </c>
      <c r="L102">
        <v>1.51</v>
      </c>
      <c r="M102">
        <v>2.6</v>
      </c>
      <c r="N102" t="s">
        <v>8</v>
      </c>
    </row>
    <row r="103" spans="1:14" x14ac:dyDescent="0.25">
      <c r="A103" t="s">
        <v>66</v>
      </c>
      <c r="B103" t="s">
        <v>260</v>
      </c>
      <c r="C103" t="s">
        <v>16</v>
      </c>
      <c r="D103" t="s">
        <v>26</v>
      </c>
      <c r="E103" t="s">
        <v>404</v>
      </c>
      <c r="F103">
        <v>1.44</v>
      </c>
      <c r="G103">
        <v>2.85</v>
      </c>
      <c r="H103" s="1" t="s">
        <v>10</v>
      </c>
      <c r="J103" t="s">
        <v>199</v>
      </c>
      <c r="K103" t="s">
        <v>113</v>
      </c>
      <c r="L103">
        <v>1.51</v>
      </c>
      <c r="M103">
        <v>2.62</v>
      </c>
      <c r="N103" t="s">
        <v>8</v>
      </c>
    </row>
    <row r="104" spans="1:14" x14ac:dyDescent="0.25">
      <c r="A104" t="s">
        <v>66</v>
      </c>
      <c r="B104" t="s">
        <v>260</v>
      </c>
      <c r="C104" t="s">
        <v>16</v>
      </c>
      <c r="D104" t="s">
        <v>28</v>
      </c>
      <c r="E104" t="s">
        <v>412</v>
      </c>
      <c r="F104">
        <v>1.44</v>
      </c>
      <c r="G104">
        <v>2.85</v>
      </c>
      <c r="H104" s="1" t="s">
        <v>10</v>
      </c>
      <c r="J104" t="s">
        <v>199</v>
      </c>
      <c r="K104" t="s">
        <v>113</v>
      </c>
      <c r="L104">
        <v>1.53</v>
      </c>
      <c r="M104">
        <v>2.5499999999999998</v>
      </c>
      <c r="N104" t="s">
        <v>8</v>
      </c>
    </row>
    <row r="105" spans="1:14" x14ac:dyDescent="0.25">
      <c r="A105" t="s">
        <v>53</v>
      </c>
      <c r="B105" t="s">
        <v>261</v>
      </c>
      <c r="C105" t="s">
        <v>16</v>
      </c>
      <c r="D105" t="s">
        <v>18</v>
      </c>
      <c r="E105" t="s">
        <v>411</v>
      </c>
      <c r="F105">
        <v>2.64</v>
      </c>
      <c r="G105">
        <v>1.47</v>
      </c>
      <c r="H105" s="1" t="s">
        <v>10</v>
      </c>
      <c r="J105" t="s">
        <v>199</v>
      </c>
      <c r="K105" t="s">
        <v>113</v>
      </c>
      <c r="L105">
        <v>1.54</v>
      </c>
      <c r="M105">
        <v>2.5</v>
      </c>
      <c r="N105" t="s">
        <v>8</v>
      </c>
    </row>
    <row r="106" spans="1:14" x14ac:dyDescent="0.25">
      <c r="A106" t="s">
        <v>53</v>
      </c>
      <c r="B106" t="s">
        <v>261</v>
      </c>
      <c r="C106" t="s">
        <v>16</v>
      </c>
      <c r="D106" t="s">
        <v>27</v>
      </c>
      <c r="E106" t="s">
        <v>409</v>
      </c>
      <c r="F106">
        <v>2.7</v>
      </c>
      <c r="G106">
        <v>1.49</v>
      </c>
      <c r="H106" s="1" t="s">
        <v>10</v>
      </c>
      <c r="J106" t="s">
        <v>199</v>
      </c>
      <c r="K106" t="s">
        <v>113</v>
      </c>
      <c r="L106">
        <v>1.53</v>
      </c>
      <c r="M106">
        <v>2.5499999999999998</v>
      </c>
      <c r="N106" t="s">
        <v>8</v>
      </c>
    </row>
    <row r="107" spans="1:14" x14ac:dyDescent="0.25">
      <c r="A107" t="s">
        <v>53</v>
      </c>
      <c r="B107" t="s">
        <v>261</v>
      </c>
      <c r="C107" t="s">
        <v>16</v>
      </c>
      <c r="D107" t="s">
        <v>21</v>
      </c>
      <c r="E107" t="s">
        <v>405</v>
      </c>
      <c r="F107">
        <v>2.8</v>
      </c>
      <c r="G107">
        <v>1.48</v>
      </c>
      <c r="H107" s="1" t="s">
        <v>10</v>
      </c>
      <c r="J107" t="s">
        <v>199</v>
      </c>
      <c r="K107" t="s">
        <v>113</v>
      </c>
      <c r="L107">
        <v>1.56</v>
      </c>
      <c r="M107">
        <v>2.6</v>
      </c>
      <c r="N107" t="s">
        <v>8</v>
      </c>
    </row>
    <row r="108" spans="1:14" x14ac:dyDescent="0.25">
      <c r="A108" t="s">
        <v>53</v>
      </c>
      <c r="B108" t="s">
        <v>261</v>
      </c>
      <c r="C108" t="s">
        <v>16</v>
      </c>
      <c r="D108" t="s">
        <v>24</v>
      </c>
      <c r="E108" t="s">
        <v>406</v>
      </c>
      <c r="F108">
        <v>2.8</v>
      </c>
      <c r="G108">
        <v>1.48</v>
      </c>
      <c r="H108" s="1" t="s">
        <v>10</v>
      </c>
      <c r="J108" t="s">
        <v>199</v>
      </c>
      <c r="K108" t="s">
        <v>113</v>
      </c>
      <c r="L108">
        <v>1.56</v>
      </c>
      <c r="M108">
        <v>2.5</v>
      </c>
      <c r="N108" t="s">
        <v>8</v>
      </c>
    </row>
    <row r="109" spans="1:14" x14ac:dyDescent="0.25">
      <c r="A109" t="s">
        <v>53</v>
      </c>
      <c r="B109" t="s">
        <v>261</v>
      </c>
      <c r="C109" t="s">
        <v>16</v>
      </c>
      <c r="D109" t="s">
        <v>25</v>
      </c>
      <c r="E109" t="s">
        <v>409</v>
      </c>
      <c r="F109">
        <v>2.7</v>
      </c>
      <c r="G109">
        <v>1.49</v>
      </c>
      <c r="H109" s="1" t="s">
        <v>10</v>
      </c>
      <c r="J109" t="s">
        <v>199</v>
      </c>
      <c r="K109" t="s">
        <v>113</v>
      </c>
      <c r="L109">
        <v>1.56</v>
      </c>
      <c r="M109">
        <v>2.5499999999999998</v>
      </c>
      <c r="N109" t="s">
        <v>8</v>
      </c>
    </row>
    <row r="110" spans="1:14" x14ac:dyDescent="0.25">
      <c r="A110" t="s">
        <v>53</v>
      </c>
      <c r="B110" t="s">
        <v>261</v>
      </c>
      <c r="C110" t="s">
        <v>16</v>
      </c>
      <c r="D110" t="s">
        <v>17</v>
      </c>
      <c r="E110" t="s">
        <v>407</v>
      </c>
      <c r="F110">
        <v>2.65</v>
      </c>
      <c r="G110">
        <v>1.48</v>
      </c>
      <c r="H110" s="1" t="s">
        <v>10</v>
      </c>
      <c r="J110" t="s">
        <v>199</v>
      </c>
      <c r="K110" t="s">
        <v>113</v>
      </c>
      <c r="L110">
        <v>1.56</v>
      </c>
      <c r="M110">
        <v>2.6</v>
      </c>
      <c r="N110" t="s">
        <v>8</v>
      </c>
    </row>
    <row r="111" spans="1:14" x14ac:dyDescent="0.25">
      <c r="A111" t="s">
        <v>53</v>
      </c>
      <c r="B111" t="s">
        <v>261</v>
      </c>
      <c r="C111" t="s">
        <v>16</v>
      </c>
      <c r="D111" t="s">
        <v>15</v>
      </c>
      <c r="E111" t="s">
        <v>408</v>
      </c>
      <c r="F111">
        <v>2.65</v>
      </c>
      <c r="G111">
        <v>1.48</v>
      </c>
      <c r="H111" s="1" t="s">
        <v>10</v>
      </c>
      <c r="J111" t="s">
        <v>199</v>
      </c>
      <c r="K111" t="s">
        <v>113</v>
      </c>
      <c r="L111">
        <v>1.54</v>
      </c>
      <c r="M111">
        <v>2.5499999999999998</v>
      </c>
      <c r="N111" t="s">
        <v>8</v>
      </c>
    </row>
    <row r="112" spans="1:14" x14ac:dyDescent="0.25">
      <c r="A112" t="s">
        <v>53</v>
      </c>
      <c r="B112" t="s">
        <v>261</v>
      </c>
      <c r="C112" t="s">
        <v>16</v>
      </c>
      <c r="D112" t="s">
        <v>29</v>
      </c>
      <c r="E112" t="s">
        <v>410</v>
      </c>
      <c r="F112">
        <v>2.7</v>
      </c>
      <c r="G112">
        <v>1.49</v>
      </c>
      <c r="H112" s="1" t="s">
        <v>10</v>
      </c>
      <c r="J112" t="s">
        <v>199</v>
      </c>
      <c r="K112" t="s">
        <v>113</v>
      </c>
      <c r="L112">
        <v>1.54</v>
      </c>
      <c r="M112">
        <v>2.58</v>
      </c>
      <c r="N112" t="s">
        <v>8</v>
      </c>
    </row>
    <row r="113" spans="1:14" x14ac:dyDescent="0.25">
      <c r="A113" t="s">
        <v>53</v>
      </c>
      <c r="B113" t="s">
        <v>261</v>
      </c>
      <c r="C113" t="s">
        <v>16</v>
      </c>
      <c r="D113" t="s">
        <v>26</v>
      </c>
      <c r="E113" t="s">
        <v>404</v>
      </c>
      <c r="F113">
        <v>2.73</v>
      </c>
      <c r="G113">
        <v>1.48</v>
      </c>
      <c r="H113" s="1" t="s">
        <v>10</v>
      </c>
      <c r="J113" t="s">
        <v>200</v>
      </c>
      <c r="K113" t="s">
        <v>113</v>
      </c>
      <c r="L113">
        <v>1.98</v>
      </c>
      <c r="M113">
        <v>1.85</v>
      </c>
      <c r="N113" t="s">
        <v>8</v>
      </c>
    </row>
    <row r="114" spans="1:14" x14ac:dyDescent="0.25">
      <c r="A114" t="s">
        <v>53</v>
      </c>
      <c r="B114" t="s">
        <v>261</v>
      </c>
      <c r="C114" t="s">
        <v>16</v>
      </c>
      <c r="D114" t="s">
        <v>28</v>
      </c>
      <c r="E114" t="s">
        <v>412</v>
      </c>
      <c r="F114">
        <v>2.7</v>
      </c>
      <c r="G114">
        <v>1.48</v>
      </c>
      <c r="H114" s="1" t="s">
        <v>10</v>
      </c>
      <c r="J114" t="s">
        <v>200</v>
      </c>
      <c r="K114" t="s">
        <v>113</v>
      </c>
      <c r="L114">
        <v>1.98</v>
      </c>
      <c r="M114">
        <v>1.85</v>
      </c>
      <c r="N114" t="s">
        <v>8</v>
      </c>
    </row>
    <row r="115" spans="1:14" x14ac:dyDescent="0.25">
      <c r="A115" t="s">
        <v>53</v>
      </c>
      <c r="B115" t="s">
        <v>261</v>
      </c>
      <c r="C115" t="s">
        <v>16</v>
      </c>
      <c r="D115" t="s">
        <v>23</v>
      </c>
      <c r="E115" t="s">
        <v>413</v>
      </c>
      <c r="F115">
        <v>2.75</v>
      </c>
      <c r="G115">
        <v>1.48</v>
      </c>
      <c r="H115" s="1" t="s">
        <v>10</v>
      </c>
      <c r="J115" t="s">
        <v>200</v>
      </c>
      <c r="K115" t="s">
        <v>113</v>
      </c>
      <c r="L115">
        <v>2</v>
      </c>
      <c r="M115">
        <v>1.83</v>
      </c>
      <c r="N115" t="s">
        <v>8</v>
      </c>
    </row>
    <row r="116" spans="1:14" x14ac:dyDescent="0.25">
      <c r="A116" t="s">
        <v>87</v>
      </c>
      <c r="B116" t="s">
        <v>56</v>
      </c>
      <c r="C116" t="s">
        <v>16</v>
      </c>
      <c r="D116" t="s">
        <v>21</v>
      </c>
      <c r="E116" t="s">
        <v>405</v>
      </c>
      <c r="F116">
        <v>1.99</v>
      </c>
      <c r="G116">
        <v>1.84</v>
      </c>
      <c r="H116" s="1" t="s">
        <v>10</v>
      </c>
      <c r="J116" t="s">
        <v>200</v>
      </c>
      <c r="K116" t="s">
        <v>113</v>
      </c>
      <c r="L116">
        <v>2.0499999999999998</v>
      </c>
      <c r="M116">
        <v>1.8</v>
      </c>
      <c r="N116" t="s">
        <v>8</v>
      </c>
    </row>
    <row r="117" spans="1:14" x14ac:dyDescent="0.25">
      <c r="A117" t="s">
        <v>87</v>
      </c>
      <c r="B117" t="s">
        <v>56</v>
      </c>
      <c r="C117" t="s">
        <v>16</v>
      </c>
      <c r="D117" t="s">
        <v>24</v>
      </c>
      <c r="E117" t="s">
        <v>406</v>
      </c>
      <c r="F117">
        <v>1.99</v>
      </c>
      <c r="G117">
        <v>1.84</v>
      </c>
      <c r="H117" s="1" t="s">
        <v>10</v>
      </c>
      <c r="J117" t="s">
        <v>200</v>
      </c>
      <c r="K117" t="s">
        <v>113</v>
      </c>
      <c r="L117">
        <v>2</v>
      </c>
      <c r="M117">
        <v>1.83</v>
      </c>
      <c r="N117" t="s">
        <v>8</v>
      </c>
    </row>
    <row r="118" spans="1:14" x14ac:dyDescent="0.25">
      <c r="A118" t="s">
        <v>87</v>
      </c>
      <c r="B118" t="s">
        <v>56</v>
      </c>
      <c r="C118" t="s">
        <v>16</v>
      </c>
      <c r="D118" t="s">
        <v>18</v>
      </c>
      <c r="E118" t="s">
        <v>411</v>
      </c>
      <c r="F118">
        <v>1.96</v>
      </c>
      <c r="G118">
        <v>1.82</v>
      </c>
      <c r="H118" s="1" t="s">
        <v>10</v>
      </c>
      <c r="J118" t="s">
        <v>200</v>
      </c>
      <c r="K118" t="s">
        <v>113</v>
      </c>
      <c r="L118">
        <v>2.0499999999999998</v>
      </c>
      <c r="M118">
        <v>1.8</v>
      </c>
      <c r="N118" t="s">
        <v>8</v>
      </c>
    </row>
    <row r="119" spans="1:14" x14ac:dyDescent="0.25">
      <c r="A119" t="s">
        <v>87</v>
      </c>
      <c r="B119" t="s">
        <v>56</v>
      </c>
      <c r="C119" t="s">
        <v>16</v>
      </c>
      <c r="D119" t="s">
        <v>29</v>
      </c>
      <c r="E119" t="s">
        <v>410</v>
      </c>
      <c r="F119">
        <v>1.95</v>
      </c>
      <c r="G119">
        <v>1.87</v>
      </c>
      <c r="H119" s="1" t="s">
        <v>10</v>
      </c>
      <c r="J119" t="s">
        <v>200</v>
      </c>
      <c r="K119" t="s">
        <v>113</v>
      </c>
      <c r="L119">
        <v>1.97</v>
      </c>
      <c r="M119">
        <v>1.83</v>
      </c>
      <c r="N119" t="s">
        <v>8</v>
      </c>
    </row>
    <row r="120" spans="1:14" x14ac:dyDescent="0.25">
      <c r="A120" t="s">
        <v>87</v>
      </c>
      <c r="B120" t="s">
        <v>56</v>
      </c>
      <c r="C120" t="s">
        <v>16</v>
      </c>
      <c r="D120" t="s">
        <v>23</v>
      </c>
      <c r="E120" t="s">
        <v>413</v>
      </c>
      <c r="F120">
        <v>1.95</v>
      </c>
      <c r="G120">
        <v>1.87</v>
      </c>
      <c r="H120" s="1" t="s">
        <v>10</v>
      </c>
      <c r="J120" t="s">
        <v>200</v>
      </c>
      <c r="K120" t="s">
        <v>113</v>
      </c>
      <c r="L120">
        <v>1.97</v>
      </c>
      <c r="M120">
        <v>1.83</v>
      </c>
      <c r="N120" t="s">
        <v>8</v>
      </c>
    </row>
    <row r="121" spans="1:14" x14ac:dyDescent="0.25">
      <c r="A121" t="s">
        <v>87</v>
      </c>
      <c r="B121" t="s">
        <v>56</v>
      </c>
      <c r="C121" t="s">
        <v>16</v>
      </c>
      <c r="D121" t="s">
        <v>27</v>
      </c>
      <c r="E121" t="s">
        <v>409</v>
      </c>
      <c r="F121">
        <v>1.98</v>
      </c>
      <c r="G121">
        <v>1.85</v>
      </c>
      <c r="H121" s="1" t="s">
        <v>10</v>
      </c>
      <c r="J121" t="s">
        <v>200</v>
      </c>
      <c r="K121" t="s">
        <v>113</v>
      </c>
      <c r="L121">
        <v>2.0499999999999998</v>
      </c>
      <c r="M121">
        <v>1.8</v>
      </c>
      <c r="N121" t="s">
        <v>8</v>
      </c>
    </row>
    <row r="122" spans="1:14" x14ac:dyDescent="0.25">
      <c r="A122" t="s">
        <v>87</v>
      </c>
      <c r="B122" t="s">
        <v>56</v>
      </c>
      <c r="C122" t="s">
        <v>16</v>
      </c>
      <c r="D122" t="s">
        <v>17</v>
      </c>
      <c r="E122" t="s">
        <v>407</v>
      </c>
      <c r="F122">
        <v>1.97</v>
      </c>
      <c r="G122">
        <v>1.83</v>
      </c>
      <c r="H122" s="1" t="s">
        <v>10</v>
      </c>
      <c r="J122" t="s">
        <v>200</v>
      </c>
      <c r="K122" t="s">
        <v>113</v>
      </c>
      <c r="L122">
        <v>2.0499999999999998</v>
      </c>
      <c r="M122">
        <v>1.8</v>
      </c>
      <c r="N122" t="s">
        <v>8</v>
      </c>
    </row>
    <row r="123" spans="1:14" x14ac:dyDescent="0.25">
      <c r="A123" t="s">
        <v>87</v>
      </c>
      <c r="B123" t="s">
        <v>56</v>
      </c>
      <c r="C123" t="s">
        <v>16</v>
      </c>
      <c r="D123" t="s">
        <v>15</v>
      </c>
      <c r="E123" t="s">
        <v>408</v>
      </c>
      <c r="F123">
        <v>1.97</v>
      </c>
      <c r="G123">
        <v>1.83</v>
      </c>
      <c r="H123" s="1" t="s">
        <v>10</v>
      </c>
      <c r="J123" t="s">
        <v>200</v>
      </c>
      <c r="K123" t="s">
        <v>113</v>
      </c>
      <c r="L123">
        <v>2.0499999999999998</v>
      </c>
      <c r="M123">
        <v>1.8</v>
      </c>
      <c r="N123" t="s">
        <v>8</v>
      </c>
    </row>
    <row r="124" spans="1:14" x14ac:dyDescent="0.25">
      <c r="A124" t="s">
        <v>87</v>
      </c>
      <c r="B124" t="s">
        <v>56</v>
      </c>
      <c r="C124" t="s">
        <v>16</v>
      </c>
      <c r="D124" t="s">
        <v>25</v>
      </c>
      <c r="E124" t="s">
        <v>409</v>
      </c>
      <c r="F124">
        <v>2</v>
      </c>
      <c r="G124">
        <v>1.83</v>
      </c>
      <c r="H124" s="1" t="s">
        <v>10</v>
      </c>
      <c r="J124" t="s">
        <v>200</v>
      </c>
      <c r="K124" t="s">
        <v>113</v>
      </c>
      <c r="L124">
        <v>2.0499999999999998</v>
      </c>
      <c r="M124">
        <v>1.8</v>
      </c>
      <c r="N124" t="s">
        <v>8</v>
      </c>
    </row>
    <row r="125" spans="1:14" x14ac:dyDescent="0.25">
      <c r="A125" t="s">
        <v>87</v>
      </c>
      <c r="B125" t="s">
        <v>56</v>
      </c>
      <c r="C125" t="s">
        <v>16</v>
      </c>
      <c r="D125" t="s">
        <v>26</v>
      </c>
      <c r="E125" t="s">
        <v>404</v>
      </c>
      <c r="F125">
        <v>1.96</v>
      </c>
      <c r="G125">
        <v>1.87</v>
      </c>
      <c r="H125" s="1" t="s">
        <v>10</v>
      </c>
      <c r="J125" t="s">
        <v>200</v>
      </c>
      <c r="K125" t="s">
        <v>113</v>
      </c>
      <c r="L125">
        <v>2.0499999999999998</v>
      </c>
      <c r="M125">
        <v>1.8</v>
      </c>
      <c r="N125" t="s">
        <v>8</v>
      </c>
    </row>
    <row r="126" spans="1:14" x14ac:dyDescent="0.25">
      <c r="A126" t="s">
        <v>42</v>
      </c>
      <c r="B126" t="s">
        <v>262</v>
      </c>
      <c r="C126" t="s">
        <v>16</v>
      </c>
      <c r="D126" t="s">
        <v>26</v>
      </c>
      <c r="E126" t="s">
        <v>404</v>
      </c>
      <c r="F126">
        <v>1.8</v>
      </c>
      <c r="G126">
        <v>2.0499999999999998</v>
      </c>
      <c r="H126" s="1" t="s">
        <v>10</v>
      </c>
      <c r="J126" t="s">
        <v>200</v>
      </c>
      <c r="K126" t="s">
        <v>113</v>
      </c>
      <c r="L126">
        <v>2.08</v>
      </c>
      <c r="M126">
        <v>1.8</v>
      </c>
      <c r="N126" t="s">
        <v>8</v>
      </c>
    </row>
    <row r="127" spans="1:14" x14ac:dyDescent="0.25">
      <c r="A127" t="s">
        <v>42</v>
      </c>
      <c r="B127" t="s">
        <v>262</v>
      </c>
      <c r="C127" t="s">
        <v>16</v>
      </c>
      <c r="D127" t="s">
        <v>24</v>
      </c>
      <c r="E127" t="s">
        <v>406</v>
      </c>
      <c r="F127">
        <v>1.8</v>
      </c>
      <c r="G127">
        <v>2.0499999999999998</v>
      </c>
      <c r="H127" s="1" t="s">
        <v>10</v>
      </c>
      <c r="J127" t="s">
        <v>201</v>
      </c>
      <c r="K127" t="s">
        <v>113</v>
      </c>
      <c r="L127">
        <v>1.82</v>
      </c>
      <c r="M127">
        <v>2.02</v>
      </c>
      <c r="N127" t="s">
        <v>8</v>
      </c>
    </row>
    <row r="128" spans="1:14" x14ac:dyDescent="0.25">
      <c r="A128" t="s">
        <v>42</v>
      </c>
      <c r="B128" t="s">
        <v>262</v>
      </c>
      <c r="C128" t="s">
        <v>16</v>
      </c>
      <c r="D128" t="s">
        <v>18</v>
      </c>
      <c r="E128" t="s">
        <v>411</v>
      </c>
      <c r="F128">
        <v>1.78</v>
      </c>
      <c r="G128">
        <v>2</v>
      </c>
      <c r="H128" s="1" t="s">
        <v>10</v>
      </c>
      <c r="J128" t="s">
        <v>201</v>
      </c>
      <c r="K128" t="s">
        <v>113</v>
      </c>
      <c r="L128">
        <v>1.75</v>
      </c>
      <c r="M128">
        <v>2.12</v>
      </c>
      <c r="N128" t="s">
        <v>8</v>
      </c>
    </row>
    <row r="129" spans="1:14" x14ac:dyDescent="0.25">
      <c r="A129" t="s">
        <v>42</v>
      </c>
      <c r="B129" t="s">
        <v>262</v>
      </c>
      <c r="C129" t="s">
        <v>16</v>
      </c>
      <c r="D129" t="s">
        <v>27</v>
      </c>
      <c r="E129" t="s">
        <v>409</v>
      </c>
      <c r="F129">
        <v>1.8</v>
      </c>
      <c r="G129">
        <v>2.0499999999999998</v>
      </c>
      <c r="H129" s="1" t="s">
        <v>10</v>
      </c>
      <c r="J129" t="s">
        <v>201</v>
      </c>
      <c r="K129" t="s">
        <v>113</v>
      </c>
      <c r="L129">
        <v>1.8</v>
      </c>
      <c r="M129">
        <v>2.0499999999999998</v>
      </c>
      <c r="N129" t="s">
        <v>8</v>
      </c>
    </row>
    <row r="130" spans="1:14" x14ac:dyDescent="0.25">
      <c r="A130" t="s">
        <v>42</v>
      </c>
      <c r="B130" t="s">
        <v>262</v>
      </c>
      <c r="C130" t="s">
        <v>16</v>
      </c>
      <c r="D130" t="s">
        <v>21</v>
      </c>
      <c r="E130" t="s">
        <v>405</v>
      </c>
      <c r="F130">
        <v>1.8</v>
      </c>
      <c r="G130">
        <v>2.0499999999999998</v>
      </c>
      <c r="H130" s="1" t="s">
        <v>10</v>
      </c>
      <c r="J130" t="s">
        <v>201</v>
      </c>
      <c r="K130" t="s">
        <v>113</v>
      </c>
      <c r="L130">
        <v>1.8</v>
      </c>
      <c r="M130">
        <v>2.0499999999999998</v>
      </c>
      <c r="N130" t="s">
        <v>8</v>
      </c>
    </row>
    <row r="131" spans="1:14" x14ac:dyDescent="0.25">
      <c r="A131" t="s">
        <v>42</v>
      </c>
      <c r="B131" t="s">
        <v>262</v>
      </c>
      <c r="C131" t="s">
        <v>16</v>
      </c>
      <c r="D131" t="s">
        <v>15</v>
      </c>
      <c r="E131" t="s">
        <v>408</v>
      </c>
      <c r="F131">
        <v>1.82</v>
      </c>
      <c r="G131">
        <v>1.97</v>
      </c>
      <c r="H131" s="1" t="s">
        <v>10</v>
      </c>
      <c r="J131" t="s">
        <v>201</v>
      </c>
      <c r="K131" t="s">
        <v>113</v>
      </c>
      <c r="L131">
        <v>1.74</v>
      </c>
      <c r="M131">
        <v>2.1</v>
      </c>
      <c r="N131" t="s">
        <v>8</v>
      </c>
    </row>
    <row r="132" spans="1:14" x14ac:dyDescent="0.25">
      <c r="A132" t="s">
        <v>42</v>
      </c>
      <c r="B132" t="s">
        <v>262</v>
      </c>
      <c r="C132" t="s">
        <v>16</v>
      </c>
      <c r="D132" t="s">
        <v>17</v>
      </c>
      <c r="E132" t="s">
        <v>407</v>
      </c>
      <c r="F132">
        <v>1.82</v>
      </c>
      <c r="G132">
        <v>1.97</v>
      </c>
      <c r="H132" s="1" t="s">
        <v>10</v>
      </c>
      <c r="J132" t="s">
        <v>201</v>
      </c>
      <c r="K132" t="s">
        <v>113</v>
      </c>
      <c r="L132">
        <v>1.78</v>
      </c>
      <c r="M132">
        <v>2.0499999999999998</v>
      </c>
      <c r="N132" t="s">
        <v>8</v>
      </c>
    </row>
    <row r="133" spans="1:14" x14ac:dyDescent="0.25">
      <c r="A133" t="s">
        <v>42</v>
      </c>
      <c r="B133" t="s">
        <v>262</v>
      </c>
      <c r="C133" t="s">
        <v>16</v>
      </c>
      <c r="D133" t="s">
        <v>25</v>
      </c>
      <c r="E133" t="s">
        <v>409</v>
      </c>
      <c r="F133">
        <v>1.8</v>
      </c>
      <c r="G133">
        <v>2.0499999999999998</v>
      </c>
      <c r="H133" s="1" t="s">
        <v>10</v>
      </c>
      <c r="J133" t="s">
        <v>201</v>
      </c>
      <c r="K133" t="s">
        <v>113</v>
      </c>
      <c r="L133">
        <v>1.76</v>
      </c>
      <c r="M133">
        <v>2.1</v>
      </c>
      <c r="N133" t="s">
        <v>8</v>
      </c>
    </row>
    <row r="134" spans="1:14" x14ac:dyDescent="0.25">
      <c r="A134" t="s">
        <v>42</v>
      </c>
      <c r="B134" t="s">
        <v>262</v>
      </c>
      <c r="C134" t="s">
        <v>16</v>
      </c>
      <c r="D134" t="s">
        <v>28</v>
      </c>
      <c r="E134" t="s">
        <v>412</v>
      </c>
      <c r="F134">
        <v>1.8</v>
      </c>
      <c r="G134">
        <v>2.0499999999999998</v>
      </c>
      <c r="H134" s="1" t="s">
        <v>10</v>
      </c>
      <c r="J134" t="s">
        <v>201</v>
      </c>
      <c r="K134" t="s">
        <v>113</v>
      </c>
      <c r="L134">
        <v>1.78</v>
      </c>
      <c r="M134">
        <v>2.0499999999999998</v>
      </c>
      <c r="N134" t="s">
        <v>8</v>
      </c>
    </row>
    <row r="135" spans="1:14" x14ac:dyDescent="0.25">
      <c r="A135" t="s">
        <v>42</v>
      </c>
      <c r="B135" t="s">
        <v>262</v>
      </c>
      <c r="C135" t="s">
        <v>16</v>
      </c>
      <c r="D135" t="s">
        <v>29</v>
      </c>
      <c r="E135" t="s">
        <v>410</v>
      </c>
      <c r="F135">
        <v>1.83</v>
      </c>
      <c r="G135">
        <v>2</v>
      </c>
      <c r="H135" s="1" t="s">
        <v>10</v>
      </c>
      <c r="J135" t="s">
        <v>201</v>
      </c>
      <c r="K135" t="s">
        <v>113</v>
      </c>
      <c r="L135">
        <v>1.8</v>
      </c>
      <c r="M135">
        <v>2.0499999999999998</v>
      </c>
      <c r="N135" t="s">
        <v>8</v>
      </c>
    </row>
    <row r="136" spans="1:14" x14ac:dyDescent="0.25">
      <c r="A136" t="s">
        <v>42</v>
      </c>
      <c r="B136" t="s">
        <v>262</v>
      </c>
      <c r="C136" t="s">
        <v>16</v>
      </c>
      <c r="D136" t="s">
        <v>23</v>
      </c>
      <c r="E136" t="s">
        <v>413</v>
      </c>
      <c r="F136">
        <v>1.91</v>
      </c>
      <c r="G136">
        <v>1.91</v>
      </c>
      <c r="H136" s="1" t="s">
        <v>10</v>
      </c>
      <c r="J136" t="s">
        <v>201</v>
      </c>
      <c r="K136" t="s">
        <v>113</v>
      </c>
      <c r="L136">
        <v>1.77</v>
      </c>
      <c r="M136">
        <v>2.1</v>
      </c>
      <c r="N136" t="s">
        <v>8</v>
      </c>
    </row>
    <row r="137" spans="1:14" x14ac:dyDescent="0.25">
      <c r="A137" t="s">
        <v>263</v>
      </c>
      <c r="B137" t="s">
        <v>264</v>
      </c>
      <c r="C137" t="s">
        <v>16</v>
      </c>
      <c r="D137" t="s">
        <v>15</v>
      </c>
      <c r="E137" t="s">
        <v>408</v>
      </c>
      <c r="F137">
        <v>2.16</v>
      </c>
      <c r="G137">
        <v>1.7</v>
      </c>
      <c r="H137" s="1" t="s">
        <v>10</v>
      </c>
      <c r="J137" t="s">
        <v>201</v>
      </c>
      <c r="K137" t="s">
        <v>113</v>
      </c>
      <c r="L137">
        <v>1.8</v>
      </c>
      <c r="M137">
        <v>2.0499999999999998</v>
      </c>
      <c r="N137" t="s">
        <v>8</v>
      </c>
    </row>
    <row r="138" spans="1:14" x14ac:dyDescent="0.25">
      <c r="A138" t="s">
        <v>263</v>
      </c>
      <c r="B138" t="s">
        <v>264</v>
      </c>
      <c r="C138" t="s">
        <v>16</v>
      </c>
      <c r="D138" t="s">
        <v>17</v>
      </c>
      <c r="E138" t="s">
        <v>407</v>
      </c>
      <c r="F138">
        <v>2.16</v>
      </c>
      <c r="G138">
        <v>1.7</v>
      </c>
      <c r="H138" s="1" t="s">
        <v>10</v>
      </c>
      <c r="J138" t="s">
        <v>201</v>
      </c>
      <c r="K138" t="s">
        <v>113</v>
      </c>
      <c r="L138">
        <v>1.8</v>
      </c>
      <c r="M138">
        <v>2.0499999999999998</v>
      </c>
      <c r="N138" t="s">
        <v>8</v>
      </c>
    </row>
    <row r="139" spans="1:14" x14ac:dyDescent="0.25">
      <c r="A139" t="s">
        <v>263</v>
      </c>
      <c r="B139" t="s">
        <v>264</v>
      </c>
      <c r="C139" t="s">
        <v>16</v>
      </c>
      <c r="D139" t="s">
        <v>22</v>
      </c>
      <c r="E139" t="s">
        <v>413</v>
      </c>
      <c r="F139">
        <v>2.0499999999999998</v>
      </c>
      <c r="G139">
        <v>1.74</v>
      </c>
      <c r="H139" s="1" t="s">
        <v>10</v>
      </c>
      <c r="J139" t="s">
        <v>201</v>
      </c>
      <c r="K139" t="s">
        <v>113</v>
      </c>
      <c r="L139">
        <v>1.8</v>
      </c>
      <c r="M139">
        <v>2.0499999999999998</v>
      </c>
      <c r="N139" t="s">
        <v>8</v>
      </c>
    </row>
    <row r="140" spans="1:14" x14ac:dyDescent="0.25">
      <c r="A140" t="s">
        <v>263</v>
      </c>
      <c r="B140" t="s">
        <v>264</v>
      </c>
      <c r="C140" t="s">
        <v>16</v>
      </c>
      <c r="D140" t="s">
        <v>26</v>
      </c>
      <c r="E140" t="s">
        <v>404</v>
      </c>
      <c r="F140">
        <v>2.0499999999999998</v>
      </c>
      <c r="G140">
        <v>1.75</v>
      </c>
      <c r="H140" s="1" t="s">
        <v>10</v>
      </c>
      <c r="J140" t="s">
        <v>201</v>
      </c>
      <c r="K140" t="s">
        <v>113</v>
      </c>
      <c r="L140">
        <v>1.8</v>
      </c>
      <c r="M140">
        <v>2.08</v>
      </c>
      <c r="N140" t="s">
        <v>8</v>
      </c>
    </row>
    <row r="141" spans="1:14" x14ac:dyDescent="0.25">
      <c r="A141" t="s">
        <v>263</v>
      </c>
      <c r="B141" t="s">
        <v>264</v>
      </c>
      <c r="C141" t="s">
        <v>16</v>
      </c>
      <c r="D141" t="s">
        <v>27</v>
      </c>
      <c r="E141" t="s">
        <v>409</v>
      </c>
      <c r="F141">
        <v>2.1</v>
      </c>
      <c r="G141">
        <v>1.77</v>
      </c>
      <c r="H141" s="1" t="s">
        <v>10</v>
      </c>
      <c r="J141" t="s">
        <v>202</v>
      </c>
      <c r="K141" t="s">
        <v>113</v>
      </c>
      <c r="L141">
        <v>1.41</v>
      </c>
      <c r="M141">
        <v>3</v>
      </c>
      <c r="N141" t="s">
        <v>8</v>
      </c>
    </row>
    <row r="142" spans="1:14" x14ac:dyDescent="0.25">
      <c r="A142" t="s">
        <v>263</v>
      </c>
      <c r="B142" t="s">
        <v>264</v>
      </c>
      <c r="C142" t="s">
        <v>16</v>
      </c>
      <c r="D142" t="s">
        <v>21</v>
      </c>
      <c r="E142" t="s">
        <v>405</v>
      </c>
      <c r="F142">
        <v>2.13</v>
      </c>
      <c r="G142">
        <v>1.75</v>
      </c>
      <c r="H142" s="1" t="s">
        <v>10</v>
      </c>
      <c r="J142" t="s">
        <v>202</v>
      </c>
      <c r="K142" t="s">
        <v>113</v>
      </c>
      <c r="L142">
        <v>1.41</v>
      </c>
      <c r="M142">
        <v>2.98</v>
      </c>
      <c r="N142" t="s">
        <v>8</v>
      </c>
    </row>
    <row r="143" spans="1:14" x14ac:dyDescent="0.25">
      <c r="A143" t="s">
        <v>263</v>
      </c>
      <c r="B143" t="s">
        <v>264</v>
      </c>
      <c r="C143" t="s">
        <v>16</v>
      </c>
      <c r="D143" t="s">
        <v>24</v>
      </c>
      <c r="E143" t="s">
        <v>406</v>
      </c>
      <c r="F143">
        <v>2.13</v>
      </c>
      <c r="G143">
        <v>1.75</v>
      </c>
      <c r="H143" s="1" t="s">
        <v>10</v>
      </c>
      <c r="J143" t="s">
        <v>202</v>
      </c>
      <c r="K143" t="s">
        <v>113</v>
      </c>
      <c r="L143">
        <v>1.43</v>
      </c>
      <c r="M143">
        <v>2.9</v>
      </c>
      <c r="N143" t="s">
        <v>8</v>
      </c>
    </row>
    <row r="144" spans="1:14" x14ac:dyDescent="0.25">
      <c r="A144" t="s">
        <v>263</v>
      </c>
      <c r="B144" t="s">
        <v>264</v>
      </c>
      <c r="C144" t="s">
        <v>16</v>
      </c>
      <c r="D144" t="s">
        <v>18</v>
      </c>
      <c r="E144" t="s">
        <v>411</v>
      </c>
      <c r="F144">
        <v>2.1800000000000002</v>
      </c>
      <c r="G144">
        <v>1.67</v>
      </c>
      <c r="H144" s="1" t="s">
        <v>10</v>
      </c>
      <c r="J144" t="s">
        <v>202</v>
      </c>
      <c r="K144" t="s">
        <v>113</v>
      </c>
      <c r="L144">
        <v>1.43</v>
      </c>
      <c r="M144">
        <v>2.92</v>
      </c>
      <c r="N144" t="s">
        <v>8</v>
      </c>
    </row>
    <row r="145" spans="1:14" x14ac:dyDescent="0.25">
      <c r="A145" t="s">
        <v>263</v>
      </c>
      <c r="B145" t="s">
        <v>264</v>
      </c>
      <c r="C145" t="s">
        <v>16</v>
      </c>
      <c r="D145" t="s">
        <v>25</v>
      </c>
      <c r="E145" t="s">
        <v>409</v>
      </c>
      <c r="F145">
        <v>2.15</v>
      </c>
      <c r="G145">
        <v>1.74</v>
      </c>
      <c r="H145" s="1" t="s">
        <v>10</v>
      </c>
      <c r="J145" t="s">
        <v>202</v>
      </c>
      <c r="K145" t="s">
        <v>113</v>
      </c>
      <c r="L145">
        <v>1.41</v>
      </c>
      <c r="M145">
        <v>2.95</v>
      </c>
      <c r="N145" t="s">
        <v>8</v>
      </c>
    </row>
    <row r="146" spans="1:14" x14ac:dyDescent="0.25">
      <c r="A146" t="s">
        <v>265</v>
      </c>
      <c r="B146" t="s">
        <v>266</v>
      </c>
      <c r="C146" t="s">
        <v>16</v>
      </c>
      <c r="D146" t="s">
        <v>24</v>
      </c>
      <c r="E146" t="s">
        <v>406</v>
      </c>
      <c r="F146">
        <v>1.71</v>
      </c>
      <c r="G146">
        <v>2.2000000000000002</v>
      </c>
      <c r="H146" s="1" t="s">
        <v>10</v>
      </c>
      <c r="J146" t="s">
        <v>202</v>
      </c>
      <c r="K146" t="s">
        <v>113</v>
      </c>
      <c r="L146">
        <v>1.39</v>
      </c>
      <c r="M146">
        <v>3.05</v>
      </c>
      <c r="N146" t="s">
        <v>8</v>
      </c>
    </row>
    <row r="147" spans="1:14" x14ac:dyDescent="0.25">
      <c r="A147" t="s">
        <v>265</v>
      </c>
      <c r="B147" t="s">
        <v>266</v>
      </c>
      <c r="C147" t="s">
        <v>16</v>
      </c>
      <c r="D147" t="s">
        <v>26</v>
      </c>
      <c r="E147" t="s">
        <v>404</v>
      </c>
      <c r="F147">
        <v>1.69</v>
      </c>
      <c r="G147">
        <v>2.19</v>
      </c>
      <c r="H147" s="1" t="s">
        <v>10</v>
      </c>
      <c r="J147" t="s">
        <v>202</v>
      </c>
      <c r="K147" t="s">
        <v>113</v>
      </c>
      <c r="L147">
        <v>1.4</v>
      </c>
      <c r="M147">
        <v>3</v>
      </c>
      <c r="N147" t="s">
        <v>8</v>
      </c>
    </row>
    <row r="148" spans="1:14" x14ac:dyDescent="0.25">
      <c r="A148" t="s">
        <v>265</v>
      </c>
      <c r="B148" t="s">
        <v>266</v>
      </c>
      <c r="C148" t="s">
        <v>16</v>
      </c>
      <c r="D148" t="s">
        <v>21</v>
      </c>
      <c r="E148" t="s">
        <v>405</v>
      </c>
      <c r="F148">
        <v>1.71</v>
      </c>
      <c r="G148">
        <v>2.2000000000000002</v>
      </c>
      <c r="H148" s="1" t="s">
        <v>10</v>
      </c>
      <c r="J148" t="s">
        <v>202</v>
      </c>
      <c r="K148" t="s">
        <v>113</v>
      </c>
      <c r="L148">
        <v>1.41</v>
      </c>
      <c r="M148">
        <v>2.95</v>
      </c>
      <c r="N148" t="s">
        <v>8</v>
      </c>
    </row>
    <row r="149" spans="1:14" x14ac:dyDescent="0.25">
      <c r="A149" t="s">
        <v>265</v>
      </c>
      <c r="B149" t="s">
        <v>266</v>
      </c>
      <c r="C149" t="s">
        <v>16</v>
      </c>
      <c r="D149" t="s">
        <v>27</v>
      </c>
      <c r="E149" t="s">
        <v>409</v>
      </c>
      <c r="F149">
        <v>1.7</v>
      </c>
      <c r="G149">
        <v>2.2000000000000002</v>
      </c>
      <c r="H149" s="1" t="s">
        <v>10</v>
      </c>
      <c r="J149" t="s">
        <v>202</v>
      </c>
      <c r="K149" t="s">
        <v>113</v>
      </c>
      <c r="L149">
        <v>1.4</v>
      </c>
      <c r="M149">
        <v>3.1</v>
      </c>
      <c r="N149" t="s">
        <v>8</v>
      </c>
    </row>
    <row r="150" spans="1:14" x14ac:dyDescent="0.25">
      <c r="A150" t="s">
        <v>265</v>
      </c>
      <c r="B150" t="s">
        <v>266</v>
      </c>
      <c r="C150" t="s">
        <v>16</v>
      </c>
      <c r="D150" t="s">
        <v>22</v>
      </c>
      <c r="E150" t="s">
        <v>413</v>
      </c>
      <c r="F150">
        <v>1.71</v>
      </c>
      <c r="G150">
        <v>2.1</v>
      </c>
      <c r="H150" s="1" t="s">
        <v>10</v>
      </c>
      <c r="J150" t="s">
        <v>202</v>
      </c>
      <c r="K150" t="s">
        <v>113</v>
      </c>
      <c r="L150">
        <v>1.38</v>
      </c>
      <c r="M150">
        <v>3.1</v>
      </c>
      <c r="N150" t="s">
        <v>8</v>
      </c>
    </row>
    <row r="151" spans="1:14" x14ac:dyDescent="0.25">
      <c r="A151" t="s">
        <v>265</v>
      </c>
      <c r="B151" t="s">
        <v>266</v>
      </c>
      <c r="C151" t="s">
        <v>16</v>
      </c>
      <c r="D151" t="s">
        <v>18</v>
      </c>
      <c r="E151" t="s">
        <v>411</v>
      </c>
      <c r="F151">
        <v>1.67</v>
      </c>
      <c r="G151">
        <v>2.1800000000000002</v>
      </c>
      <c r="H151" s="1" t="s">
        <v>10</v>
      </c>
      <c r="J151" t="s">
        <v>202</v>
      </c>
      <c r="K151" t="s">
        <v>113</v>
      </c>
      <c r="L151">
        <v>1.4</v>
      </c>
      <c r="M151">
        <v>3.05</v>
      </c>
      <c r="N151" t="s">
        <v>8</v>
      </c>
    </row>
    <row r="152" spans="1:14" x14ac:dyDescent="0.25">
      <c r="A152" t="s">
        <v>265</v>
      </c>
      <c r="B152" t="s">
        <v>266</v>
      </c>
      <c r="C152" t="s">
        <v>16</v>
      </c>
      <c r="D152" t="s">
        <v>15</v>
      </c>
      <c r="E152" t="s">
        <v>408</v>
      </c>
      <c r="F152">
        <v>1.67</v>
      </c>
      <c r="G152">
        <v>2.2000000000000002</v>
      </c>
      <c r="H152" s="1" t="s">
        <v>10</v>
      </c>
      <c r="J152" t="s">
        <v>202</v>
      </c>
      <c r="K152" t="s">
        <v>113</v>
      </c>
      <c r="L152">
        <v>1.4</v>
      </c>
      <c r="M152">
        <v>3.1</v>
      </c>
      <c r="N152" t="s">
        <v>8</v>
      </c>
    </row>
    <row r="153" spans="1:14" x14ac:dyDescent="0.25">
      <c r="A153" t="s">
        <v>265</v>
      </c>
      <c r="B153" t="s">
        <v>266</v>
      </c>
      <c r="C153" t="s">
        <v>16</v>
      </c>
      <c r="D153" t="s">
        <v>17</v>
      </c>
      <c r="E153" t="s">
        <v>407</v>
      </c>
      <c r="F153">
        <v>1.67</v>
      </c>
      <c r="G153">
        <v>2.2000000000000002</v>
      </c>
      <c r="H153" s="1" t="s">
        <v>10</v>
      </c>
      <c r="J153" t="s">
        <v>202</v>
      </c>
      <c r="K153" t="s">
        <v>113</v>
      </c>
      <c r="L153">
        <v>1.4</v>
      </c>
      <c r="M153">
        <v>3.1</v>
      </c>
      <c r="N153" t="s">
        <v>8</v>
      </c>
    </row>
    <row r="154" spans="1:14" x14ac:dyDescent="0.25">
      <c r="A154" t="s">
        <v>265</v>
      </c>
      <c r="B154" t="s">
        <v>266</v>
      </c>
      <c r="C154" t="s">
        <v>16</v>
      </c>
      <c r="D154" t="s">
        <v>25</v>
      </c>
      <c r="E154" t="s">
        <v>409</v>
      </c>
      <c r="F154">
        <v>1.69</v>
      </c>
      <c r="G154">
        <v>2.2200000000000002</v>
      </c>
      <c r="H154" s="1" t="s">
        <v>10</v>
      </c>
      <c r="J154" t="s">
        <v>202</v>
      </c>
      <c r="K154" t="s">
        <v>113</v>
      </c>
      <c r="L154">
        <v>1.4</v>
      </c>
      <c r="M154">
        <v>3.1</v>
      </c>
      <c r="N154" t="s">
        <v>8</v>
      </c>
    </row>
    <row r="155" spans="1:14" x14ac:dyDescent="0.25">
      <c r="A155" t="s">
        <v>267</v>
      </c>
      <c r="B155" t="s">
        <v>266</v>
      </c>
      <c r="C155" t="s">
        <v>16</v>
      </c>
      <c r="D155" t="s">
        <v>24</v>
      </c>
      <c r="E155" t="s">
        <v>406</v>
      </c>
      <c r="F155">
        <v>1.86</v>
      </c>
      <c r="G155">
        <v>1.97</v>
      </c>
      <c r="H155" s="1" t="s">
        <v>10</v>
      </c>
      <c r="J155" t="s">
        <v>203</v>
      </c>
      <c r="K155" t="s">
        <v>113</v>
      </c>
      <c r="L155">
        <v>1.1599999999999999</v>
      </c>
      <c r="M155">
        <v>5.55</v>
      </c>
      <c r="N155" t="s">
        <v>8</v>
      </c>
    </row>
    <row r="156" spans="1:14" x14ac:dyDescent="0.25">
      <c r="A156" t="s">
        <v>267</v>
      </c>
      <c r="B156" t="s">
        <v>266</v>
      </c>
      <c r="C156" t="s">
        <v>16</v>
      </c>
      <c r="D156" t="s">
        <v>26</v>
      </c>
      <c r="E156" t="s">
        <v>404</v>
      </c>
      <c r="F156">
        <v>2</v>
      </c>
      <c r="G156">
        <v>1.83</v>
      </c>
      <c r="H156" s="1" t="s">
        <v>10</v>
      </c>
      <c r="J156" t="s">
        <v>203</v>
      </c>
      <c r="K156" t="s">
        <v>113</v>
      </c>
      <c r="L156">
        <v>1.1599999999999999</v>
      </c>
      <c r="M156">
        <v>5.5</v>
      </c>
      <c r="N156" t="s">
        <v>8</v>
      </c>
    </row>
    <row r="157" spans="1:14" x14ac:dyDescent="0.25">
      <c r="A157" t="s">
        <v>267</v>
      </c>
      <c r="B157" t="s">
        <v>266</v>
      </c>
      <c r="C157" t="s">
        <v>16</v>
      </c>
      <c r="D157" t="s">
        <v>21</v>
      </c>
      <c r="E157" t="s">
        <v>405</v>
      </c>
      <c r="F157">
        <v>1.85</v>
      </c>
      <c r="G157">
        <v>1.97</v>
      </c>
      <c r="H157" s="1" t="s">
        <v>10</v>
      </c>
      <c r="J157" t="s">
        <v>203</v>
      </c>
      <c r="K157" t="s">
        <v>113</v>
      </c>
      <c r="L157">
        <v>1.17</v>
      </c>
      <c r="M157">
        <v>5.25</v>
      </c>
      <c r="N157" t="s">
        <v>8</v>
      </c>
    </row>
    <row r="158" spans="1:14" x14ac:dyDescent="0.25">
      <c r="A158" t="s">
        <v>267</v>
      </c>
      <c r="B158" t="s">
        <v>266</v>
      </c>
      <c r="C158" t="s">
        <v>16</v>
      </c>
      <c r="D158" t="s">
        <v>27</v>
      </c>
      <c r="E158" t="s">
        <v>409</v>
      </c>
      <c r="F158">
        <v>1.98</v>
      </c>
      <c r="G158">
        <v>1.85</v>
      </c>
      <c r="H158" s="1" t="s">
        <v>10</v>
      </c>
      <c r="J158" t="s">
        <v>203</v>
      </c>
      <c r="K158" t="s">
        <v>113</v>
      </c>
      <c r="L158">
        <v>1.1599999999999999</v>
      </c>
      <c r="M158">
        <v>5.3</v>
      </c>
      <c r="N158" t="s">
        <v>8</v>
      </c>
    </row>
    <row r="159" spans="1:14" x14ac:dyDescent="0.25">
      <c r="A159" t="s">
        <v>267</v>
      </c>
      <c r="B159" t="s">
        <v>266</v>
      </c>
      <c r="C159" t="s">
        <v>16</v>
      </c>
      <c r="D159" t="s">
        <v>22</v>
      </c>
      <c r="E159" t="s">
        <v>413</v>
      </c>
      <c r="F159">
        <v>1.83</v>
      </c>
      <c r="G159">
        <v>1.91</v>
      </c>
      <c r="H159" s="1" t="s">
        <v>10</v>
      </c>
      <c r="J159" t="s">
        <v>203</v>
      </c>
      <c r="K159" t="s">
        <v>113</v>
      </c>
      <c r="L159">
        <v>1.17</v>
      </c>
      <c r="M159">
        <v>5.3</v>
      </c>
      <c r="N159" t="s">
        <v>8</v>
      </c>
    </row>
    <row r="160" spans="1:14" x14ac:dyDescent="0.25">
      <c r="A160" t="s">
        <v>267</v>
      </c>
      <c r="B160" t="s">
        <v>266</v>
      </c>
      <c r="C160" t="s">
        <v>16</v>
      </c>
      <c r="D160" t="s">
        <v>18</v>
      </c>
      <c r="E160" t="s">
        <v>411</v>
      </c>
      <c r="F160">
        <v>1.94</v>
      </c>
      <c r="G160">
        <v>1.83</v>
      </c>
      <c r="H160" s="1" t="s">
        <v>10</v>
      </c>
      <c r="J160" t="s">
        <v>203</v>
      </c>
      <c r="K160" t="s">
        <v>113</v>
      </c>
      <c r="L160">
        <v>1.1499999999999999</v>
      </c>
      <c r="M160">
        <v>5.5</v>
      </c>
      <c r="N160" t="s">
        <v>8</v>
      </c>
    </row>
    <row r="161" spans="1:14" x14ac:dyDescent="0.25">
      <c r="A161" t="s">
        <v>267</v>
      </c>
      <c r="B161" t="s">
        <v>266</v>
      </c>
      <c r="C161" t="s">
        <v>16</v>
      </c>
      <c r="D161" t="s">
        <v>17</v>
      </c>
      <c r="E161" t="s">
        <v>407</v>
      </c>
      <c r="F161">
        <v>1.83</v>
      </c>
      <c r="G161">
        <v>1.97</v>
      </c>
      <c r="H161" s="1" t="s">
        <v>10</v>
      </c>
      <c r="J161" t="s">
        <v>203</v>
      </c>
      <c r="K161" t="s">
        <v>113</v>
      </c>
      <c r="L161">
        <v>1.1599999999999999</v>
      </c>
      <c r="M161">
        <v>5.3</v>
      </c>
      <c r="N161" t="s">
        <v>8</v>
      </c>
    </row>
    <row r="162" spans="1:14" x14ac:dyDescent="0.25">
      <c r="A162" t="s">
        <v>267</v>
      </c>
      <c r="B162" t="s">
        <v>266</v>
      </c>
      <c r="C162" t="s">
        <v>16</v>
      </c>
      <c r="D162" t="s">
        <v>15</v>
      </c>
      <c r="E162" t="s">
        <v>408</v>
      </c>
      <c r="F162">
        <v>1.83</v>
      </c>
      <c r="G162">
        <v>1.97</v>
      </c>
      <c r="H162" s="1" t="s">
        <v>10</v>
      </c>
      <c r="J162" t="s">
        <v>203</v>
      </c>
      <c r="K162" t="s">
        <v>113</v>
      </c>
      <c r="L162">
        <v>1.1599999999999999</v>
      </c>
      <c r="M162">
        <v>5.3</v>
      </c>
      <c r="N162" t="s">
        <v>8</v>
      </c>
    </row>
    <row r="163" spans="1:14" x14ac:dyDescent="0.25">
      <c r="A163" t="s">
        <v>267</v>
      </c>
      <c r="B163" t="s">
        <v>266</v>
      </c>
      <c r="C163" t="s">
        <v>16</v>
      </c>
      <c r="D163" t="s">
        <v>25</v>
      </c>
      <c r="E163" t="s">
        <v>409</v>
      </c>
      <c r="F163">
        <v>1.95</v>
      </c>
      <c r="G163">
        <v>1.87</v>
      </c>
      <c r="H163" s="1" t="s">
        <v>10</v>
      </c>
      <c r="J163" t="s">
        <v>203</v>
      </c>
      <c r="K163" t="s">
        <v>113</v>
      </c>
      <c r="L163">
        <v>1.17</v>
      </c>
      <c r="M163">
        <v>5.55</v>
      </c>
      <c r="N163" t="s">
        <v>8</v>
      </c>
    </row>
    <row r="164" spans="1:14" x14ac:dyDescent="0.25">
      <c r="A164" t="s">
        <v>268</v>
      </c>
      <c r="B164" t="s">
        <v>266</v>
      </c>
      <c r="C164" t="s">
        <v>16</v>
      </c>
      <c r="D164" t="s">
        <v>24</v>
      </c>
      <c r="E164" t="s">
        <v>406</v>
      </c>
      <c r="F164">
        <v>3.51</v>
      </c>
      <c r="G164">
        <v>1.33</v>
      </c>
      <c r="H164" s="1" t="s">
        <v>10</v>
      </c>
      <c r="J164" t="s">
        <v>203</v>
      </c>
      <c r="K164" t="s">
        <v>113</v>
      </c>
      <c r="L164">
        <v>1.17</v>
      </c>
      <c r="M164">
        <v>5.25</v>
      </c>
      <c r="N164" t="s">
        <v>8</v>
      </c>
    </row>
    <row r="165" spans="1:14" x14ac:dyDescent="0.25">
      <c r="A165" t="s">
        <v>268</v>
      </c>
      <c r="B165" t="s">
        <v>266</v>
      </c>
      <c r="C165" t="s">
        <v>16</v>
      </c>
      <c r="D165" t="s">
        <v>21</v>
      </c>
      <c r="E165" t="s">
        <v>405</v>
      </c>
      <c r="F165">
        <v>3.51</v>
      </c>
      <c r="G165">
        <v>1.33</v>
      </c>
      <c r="H165" s="1" t="s">
        <v>10</v>
      </c>
      <c r="J165" t="s">
        <v>203</v>
      </c>
      <c r="K165" t="s">
        <v>113</v>
      </c>
      <c r="L165">
        <v>1.17</v>
      </c>
      <c r="M165">
        <v>5.3</v>
      </c>
      <c r="N165" t="s">
        <v>8</v>
      </c>
    </row>
    <row r="166" spans="1:14" x14ac:dyDescent="0.25">
      <c r="A166" t="s">
        <v>268</v>
      </c>
      <c r="B166" t="s">
        <v>266</v>
      </c>
      <c r="C166" t="s">
        <v>16</v>
      </c>
      <c r="D166" t="s">
        <v>27</v>
      </c>
      <c r="E166" t="s">
        <v>409</v>
      </c>
      <c r="F166">
        <v>3.5</v>
      </c>
      <c r="G166">
        <v>1.32</v>
      </c>
      <c r="H166" s="1" t="s">
        <v>10</v>
      </c>
      <c r="J166" t="s">
        <v>203</v>
      </c>
      <c r="K166" t="s">
        <v>113</v>
      </c>
      <c r="L166">
        <v>1.17</v>
      </c>
      <c r="M166">
        <v>5.55</v>
      </c>
      <c r="N166" t="s">
        <v>8</v>
      </c>
    </row>
    <row r="167" spans="1:14" x14ac:dyDescent="0.25">
      <c r="A167" t="s">
        <v>268</v>
      </c>
      <c r="B167" t="s">
        <v>266</v>
      </c>
      <c r="C167" t="s">
        <v>16</v>
      </c>
      <c r="D167" t="s">
        <v>22</v>
      </c>
      <c r="E167" t="s">
        <v>413</v>
      </c>
      <c r="F167">
        <v>3.35</v>
      </c>
      <c r="G167">
        <v>1.32</v>
      </c>
      <c r="H167" s="1" t="s">
        <v>10</v>
      </c>
      <c r="J167" t="s">
        <v>203</v>
      </c>
      <c r="K167" t="s">
        <v>113</v>
      </c>
      <c r="L167">
        <v>1.17</v>
      </c>
      <c r="M167">
        <v>5.25</v>
      </c>
      <c r="N167" t="s">
        <v>8</v>
      </c>
    </row>
    <row r="168" spans="1:14" x14ac:dyDescent="0.25">
      <c r="A168" t="s">
        <v>268</v>
      </c>
      <c r="B168" t="s">
        <v>266</v>
      </c>
      <c r="C168" t="s">
        <v>16</v>
      </c>
      <c r="D168" t="s">
        <v>18</v>
      </c>
      <c r="E168" t="s">
        <v>411</v>
      </c>
      <c r="F168">
        <v>3.4</v>
      </c>
      <c r="G168">
        <v>1.3</v>
      </c>
      <c r="H168" s="1" t="s">
        <v>10</v>
      </c>
      <c r="J168" t="s">
        <v>203</v>
      </c>
      <c r="K168" t="s">
        <v>113</v>
      </c>
      <c r="L168">
        <v>1.17</v>
      </c>
      <c r="M168">
        <v>5.4</v>
      </c>
      <c r="N168" t="s">
        <v>8</v>
      </c>
    </row>
    <row r="169" spans="1:14" x14ac:dyDescent="0.25">
      <c r="A169" t="s">
        <v>268</v>
      </c>
      <c r="B169" t="s">
        <v>266</v>
      </c>
      <c r="C169" t="s">
        <v>16</v>
      </c>
      <c r="D169" t="s">
        <v>17</v>
      </c>
      <c r="E169" t="s">
        <v>407</v>
      </c>
      <c r="F169">
        <v>3.4</v>
      </c>
      <c r="G169">
        <v>1.33</v>
      </c>
      <c r="H169" s="1" t="s">
        <v>10</v>
      </c>
      <c r="J169" t="s">
        <v>204</v>
      </c>
      <c r="K169" t="s">
        <v>113</v>
      </c>
      <c r="L169">
        <v>1.33</v>
      </c>
      <c r="M169">
        <v>3.45</v>
      </c>
      <c r="N169" t="s">
        <v>8</v>
      </c>
    </row>
    <row r="170" spans="1:14" x14ac:dyDescent="0.25">
      <c r="A170" t="s">
        <v>268</v>
      </c>
      <c r="B170" t="s">
        <v>266</v>
      </c>
      <c r="C170" t="s">
        <v>16</v>
      </c>
      <c r="D170" t="s">
        <v>15</v>
      </c>
      <c r="E170" t="s">
        <v>408</v>
      </c>
      <c r="F170">
        <v>3.4</v>
      </c>
      <c r="G170">
        <v>1.33</v>
      </c>
      <c r="H170" s="1" t="s">
        <v>10</v>
      </c>
      <c r="J170" t="s">
        <v>204</v>
      </c>
      <c r="K170" t="s">
        <v>113</v>
      </c>
      <c r="L170">
        <v>1.32</v>
      </c>
      <c r="M170">
        <v>3.5</v>
      </c>
      <c r="N170" t="s">
        <v>8</v>
      </c>
    </row>
    <row r="171" spans="1:14" x14ac:dyDescent="0.25">
      <c r="A171" t="s">
        <v>268</v>
      </c>
      <c r="B171" t="s">
        <v>266</v>
      </c>
      <c r="C171" t="s">
        <v>16</v>
      </c>
      <c r="D171" t="s">
        <v>25</v>
      </c>
      <c r="E171" t="s">
        <v>409</v>
      </c>
      <c r="F171">
        <v>3.5</v>
      </c>
      <c r="G171">
        <v>1.31</v>
      </c>
      <c r="H171" s="1" t="s">
        <v>10</v>
      </c>
      <c r="J171" t="s">
        <v>204</v>
      </c>
      <c r="K171" t="s">
        <v>113</v>
      </c>
      <c r="L171">
        <v>1.33</v>
      </c>
      <c r="M171">
        <v>3.5</v>
      </c>
      <c r="N171" t="s">
        <v>8</v>
      </c>
    </row>
    <row r="172" spans="1:14" x14ac:dyDescent="0.25">
      <c r="A172" t="s">
        <v>269</v>
      </c>
      <c r="B172" t="s">
        <v>266</v>
      </c>
      <c r="C172" t="s">
        <v>16</v>
      </c>
      <c r="D172" t="s">
        <v>24</v>
      </c>
      <c r="E172" t="s">
        <v>406</v>
      </c>
      <c r="F172">
        <v>2.2999999999999998</v>
      </c>
      <c r="G172">
        <v>1.67</v>
      </c>
      <c r="H172" s="1" t="s">
        <v>10</v>
      </c>
      <c r="J172" t="s">
        <v>204</v>
      </c>
      <c r="K172" t="s">
        <v>113</v>
      </c>
      <c r="L172">
        <v>1.34</v>
      </c>
      <c r="M172">
        <v>3.3</v>
      </c>
      <c r="N172" t="s">
        <v>8</v>
      </c>
    </row>
    <row r="173" spans="1:14" x14ac:dyDescent="0.25">
      <c r="A173" t="s">
        <v>269</v>
      </c>
      <c r="B173" t="s">
        <v>266</v>
      </c>
      <c r="C173" t="s">
        <v>16</v>
      </c>
      <c r="D173" t="s">
        <v>26</v>
      </c>
      <c r="E173" t="s">
        <v>404</v>
      </c>
      <c r="F173">
        <v>2.25</v>
      </c>
      <c r="G173">
        <v>1.67</v>
      </c>
      <c r="H173" s="1" t="s">
        <v>10</v>
      </c>
      <c r="J173" t="s">
        <v>204</v>
      </c>
      <c r="K173" t="s">
        <v>113</v>
      </c>
      <c r="L173">
        <v>1.35</v>
      </c>
      <c r="M173">
        <v>3.28</v>
      </c>
      <c r="N173" t="s">
        <v>8</v>
      </c>
    </row>
    <row r="174" spans="1:14" x14ac:dyDescent="0.25">
      <c r="A174" t="s">
        <v>269</v>
      </c>
      <c r="B174" t="s">
        <v>266</v>
      </c>
      <c r="C174" t="s">
        <v>16</v>
      </c>
      <c r="D174" t="s">
        <v>21</v>
      </c>
      <c r="E174" t="s">
        <v>405</v>
      </c>
      <c r="F174">
        <v>2.2999999999999998</v>
      </c>
      <c r="G174">
        <v>1.67</v>
      </c>
      <c r="H174" s="1" t="s">
        <v>10</v>
      </c>
      <c r="J174" t="s">
        <v>204</v>
      </c>
      <c r="K174" t="s">
        <v>113</v>
      </c>
      <c r="L174">
        <v>1.34</v>
      </c>
      <c r="M174">
        <v>3.32</v>
      </c>
      <c r="N174" t="s">
        <v>8</v>
      </c>
    </row>
    <row r="175" spans="1:14" x14ac:dyDescent="0.25">
      <c r="A175" t="s">
        <v>269</v>
      </c>
      <c r="B175" t="s">
        <v>266</v>
      </c>
      <c r="C175" t="s">
        <v>16</v>
      </c>
      <c r="D175" t="s">
        <v>27</v>
      </c>
      <c r="E175" t="s">
        <v>409</v>
      </c>
      <c r="F175">
        <v>2.2400000000000002</v>
      </c>
      <c r="G175">
        <v>1.68</v>
      </c>
      <c r="H175" s="1" t="s">
        <v>10</v>
      </c>
      <c r="J175" t="s">
        <v>204</v>
      </c>
      <c r="K175" t="s">
        <v>113</v>
      </c>
      <c r="L175">
        <v>1.36</v>
      </c>
      <c r="M175">
        <v>3.25</v>
      </c>
      <c r="N175" t="s">
        <v>8</v>
      </c>
    </row>
    <row r="176" spans="1:14" x14ac:dyDescent="0.25">
      <c r="A176" t="s">
        <v>269</v>
      </c>
      <c r="B176" t="s">
        <v>266</v>
      </c>
      <c r="C176" t="s">
        <v>16</v>
      </c>
      <c r="D176" t="s">
        <v>22</v>
      </c>
      <c r="E176" t="s">
        <v>413</v>
      </c>
      <c r="F176">
        <v>2.2000000000000002</v>
      </c>
      <c r="G176">
        <v>1.67</v>
      </c>
      <c r="H176" s="1" t="s">
        <v>10</v>
      </c>
      <c r="J176" t="s">
        <v>204</v>
      </c>
      <c r="K176" t="s">
        <v>113</v>
      </c>
      <c r="L176">
        <v>1.34</v>
      </c>
      <c r="M176">
        <v>3.32</v>
      </c>
      <c r="N176" t="s">
        <v>8</v>
      </c>
    </row>
    <row r="177" spans="1:14" x14ac:dyDescent="0.25">
      <c r="A177" t="s">
        <v>269</v>
      </c>
      <c r="B177" t="s">
        <v>266</v>
      </c>
      <c r="C177" t="s">
        <v>16</v>
      </c>
      <c r="D177" t="s">
        <v>18</v>
      </c>
      <c r="E177" t="s">
        <v>411</v>
      </c>
      <c r="F177">
        <v>2.2400000000000002</v>
      </c>
      <c r="G177">
        <v>1.63</v>
      </c>
      <c r="H177" s="1" t="s">
        <v>10</v>
      </c>
      <c r="J177" t="s">
        <v>204</v>
      </c>
      <c r="K177" t="s">
        <v>113</v>
      </c>
      <c r="L177">
        <v>1.35</v>
      </c>
      <c r="M177">
        <v>3.4</v>
      </c>
      <c r="N177" t="s">
        <v>8</v>
      </c>
    </row>
    <row r="178" spans="1:14" x14ac:dyDescent="0.25">
      <c r="A178" t="s">
        <v>269</v>
      </c>
      <c r="B178" t="s">
        <v>266</v>
      </c>
      <c r="C178" t="s">
        <v>16</v>
      </c>
      <c r="D178" t="s">
        <v>15</v>
      </c>
      <c r="E178" t="s">
        <v>408</v>
      </c>
      <c r="F178">
        <v>2.23</v>
      </c>
      <c r="G178">
        <v>1.65</v>
      </c>
      <c r="H178" s="1" t="s">
        <v>10</v>
      </c>
      <c r="J178" t="s">
        <v>204</v>
      </c>
      <c r="K178" t="s">
        <v>113</v>
      </c>
      <c r="L178">
        <v>1.36</v>
      </c>
      <c r="M178">
        <v>3.25</v>
      </c>
      <c r="N178" t="s">
        <v>8</v>
      </c>
    </row>
    <row r="179" spans="1:14" x14ac:dyDescent="0.25">
      <c r="A179" t="s">
        <v>269</v>
      </c>
      <c r="B179" t="s">
        <v>266</v>
      </c>
      <c r="C179" t="s">
        <v>16</v>
      </c>
      <c r="D179" t="s">
        <v>17</v>
      </c>
      <c r="E179" t="s">
        <v>407</v>
      </c>
      <c r="F179">
        <v>2.23</v>
      </c>
      <c r="G179">
        <v>1.65</v>
      </c>
      <c r="H179" s="1" t="s">
        <v>10</v>
      </c>
      <c r="J179" t="s">
        <v>204</v>
      </c>
      <c r="K179" t="s">
        <v>113</v>
      </c>
      <c r="L179">
        <v>1.35</v>
      </c>
      <c r="M179">
        <v>3.35</v>
      </c>
      <c r="N179" t="s">
        <v>8</v>
      </c>
    </row>
    <row r="180" spans="1:14" x14ac:dyDescent="0.25">
      <c r="A180" t="s">
        <v>269</v>
      </c>
      <c r="B180" t="s">
        <v>266</v>
      </c>
      <c r="C180" t="s">
        <v>16</v>
      </c>
      <c r="D180" t="s">
        <v>25</v>
      </c>
      <c r="E180" t="s">
        <v>409</v>
      </c>
      <c r="F180">
        <v>2.25</v>
      </c>
      <c r="G180">
        <v>1.67</v>
      </c>
      <c r="H180" s="1" t="s">
        <v>10</v>
      </c>
      <c r="J180" t="s">
        <v>204</v>
      </c>
      <c r="K180" t="s">
        <v>113</v>
      </c>
      <c r="L180">
        <v>1.35</v>
      </c>
      <c r="M180">
        <v>3.4</v>
      </c>
      <c r="N180" t="s">
        <v>8</v>
      </c>
    </row>
    <row r="181" spans="1:14" x14ac:dyDescent="0.25">
      <c r="A181" t="s">
        <v>270</v>
      </c>
      <c r="B181" t="s">
        <v>266</v>
      </c>
      <c r="C181" t="s">
        <v>16</v>
      </c>
      <c r="D181" t="s">
        <v>24</v>
      </c>
      <c r="E181" t="s">
        <v>406</v>
      </c>
      <c r="F181">
        <v>1.67</v>
      </c>
      <c r="G181">
        <v>2.2999999999999998</v>
      </c>
      <c r="H181" s="1" t="s">
        <v>10</v>
      </c>
      <c r="J181" t="s">
        <v>204</v>
      </c>
      <c r="K181" t="s">
        <v>113</v>
      </c>
      <c r="L181">
        <v>1.37</v>
      </c>
      <c r="M181">
        <v>3.2</v>
      </c>
      <c r="N181" t="s">
        <v>8</v>
      </c>
    </row>
    <row r="182" spans="1:14" x14ac:dyDescent="0.25">
      <c r="A182" t="s">
        <v>270</v>
      </c>
      <c r="B182" t="s">
        <v>266</v>
      </c>
      <c r="C182" t="s">
        <v>16</v>
      </c>
      <c r="D182" t="s">
        <v>26</v>
      </c>
      <c r="E182" t="s">
        <v>404</v>
      </c>
      <c r="F182">
        <v>1.69</v>
      </c>
      <c r="G182">
        <v>2.2000000000000002</v>
      </c>
      <c r="H182" s="1" t="s">
        <v>10</v>
      </c>
      <c r="J182" t="s">
        <v>204</v>
      </c>
      <c r="K182" t="s">
        <v>113</v>
      </c>
      <c r="L182">
        <v>1.36</v>
      </c>
      <c r="M182">
        <v>3.38</v>
      </c>
      <c r="N182" t="s">
        <v>8</v>
      </c>
    </row>
    <row r="183" spans="1:14" x14ac:dyDescent="0.25">
      <c r="A183" t="s">
        <v>270</v>
      </c>
      <c r="B183" t="s">
        <v>266</v>
      </c>
      <c r="C183" t="s">
        <v>16</v>
      </c>
      <c r="D183" t="s">
        <v>21</v>
      </c>
      <c r="E183" t="s">
        <v>405</v>
      </c>
      <c r="F183">
        <v>1.67</v>
      </c>
      <c r="G183">
        <v>2.2999999999999998</v>
      </c>
      <c r="H183" s="1" t="s">
        <v>10</v>
      </c>
      <c r="J183" t="s">
        <v>197</v>
      </c>
      <c r="K183" t="s">
        <v>113</v>
      </c>
      <c r="L183">
        <v>1.06</v>
      </c>
      <c r="M183">
        <v>11</v>
      </c>
      <c r="N183" t="s">
        <v>8</v>
      </c>
    </row>
    <row r="184" spans="1:14" x14ac:dyDescent="0.25">
      <c r="A184" t="s">
        <v>270</v>
      </c>
      <c r="B184" t="s">
        <v>266</v>
      </c>
      <c r="C184" t="s">
        <v>16</v>
      </c>
      <c r="D184" t="s">
        <v>27</v>
      </c>
      <c r="E184" t="s">
        <v>409</v>
      </c>
      <c r="F184">
        <v>1.65</v>
      </c>
      <c r="G184">
        <v>2.2999999999999998</v>
      </c>
      <c r="H184" s="1" t="s">
        <v>10</v>
      </c>
      <c r="J184" t="s">
        <v>197</v>
      </c>
      <c r="K184" t="s">
        <v>113</v>
      </c>
      <c r="L184">
        <v>1.04</v>
      </c>
      <c r="M184">
        <v>12.6</v>
      </c>
      <c r="N184" t="s">
        <v>8</v>
      </c>
    </row>
    <row r="185" spans="1:14" x14ac:dyDescent="0.25">
      <c r="A185" t="s">
        <v>270</v>
      </c>
      <c r="B185" t="s">
        <v>266</v>
      </c>
      <c r="C185" t="s">
        <v>16</v>
      </c>
      <c r="D185" t="s">
        <v>22</v>
      </c>
      <c r="E185" t="s">
        <v>413</v>
      </c>
      <c r="F185">
        <v>1.67</v>
      </c>
      <c r="G185">
        <v>2.2000000000000002</v>
      </c>
      <c r="H185" s="1" t="s">
        <v>10</v>
      </c>
      <c r="J185" t="s">
        <v>197</v>
      </c>
      <c r="K185" t="s">
        <v>113</v>
      </c>
      <c r="L185">
        <v>1.04</v>
      </c>
      <c r="M185">
        <v>11</v>
      </c>
      <c r="N185" t="s">
        <v>8</v>
      </c>
    </row>
    <row r="186" spans="1:14" x14ac:dyDescent="0.25">
      <c r="A186" t="s">
        <v>270</v>
      </c>
      <c r="B186" t="s">
        <v>266</v>
      </c>
      <c r="C186" t="s">
        <v>16</v>
      </c>
      <c r="D186" t="s">
        <v>18</v>
      </c>
      <c r="E186" t="s">
        <v>411</v>
      </c>
      <c r="F186">
        <v>1.62</v>
      </c>
      <c r="G186">
        <v>2.2599999999999998</v>
      </c>
      <c r="H186" s="1" t="s">
        <v>10</v>
      </c>
      <c r="J186" t="s">
        <v>197</v>
      </c>
      <c r="K186" t="s">
        <v>113</v>
      </c>
      <c r="L186">
        <v>1.04</v>
      </c>
      <c r="M186">
        <v>12.5</v>
      </c>
      <c r="N186" t="s">
        <v>8</v>
      </c>
    </row>
    <row r="187" spans="1:14" x14ac:dyDescent="0.25">
      <c r="A187" t="s">
        <v>270</v>
      </c>
      <c r="B187" t="s">
        <v>266</v>
      </c>
      <c r="C187" t="s">
        <v>16</v>
      </c>
      <c r="D187" t="s">
        <v>17</v>
      </c>
      <c r="E187" t="s">
        <v>407</v>
      </c>
      <c r="F187">
        <v>1.67</v>
      </c>
      <c r="G187">
        <v>2.2000000000000002</v>
      </c>
      <c r="H187" s="1" t="s">
        <v>10</v>
      </c>
      <c r="J187" t="s">
        <v>197</v>
      </c>
      <c r="K187" t="s">
        <v>113</v>
      </c>
      <c r="L187">
        <v>1.04</v>
      </c>
      <c r="M187">
        <v>12</v>
      </c>
      <c r="N187" t="s">
        <v>8</v>
      </c>
    </row>
    <row r="188" spans="1:14" x14ac:dyDescent="0.25">
      <c r="A188" t="s">
        <v>270</v>
      </c>
      <c r="B188" t="s">
        <v>266</v>
      </c>
      <c r="C188" t="s">
        <v>16</v>
      </c>
      <c r="D188" t="s">
        <v>15</v>
      </c>
      <c r="E188" t="s">
        <v>408</v>
      </c>
      <c r="F188">
        <v>1.67</v>
      </c>
      <c r="G188">
        <v>2.2000000000000002</v>
      </c>
      <c r="H188" s="1" t="s">
        <v>10</v>
      </c>
      <c r="J188" t="s">
        <v>197</v>
      </c>
      <c r="K188" t="s">
        <v>113</v>
      </c>
      <c r="L188">
        <v>1.03</v>
      </c>
      <c r="M188">
        <v>13.1</v>
      </c>
      <c r="N188" t="s">
        <v>8</v>
      </c>
    </row>
    <row r="189" spans="1:14" x14ac:dyDescent="0.25">
      <c r="A189" t="s">
        <v>270</v>
      </c>
      <c r="B189" t="s">
        <v>266</v>
      </c>
      <c r="C189" t="s">
        <v>16</v>
      </c>
      <c r="D189" t="s">
        <v>25</v>
      </c>
      <c r="E189" t="s">
        <v>409</v>
      </c>
      <c r="F189">
        <v>1.67</v>
      </c>
      <c r="G189">
        <v>2.25</v>
      </c>
      <c r="H189" s="1" t="s">
        <v>10</v>
      </c>
      <c r="J189" t="s">
        <v>197</v>
      </c>
      <c r="K189" t="s">
        <v>113</v>
      </c>
      <c r="L189">
        <v>1.03</v>
      </c>
      <c r="M189">
        <v>12.5</v>
      </c>
      <c r="N189" t="s">
        <v>8</v>
      </c>
    </row>
    <row r="190" spans="1:14" x14ac:dyDescent="0.25">
      <c r="A190" t="s">
        <v>271</v>
      </c>
      <c r="B190" t="s">
        <v>266</v>
      </c>
      <c r="C190" t="s">
        <v>16</v>
      </c>
      <c r="D190" t="s">
        <v>24</v>
      </c>
      <c r="E190" t="s">
        <v>406</v>
      </c>
      <c r="F190">
        <v>2.68</v>
      </c>
      <c r="G190">
        <v>1.52</v>
      </c>
      <c r="H190" s="1" t="s">
        <v>10</v>
      </c>
      <c r="J190" t="s">
        <v>197</v>
      </c>
      <c r="K190" t="s">
        <v>113</v>
      </c>
      <c r="L190">
        <v>1.03</v>
      </c>
      <c r="M190">
        <v>12.5</v>
      </c>
      <c r="N190" t="s">
        <v>8</v>
      </c>
    </row>
    <row r="191" spans="1:14" x14ac:dyDescent="0.25">
      <c r="A191" t="s">
        <v>271</v>
      </c>
      <c r="B191" t="s">
        <v>266</v>
      </c>
      <c r="C191" t="s">
        <v>16</v>
      </c>
      <c r="D191" t="s">
        <v>26</v>
      </c>
      <c r="E191" t="s">
        <v>404</v>
      </c>
      <c r="F191">
        <v>2.6</v>
      </c>
      <c r="G191">
        <v>1.51</v>
      </c>
      <c r="H191" s="1" t="s">
        <v>10</v>
      </c>
      <c r="J191" t="s">
        <v>197</v>
      </c>
      <c r="K191" t="s">
        <v>113</v>
      </c>
      <c r="L191">
        <v>1.03</v>
      </c>
      <c r="M191">
        <v>13</v>
      </c>
      <c r="N191" t="s">
        <v>8</v>
      </c>
    </row>
    <row r="192" spans="1:14" x14ac:dyDescent="0.25">
      <c r="A192" t="s">
        <v>271</v>
      </c>
      <c r="B192" t="s">
        <v>266</v>
      </c>
      <c r="C192" t="s">
        <v>16</v>
      </c>
      <c r="D192" t="s">
        <v>21</v>
      </c>
      <c r="E192" t="s">
        <v>405</v>
      </c>
      <c r="F192">
        <v>2.68</v>
      </c>
      <c r="G192">
        <v>1.52</v>
      </c>
      <c r="H192" s="1" t="s">
        <v>10</v>
      </c>
      <c r="J192" t="s">
        <v>197</v>
      </c>
      <c r="K192" t="s">
        <v>113</v>
      </c>
      <c r="L192">
        <v>1.03</v>
      </c>
      <c r="M192">
        <v>13</v>
      </c>
      <c r="N192" t="s">
        <v>8</v>
      </c>
    </row>
    <row r="193" spans="1:14" x14ac:dyDescent="0.25">
      <c r="A193" t="s">
        <v>271</v>
      </c>
      <c r="B193" t="s">
        <v>266</v>
      </c>
      <c r="C193" t="s">
        <v>16</v>
      </c>
      <c r="D193" t="s">
        <v>27</v>
      </c>
      <c r="E193" t="s">
        <v>409</v>
      </c>
      <c r="F193">
        <v>2.7</v>
      </c>
      <c r="G193">
        <v>1.49</v>
      </c>
      <c r="H193" s="1" t="s">
        <v>10</v>
      </c>
      <c r="J193" t="s">
        <v>197</v>
      </c>
      <c r="K193" t="s">
        <v>113</v>
      </c>
      <c r="L193">
        <v>1.04</v>
      </c>
      <c r="M193">
        <v>13.25</v>
      </c>
      <c r="N193" t="s">
        <v>8</v>
      </c>
    </row>
    <row r="194" spans="1:14" x14ac:dyDescent="0.25">
      <c r="A194" t="s">
        <v>271</v>
      </c>
      <c r="B194" t="s">
        <v>266</v>
      </c>
      <c r="C194" t="s">
        <v>16</v>
      </c>
      <c r="D194" t="s">
        <v>22</v>
      </c>
      <c r="E194" t="s">
        <v>413</v>
      </c>
      <c r="F194">
        <v>2.65</v>
      </c>
      <c r="G194">
        <v>1.51</v>
      </c>
      <c r="H194" s="1" t="s">
        <v>10</v>
      </c>
      <c r="J194" t="s">
        <v>197</v>
      </c>
      <c r="K194" t="s">
        <v>113</v>
      </c>
      <c r="L194">
        <v>1.03</v>
      </c>
      <c r="M194">
        <v>13</v>
      </c>
      <c r="N194" t="s">
        <v>8</v>
      </c>
    </row>
    <row r="195" spans="1:14" x14ac:dyDescent="0.25">
      <c r="A195" t="s">
        <v>271</v>
      </c>
      <c r="B195" t="s">
        <v>266</v>
      </c>
      <c r="C195" t="s">
        <v>16</v>
      </c>
      <c r="D195" t="s">
        <v>18</v>
      </c>
      <c r="E195" t="s">
        <v>411</v>
      </c>
      <c r="F195">
        <v>2.5</v>
      </c>
      <c r="G195">
        <v>1.52</v>
      </c>
      <c r="H195" s="1" t="s">
        <v>10</v>
      </c>
      <c r="J195" t="s">
        <v>197</v>
      </c>
      <c r="K195" t="s">
        <v>113</v>
      </c>
      <c r="L195">
        <v>1.05</v>
      </c>
      <c r="M195">
        <v>12</v>
      </c>
      <c r="N195" t="s">
        <v>8</v>
      </c>
    </row>
    <row r="196" spans="1:14" x14ac:dyDescent="0.25">
      <c r="A196" t="s">
        <v>271</v>
      </c>
      <c r="B196" t="s">
        <v>266</v>
      </c>
      <c r="C196" t="s">
        <v>16</v>
      </c>
      <c r="D196" t="s">
        <v>17</v>
      </c>
      <c r="E196" t="s">
        <v>407</v>
      </c>
      <c r="F196">
        <v>2.5499999999999998</v>
      </c>
      <c r="G196">
        <v>1.51</v>
      </c>
      <c r="H196" s="1" t="s">
        <v>10</v>
      </c>
      <c r="J196" t="s">
        <v>197</v>
      </c>
      <c r="K196" t="s">
        <v>113</v>
      </c>
      <c r="L196">
        <v>1.04</v>
      </c>
      <c r="M196">
        <v>13.5</v>
      </c>
      <c r="N196" t="s">
        <v>8</v>
      </c>
    </row>
    <row r="197" spans="1:14" x14ac:dyDescent="0.25">
      <c r="A197" t="s">
        <v>271</v>
      </c>
      <c r="B197" t="s">
        <v>266</v>
      </c>
      <c r="C197" t="s">
        <v>16</v>
      </c>
      <c r="D197" t="s">
        <v>15</v>
      </c>
      <c r="E197" t="s">
        <v>408</v>
      </c>
      <c r="F197">
        <v>2.5499999999999998</v>
      </c>
      <c r="G197">
        <v>1.51</v>
      </c>
      <c r="H197" s="1" t="s">
        <v>10</v>
      </c>
      <c r="J197" t="s">
        <v>205</v>
      </c>
      <c r="K197" t="s">
        <v>206</v>
      </c>
      <c r="L197">
        <v>1.18</v>
      </c>
      <c r="M197">
        <v>5.0999999999999996</v>
      </c>
      <c r="N197" t="s">
        <v>8</v>
      </c>
    </row>
    <row r="198" spans="1:14" x14ac:dyDescent="0.25">
      <c r="A198" t="s">
        <v>271</v>
      </c>
      <c r="B198" t="s">
        <v>266</v>
      </c>
      <c r="C198" t="s">
        <v>16</v>
      </c>
      <c r="D198" t="s">
        <v>25</v>
      </c>
      <c r="E198" t="s">
        <v>409</v>
      </c>
      <c r="F198">
        <v>2.65</v>
      </c>
      <c r="G198">
        <v>1.51</v>
      </c>
      <c r="H198" s="1" t="s">
        <v>10</v>
      </c>
      <c r="J198" t="s">
        <v>205</v>
      </c>
      <c r="K198" t="s">
        <v>206</v>
      </c>
      <c r="L198">
        <v>1.19</v>
      </c>
      <c r="M198">
        <v>4.9000000000000004</v>
      </c>
      <c r="N198" t="s">
        <v>8</v>
      </c>
    </row>
    <row r="199" spans="1:14" x14ac:dyDescent="0.25">
      <c r="A199" t="s">
        <v>272</v>
      </c>
      <c r="B199" t="s">
        <v>266</v>
      </c>
      <c r="C199" t="s">
        <v>16</v>
      </c>
      <c r="D199" t="s">
        <v>24</v>
      </c>
      <c r="E199" t="s">
        <v>406</v>
      </c>
      <c r="F199">
        <v>3.7</v>
      </c>
      <c r="G199">
        <v>1.3</v>
      </c>
      <c r="H199" s="1" t="s">
        <v>10</v>
      </c>
      <c r="J199" t="s">
        <v>205</v>
      </c>
      <c r="K199" t="s">
        <v>206</v>
      </c>
      <c r="L199">
        <v>1.17</v>
      </c>
      <c r="M199">
        <v>5.25</v>
      </c>
      <c r="N199" t="s">
        <v>8</v>
      </c>
    </row>
    <row r="200" spans="1:14" x14ac:dyDescent="0.25">
      <c r="A200" t="s">
        <v>272</v>
      </c>
      <c r="B200" t="s">
        <v>266</v>
      </c>
      <c r="C200" t="s">
        <v>16</v>
      </c>
      <c r="D200" t="s">
        <v>21</v>
      </c>
      <c r="E200" t="s">
        <v>405</v>
      </c>
      <c r="F200">
        <v>3.7</v>
      </c>
      <c r="G200">
        <v>1.3</v>
      </c>
      <c r="H200" s="1" t="s">
        <v>10</v>
      </c>
      <c r="J200" t="s">
        <v>205</v>
      </c>
      <c r="K200" t="s">
        <v>206</v>
      </c>
      <c r="L200">
        <v>1.18</v>
      </c>
      <c r="M200">
        <v>5.0999999999999996</v>
      </c>
      <c r="N200" t="s">
        <v>8</v>
      </c>
    </row>
    <row r="201" spans="1:14" x14ac:dyDescent="0.25">
      <c r="A201" t="s">
        <v>272</v>
      </c>
      <c r="B201" t="s">
        <v>266</v>
      </c>
      <c r="C201" t="s">
        <v>16</v>
      </c>
      <c r="D201" t="s">
        <v>27</v>
      </c>
      <c r="E201" t="s">
        <v>409</v>
      </c>
      <c r="F201">
        <v>3.75</v>
      </c>
      <c r="G201">
        <v>1.29</v>
      </c>
      <c r="H201" s="1" t="s">
        <v>10</v>
      </c>
      <c r="J201" t="s">
        <v>205</v>
      </c>
      <c r="K201" t="s">
        <v>206</v>
      </c>
      <c r="L201">
        <v>1.17</v>
      </c>
      <c r="M201">
        <v>5.3</v>
      </c>
      <c r="N201" t="s">
        <v>8</v>
      </c>
    </row>
    <row r="202" spans="1:14" x14ac:dyDescent="0.25">
      <c r="A202" t="s">
        <v>272</v>
      </c>
      <c r="B202" t="s">
        <v>266</v>
      </c>
      <c r="C202" t="s">
        <v>16</v>
      </c>
      <c r="D202" t="s">
        <v>26</v>
      </c>
      <c r="E202" t="s">
        <v>404</v>
      </c>
      <c r="F202">
        <v>3.6</v>
      </c>
      <c r="G202">
        <v>1.29</v>
      </c>
      <c r="H202" s="1" t="s">
        <v>10</v>
      </c>
      <c r="J202" t="s">
        <v>205</v>
      </c>
      <c r="K202" t="s">
        <v>206</v>
      </c>
      <c r="L202">
        <v>1.1599999999999999</v>
      </c>
      <c r="M202">
        <v>5.3</v>
      </c>
      <c r="N202" t="s">
        <v>8</v>
      </c>
    </row>
    <row r="203" spans="1:14" x14ac:dyDescent="0.25">
      <c r="A203" t="s">
        <v>272</v>
      </c>
      <c r="B203" t="s">
        <v>266</v>
      </c>
      <c r="C203" t="s">
        <v>16</v>
      </c>
      <c r="D203" t="s">
        <v>22</v>
      </c>
      <c r="E203" t="s">
        <v>413</v>
      </c>
      <c r="F203">
        <v>3.4</v>
      </c>
      <c r="G203">
        <v>1.3</v>
      </c>
      <c r="H203" s="1" t="s">
        <v>10</v>
      </c>
      <c r="J203" t="s">
        <v>205</v>
      </c>
      <c r="K203" t="s">
        <v>206</v>
      </c>
      <c r="L203">
        <v>1.18</v>
      </c>
      <c r="M203">
        <v>5</v>
      </c>
      <c r="N203" t="s">
        <v>8</v>
      </c>
    </row>
    <row r="204" spans="1:14" x14ac:dyDescent="0.25">
      <c r="A204" t="s">
        <v>272</v>
      </c>
      <c r="B204" t="s">
        <v>266</v>
      </c>
      <c r="C204" t="s">
        <v>16</v>
      </c>
      <c r="D204" t="s">
        <v>18</v>
      </c>
      <c r="E204" t="s">
        <v>411</v>
      </c>
      <c r="F204">
        <v>3.65</v>
      </c>
      <c r="G204">
        <v>1.27</v>
      </c>
      <c r="H204" s="1" t="s">
        <v>10</v>
      </c>
      <c r="J204" t="s">
        <v>205</v>
      </c>
      <c r="K204" t="s">
        <v>206</v>
      </c>
      <c r="L204">
        <v>1.1599999999999999</v>
      </c>
      <c r="M204">
        <v>5.3</v>
      </c>
      <c r="N204" t="s">
        <v>8</v>
      </c>
    </row>
    <row r="205" spans="1:14" x14ac:dyDescent="0.25">
      <c r="A205" t="s">
        <v>272</v>
      </c>
      <c r="B205" t="s">
        <v>266</v>
      </c>
      <c r="C205" t="s">
        <v>16</v>
      </c>
      <c r="D205" t="s">
        <v>17</v>
      </c>
      <c r="E205" t="s">
        <v>407</v>
      </c>
      <c r="F205">
        <v>3.55</v>
      </c>
      <c r="G205">
        <v>1.3</v>
      </c>
      <c r="H205" s="1" t="s">
        <v>10</v>
      </c>
      <c r="J205" t="s">
        <v>205</v>
      </c>
      <c r="K205" t="s">
        <v>206</v>
      </c>
      <c r="L205">
        <v>1.18</v>
      </c>
      <c r="M205">
        <v>5.3</v>
      </c>
      <c r="N205" t="s">
        <v>8</v>
      </c>
    </row>
    <row r="206" spans="1:14" x14ac:dyDescent="0.25">
      <c r="A206" t="s">
        <v>272</v>
      </c>
      <c r="B206" t="s">
        <v>266</v>
      </c>
      <c r="C206" t="s">
        <v>16</v>
      </c>
      <c r="D206" t="s">
        <v>15</v>
      </c>
      <c r="E206" t="s">
        <v>408</v>
      </c>
      <c r="F206">
        <v>3.55</v>
      </c>
      <c r="G206">
        <v>1.3</v>
      </c>
      <c r="H206" s="1" t="s">
        <v>10</v>
      </c>
      <c r="J206" t="s">
        <v>205</v>
      </c>
      <c r="K206" t="s">
        <v>206</v>
      </c>
      <c r="L206">
        <v>1.18</v>
      </c>
      <c r="M206">
        <v>5</v>
      </c>
      <c r="N206" t="s">
        <v>8</v>
      </c>
    </row>
    <row r="207" spans="1:14" x14ac:dyDescent="0.25">
      <c r="A207" t="s">
        <v>272</v>
      </c>
      <c r="B207" t="s">
        <v>266</v>
      </c>
      <c r="C207" t="s">
        <v>16</v>
      </c>
      <c r="D207" t="s">
        <v>25</v>
      </c>
      <c r="E207" t="s">
        <v>409</v>
      </c>
      <c r="F207">
        <v>3.65</v>
      </c>
      <c r="G207">
        <v>1.29</v>
      </c>
      <c r="H207" s="1" t="s">
        <v>10</v>
      </c>
      <c r="J207" t="s">
        <v>205</v>
      </c>
      <c r="K207" t="s">
        <v>206</v>
      </c>
      <c r="L207">
        <v>1.18</v>
      </c>
      <c r="M207">
        <v>5.15</v>
      </c>
      <c r="N207" t="s">
        <v>8</v>
      </c>
    </row>
    <row r="208" spans="1:14" x14ac:dyDescent="0.25">
      <c r="A208" t="s">
        <v>96</v>
      </c>
      <c r="B208" t="s">
        <v>97</v>
      </c>
      <c r="C208" t="s">
        <v>16</v>
      </c>
      <c r="D208" t="s">
        <v>24</v>
      </c>
      <c r="E208" t="s">
        <v>406</v>
      </c>
      <c r="F208">
        <v>3.15</v>
      </c>
      <c r="G208">
        <v>1.39</v>
      </c>
      <c r="H208" s="1" t="s">
        <v>10</v>
      </c>
      <c r="J208" t="s">
        <v>205</v>
      </c>
      <c r="K208" t="s">
        <v>206</v>
      </c>
      <c r="L208">
        <v>1.18</v>
      </c>
      <c r="M208">
        <v>5.3</v>
      </c>
      <c r="N208" t="s">
        <v>8</v>
      </c>
    </row>
    <row r="209" spans="1:14" x14ac:dyDescent="0.25">
      <c r="A209" t="s">
        <v>96</v>
      </c>
      <c r="B209" t="s">
        <v>97</v>
      </c>
      <c r="C209" t="s">
        <v>16</v>
      </c>
      <c r="D209" t="s">
        <v>21</v>
      </c>
      <c r="E209" t="s">
        <v>405</v>
      </c>
      <c r="F209">
        <v>3.15</v>
      </c>
      <c r="G209">
        <v>1.39</v>
      </c>
      <c r="H209" s="1" t="s">
        <v>10</v>
      </c>
      <c r="J209" t="s">
        <v>205</v>
      </c>
      <c r="K209" t="s">
        <v>206</v>
      </c>
      <c r="L209">
        <v>1.19</v>
      </c>
      <c r="M209">
        <v>5</v>
      </c>
      <c r="N209" t="s">
        <v>8</v>
      </c>
    </row>
    <row r="210" spans="1:14" x14ac:dyDescent="0.25">
      <c r="A210" t="s">
        <v>96</v>
      </c>
      <c r="B210" t="s">
        <v>97</v>
      </c>
      <c r="C210" t="s">
        <v>16</v>
      </c>
      <c r="D210" t="s">
        <v>27</v>
      </c>
      <c r="E210" t="s">
        <v>409</v>
      </c>
      <c r="F210">
        <v>3.1</v>
      </c>
      <c r="G210">
        <v>1.39</v>
      </c>
      <c r="H210" s="1" t="s">
        <v>10</v>
      </c>
      <c r="J210" t="s">
        <v>205</v>
      </c>
      <c r="K210" t="s">
        <v>206</v>
      </c>
      <c r="L210">
        <v>1.19</v>
      </c>
      <c r="M210">
        <v>5.0999999999999996</v>
      </c>
      <c r="N210" t="s">
        <v>8</v>
      </c>
    </row>
    <row r="211" spans="1:14" x14ac:dyDescent="0.25">
      <c r="A211" t="s">
        <v>96</v>
      </c>
      <c r="B211" t="s">
        <v>97</v>
      </c>
      <c r="C211" t="s">
        <v>16</v>
      </c>
      <c r="D211" t="s">
        <v>26</v>
      </c>
      <c r="E211" t="s">
        <v>404</v>
      </c>
      <c r="F211">
        <v>3</v>
      </c>
      <c r="G211">
        <v>1.38</v>
      </c>
      <c r="H211" s="1" t="s">
        <v>10</v>
      </c>
      <c r="J211" t="s">
        <v>207</v>
      </c>
      <c r="K211" t="s">
        <v>208</v>
      </c>
      <c r="L211">
        <v>1.25</v>
      </c>
      <c r="M211">
        <v>4.0999999999999996</v>
      </c>
      <c r="N211" t="s">
        <v>8</v>
      </c>
    </row>
    <row r="212" spans="1:14" x14ac:dyDescent="0.25">
      <c r="A212" t="s">
        <v>96</v>
      </c>
      <c r="B212" t="s">
        <v>97</v>
      </c>
      <c r="C212" t="s">
        <v>16</v>
      </c>
      <c r="D212" t="s">
        <v>25</v>
      </c>
      <c r="E212" t="s">
        <v>409</v>
      </c>
      <c r="F212">
        <v>3.05</v>
      </c>
      <c r="G212">
        <v>1.4</v>
      </c>
      <c r="H212" s="1" t="s">
        <v>10</v>
      </c>
      <c r="J212" t="s">
        <v>207</v>
      </c>
      <c r="K212" t="s">
        <v>208</v>
      </c>
      <c r="L212">
        <v>1.26</v>
      </c>
      <c r="M212">
        <v>4</v>
      </c>
      <c r="N212" t="s">
        <v>8</v>
      </c>
    </row>
    <row r="213" spans="1:14" x14ac:dyDescent="0.25">
      <c r="A213" t="s">
        <v>96</v>
      </c>
      <c r="B213" t="s">
        <v>97</v>
      </c>
      <c r="C213" t="s">
        <v>16</v>
      </c>
      <c r="D213" t="s">
        <v>22</v>
      </c>
      <c r="E213" t="s">
        <v>413</v>
      </c>
      <c r="F213">
        <v>3.05</v>
      </c>
      <c r="G213">
        <v>1.39</v>
      </c>
      <c r="H213" s="1" t="s">
        <v>10</v>
      </c>
      <c r="J213" t="s">
        <v>207</v>
      </c>
      <c r="K213" t="s">
        <v>208</v>
      </c>
      <c r="L213">
        <v>1.24</v>
      </c>
      <c r="M213">
        <v>4.1500000000000004</v>
      </c>
      <c r="N213" t="s">
        <v>8</v>
      </c>
    </row>
    <row r="214" spans="1:14" x14ac:dyDescent="0.25">
      <c r="A214" t="s">
        <v>96</v>
      </c>
      <c r="B214" t="s">
        <v>97</v>
      </c>
      <c r="C214" t="s">
        <v>16</v>
      </c>
      <c r="D214" t="s">
        <v>18</v>
      </c>
      <c r="E214" t="s">
        <v>411</v>
      </c>
      <c r="F214">
        <v>3</v>
      </c>
      <c r="G214">
        <v>1.38</v>
      </c>
      <c r="H214" s="1" t="s">
        <v>10</v>
      </c>
      <c r="J214" t="s">
        <v>207</v>
      </c>
      <c r="K214" t="s">
        <v>208</v>
      </c>
      <c r="L214">
        <v>1.25</v>
      </c>
      <c r="M214">
        <v>4.0999999999999996</v>
      </c>
      <c r="N214" t="s">
        <v>8</v>
      </c>
    </row>
    <row r="215" spans="1:14" x14ac:dyDescent="0.25">
      <c r="A215" t="s">
        <v>96</v>
      </c>
      <c r="B215" t="s">
        <v>97</v>
      </c>
      <c r="C215" t="s">
        <v>16</v>
      </c>
      <c r="D215" t="s">
        <v>15</v>
      </c>
      <c r="E215" t="s">
        <v>408</v>
      </c>
      <c r="F215">
        <v>3</v>
      </c>
      <c r="G215">
        <v>1.4</v>
      </c>
      <c r="H215" s="1" t="s">
        <v>10</v>
      </c>
      <c r="J215" t="s">
        <v>207</v>
      </c>
      <c r="K215" t="s">
        <v>208</v>
      </c>
      <c r="L215">
        <v>1.25</v>
      </c>
      <c r="M215">
        <v>4.0999999999999996</v>
      </c>
      <c r="N215" t="s">
        <v>8</v>
      </c>
    </row>
    <row r="216" spans="1:14" x14ac:dyDescent="0.25">
      <c r="A216" t="s">
        <v>96</v>
      </c>
      <c r="B216" t="s">
        <v>97</v>
      </c>
      <c r="C216" t="s">
        <v>16</v>
      </c>
      <c r="D216" t="s">
        <v>17</v>
      </c>
      <c r="E216" t="s">
        <v>407</v>
      </c>
      <c r="F216">
        <v>3</v>
      </c>
      <c r="G216">
        <v>1.4</v>
      </c>
      <c r="H216" s="1" t="s">
        <v>10</v>
      </c>
      <c r="J216" t="s">
        <v>207</v>
      </c>
      <c r="K216" t="s">
        <v>208</v>
      </c>
      <c r="L216">
        <v>1.25</v>
      </c>
      <c r="M216">
        <v>4.0999999999999996</v>
      </c>
      <c r="N216" t="s">
        <v>8</v>
      </c>
    </row>
    <row r="217" spans="1:14" x14ac:dyDescent="0.25">
      <c r="A217" t="s">
        <v>98</v>
      </c>
      <c r="B217" t="s">
        <v>97</v>
      </c>
      <c r="C217" t="s">
        <v>16</v>
      </c>
      <c r="D217" t="s">
        <v>24</v>
      </c>
      <c r="E217" t="s">
        <v>406</v>
      </c>
      <c r="F217">
        <v>1.4</v>
      </c>
      <c r="G217">
        <v>3.1</v>
      </c>
      <c r="H217" s="1" t="s">
        <v>10</v>
      </c>
      <c r="J217" t="s">
        <v>207</v>
      </c>
      <c r="K217" t="s">
        <v>208</v>
      </c>
      <c r="L217">
        <v>1.25</v>
      </c>
      <c r="M217">
        <v>4.0999999999999996</v>
      </c>
      <c r="N217" t="s">
        <v>8</v>
      </c>
    </row>
    <row r="218" spans="1:14" x14ac:dyDescent="0.25">
      <c r="A218" t="s">
        <v>98</v>
      </c>
      <c r="B218" t="s">
        <v>97</v>
      </c>
      <c r="C218" t="s">
        <v>16</v>
      </c>
      <c r="D218" t="s">
        <v>21</v>
      </c>
      <c r="E218" t="s">
        <v>405</v>
      </c>
      <c r="F218">
        <v>1.4</v>
      </c>
      <c r="G218">
        <v>3.1</v>
      </c>
      <c r="H218" s="1" t="s">
        <v>10</v>
      </c>
      <c r="J218" t="s">
        <v>207</v>
      </c>
      <c r="K218" t="s">
        <v>208</v>
      </c>
      <c r="L218">
        <v>1.26</v>
      </c>
      <c r="M218">
        <v>4.1500000000000004</v>
      </c>
      <c r="N218" t="s">
        <v>8</v>
      </c>
    </row>
    <row r="219" spans="1:14" x14ac:dyDescent="0.25">
      <c r="A219" t="s">
        <v>98</v>
      </c>
      <c r="B219" t="s">
        <v>97</v>
      </c>
      <c r="C219" t="s">
        <v>16</v>
      </c>
      <c r="D219" t="s">
        <v>27</v>
      </c>
      <c r="E219" t="s">
        <v>409</v>
      </c>
      <c r="F219">
        <v>1.41</v>
      </c>
      <c r="G219">
        <v>3</v>
      </c>
      <c r="H219" s="1" t="s">
        <v>10</v>
      </c>
      <c r="J219" t="s">
        <v>207</v>
      </c>
      <c r="K219" t="s">
        <v>208</v>
      </c>
      <c r="L219">
        <v>1.25</v>
      </c>
      <c r="M219">
        <v>4</v>
      </c>
      <c r="N219" t="s">
        <v>8</v>
      </c>
    </row>
    <row r="220" spans="1:14" x14ac:dyDescent="0.25">
      <c r="A220" t="s">
        <v>98</v>
      </c>
      <c r="B220" t="s">
        <v>97</v>
      </c>
      <c r="C220" t="s">
        <v>16</v>
      </c>
      <c r="D220" t="s">
        <v>26</v>
      </c>
      <c r="E220" t="s">
        <v>404</v>
      </c>
      <c r="F220">
        <v>1.42</v>
      </c>
      <c r="G220">
        <v>2.95</v>
      </c>
      <c r="H220" s="1" t="s">
        <v>10</v>
      </c>
      <c r="J220" t="s">
        <v>207</v>
      </c>
      <c r="K220" t="s">
        <v>208</v>
      </c>
      <c r="L220">
        <v>1.26</v>
      </c>
      <c r="M220">
        <v>4.05</v>
      </c>
      <c r="N220" t="s">
        <v>8</v>
      </c>
    </row>
    <row r="221" spans="1:14" x14ac:dyDescent="0.25">
      <c r="A221" t="s">
        <v>98</v>
      </c>
      <c r="B221" t="s">
        <v>97</v>
      </c>
      <c r="C221" t="s">
        <v>16</v>
      </c>
      <c r="D221" t="s">
        <v>25</v>
      </c>
      <c r="E221" t="s">
        <v>409</v>
      </c>
      <c r="F221">
        <v>1.4</v>
      </c>
      <c r="G221">
        <v>3.05</v>
      </c>
      <c r="H221" s="1" t="s">
        <v>10</v>
      </c>
      <c r="J221" t="s">
        <v>207</v>
      </c>
      <c r="K221" t="s">
        <v>208</v>
      </c>
      <c r="L221">
        <v>1.26</v>
      </c>
      <c r="M221">
        <v>4.1500000000000004</v>
      </c>
      <c r="N221" t="s">
        <v>8</v>
      </c>
    </row>
    <row r="222" spans="1:14" x14ac:dyDescent="0.25">
      <c r="A222" t="s">
        <v>98</v>
      </c>
      <c r="B222" t="s">
        <v>97</v>
      </c>
      <c r="C222" t="s">
        <v>16</v>
      </c>
      <c r="D222" t="s">
        <v>22</v>
      </c>
      <c r="E222" t="s">
        <v>413</v>
      </c>
      <c r="F222">
        <v>1.4</v>
      </c>
      <c r="G222">
        <v>3</v>
      </c>
      <c r="H222" s="1" t="s">
        <v>10</v>
      </c>
      <c r="J222" t="s">
        <v>207</v>
      </c>
      <c r="K222" t="s">
        <v>208</v>
      </c>
      <c r="L222">
        <v>1.25</v>
      </c>
      <c r="M222">
        <v>4.2</v>
      </c>
      <c r="N222" t="s">
        <v>8</v>
      </c>
    </row>
    <row r="223" spans="1:14" x14ac:dyDescent="0.25">
      <c r="A223" t="s">
        <v>98</v>
      </c>
      <c r="B223" t="s">
        <v>97</v>
      </c>
      <c r="C223" t="s">
        <v>16</v>
      </c>
      <c r="D223" t="s">
        <v>18</v>
      </c>
      <c r="E223" t="s">
        <v>411</v>
      </c>
      <c r="F223">
        <v>1.38</v>
      </c>
      <c r="G223">
        <v>3</v>
      </c>
      <c r="H223" s="1" t="s">
        <v>10</v>
      </c>
      <c r="J223" t="s">
        <v>207</v>
      </c>
      <c r="K223" t="s">
        <v>208</v>
      </c>
      <c r="L223">
        <v>1.25</v>
      </c>
      <c r="M223">
        <v>4.0999999999999996</v>
      </c>
      <c r="N223" t="s">
        <v>8</v>
      </c>
    </row>
    <row r="224" spans="1:14" x14ac:dyDescent="0.25">
      <c r="A224" t="s">
        <v>98</v>
      </c>
      <c r="B224" t="s">
        <v>97</v>
      </c>
      <c r="C224" t="s">
        <v>16</v>
      </c>
      <c r="D224" t="s">
        <v>15</v>
      </c>
      <c r="E224" t="s">
        <v>408</v>
      </c>
      <c r="F224">
        <v>1.4</v>
      </c>
      <c r="G224">
        <v>2.95</v>
      </c>
      <c r="H224" s="1" t="s">
        <v>10</v>
      </c>
      <c r="J224" t="s">
        <v>207</v>
      </c>
      <c r="K224" t="s">
        <v>208</v>
      </c>
      <c r="L224">
        <v>1.28</v>
      </c>
      <c r="M224">
        <v>3.95</v>
      </c>
      <c r="N224" t="s">
        <v>8</v>
      </c>
    </row>
    <row r="225" spans="1:14" x14ac:dyDescent="0.25">
      <c r="A225" t="s">
        <v>98</v>
      </c>
      <c r="B225" t="s">
        <v>97</v>
      </c>
      <c r="C225" t="s">
        <v>16</v>
      </c>
      <c r="D225" t="s">
        <v>17</v>
      </c>
      <c r="E225" t="s">
        <v>407</v>
      </c>
      <c r="F225">
        <v>1.4</v>
      </c>
      <c r="G225">
        <v>2.95</v>
      </c>
      <c r="H225" s="1" t="s">
        <v>10</v>
      </c>
      <c r="J225" t="s">
        <v>209</v>
      </c>
      <c r="K225" t="s">
        <v>208</v>
      </c>
      <c r="L225">
        <v>1.77</v>
      </c>
      <c r="M225">
        <v>2.1</v>
      </c>
      <c r="N225" t="s">
        <v>8</v>
      </c>
    </row>
    <row r="226" spans="1:14" x14ac:dyDescent="0.25">
      <c r="A226" t="s">
        <v>99</v>
      </c>
      <c r="B226" t="s">
        <v>97</v>
      </c>
      <c r="C226" t="s">
        <v>16</v>
      </c>
      <c r="D226" t="s">
        <v>24</v>
      </c>
      <c r="E226" t="s">
        <v>406</v>
      </c>
      <c r="F226">
        <v>1.36</v>
      </c>
      <c r="G226">
        <v>3.35</v>
      </c>
      <c r="H226" s="1" t="s">
        <v>10</v>
      </c>
      <c r="J226" t="s">
        <v>209</v>
      </c>
      <c r="K226" t="s">
        <v>208</v>
      </c>
      <c r="L226">
        <v>1.73</v>
      </c>
      <c r="M226">
        <v>2.14</v>
      </c>
      <c r="N226" t="s">
        <v>8</v>
      </c>
    </row>
    <row r="227" spans="1:14" x14ac:dyDescent="0.25">
      <c r="A227" t="s">
        <v>99</v>
      </c>
      <c r="B227" t="s">
        <v>97</v>
      </c>
      <c r="C227" t="s">
        <v>16</v>
      </c>
      <c r="D227" t="s">
        <v>21</v>
      </c>
      <c r="E227" t="s">
        <v>405</v>
      </c>
      <c r="F227">
        <v>1.36</v>
      </c>
      <c r="G227">
        <v>3.35</v>
      </c>
      <c r="H227" s="1" t="s">
        <v>10</v>
      </c>
      <c r="J227" t="s">
        <v>209</v>
      </c>
      <c r="K227" t="s">
        <v>208</v>
      </c>
      <c r="L227">
        <v>1.8</v>
      </c>
      <c r="M227">
        <v>2.0499999999999998</v>
      </c>
      <c r="N227" t="s">
        <v>8</v>
      </c>
    </row>
    <row r="228" spans="1:14" x14ac:dyDescent="0.25">
      <c r="A228" t="s">
        <v>99</v>
      </c>
      <c r="B228" t="s">
        <v>97</v>
      </c>
      <c r="C228" t="s">
        <v>16</v>
      </c>
      <c r="D228" t="s">
        <v>27</v>
      </c>
      <c r="E228" t="s">
        <v>409</v>
      </c>
      <c r="F228">
        <v>1.34</v>
      </c>
      <c r="G228">
        <v>3.4</v>
      </c>
      <c r="H228" s="1" t="s">
        <v>10</v>
      </c>
      <c r="J228" t="s">
        <v>209</v>
      </c>
      <c r="K228" t="s">
        <v>208</v>
      </c>
      <c r="L228">
        <v>1.76</v>
      </c>
      <c r="M228">
        <v>2.1</v>
      </c>
      <c r="N228" t="s">
        <v>8</v>
      </c>
    </row>
    <row r="229" spans="1:14" x14ac:dyDescent="0.25">
      <c r="A229" t="s">
        <v>99</v>
      </c>
      <c r="B229" t="s">
        <v>97</v>
      </c>
      <c r="C229" t="s">
        <v>16</v>
      </c>
      <c r="D229" t="s">
        <v>26</v>
      </c>
      <c r="E229" t="s">
        <v>404</v>
      </c>
      <c r="F229">
        <v>1.35</v>
      </c>
      <c r="G229">
        <v>3.25</v>
      </c>
      <c r="H229" s="1" t="s">
        <v>10</v>
      </c>
      <c r="J229" t="s">
        <v>209</v>
      </c>
      <c r="K229" t="s">
        <v>208</v>
      </c>
      <c r="L229">
        <v>1.77</v>
      </c>
      <c r="M229">
        <v>2.1</v>
      </c>
      <c r="N229" t="s">
        <v>8</v>
      </c>
    </row>
    <row r="230" spans="1:14" x14ac:dyDescent="0.25">
      <c r="A230" t="s">
        <v>99</v>
      </c>
      <c r="B230" t="s">
        <v>97</v>
      </c>
      <c r="C230" t="s">
        <v>16</v>
      </c>
      <c r="D230" t="s">
        <v>25</v>
      </c>
      <c r="E230" t="s">
        <v>409</v>
      </c>
      <c r="F230">
        <v>1.36</v>
      </c>
      <c r="G230">
        <v>3.3</v>
      </c>
      <c r="H230" s="1" t="s">
        <v>10</v>
      </c>
      <c r="J230" t="s">
        <v>209</v>
      </c>
      <c r="K230" t="s">
        <v>208</v>
      </c>
      <c r="L230">
        <v>1.74</v>
      </c>
      <c r="M230">
        <v>2.12</v>
      </c>
      <c r="N230" t="s">
        <v>8</v>
      </c>
    </row>
    <row r="231" spans="1:14" x14ac:dyDescent="0.25">
      <c r="A231" t="s">
        <v>99</v>
      </c>
      <c r="B231" t="s">
        <v>97</v>
      </c>
      <c r="C231" t="s">
        <v>16</v>
      </c>
      <c r="D231" t="s">
        <v>17</v>
      </c>
      <c r="E231" t="s">
        <v>407</v>
      </c>
      <c r="F231">
        <v>1.36</v>
      </c>
      <c r="G231">
        <v>3.15</v>
      </c>
      <c r="H231" s="1" t="s">
        <v>10</v>
      </c>
      <c r="J231" t="s">
        <v>209</v>
      </c>
      <c r="K231" t="s">
        <v>208</v>
      </c>
      <c r="L231">
        <v>1.74</v>
      </c>
      <c r="M231">
        <v>2.12</v>
      </c>
      <c r="N231" t="s">
        <v>8</v>
      </c>
    </row>
    <row r="232" spans="1:14" x14ac:dyDescent="0.25">
      <c r="A232" t="s">
        <v>99</v>
      </c>
      <c r="B232" t="s">
        <v>97</v>
      </c>
      <c r="C232" t="s">
        <v>16</v>
      </c>
      <c r="D232" t="s">
        <v>15</v>
      </c>
      <c r="E232" t="s">
        <v>408</v>
      </c>
      <c r="F232">
        <v>1.36</v>
      </c>
      <c r="G232">
        <v>3.15</v>
      </c>
      <c r="H232" s="1" t="s">
        <v>10</v>
      </c>
      <c r="J232" t="s">
        <v>209</v>
      </c>
      <c r="K232" t="s">
        <v>208</v>
      </c>
      <c r="L232">
        <v>1.77</v>
      </c>
      <c r="M232">
        <v>2.1</v>
      </c>
      <c r="N232" t="s">
        <v>8</v>
      </c>
    </row>
    <row r="233" spans="1:14" x14ac:dyDescent="0.25">
      <c r="A233" t="s">
        <v>99</v>
      </c>
      <c r="B233" t="s">
        <v>97</v>
      </c>
      <c r="C233" t="s">
        <v>16</v>
      </c>
      <c r="D233" t="s">
        <v>22</v>
      </c>
      <c r="E233" t="s">
        <v>413</v>
      </c>
      <c r="F233">
        <v>1.36</v>
      </c>
      <c r="G233">
        <v>3.2</v>
      </c>
      <c r="H233" s="1" t="s">
        <v>10</v>
      </c>
      <c r="J233" t="s">
        <v>209</v>
      </c>
      <c r="K233" t="s">
        <v>208</v>
      </c>
      <c r="L233">
        <v>1.77</v>
      </c>
      <c r="M233">
        <v>2.1</v>
      </c>
      <c r="N233" t="s">
        <v>8</v>
      </c>
    </row>
    <row r="234" spans="1:14" x14ac:dyDescent="0.25">
      <c r="A234" t="s">
        <v>99</v>
      </c>
      <c r="B234" t="s">
        <v>97</v>
      </c>
      <c r="C234" t="s">
        <v>16</v>
      </c>
      <c r="D234" t="s">
        <v>18</v>
      </c>
      <c r="E234" t="s">
        <v>411</v>
      </c>
      <c r="F234">
        <v>1.32</v>
      </c>
      <c r="G234">
        <v>3.3</v>
      </c>
      <c r="H234" s="1" t="s">
        <v>10</v>
      </c>
      <c r="J234" t="s">
        <v>209</v>
      </c>
      <c r="K234" t="s">
        <v>208</v>
      </c>
      <c r="L234">
        <v>1.77</v>
      </c>
      <c r="M234">
        <v>2.1</v>
      </c>
      <c r="N234" t="s">
        <v>8</v>
      </c>
    </row>
    <row r="235" spans="1:14" x14ac:dyDescent="0.25">
      <c r="A235" t="s">
        <v>122</v>
      </c>
      <c r="B235" t="s">
        <v>97</v>
      </c>
      <c r="C235" t="s">
        <v>16</v>
      </c>
      <c r="D235" t="s">
        <v>24</v>
      </c>
      <c r="E235" t="s">
        <v>406</v>
      </c>
      <c r="F235">
        <v>1.32</v>
      </c>
      <c r="G235">
        <v>3.6</v>
      </c>
      <c r="H235" s="1" t="s">
        <v>10</v>
      </c>
      <c r="J235" t="s">
        <v>209</v>
      </c>
      <c r="K235" t="s">
        <v>208</v>
      </c>
      <c r="L235">
        <v>1.77</v>
      </c>
      <c r="M235">
        <v>2.1</v>
      </c>
      <c r="N235" t="s">
        <v>8</v>
      </c>
    </row>
    <row r="236" spans="1:14" x14ac:dyDescent="0.25">
      <c r="A236" t="s">
        <v>122</v>
      </c>
      <c r="B236" t="s">
        <v>97</v>
      </c>
      <c r="C236" t="s">
        <v>16</v>
      </c>
      <c r="D236" t="s">
        <v>26</v>
      </c>
      <c r="E236" t="s">
        <v>404</v>
      </c>
      <c r="F236">
        <v>1.32</v>
      </c>
      <c r="G236">
        <v>3.4</v>
      </c>
      <c r="H236" s="1" t="s">
        <v>10</v>
      </c>
      <c r="J236" t="s">
        <v>209</v>
      </c>
      <c r="K236" t="s">
        <v>208</v>
      </c>
      <c r="L236">
        <v>1.77</v>
      </c>
      <c r="M236">
        <v>2.1</v>
      </c>
      <c r="N236" t="s">
        <v>8</v>
      </c>
    </row>
    <row r="237" spans="1:14" x14ac:dyDescent="0.25">
      <c r="A237" t="s">
        <v>122</v>
      </c>
      <c r="B237" t="s">
        <v>97</v>
      </c>
      <c r="C237" t="s">
        <v>16</v>
      </c>
      <c r="D237" t="s">
        <v>21</v>
      </c>
      <c r="E237" t="s">
        <v>405</v>
      </c>
      <c r="F237">
        <v>1.32</v>
      </c>
      <c r="G237">
        <v>3.6</v>
      </c>
      <c r="H237" s="1" t="s">
        <v>10</v>
      </c>
      <c r="J237" t="s">
        <v>209</v>
      </c>
      <c r="K237" t="s">
        <v>208</v>
      </c>
      <c r="L237">
        <v>1.74</v>
      </c>
      <c r="M237">
        <v>2.1</v>
      </c>
      <c r="N237" t="s">
        <v>8</v>
      </c>
    </row>
    <row r="238" spans="1:14" x14ac:dyDescent="0.25">
      <c r="A238" t="s">
        <v>122</v>
      </c>
      <c r="B238" t="s">
        <v>97</v>
      </c>
      <c r="C238" t="s">
        <v>16</v>
      </c>
      <c r="D238" t="s">
        <v>27</v>
      </c>
      <c r="E238" t="s">
        <v>409</v>
      </c>
      <c r="F238">
        <v>1.34</v>
      </c>
      <c r="G238">
        <v>3.4</v>
      </c>
      <c r="H238" s="1" t="s">
        <v>10</v>
      </c>
      <c r="J238" t="s">
        <v>209</v>
      </c>
      <c r="K238" t="s">
        <v>208</v>
      </c>
      <c r="L238">
        <v>1.71</v>
      </c>
      <c r="M238">
        <v>2.2000000000000002</v>
      </c>
      <c r="N238" t="s">
        <v>8</v>
      </c>
    </row>
    <row r="239" spans="1:14" x14ac:dyDescent="0.25">
      <c r="A239" t="s">
        <v>122</v>
      </c>
      <c r="B239" t="s">
        <v>97</v>
      </c>
      <c r="C239" t="s">
        <v>16</v>
      </c>
      <c r="D239" t="s">
        <v>25</v>
      </c>
      <c r="E239" t="s">
        <v>409</v>
      </c>
      <c r="F239">
        <v>1.33</v>
      </c>
      <c r="G239">
        <v>3.4</v>
      </c>
      <c r="H239" s="1" t="s">
        <v>10</v>
      </c>
      <c r="J239" t="s">
        <v>210</v>
      </c>
      <c r="K239" t="s">
        <v>208</v>
      </c>
      <c r="L239">
        <v>1.05</v>
      </c>
      <c r="M239">
        <v>12</v>
      </c>
      <c r="N239" t="s">
        <v>8</v>
      </c>
    </row>
    <row r="240" spans="1:14" x14ac:dyDescent="0.25">
      <c r="A240" t="s">
        <v>122</v>
      </c>
      <c r="B240" t="s">
        <v>97</v>
      </c>
      <c r="C240" t="s">
        <v>16</v>
      </c>
      <c r="D240" t="s">
        <v>22</v>
      </c>
      <c r="E240" t="s">
        <v>413</v>
      </c>
      <c r="F240">
        <v>1.32</v>
      </c>
      <c r="G240">
        <v>3.35</v>
      </c>
      <c r="H240" s="1" t="s">
        <v>10</v>
      </c>
      <c r="J240" t="s">
        <v>210</v>
      </c>
      <c r="K240" t="s">
        <v>208</v>
      </c>
      <c r="L240">
        <v>1.02</v>
      </c>
      <c r="M240">
        <v>14</v>
      </c>
      <c r="N240" t="s">
        <v>8</v>
      </c>
    </row>
    <row r="241" spans="1:14" x14ac:dyDescent="0.25">
      <c r="A241" t="s">
        <v>122</v>
      </c>
      <c r="B241" t="s">
        <v>97</v>
      </c>
      <c r="C241" t="s">
        <v>16</v>
      </c>
      <c r="D241" t="s">
        <v>18</v>
      </c>
      <c r="E241" t="s">
        <v>411</v>
      </c>
      <c r="F241">
        <v>1.29</v>
      </c>
      <c r="G241">
        <v>3.5</v>
      </c>
      <c r="H241" s="1" t="s">
        <v>10</v>
      </c>
      <c r="J241" t="s">
        <v>210</v>
      </c>
      <c r="K241" t="s">
        <v>208</v>
      </c>
      <c r="L241">
        <v>1.02</v>
      </c>
      <c r="M241">
        <v>15.1</v>
      </c>
      <c r="N241" t="s">
        <v>8</v>
      </c>
    </row>
    <row r="242" spans="1:14" x14ac:dyDescent="0.25">
      <c r="A242" t="s">
        <v>122</v>
      </c>
      <c r="B242" t="s">
        <v>97</v>
      </c>
      <c r="C242" t="s">
        <v>16</v>
      </c>
      <c r="D242" t="s">
        <v>15</v>
      </c>
      <c r="E242" t="s">
        <v>408</v>
      </c>
      <c r="F242">
        <v>1.33</v>
      </c>
      <c r="G242">
        <v>3.3</v>
      </c>
      <c r="H242" s="1" t="s">
        <v>10</v>
      </c>
      <c r="J242" t="s">
        <v>210</v>
      </c>
      <c r="K242" t="s">
        <v>208</v>
      </c>
      <c r="L242">
        <v>1.03</v>
      </c>
      <c r="M242">
        <v>14.5</v>
      </c>
      <c r="N242" t="s">
        <v>8</v>
      </c>
    </row>
    <row r="243" spans="1:14" x14ac:dyDescent="0.25">
      <c r="A243" t="s">
        <v>122</v>
      </c>
      <c r="B243" t="s">
        <v>97</v>
      </c>
      <c r="C243" t="s">
        <v>16</v>
      </c>
      <c r="D243" t="s">
        <v>17</v>
      </c>
      <c r="E243" t="s">
        <v>407</v>
      </c>
      <c r="F243">
        <v>1.33</v>
      </c>
      <c r="G243">
        <v>3.3</v>
      </c>
      <c r="H243" s="1" t="s">
        <v>10</v>
      </c>
      <c r="J243" t="s">
        <v>210</v>
      </c>
      <c r="K243" t="s">
        <v>208</v>
      </c>
      <c r="L243">
        <v>1.02</v>
      </c>
      <c r="M243">
        <v>15</v>
      </c>
      <c r="N243" t="s">
        <v>8</v>
      </c>
    </row>
    <row r="244" spans="1:14" x14ac:dyDescent="0.25">
      <c r="A244" t="s">
        <v>123</v>
      </c>
      <c r="B244" t="s">
        <v>97</v>
      </c>
      <c r="C244" t="s">
        <v>16</v>
      </c>
      <c r="D244" t="s">
        <v>24</v>
      </c>
      <c r="E244" t="s">
        <v>406</v>
      </c>
      <c r="F244">
        <v>3.06</v>
      </c>
      <c r="G244">
        <v>1.42</v>
      </c>
      <c r="H244" s="1" t="s">
        <v>10</v>
      </c>
      <c r="J244" t="s">
        <v>210</v>
      </c>
      <c r="K244" t="s">
        <v>208</v>
      </c>
      <c r="L244">
        <v>1.02</v>
      </c>
      <c r="M244">
        <v>16</v>
      </c>
      <c r="N244" t="s">
        <v>8</v>
      </c>
    </row>
    <row r="245" spans="1:14" x14ac:dyDescent="0.25">
      <c r="A245" t="s">
        <v>123</v>
      </c>
      <c r="B245" t="s">
        <v>97</v>
      </c>
      <c r="C245" t="s">
        <v>16</v>
      </c>
      <c r="D245" t="s">
        <v>26</v>
      </c>
      <c r="E245" t="s">
        <v>404</v>
      </c>
      <c r="F245">
        <v>2.95</v>
      </c>
      <c r="G245">
        <v>1.42</v>
      </c>
      <c r="H245" s="1" t="s">
        <v>10</v>
      </c>
      <c r="J245" t="s">
        <v>210</v>
      </c>
      <c r="K245" t="s">
        <v>208</v>
      </c>
      <c r="L245">
        <v>1.02</v>
      </c>
      <c r="M245">
        <v>15</v>
      </c>
      <c r="N245" t="s">
        <v>8</v>
      </c>
    </row>
    <row r="246" spans="1:14" x14ac:dyDescent="0.25">
      <c r="A246" t="s">
        <v>123</v>
      </c>
      <c r="B246" t="s">
        <v>97</v>
      </c>
      <c r="C246" t="s">
        <v>16</v>
      </c>
      <c r="D246" t="s">
        <v>21</v>
      </c>
      <c r="E246" t="s">
        <v>405</v>
      </c>
      <c r="F246">
        <v>3.06</v>
      </c>
      <c r="G246">
        <v>1.42</v>
      </c>
      <c r="H246" s="1" t="s">
        <v>10</v>
      </c>
      <c r="J246" t="s">
        <v>210</v>
      </c>
      <c r="K246" t="s">
        <v>208</v>
      </c>
      <c r="L246">
        <v>1.02</v>
      </c>
      <c r="M246">
        <v>15</v>
      </c>
      <c r="N246" t="s">
        <v>8</v>
      </c>
    </row>
    <row r="247" spans="1:14" x14ac:dyDescent="0.25">
      <c r="A247" t="s">
        <v>123</v>
      </c>
      <c r="B247" t="s">
        <v>97</v>
      </c>
      <c r="C247" t="s">
        <v>16</v>
      </c>
      <c r="D247" t="s">
        <v>27</v>
      </c>
      <c r="E247" t="s">
        <v>409</v>
      </c>
      <c r="F247">
        <v>3</v>
      </c>
      <c r="G247">
        <v>1.41</v>
      </c>
      <c r="H247" s="1" t="s">
        <v>10</v>
      </c>
      <c r="J247" t="s">
        <v>210</v>
      </c>
      <c r="K247" t="s">
        <v>208</v>
      </c>
      <c r="L247">
        <v>1.02</v>
      </c>
      <c r="M247">
        <v>15</v>
      </c>
      <c r="N247" t="s">
        <v>8</v>
      </c>
    </row>
    <row r="248" spans="1:14" x14ac:dyDescent="0.25">
      <c r="A248" t="s">
        <v>123</v>
      </c>
      <c r="B248" t="s">
        <v>97</v>
      </c>
      <c r="C248" t="s">
        <v>16</v>
      </c>
      <c r="D248" t="s">
        <v>25</v>
      </c>
      <c r="E248" t="s">
        <v>409</v>
      </c>
      <c r="F248">
        <v>3.05</v>
      </c>
      <c r="G248">
        <v>1.4</v>
      </c>
      <c r="H248" s="1" t="s">
        <v>10</v>
      </c>
      <c r="J248" t="s">
        <v>210</v>
      </c>
      <c r="K248" t="s">
        <v>208</v>
      </c>
      <c r="L248">
        <v>1.02</v>
      </c>
      <c r="M248">
        <v>15</v>
      </c>
      <c r="N248" t="s">
        <v>8</v>
      </c>
    </row>
    <row r="249" spans="1:14" x14ac:dyDescent="0.25">
      <c r="A249" t="s">
        <v>123</v>
      </c>
      <c r="B249" t="s">
        <v>97</v>
      </c>
      <c r="C249" t="s">
        <v>16</v>
      </c>
      <c r="D249" t="s">
        <v>22</v>
      </c>
      <c r="E249" t="s">
        <v>413</v>
      </c>
      <c r="F249">
        <v>3</v>
      </c>
      <c r="G249">
        <v>1.4</v>
      </c>
      <c r="H249" s="1" t="s">
        <v>10</v>
      </c>
      <c r="J249" t="s">
        <v>210</v>
      </c>
      <c r="K249" t="s">
        <v>208</v>
      </c>
      <c r="L249">
        <v>1.02</v>
      </c>
      <c r="M249">
        <v>15.5</v>
      </c>
      <c r="N249" t="s">
        <v>8</v>
      </c>
    </row>
    <row r="250" spans="1:14" x14ac:dyDescent="0.25">
      <c r="A250" t="s">
        <v>123</v>
      </c>
      <c r="B250" t="s">
        <v>97</v>
      </c>
      <c r="C250" t="s">
        <v>16</v>
      </c>
      <c r="D250" t="s">
        <v>18</v>
      </c>
      <c r="E250" t="s">
        <v>411</v>
      </c>
      <c r="F250">
        <v>3</v>
      </c>
      <c r="G250">
        <v>1.38</v>
      </c>
      <c r="H250" s="1" t="s">
        <v>10</v>
      </c>
      <c r="J250" t="s">
        <v>210</v>
      </c>
      <c r="K250" t="s">
        <v>208</v>
      </c>
      <c r="L250">
        <v>1.02</v>
      </c>
      <c r="M250">
        <v>15</v>
      </c>
      <c r="N250" t="s">
        <v>8</v>
      </c>
    </row>
    <row r="251" spans="1:14" x14ac:dyDescent="0.25">
      <c r="A251" t="s">
        <v>123</v>
      </c>
      <c r="B251" t="s">
        <v>97</v>
      </c>
      <c r="C251" t="s">
        <v>16</v>
      </c>
      <c r="D251" t="s">
        <v>15</v>
      </c>
      <c r="E251" t="s">
        <v>408</v>
      </c>
      <c r="F251">
        <v>3</v>
      </c>
      <c r="G251">
        <v>1.4</v>
      </c>
      <c r="H251" s="1" t="s">
        <v>10</v>
      </c>
      <c r="J251" t="s">
        <v>210</v>
      </c>
      <c r="K251" t="s">
        <v>208</v>
      </c>
      <c r="L251">
        <v>1.04</v>
      </c>
      <c r="M251">
        <v>14</v>
      </c>
      <c r="N251" t="s">
        <v>8</v>
      </c>
    </row>
    <row r="252" spans="1:14" x14ac:dyDescent="0.25">
      <c r="A252" t="s">
        <v>123</v>
      </c>
      <c r="B252" t="s">
        <v>97</v>
      </c>
      <c r="C252" t="s">
        <v>16</v>
      </c>
      <c r="D252" t="s">
        <v>17</v>
      </c>
      <c r="E252" t="s">
        <v>407</v>
      </c>
      <c r="F252">
        <v>3</v>
      </c>
      <c r="G252">
        <v>1.4</v>
      </c>
      <c r="H252" s="1" t="s">
        <v>10</v>
      </c>
      <c r="J252" t="s">
        <v>210</v>
      </c>
      <c r="K252" t="s">
        <v>208</v>
      </c>
      <c r="L252">
        <v>1.03</v>
      </c>
      <c r="M252">
        <v>16</v>
      </c>
      <c r="N252" t="s">
        <v>8</v>
      </c>
    </row>
    <row r="253" spans="1:14" x14ac:dyDescent="0.25">
      <c r="A253" t="s">
        <v>273</v>
      </c>
      <c r="B253" t="s">
        <v>274</v>
      </c>
      <c r="C253" t="s">
        <v>16</v>
      </c>
      <c r="D253" t="s">
        <v>22</v>
      </c>
      <c r="E253" t="s">
        <v>413</v>
      </c>
      <c r="F253">
        <v>4.75</v>
      </c>
      <c r="G253">
        <v>1.18</v>
      </c>
      <c r="H253" s="1" t="s">
        <v>10</v>
      </c>
      <c r="J253" t="s">
        <v>211</v>
      </c>
      <c r="K253" t="s">
        <v>208</v>
      </c>
      <c r="L253">
        <v>3.85</v>
      </c>
      <c r="M253">
        <v>1.28</v>
      </c>
      <c r="N253" t="s">
        <v>8</v>
      </c>
    </row>
    <row r="254" spans="1:14" x14ac:dyDescent="0.25">
      <c r="A254" t="s">
        <v>273</v>
      </c>
      <c r="B254" t="s">
        <v>274</v>
      </c>
      <c r="C254" t="s">
        <v>16</v>
      </c>
      <c r="D254" t="s">
        <v>27</v>
      </c>
      <c r="E254" t="s">
        <v>409</v>
      </c>
      <c r="F254">
        <v>5</v>
      </c>
      <c r="G254">
        <v>1.19</v>
      </c>
      <c r="H254" s="1" t="s">
        <v>10</v>
      </c>
      <c r="J254" t="s">
        <v>211</v>
      </c>
      <c r="K254" t="s">
        <v>208</v>
      </c>
      <c r="L254">
        <v>3.85</v>
      </c>
      <c r="M254">
        <v>1.27</v>
      </c>
      <c r="N254" t="s">
        <v>8</v>
      </c>
    </row>
    <row r="255" spans="1:14" x14ac:dyDescent="0.25">
      <c r="A255" t="s">
        <v>273</v>
      </c>
      <c r="B255" t="s">
        <v>274</v>
      </c>
      <c r="C255" t="s">
        <v>16</v>
      </c>
      <c r="D255" t="s">
        <v>26</v>
      </c>
      <c r="E255" t="s">
        <v>404</v>
      </c>
      <c r="F255">
        <v>4.8499999999999996</v>
      </c>
      <c r="G255">
        <v>1.18</v>
      </c>
      <c r="H255" s="1" t="s">
        <v>10</v>
      </c>
      <c r="J255" t="s">
        <v>211</v>
      </c>
      <c r="K255" t="s">
        <v>208</v>
      </c>
      <c r="L255">
        <v>3.8</v>
      </c>
      <c r="M255">
        <v>1.28</v>
      </c>
      <c r="N255" t="s">
        <v>8</v>
      </c>
    </row>
    <row r="256" spans="1:14" x14ac:dyDescent="0.25">
      <c r="A256" t="s">
        <v>273</v>
      </c>
      <c r="B256" t="s">
        <v>274</v>
      </c>
      <c r="C256" t="s">
        <v>16</v>
      </c>
      <c r="D256" t="s">
        <v>18</v>
      </c>
      <c r="E256" t="s">
        <v>411</v>
      </c>
      <c r="F256">
        <v>5</v>
      </c>
      <c r="G256">
        <v>1.1599999999999999</v>
      </c>
      <c r="H256" s="1" t="s">
        <v>10</v>
      </c>
      <c r="J256" t="s">
        <v>211</v>
      </c>
      <c r="K256" t="s">
        <v>208</v>
      </c>
      <c r="L256">
        <v>3.78</v>
      </c>
      <c r="M256">
        <v>1.28</v>
      </c>
      <c r="N256" t="s">
        <v>8</v>
      </c>
    </row>
    <row r="257" spans="1:14" x14ac:dyDescent="0.25">
      <c r="A257" t="s">
        <v>273</v>
      </c>
      <c r="B257" t="s">
        <v>274</v>
      </c>
      <c r="C257" t="s">
        <v>16</v>
      </c>
      <c r="D257" t="s">
        <v>24</v>
      </c>
      <c r="E257" t="s">
        <v>406</v>
      </c>
      <c r="F257">
        <v>5.01</v>
      </c>
      <c r="G257">
        <v>1.18</v>
      </c>
      <c r="H257" s="1" t="s">
        <v>10</v>
      </c>
      <c r="J257" t="s">
        <v>211</v>
      </c>
      <c r="K257" t="s">
        <v>208</v>
      </c>
      <c r="L257">
        <v>4</v>
      </c>
      <c r="M257">
        <v>1.26</v>
      </c>
      <c r="N257" t="s">
        <v>8</v>
      </c>
    </row>
    <row r="258" spans="1:14" x14ac:dyDescent="0.25">
      <c r="A258" t="s">
        <v>273</v>
      </c>
      <c r="B258" t="s">
        <v>274</v>
      </c>
      <c r="C258" t="s">
        <v>16</v>
      </c>
      <c r="D258" t="s">
        <v>21</v>
      </c>
      <c r="E258" t="s">
        <v>405</v>
      </c>
      <c r="F258">
        <v>5.01</v>
      </c>
      <c r="G258">
        <v>1.18</v>
      </c>
      <c r="H258" s="1" t="s">
        <v>10</v>
      </c>
      <c r="J258" t="s">
        <v>211</v>
      </c>
      <c r="K258" t="s">
        <v>208</v>
      </c>
      <c r="L258">
        <v>3.55</v>
      </c>
      <c r="M258">
        <v>1.3</v>
      </c>
      <c r="N258" t="s">
        <v>8</v>
      </c>
    </row>
    <row r="259" spans="1:14" x14ac:dyDescent="0.25">
      <c r="A259" t="s">
        <v>273</v>
      </c>
      <c r="B259" t="s">
        <v>274</v>
      </c>
      <c r="C259" t="s">
        <v>16</v>
      </c>
      <c r="D259" t="s">
        <v>25</v>
      </c>
      <c r="E259" t="s">
        <v>409</v>
      </c>
      <c r="F259">
        <v>5</v>
      </c>
      <c r="G259">
        <v>1.18</v>
      </c>
      <c r="H259" s="1" t="s">
        <v>10</v>
      </c>
      <c r="J259" t="s">
        <v>211</v>
      </c>
      <c r="K259" t="s">
        <v>208</v>
      </c>
      <c r="L259">
        <v>3.9</v>
      </c>
      <c r="M259">
        <v>1.27</v>
      </c>
      <c r="N259" t="s">
        <v>8</v>
      </c>
    </row>
    <row r="260" spans="1:14" x14ac:dyDescent="0.25">
      <c r="A260" t="s">
        <v>273</v>
      </c>
      <c r="B260" t="s">
        <v>274</v>
      </c>
      <c r="C260" t="s">
        <v>16</v>
      </c>
      <c r="D260" t="s">
        <v>15</v>
      </c>
      <c r="E260" t="s">
        <v>408</v>
      </c>
      <c r="F260">
        <v>5</v>
      </c>
      <c r="G260">
        <v>1.18</v>
      </c>
      <c r="H260" s="1" t="s">
        <v>10</v>
      </c>
      <c r="J260" t="s">
        <v>211</v>
      </c>
      <c r="K260" t="s">
        <v>208</v>
      </c>
      <c r="L260">
        <v>3.55</v>
      </c>
      <c r="M260">
        <v>1.3</v>
      </c>
      <c r="N260" t="s">
        <v>8</v>
      </c>
    </row>
    <row r="261" spans="1:14" x14ac:dyDescent="0.25">
      <c r="A261" t="s">
        <v>273</v>
      </c>
      <c r="B261" t="s">
        <v>274</v>
      </c>
      <c r="C261" t="s">
        <v>16</v>
      </c>
      <c r="D261" t="s">
        <v>17</v>
      </c>
      <c r="E261" t="s">
        <v>407</v>
      </c>
      <c r="F261">
        <v>5</v>
      </c>
      <c r="G261">
        <v>1.18</v>
      </c>
      <c r="H261" s="1" t="s">
        <v>10</v>
      </c>
      <c r="J261" t="s">
        <v>211</v>
      </c>
      <c r="K261" t="s">
        <v>208</v>
      </c>
      <c r="L261">
        <v>3.8</v>
      </c>
      <c r="M261">
        <v>1.29</v>
      </c>
      <c r="N261" t="s">
        <v>8</v>
      </c>
    </row>
    <row r="262" spans="1:14" x14ac:dyDescent="0.25">
      <c r="A262" t="s">
        <v>420</v>
      </c>
      <c r="B262" t="s">
        <v>421</v>
      </c>
      <c r="C262" t="s">
        <v>16</v>
      </c>
      <c r="D262" t="s">
        <v>24</v>
      </c>
      <c r="E262" t="s">
        <v>406</v>
      </c>
      <c r="F262">
        <v>1.68</v>
      </c>
      <c r="G262">
        <v>2.27</v>
      </c>
      <c r="H262" s="1" t="s">
        <v>10</v>
      </c>
      <c r="J262" t="s">
        <v>211</v>
      </c>
      <c r="K262" t="s">
        <v>208</v>
      </c>
      <c r="L262">
        <v>3.75</v>
      </c>
      <c r="M262">
        <v>1.29</v>
      </c>
      <c r="N262" t="s">
        <v>8</v>
      </c>
    </row>
    <row r="263" spans="1:14" x14ac:dyDescent="0.25">
      <c r="A263" t="s">
        <v>420</v>
      </c>
      <c r="B263" t="s">
        <v>421</v>
      </c>
      <c r="C263" t="s">
        <v>16</v>
      </c>
      <c r="D263" t="s">
        <v>21</v>
      </c>
      <c r="E263" t="s">
        <v>405</v>
      </c>
      <c r="F263">
        <v>1.68</v>
      </c>
      <c r="G263">
        <v>2.27</v>
      </c>
      <c r="H263" s="1" t="s">
        <v>10</v>
      </c>
      <c r="J263" t="s">
        <v>211</v>
      </c>
      <c r="K263" t="s">
        <v>208</v>
      </c>
      <c r="L263">
        <v>3.8</v>
      </c>
      <c r="M263">
        <v>1.29</v>
      </c>
      <c r="N263" t="s">
        <v>8</v>
      </c>
    </row>
    <row r="264" spans="1:14" x14ac:dyDescent="0.25">
      <c r="A264" t="s">
        <v>420</v>
      </c>
      <c r="B264" t="s">
        <v>421</v>
      </c>
      <c r="C264" t="s">
        <v>16</v>
      </c>
      <c r="D264" t="s">
        <v>27</v>
      </c>
      <c r="E264" t="s">
        <v>409</v>
      </c>
      <c r="F264">
        <v>1.7</v>
      </c>
      <c r="G264">
        <v>2.2000000000000002</v>
      </c>
      <c r="H264" s="1" t="s">
        <v>10</v>
      </c>
      <c r="J264" t="s">
        <v>211</v>
      </c>
      <c r="K264" t="s">
        <v>208</v>
      </c>
      <c r="L264">
        <v>3.8</v>
      </c>
      <c r="M264">
        <v>1.29</v>
      </c>
      <c r="N264" t="s">
        <v>8</v>
      </c>
    </row>
    <row r="265" spans="1:14" x14ac:dyDescent="0.25">
      <c r="A265" t="s">
        <v>420</v>
      </c>
      <c r="B265" t="s">
        <v>421</v>
      </c>
      <c r="C265" t="s">
        <v>16</v>
      </c>
      <c r="D265" t="s">
        <v>18</v>
      </c>
      <c r="E265" t="s">
        <v>411</v>
      </c>
      <c r="F265">
        <v>1.68</v>
      </c>
      <c r="G265">
        <v>2.14</v>
      </c>
      <c r="H265" s="1" t="s">
        <v>10</v>
      </c>
      <c r="J265" t="s">
        <v>211</v>
      </c>
      <c r="K265" t="s">
        <v>208</v>
      </c>
      <c r="L265">
        <v>3.8</v>
      </c>
      <c r="M265">
        <v>1.29</v>
      </c>
      <c r="N265" t="s">
        <v>8</v>
      </c>
    </row>
    <row r="266" spans="1:14" x14ac:dyDescent="0.25">
      <c r="A266" t="s">
        <v>420</v>
      </c>
      <c r="B266" t="s">
        <v>421</v>
      </c>
      <c r="C266" t="s">
        <v>16</v>
      </c>
      <c r="D266" t="s">
        <v>22</v>
      </c>
      <c r="E266" t="s">
        <v>413</v>
      </c>
      <c r="F266">
        <v>1.69</v>
      </c>
      <c r="G266">
        <v>2.15</v>
      </c>
      <c r="H266" s="1" t="s">
        <v>10</v>
      </c>
      <c r="J266" t="s">
        <v>211</v>
      </c>
      <c r="K266" t="s">
        <v>208</v>
      </c>
      <c r="L266">
        <v>3.85</v>
      </c>
      <c r="M266">
        <v>1.28</v>
      </c>
      <c r="N266" t="s">
        <v>8</v>
      </c>
    </row>
    <row r="267" spans="1:14" x14ac:dyDescent="0.25">
      <c r="A267" t="s">
        <v>420</v>
      </c>
      <c r="B267" t="s">
        <v>421</v>
      </c>
      <c r="C267" t="s">
        <v>16</v>
      </c>
      <c r="D267" t="s">
        <v>26</v>
      </c>
      <c r="E267" t="s">
        <v>404</v>
      </c>
      <c r="F267">
        <v>1.69</v>
      </c>
      <c r="G267">
        <v>2.1</v>
      </c>
      <c r="H267" s="1" t="s">
        <v>10</v>
      </c>
      <c r="J267" t="s">
        <v>212</v>
      </c>
      <c r="K267" t="s">
        <v>208</v>
      </c>
      <c r="L267">
        <v>2.14</v>
      </c>
      <c r="M267">
        <v>1.74</v>
      </c>
      <c r="N267" t="s">
        <v>8</v>
      </c>
    </row>
    <row r="268" spans="1:14" x14ac:dyDescent="0.25">
      <c r="A268" t="s">
        <v>420</v>
      </c>
      <c r="B268" t="s">
        <v>421</v>
      </c>
      <c r="C268" t="s">
        <v>16</v>
      </c>
      <c r="D268" t="s">
        <v>25</v>
      </c>
      <c r="E268" t="s">
        <v>409</v>
      </c>
      <c r="F268">
        <v>1.69</v>
      </c>
      <c r="G268">
        <v>2.2200000000000002</v>
      </c>
      <c r="H268" s="1" t="s">
        <v>10</v>
      </c>
      <c r="J268" t="s">
        <v>212</v>
      </c>
      <c r="K268" t="s">
        <v>208</v>
      </c>
      <c r="L268">
        <v>2.1</v>
      </c>
      <c r="M268">
        <v>1.77</v>
      </c>
      <c r="N268" t="s">
        <v>8</v>
      </c>
    </row>
    <row r="269" spans="1:14" x14ac:dyDescent="0.25">
      <c r="A269" t="s">
        <v>422</v>
      </c>
      <c r="B269" t="s">
        <v>421</v>
      </c>
      <c r="C269" t="s">
        <v>16</v>
      </c>
      <c r="D269" t="s">
        <v>21</v>
      </c>
      <c r="E269" t="s">
        <v>405</v>
      </c>
      <c r="F269">
        <v>3.4</v>
      </c>
      <c r="G269">
        <v>1.36</v>
      </c>
      <c r="H269" s="1" t="s">
        <v>10</v>
      </c>
      <c r="J269" t="s">
        <v>212</v>
      </c>
      <c r="K269" t="s">
        <v>208</v>
      </c>
      <c r="L269">
        <v>2.1</v>
      </c>
      <c r="M269">
        <v>1.76</v>
      </c>
      <c r="N269" t="s">
        <v>8</v>
      </c>
    </row>
    <row r="270" spans="1:14" x14ac:dyDescent="0.25">
      <c r="A270" t="s">
        <v>422</v>
      </c>
      <c r="B270" t="s">
        <v>421</v>
      </c>
      <c r="C270" t="s">
        <v>16</v>
      </c>
      <c r="D270" t="s">
        <v>22</v>
      </c>
      <c r="E270" t="s">
        <v>413</v>
      </c>
      <c r="F270">
        <v>3.2</v>
      </c>
      <c r="G270">
        <v>1.36</v>
      </c>
      <c r="H270" s="1" t="s">
        <v>10</v>
      </c>
      <c r="J270" t="s">
        <v>212</v>
      </c>
      <c r="K270" t="s">
        <v>208</v>
      </c>
      <c r="L270">
        <v>2.1</v>
      </c>
      <c r="M270">
        <v>1.77</v>
      </c>
      <c r="N270" t="s">
        <v>8</v>
      </c>
    </row>
    <row r="271" spans="1:14" x14ac:dyDescent="0.25">
      <c r="A271" t="s">
        <v>422</v>
      </c>
      <c r="B271" t="s">
        <v>421</v>
      </c>
      <c r="C271" t="s">
        <v>16</v>
      </c>
      <c r="D271" t="s">
        <v>24</v>
      </c>
      <c r="E271" t="s">
        <v>406</v>
      </c>
      <c r="F271">
        <v>3.4</v>
      </c>
      <c r="G271">
        <v>1.36</v>
      </c>
      <c r="H271" s="1" t="s">
        <v>10</v>
      </c>
      <c r="J271" t="s">
        <v>212</v>
      </c>
      <c r="K271" t="s">
        <v>208</v>
      </c>
      <c r="L271">
        <v>2.14</v>
      </c>
      <c r="M271">
        <v>1.73</v>
      </c>
      <c r="N271" t="s">
        <v>8</v>
      </c>
    </row>
    <row r="272" spans="1:14" x14ac:dyDescent="0.25">
      <c r="A272" t="s">
        <v>422</v>
      </c>
      <c r="B272" t="s">
        <v>421</v>
      </c>
      <c r="C272" t="s">
        <v>16</v>
      </c>
      <c r="D272" t="s">
        <v>26</v>
      </c>
      <c r="E272" t="s">
        <v>404</v>
      </c>
      <c r="F272">
        <v>3.2</v>
      </c>
      <c r="G272">
        <v>1.36</v>
      </c>
      <c r="H272" s="1" t="s">
        <v>10</v>
      </c>
      <c r="J272" t="s">
        <v>212</v>
      </c>
      <c r="K272" t="s">
        <v>208</v>
      </c>
      <c r="L272">
        <v>2.1</v>
      </c>
      <c r="M272">
        <v>1.75</v>
      </c>
      <c r="N272" t="s">
        <v>8</v>
      </c>
    </row>
    <row r="273" spans="1:14" x14ac:dyDescent="0.25">
      <c r="A273" t="s">
        <v>422</v>
      </c>
      <c r="B273" t="s">
        <v>421</v>
      </c>
      <c r="C273" t="s">
        <v>16</v>
      </c>
      <c r="D273" t="s">
        <v>27</v>
      </c>
      <c r="E273" t="s">
        <v>409</v>
      </c>
      <c r="F273">
        <v>3.3</v>
      </c>
      <c r="G273">
        <v>1.35</v>
      </c>
      <c r="H273" s="1" t="s">
        <v>10</v>
      </c>
      <c r="J273" t="s">
        <v>212</v>
      </c>
      <c r="K273" t="s">
        <v>208</v>
      </c>
      <c r="L273">
        <v>2.1</v>
      </c>
      <c r="M273">
        <v>1.74</v>
      </c>
      <c r="N273" t="s">
        <v>8</v>
      </c>
    </row>
    <row r="274" spans="1:14" x14ac:dyDescent="0.25">
      <c r="A274" t="s">
        <v>422</v>
      </c>
      <c r="B274" t="s">
        <v>421</v>
      </c>
      <c r="C274" t="s">
        <v>16</v>
      </c>
      <c r="D274" t="s">
        <v>25</v>
      </c>
      <c r="E274" t="s">
        <v>409</v>
      </c>
      <c r="F274">
        <v>3.3</v>
      </c>
      <c r="G274">
        <v>1.36</v>
      </c>
      <c r="H274" s="1" t="s">
        <v>10</v>
      </c>
      <c r="J274" t="s">
        <v>212</v>
      </c>
      <c r="K274" t="s">
        <v>208</v>
      </c>
      <c r="L274">
        <v>2.1</v>
      </c>
      <c r="M274">
        <v>1.75</v>
      </c>
      <c r="N274" t="s">
        <v>8</v>
      </c>
    </row>
    <row r="275" spans="1:14" x14ac:dyDescent="0.25">
      <c r="A275" t="s">
        <v>423</v>
      </c>
      <c r="B275" t="s">
        <v>424</v>
      </c>
      <c r="C275" t="s">
        <v>16</v>
      </c>
      <c r="D275" t="s">
        <v>24</v>
      </c>
      <c r="E275" t="s">
        <v>406</v>
      </c>
      <c r="F275">
        <v>2.0499999999999998</v>
      </c>
      <c r="G275">
        <v>1.8</v>
      </c>
      <c r="H275" s="1" t="s">
        <v>10</v>
      </c>
      <c r="J275" t="s">
        <v>212</v>
      </c>
      <c r="K275" t="s">
        <v>208</v>
      </c>
      <c r="L275">
        <v>2.1</v>
      </c>
      <c r="M275">
        <v>1.77</v>
      </c>
      <c r="N275" t="s">
        <v>8</v>
      </c>
    </row>
    <row r="276" spans="1:14" x14ac:dyDescent="0.25">
      <c r="A276" t="s">
        <v>423</v>
      </c>
      <c r="B276" t="s">
        <v>424</v>
      </c>
      <c r="C276" t="s">
        <v>16</v>
      </c>
      <c r="D276" t="s">
        <v>21</v>
      </c>
      <c r="E276" t="s">
        <v>405</v>
      </c>
      <c r="F276">
        <v>2.0499999999999998</v>
      </c>
      <c r="G276">
        <v>1.8</v>
      </c>
      <c r="H276" s="1" t="s">
        <v>10</v>
      </c>
      <c r="J276" t="s">
        <v>212</v>
      </c>
      <c r="K276" t="s">
        <v>208</v>
      </c>
      <c r="L276">
        <v>2.1</v>
      </c>
      <c r="M276">
        <v>1.77</v>
      </c>
      <c r="N276" t="s">
        <v>8</v>
      </c>
    </row>
    <row r="277" spans="1:14" x14ac:dyDescent="0.25">
      <c r="A277" t="s">
        <v>423</v>
      </c>
      <c r="B277" t="s">
        <v>424</v>
      </c>
      <c r="C277" t="s">
        <v>16</v>
      </c>
      <c r="D277" t="s">
        <v>27</v>
      </c>
      <c r="E277" t="s">
        <v>409</v>
      </c>
      <c r="F277">
        <v>2.02</v>
      </c>
      <c r="G277">
        <v>1.82</v>
      </c>
      <c r="H277" s="1" t="s">
        <v>10</v>
      </c>
      <c r="J277" t="s">
        <v>212</v>
      </c>
      <c r="K277" t="s">
        <v>208</v>
      </c>
      <c r="L277">
        <v>2.1</v>
      </c>
      <c r="M277">
        <v>1.77</v>
      </c>
      <c r="N277" t="s">
        <v>8</v>
      </c>
    </row>
    <row r="278" spans="1:14" x14ac:dyDescent="0.25">
      <c r="A278" t="s">
        <v>423</v>
      </c>
      <c r="B278" t="s">
        <v>424</v>
      </c>
      <c r="C278" t="s">
        <v>16</v>
      </c>
      <c r="D278" t="s">
        <v>26</v>
      </c>
      <c r="E278" t="s">
        <v>404</v>
      </c>
      <c r="F278">
        <v>1.95</v>
      </c>
      <c r="G278">
        <v>1.8</v>
      </c>
      <c r="H278" s="1" t="s">
        <v>10</v>
      </c>
      <c r="J278" t="s">
        <v>212</v>
      </c>
      <c r="K278" t="s">
        <v>208</v>
      </c>
      <c r="L278">
        <v>2.1</v>
      </c>
      <c r="M278">
        <v>1.77</v>
      </c>
      <c r="N278" t="s">
        <v>8</v>
      </c>
    </row>
    <row r="279" spans="1:14" x14ac:dyDescent="0.25">
      <c r="A279" t="s">
        <v>423</v>
      </c>
      <c r="B279" t="s">
        <v>424</v>
      </c>
      <c r="C279" t="s">
        <v>16</v>
      </c>
      <c r="D279" t="s">
        <v>18</v>
      </c>
      <c r="E279" t="s">
        <v>411</v>
      </c>
      <c r="F279">
        <v>2</v>
      </c>
      <c r="G279">
        <v>1.78</v>
      </c>
      <c r="H279" s="1" t="s">
        <v>10</v>
      </c>
      <c r="J279" t="s">
        <v>212</v>
      </c>
      <c r="K279" t="s">
        <v>208</v>
      </c>
      <c r="L279">
        <v>2.1</v>
      </c>
      <c r="M279">
        <v>1.77</v>
      </c>
      <c r="N279" t="s">
        <v>8</v>
      </c>
    </row>
    <row r="280" spans="1:14" x14ac:dyDescent="0.25">
      <c r="A280" t="s">
        <v>423</v>
      </c>
      <c r="B280" t="s">
        <v>424</v>
      </c>
      <c r="C280" t="s">
        <v>16</v>
      </c>
      <c r="D280" t="s">
        <v>25</v>
      </c>
      <c r="E280" t="s">
        <v>409</v>
      </c>
      <c r="F280">
        <v>2.0499999999999998</v>
      </c>
      <c r="G280">
        <v>1.8</v>
      </c>
      <c r="H280" s="1" t="s">
        <v>10</v>
      </c>
      <c r="J280" t="s">
        <v>213</v>
      </c>
      <c r="K280" t="s">
        <v>208</v>
      </c>
      <c r="L280">
        <v>1.06</v>
      </c>
      <c r="M280">
        <v>10</v>
      </c>
      <c r="N280" t="s">
        <v>8</v>
      </c>
    </row>
    <row r="281" spans="1:14" x14ac:dyDescent="0.25">
      <c r="A281" t="s">
        <v>425</v>
      </c>
      <c r="B281" t="s">
        <v>426</v>
      </c>
      <c r="C281" t="s">
        <v>16</v>
      </c>
      <c r="D281" t="s">
        <v>26</v>
      </c>
      <c r="E281" t="s">
        <v>404</v>
      </c>
      <c r="F281">
        <v>2.4</v>
      </c>
      <c r="G281">
        <v>1.54</v>
      </c>
      <c r="H281" s="1" t="s">
        <v>10</v>
      </c>
      <c r="J281" t="s">
        <v>213</v>
      </c>
      <c r="K281" t="s">
        <v>208</v>
      </c>
      <c r="L281">
        <v>1.06</v>
      </c>
      <c r="M281">
        <v>9.5</v>
      </c>
      <c r="N281" t="s">
        <v>8</v>
      </c>
    </row>
    <row r="282" spans="1:14" x14ac:dyDescent="0.25">
      <c r="A282" t="s">
        <v>425</v>
      </c>
      <c r="B282" t="s">
        <v>426</v>
      </c>
      <c r="C282" t="s">
        <v>16</v>
      </c>
      <c r="D282" t="s">
        <v>27</v>
      </c>
      <c r="E282" t="s">
        <v>409</v>
      </c>
      <c r="F282">
        <v>2.5</v>
      </c>
      <c r="G282">
        <v>1.56</v>
      </c>
      <c r="H282" s="1" t="s">
        <v>10</v>
      </c>
      <c r="J282" t="s">
        <v>213</v>
      </c>
      <c r="K282" t="s">
        <v>208</v>
      </c>
      <c r="L282">
        <v>1.06</v>
      </c>
      <c r="M282">
        <v>10.5</v>
      </c>
      <c r="N282" t="s">
        <v>8</v>
      </c>
    </row>
    <row r="283" spans="1:14" x14ac:dyDescent="0.25">
      <c r="A283" t="s">
        <v>425</v>
      </c>
      <c r="B283" t="s">
        <v>426</v>
      </c>
      <c r="C283" t="s">
        <v>16</v>
      </c>
      <c r="D283" t="s">
        <v>24</v>
      </c>
      <c r="E283" t="s">
        <v>406</v>
      </c>
      <c r="F283">
        <v>2.65</v>
      </c>
      <c r="G283">
        <v>1.53</v>
      </c>
      <c r="H283" s="1" t="s">
        <v>10</v>
      </c>
      <c r="J283" t="s">
        <v>213</v>
      </c>
      <c r="K283" t="s">
        <v>208</v>
      </c>
      <c r="L283">
        <v>1.06</v>
      </c>
      <c r="M283">
        <v>10.199999999999999</v>
      </c>
      <c r="N283" t="s">
        <v>8</v>
      </c>
    </row>
    <row r="284" spans="1:14" x14ac:dyDescent="0.25">
      <c r="A284" t="s">
        <v>425</v>
      </c>
      <c r="B284" t="s">
        <v>426</v>
      </c>
      <c r="C284" t="s">
        <v>16</v>
      </c>
      <c r="D284" t="s">
        <v>21</v>
      </c>
      <c r="E284" t="s">
        <v>405</v>
      </c>
      <c r="F284">
        <v>2.65</v>
      </c>
      <c r="G284">
        <v>1.53</v>
      </c>
      <c r="H284" s="1" t="s">
        <v>10</v>
      </c>
      <c r="J284" t="s">
        <v>213</v>
      </c>
      <c r="K284" t="s">
        <v>208</v>
      </c>
      <c r="L284">
        <v>1.05</v>
      </c>
      <c r="M284">
        <v>11</v>
      </c>
      <c r="N284" t="s">
        <v>8</v>
      </c>
    </row>
    <row r="285" spans="1:14" x14ac:dyDescent="0.25">
      <c r="A285" t="s">
        <v>425</v>
      </c>
      <c r="B285" t="s">
        <v>426</v>
      </c>
      <c r="C285" t="s">
        <v>16</v>
      </c>
      <c r="D285" t="s">
        <v>18</v>
      </c>
      <c r="E285" t="s">
        <v>411</v>
      </c>
      <c r="F285">
        <v>2.42</v>
      </c>
      <c r="G285">
        <v>1.54</v>
      </c>
      <c r="H285" s="1" t="s">
        <v>10</v>
      </c>
      <c r="J285" t="s">
        <v>213</v>
      </c>
      <c r="K285" t="s">
        <v>208</v>
      </c>
      <c r="L285">
        <v>1.05</v>
      </c>
      <c r="M285">
        <v>11</v>
      </c>
      <c r="N285" t="s">
        <v>8</v>
      </c>
    </row>
    <row r="286" spans="1:14" x14ac:dyDescent="0.25">
      <c r="A286" t="s">
        <v>425</v>
      </c>
      <c r="B286" t="s">
        <v>426</v>
      </c>
      <c r="C286" t="s">
        <v>16</v>
      </c>
      <c r="D286" t="s">
        <v>22</v>
      </c>
      <c r="E286" t="s">
        <v>413</v>
      </c>
      <c r="F286">
        <v>2.6</v>
      </c>
      <c r="G286">
        <v>1.53</v>
      </c>
      <c r="H286" s="1" t="s">
        <v>10</v>
      </c>
      <c r="J286" t="s">
        <v>213</v>
      </c>
      <c r="K286" t="s">
        <v>208</v>
      </c>
      <c r="L286">
        <v>1.02</v>
      </c>
      <c r="M286">
        <v>14</v>
      </c>
      <c r="N286" t="s">
        <v>8</v>
      </c>
    </row>
    <row r="287" spans="1:14" x14ac:dyDescent="0.25">
      <c r="A287" t="s">
        <v>425</v>
      </c>
      <c r="B287" t="s">
        <v>426</v>
      </c>
      <c r="C287" t="s">
        <v>16</v>
      </c>
      <c r="D287" t="s">
        <v>25</v>
      </c>
      <c r="E287" t="s">
        <v>409</v>
      </c>
      <c r="F287">
        <v>2.6</v>
      </c>
      <c r="G287">
        <v>1.53</v>
      </c>
      <c r="H287" s="1" t="s">
        <v>10</v>
      </c>
      <c r="J287" t="s">
        <v>213</v>
      </c>
      <c r="K287" t="s">
        <v>208</v>
      </c>
      <c r="L287">
        <v>1.02</v>
      </c>
      <c r="M287">
        <v>14</v>
      </c>
      <c r="N287" t="s">
        <v>8</v>
      </c>
    </row>
    <row r="288" spans="1:14" x14ac:dyDescent="0.25">
      <c r="A288" t="s">
        <v>427</v>
      </c>
      <c r="B288" t="s">
        <v>428</v>
      </c>
      <c r="C288" t="s">
        <v>16</v>
      </c>
      <c r="D288" t="s">
        <v>24</v>
      </c>
      <c r="E288" t="s">
        <v>406</v>
      </c>
      <c r="F288">
        <v>2.2599999999999998</v>
      </c>
      <c r="G288">
        <v>1.68</v>
      </c>
      <c r="H288" s="1" t="s">
        <v>10</v>
      </c>
      <c r="J288" t="s">
        <v>213</v>
      </c>
      <c r="K288" t="s">
        <v>208</v>
      </c>
      <c r="L288">
        <v>1.05</v>
      </c>
      <c r="M288">
        <v>11</v>
      </c>
      <c r="N288" t="s">
        <v>8</v>
      </c>
    </row>
    <row r="289" spans="1:14" x14ac:dyDescent="0.25">
      <c r="A289" t="s">
        <v>427</v>
      </c>
      <c r="B289" t="s">
        <v>428</v>
      </c>
      <c r="C289" t="s">
        <v>16</v>
      </c>
      <c r="D289" t="s">
        <v>21</v>
      </c>
      <c r="E289" t="s">
        <v>405</v>
      </c>
      <c r="F289">
        <v>2.2599999999999998</v>
      </c>
      <c r="G289">
        <v>1.69</v>
      </c>
      <c r="H289" s="1" t="s">
        <v>10</v>
      </c>
      <c r="J289" t="s">
        <v>213</v>
      </c>
      <c r="K289" t="s">
        <v>208</v>
      </c>
      <c r="L289">
        <v>1.05</v>
      </c>
      <c r="M289">
        <v>11</v>
      </c>
      <c r="N289" t="s">
        <v>8</v>
      </c>
    </row>
    <row r="290" spans="1:14" x14ac:dyDescent="0.25">
      <c r="A290" t="s">
        <v>427</v>
      </c>
      <c r="B290" t="s">
        <v>428</v>
      </c>
      <c r="C290" t="s">
        <v>16</v>
      </c>
      <c r="D290" t="s">
        <v>27</v>
      </c>
      <c r="E290" t="s">
        <v>409</v>
      </c>
      <c r="F290">
        <v>2.2999999999999998</v>
      </c>
      <c r="G290">
        <v>1.65</v>
      </c>
      <c r="H290" s="1" t="s">
        <v>10</v>
      </c>
      <c r="J290" t="s">
        <v>213</v>
      </c>
      <c r="K290" t="s">
        <v>208</v>
      </c>
      <c r="L290">
        <v>1.06</v>
      </c>
      <c r="M290">
        <v>10.199999999999999</v>
      </c>
      <c r="N290" t="s">
        <v>8</v>
      </c>
    </row>
    <row r="291" spans="1:14" x14ac:dyDescent="0.25">
      <c r="A291" t="s">
        <v>427</v>
      </c>
      <c r="B291" t="s">
        <v>428</v>
      </c>
      <c r="C291" t="s">
        <v>16</v>
      </c>
      <c r="D291" t="s">
        <v>26</v>
      </c>
      <c r="E291" t="s">
        <v>404</v>
      </c>
      <c r="F291">
        <v>2.2400000000000002</v>
      </c>
      <c r="G291">
        <v>1.65</v>
      </c>
      <c r="H291" s="1" t="s">
        <v>10</v>
      </c>
      <c r="J291" t="s">
        <v>213</v>
      </c>
      <c r="K291" t="s">
        <v>208</v>
      </c>
      <c r="L291">
        <v>1.05</v>
      </c>
      <c r="M291">
        <v>11</v>
      </c>
      <c r="N291" t="s">
        <v>8</v>
      </c>
    </row>
    <row r="292" spans="1:14" x14ac:dyDescent="0.25">
      <c r="A292" t="s">
        <v>427</v>
      </c>
      <c r="B292" t="s">
        <v>428</v>
      </c>
      <c r="C292" t="s">
        <v>16</v>
      </c>
      <c r="D292" t="s">
        <v>18</v>
      </c>
      <c r="E292" t="s">
        <v>411</v>
      </c>
      <c r="F292">
        <v>2.2400000000000002</v>
      </c>
      <c r="G292">
        <v>1.63</v>
      </c>
      <c r="H292" s="1" t="s">
        <v>10</v>
      </c>
      <c r="J292" t="s">
        <v>213</v>
      </c>
      <c r="K292" t="s">
        <v>208</v>
      </c>
      <c r="L292">
        <v>1.05</v>
      </c>
      <c r="M292">
        <v>12</v>
      </c>
      <c r="N292" t="s">
        <v>8</v>
      </c>
    </row>
    <row r="293" spans="1:14" x14ac:dyDescent="0.25">
      <c r="A293" t="s">
        <v>427</v>
      </c>
      <c r="B293" t="s">
        <v>428</v>
      </c>
      <c r="C293" t="s">
        <v>16</v>
      </c>
      <c r="D293" t="s">
        <v>22</v>
      </c>
      <c r="E293" t="s">
        <v>413</v>
      </c>
      <c r="F293">
        <v>2.15</v>
      </c>
      <c r="G293">
        <v>1.69</v>
      </c>
      <c r="H293" s="1" t="s">
        <v>10</v>
      </c>
      <c r="J293" t="s">
        <v>213</v>
      </c>
      <c r="K293" t="s">
        <v>208</v>
      </c>
      <c r="L293">
        <v>1.07</v>
      </c>
      <c r="M293">
        <v>10</v>
      </c>
      <c r="N293" t="s">
        <v>8</v>
      </c>
    </row>
    <row r="294" spans="1:14" x14ac:dyDescent="0.25">
      <c r="A294" t="s">
        <v>427</v>
      </c>
      <c r="B294" t="s">
        <v>428</v>
      </c>
      <c r="C294" t="s">
        <v>16</v>
      </c>
      <c r="D294" t="s">
        <v>25</v>
      </c>
      <c r="E294" t="s">
        <v>409</v>
      </c>
      <c r="F294">
        <v>2.2200000000000002</v>
      </c>
      <c r="G294">
        <v>1.69</v>
      </c>
      <c r="H294" s="1" t="s">
        <v>10</v>
      </c>
      <c r="J294" t="s">
        <v>223</v>
      </c>
      <c r="K294" t="s">
        <v>215</v>
      </c>
      <c r="L294">
        <v>9.5</v>
      </c>
      <c r="M294">
        <v>1.07</v>
      </c>
      <c r="N294" t="s">
        <v>8</v>
      </c>
    </row>
    <row r="295" spans="1:14" x14ac:dyDescent="0.25">
      <c r="A295" t="s">
        <v>429</v>
      </c>
      <c r="B295" t="s">
        <v>430</v>
      </c>
      <c r="C295" t="s">
        <v>16</v>
      </c>
      <c r="D295" t="s">
        <v>24</v>
      </c>
      <c r="E295" t="s">
        <v>406</v>
      </c>
      <c r="F295">
        <v>1.57</v>
      </c>
      <c r="G295">
        <v>2.5099999999999998</v>
      </c>
      <c r="H295" s="1" t="s">
        <v>10</v>
      </c>
      <c r="J295" t="s">
        <v>223</v>
      </c>
      <c r="K295" t="s">
        <v>215</v>
      </c>
      <c r="L295">
        <v>10.199999999999999</v>
      </c>
      <c r="M295">
        <v>1.06</v>
      </c>
      <c r="N295" t="s">
        <v>8</v>
      </c>
    </row>
    <row r="296" spans="1:14" x14ac:dyDescent="0.25">
      <c r="A296" t="s">
        <v>429</v>
      </c>
      <c r="B296" t="s">
        <v>430</v>
      </c>
      <c r="C296" t="s">
        <v>16</v>
      </c>
      <c r="D296" t="s">
        <v>21</v>
      </c>
      <c r="E296" t="s">
        <v>405</v>
      </c>
      <c r="F296">
        <v>1.57</v>
      </c>
      <c r="G296">
        <v>2.5099999999999998</v>
      </c>
      <c r="H296" s="1" t="s">
        <v>10</v>
      </c>
      <c r="J296" t="s">
        <v>223</v>
      </c>
      <c r="K296" t="s">
        <v>215</v>
      </c>
      <c r="L296">
        <v>9</v>
      </c>
      <c r="M296">
        <v>1.06</v>
      </c>
      <c r="N296" t="s">
        <v>8</v>
      </c>
    </row>
    <row r="297" spans="1:14" x14ac:dyDescent="0.25">
      <c r="A297" t="s">
        <v>429</v>
      </c>
      <c r="B297" t="s">
        <v>430</v>
      </c>
      <c r="C297" t="s">
        <v>16</v>
      </c>
      <c r="D297" t="s">
        <v>27</v>
      </c>
      <c r="E297" t="s">
        <v>409</v>
      </c>
      <c r="F297">
        <v>1.56</v>
      </c>
      <c r="G297">
        <v>2.5</v>
      </c>
      <c r="H297" s="1" t="s">
        <v>10</v>
      </c>
      <c r="J297" t="s">
        <v>223</v>
      </c>
      <c r="K297" t="s">
        <v>215</v>
      </c>
      <c r="L297">
        <v>10</v>
      </c>
      <c r="M297">
        <v>1.06</v>
      </c>
      <c r="N297" t="s">
        <v>8</v>
      </c>
    </row>
    <row r="298" spans="1:14" x14ac:dyDescent="0.25">
      <c r="A298" t="s">
        <v>429</v>
      </c>
      <c r="B298" t="s">
        <v>430</v>
      </c>
      <c r="C298" t="s">
        <v>16</v>
      </c>
      <c r="D298" t="s">
        <v>26</v>
      </c>
      <c r="E298" t="s">
        <v>404</v>
      </c>
      <c r="F298">
        <v>1.57</v>
      </c>
      <c r="G298">
        <v>2.42</v>
      </c>
      <c r="H298" s="1" t="s">
        <v>10</v>
      </c>
      <c r="J298" t="s">
        <v>223</v>
      </c>
      <c r="K298" t="s">
        <v>215</v>
      </c>
      <c r="L298">
        <v>10</v>
      </c>
      <c r="M298">
        <v>1.06</v>
      </c>
      <c r="N298" t="s">
        <v>8</v>
      </c>
    </row>
    <row r="299" spans="1:14" x14ac:dyDescent="0.25">
      <c r="A299" t="s">
        <v>429</v>
      </c>
      <c r="B299" t="s">
        <v>430</v>
      </c>
      <c r="C299" t="s">
        <v>16</v>
      </c>
      <c r="D299" t="s">
        <v>18</v>
      </c>
      <c r="E299" t="s">
        <v>411</v>
      </c>
      <c r="F299">
        <v>1.53</v>
      </c>
      <c r="G299">
        <v>2.46</v>
      </c>
      <c r="H299" s="1" t="s">
        <v>10</v>
      </c>
      <c r="J299" t="s">
        <v>223</v>
      </c>
      <c r="K299" t="s">
        <v>215</v>
      </c>
      <c r="L299">
        <v>9.5</v>
      </c>
      <c r="M299">
        <v>1.06</v>
      </c>
      <c r="N299" t="s">
        <v>8</v>
      </c>
    </row>
    <row r="300" spans="1:14" x14ac:dyDescent="0.25">
      <c r="A300" t="s">
        <v>429</v>
      </c>
      <c r="B300" t="s">
        <v>430</v>
      </c>
      <c r="C300" t="s">
        <v>16</v>
      </c>
      <c r="D300" t="s">
        <v>22</v>
      </c>
      <c r="E300" t="s">
        <v>413</v>
      </c>
      <c r="F300">
        <v>1.57</v>
      </c>
      <c r="G300">
        <v>2.4500000000000002</v>
      </c>
      <c r="H300" s="1" t="s">
        <v>10</v>
      </c>
      <c r="J300" t="s">
        <v>223</v>
      </c>
      <c r="K300" t="s">
        <v>215</v>
      </c>
      <c r="L300">
        <v>9.5</v>
      </c>
      <c r="M300">
        <v>1.06</v>
      </c>
      <c r="N300" t="s">
        <v>8</v>
      </c>
    </row>
    <row r="301" spans="1:14" x14ac:dyDescent="0.25">
      <c r="A301" t="s">
        <v>429</v>
      </c>
      <c r="B301" t="s">
        <v>430</v>
      </c>
      <c r="C301" t="s">
        <v>16</v>
      </c>
      <c r="D301" t="s">
        <v>25</v>
      </c>
      <c r="E301" t="s">
        <v>409</v>
      </c>
      <c r="F301">
        <v>1.57</v>
      </c>
      <c r="G301">
        <v>2.5</v>
      </c>
      <c r="H301" s="1" t="s">
        <v>10</v>
      </c>
      <c r="J301" t="s">
        <v>223</v>
      </c>
      <c r="K301" t="s">
        <v>215</v>
      </c>
      <c r="L301">
        <v>9.6999999999999993</v>
      </c>
      <c r="M301">
        <v>1.07</v>
      </c>
      <c r="N301" t="s">
        <v>8</v>
      </c>
    </row>
    <row r="302" spans="1:14" x14ac:dyDescent="0.25">
      <c r="A302" t="s">
        <v>39</v>
      </c>
      <c r="B302" t="s">
        <v>37</v>
      </c>
      <c r="C302" t="s">
        <v>16</v>
      </c>
      <c r="D302" t="s">
        <v>21</v>
      </c>
      <c r="E302" t="s">
        <v>405</v>
      </c>
      <c r="F302">
        <v>1.18</v>
      </c>
      <c r="G302">
        <v>4.8499999999999996</v>
      </c>
      <c r="H302" s="1" t="s">
        <v>10</v>
      </c>
      <c r="J302" t="s">
        <v>223</v>
      </c>
      <c r="K302" t="s">
        <v>215</v>
      </c>
      <c r="L302">
        <v>10.25</v>
      </c>
      <c r="M302">
        <v>1.06</v>
      </c>
      <c r="N302" t="s">
        <v>8</v>
      </c>
    </row>
    <row r="303" spans="1:14" x14ac:dyDescent="0.25">
      <c r="A303" t="s">
        <v>39</v>
      </c>
      <c r="B303" t="s">
        <v>37</v>
      </c>
      <c r="C303" t="s">
        <v>16</v>
      </c>
      <c r="D303" t="s">
        <v>24</v>
      </c>
      <c r="E303" t="s">
        <v>406</v>
      </c>
      <c r="F303">
        <v>1.18</v>
      </c>
      <c r="G303">
        <v>4.8499999999999996</v>
      </c>
      <c r="H303" s="1" t="s">
        <v>10</v>
      </c>
      <c r="J303" t="s">
        <v>223</v>
      </c>
      <c r="K303" t="s">
        <v>215</v>
      </c>
      <c r="L303">
        <v>11</v>
      </c>
      <c r="M303">
        <v>1.05</v>
      </c>
      <c r="N303" t="s">
        <v>8</v>
      </c>
    </row>
    <row r="304" spans="1:14" x14ac:dyDescent="0.25">
      <c r="A304" t="s">
        <v>39</v>
      </c>
      <c r="B304" t="s">
        <v>37</v>
      </c>
      <c r="C304" t="s">
        <v>16</v>
      </c>
      <c r="D304" t="s">
        <v>18</v>
      </c>
      <c r="E304" t="s">
        <v>411</v>
      </c>
      <c r="F304">
        <v>1.19</v>
      </c>
      <c r="G304">
        <v>4.5</v>
      </c>
      <c r="H304" s="1" t="s">
        <v>10</v>
      </c>
      <c r="J304" t="s">
        <v>223</v>
      </c>
      <c r="K304" t="s">
        <v>215</v>
      </c>
      <c r="L304">
        <v>9.6999999999999993</v>
      </c>
      <c r="M304">
        <v>1.07</v>
      </c>
      <c r="N304" t="s">
        <v>8</v>
      </c>
    </row>
    <row r="305" spans="1:14" x14ac:dyDescent="0.25">
      <c r="A305" t="s">
        <v>39</v>
      </c>
      <c r="B305" t="s">
        <v>37</v>
      </c>
      <c r="C305" t="s">
        <v>16</v>
      </c>
      <c r="D305" t="s">
        <v>27</v>
      </c>
      <c r="E305" t="s">
        <v>409</v>
      </c>
      <c r="F305">
        <v>1.2</v>
      </c>
      <c r="G305">
        <v>4.8</v>
      </c>
      <c r="H305" s="1" t="s">
        <v>10</v>
      </c>
      <c r="J305" t="s">
        <v>223</v>
      </c>
      <c r="K305" t="s">
        <v>215</v>
      </c>
      <c r="L305">
        <v>9</v>
      </c>
      <c r="M305">
        <v>1.07</v>
      </c>
      <c r="N305" t="s">
        <v>8</v>
      </c>
    </row>
    <row r="306" spans="1:14" x14ac:dyDescent="0.25">
      <c r="A306" t="s">
        <v>39</v>
      </c>
      <c r="B306" t="s">
        <v>37</v>
      </c>
      <c r="C306" t="s">
        <v>16</v>
      </c>
      <c r="D306" t="s">
        <v>26</v>
      </c>
      <c r="E306" t="s">
        <v>404</v>
      </c>
      <c r="F306">
        <v>1.22</v>
      </c>
      <c r="G306">
        <v>4.5</v>
      </c>
      <c r="H306" s="1" t="s">
        <v>10</v>
      </c>
      <c r="J306" t="s">
        <v>223</v>
      </c>
      <c r="K306" t="s">
        <v>215</v>
      </c>
      <c r="L306">
        <v>10</v>
      </c>
      <c r="M306">
        <v>1.06</v>
      </c>
      <c r="N306" t="s">
        <v>8</v>
      </c>
    </row>
    <row r="307" spans="1:14" x14ac:dyDescent="0.25">
      <c r="A307" t="s">
        <v>39</v>
      </c>
      <c r="B307" t="s">
        <v>37</v>
      </c>
      <c r="C307" t="s">
        <v>16</v>
      </c>
      <c r="D307" t="s">
        <v>17</v>
      </c>
      <c r="E307" t="s">
        <v>407</v>
      </c>
      <c r="F307">
        <v>1.19</v>
      </c>
      <c r="G307">
        <v>4.8</v>
      </c>
      <c r="H307" s="1" t="s">
        <v>10</v>
      </c>
      <c r="J307" t="s">
        <v>214</v>
      </c>
      <c r="K307" t="s">
        <v>215</v>
      </c>
      <c r="L307">
        <v>6.25</v>
      </c>
      <c r="M307">
        <v>1.1299999999999999</v>
      </c>
      <c r="N307" t="s">
        <v>8</v>
      </c>
    </row>
    <row r="308" spans="1:14" x14ac:dyDescent="0.25">
      <c r="A308" t="s">
        <v>39</v>
      </c>
      <c r="B308" t="s">
        <v>37</v>
      </c>
      <c r="C308" t="s">
        <v>16</v>
      </c>
      <c r="D308" t="s">
        <v>15</v>
      </c>
      <c r="E308" t="s">
        <v>408</v>
      </c>
      <c r="F308">
        <v>1.19</v>
      </c>
      <c r="G308">
        <v>4.8</v>
      </c>
      <c r="H308" s="1" t="s">
        <v>10</v>
      </c>
      <c r="J308" t="s">
        <v>214</v>
      </c>
      <c r="K308" t="s">
        <v>215</v>
      </c>
      <c r="L308">
        <v>6.5</v>
      </c>
      <c r="M308">
        <v>1.1200000000000001</v>
      </c>
      <c r="N308" t="s">
        <v>8</v>
      </c>
    </row>
    <row r="309" spans="1:14" x14ac:dyDescent="0.25">
      <c r="A309" t="s">
        <v>38</v>
      </c>
      <c r="B309" t="s">
        <v>37</v>
      </c>
      <c r="C309" t="s">
        <v>16</v>
      </c>
      <c r="D309" t="s">
        <v>21</v>
      </c>
      <c r="E309" t="s">
        <v>405</v>
      </c>
      <c r="F309">
        <v>1.34</v>
      </c>
      <c r="G309">
        <v>3.55</v>
      </c>
      <c r="H309" s="1" t="s">
        <v>10</v>
      </c>
      <c r="J309" t="s">
        <v>214</v>
      </c>
      <c r="K309" t="s">
        <v>215</v>
      </c>
      <c r="L309">
        <v>6.5</v>
      </c>
      <c r="M309">
        <v>1.1200000000000001</v>
      </c>
      <c r="N309" t="s">
        <v>8</v>
      </c>
    </row>
    <row r="310" spans="1:14" x14ac:dyDescent="0.25">
      <c r="A310" t="s">
        <v>38</v>
      </c>
      <c r="B310" t="s">
        <v>37</v>
      </c>
      <c r="C310" t="s">
        <v>16</v>
      </c>
      <c r="D310" t="s">
        <v>24</v>
      </c>
      <c r="E310" t="s">
        <v>406</v>
      </c>
      <c r="F310">
        <v>1.34</v>
      </c>
      <c r="G310">
        <v>3.55</v>
      </c>
      <c r="H310" s="1" t="s">
        <v>10</v>
      </c>
      <c r="J310" t="s">
        <v>214</v>
      </c>
      <c r="K310" t="s">
        <v>215</v>
      </c>
      <c r="L310">
        <v>6.4</v>
      </c>
      <c r="M310">
        <v>1.1200000000000001</v>
      </c>
      <c r="N310" t="s">
        <v>8</v>
      </c>
    </row>
    <row r="311" spans="1:14" x14ac:dyDescent="0.25">
      <c r="A311" t="s">
        <v>38</v>
      </c>
      <c r="B311" t="s">
        <v>37</v>
      </c>
      <c r="C311" t="s">
        <v>16</v>
      </c>
      <c r="D311" t="s">
        <v>18</v>
      </c>
      <c r="E311" t="s">
        <v>411</v>
      </c>
      <c r="F311">
        <v>1.29</v>
      </c>
      <c r="G311">
        <v>3.5</v>
      </c>
      <c r="H311" s="1" t="s">
        <v>10</v>
      </c>
      <c r="J311" t="s">
        <v>214</v>
      </c>
      <c r="K311" t="s">
        <v>215</v>
      </c>
      <c r="L311">
        <v>6.3</v>
      </c>
      <c r="M311">
        <v>1.1200000000000001</v>
      </c>
      <c r="N311" t="s">
        <v>8</v>
      </c>
    </row>
    <row r="312" spans="1:14" x14ac:dyDescent="0.25">
      <c r="A312" t="s">
        <v>38</v>
      </c>
      <c r="B312" t="s">
        <v>37</v>
      </c>
      <c r="C312" t="s">
        <v>16</v>
      </c>
      <c r="D312" t="s">
        <v>26</v>
      </c>
      <c r="E312" t="s">
        <v>404</v>
      </c>
      <c r="F312">
        <v>1.31</v>
      </c>
      <c r="G312">
        <v>3.6</v>
      </c>
      <c r="H312" s="1" t="s">
        <v>10</v>
      </c>
      <c r="J312" t="s">
        <v>214</v>
      </c>
      <c r="K312" t="s">
        <v>215</v>
      </c>
      <c r="L312">
        <v>6.5</v>
      </c>
      <c r="M312">
        <v>1.1200000000000001</v>
      </c>
      <c r="N312" t="s">
        <v>8</v>
      </c>
    </row>
    <row r="313" spans="1:14" x14ac:dyDescent="0.25">
      <c r="A313" t="s">
        <v>38</v>
      </c>
      <c r="B313" t="s">
        <v>37</v>
      </c>
      <c r="C313" t="s">
        <v>16</v>
      </c>
      <c r="D313" t="s">
        <v>27</v>
      </c>
      <c r="E313" t="s">
        <v>409</v>
      </c>
      <c r="F313">
        <v>1.31</v>
      </c>
      <c r="G313">
        <v>3.6</v>
      </c>
      <c r="H313" s="1" t="s">
        <v>10</v>
      </c>
      <c r="J313" t="s">
        <v>214</v>
      </c>
      <c r="K313" t="s">
        <v>215</v>
      </c>
      <c r="L313">
        <v>6.5</v>
      </c>
      <c r="M313">
        <v>1.1200000000000001</v>
      </c>
      <c r="N313" t="s">
        <v>8</v>
      </c>
    </row>
    <row r="314" spans="1:14" x14ac:dyDescent="0.25">
      <c r="A314" t="s">
        <v>38</v>
      </c>
      <c r="B314" t="s">
        <v>37</v>
      </c>
      <c r="C314" t="s">
        <v>16</v>
      </c>
      <c r="D314" t="s">
        <v>15</v>
      </c>
      <c r="E314" t="s">
        <v>408</v>
      </c>
      <c r="F314">
        <v>1.3</v>
      </c>
      <c r="G314">
        <v>3.5</v>
      </c>
      <c r="H314" s="1" t="s">
        <v>10</v>
      </c>
      <c r="J314" t="s">
        <v>214</v>
      </c>
      <c r="K314" t="s">
        <v>215</v>
      </c>
      <c r="L314">
        <v>6.5</v>
      </c>
      <c r="M314">
        <v>1.1200000000000001</v>
      </c>
      <c r="N314" t="s">
        <v>8</v>
      </c>
    </row>
    <row r="315" spans="1:14" x14ac:dyDescent="0.25">
      <c r="A315" t="s">
        <v>38</v>
      </c>
      <c r="B315" t="s">
        <v>37</v>
      </c>
      <c r="C315" t="s">
        <v>16</v>
      </c>
      <c r="D315" t="s">
        <v>17</v>
      </c>
      <c r="E315" t="s">
        <v>407</v>
      </c>
      <c r="F315">
        <v>1.3</v>
      </c>
      <c r="G315">
        <v>3.5</v>
      </c>
      <c r="H315" s="1" t="s">
        <v>10</v>
      </c>
      <c r="J315" t="s">
        <v>214</v>
      </c>
      <c r="K315" t="s">
        <v>215</v>
      </c>
      <c r="L315">
        <v>6.8</v>
      </c>
      <c r="M315">
        <v>1.1200000000000001</v>
      </c>
      <c r="N315" t="s">
        <v>8</v>
      </c>
    </row>
    <row r="316" spans="1:14" x14ac:dyDescent="0.25">
      <c r="A316" t="s">
        <v>41</v>
      </c>
      <c r="B316" t="s">
        <v>57</v>
      </c>
      <c r="C316" t="s">
        <v>16</v>
      </c>
      <c r="D316" t="s">
        <v>24</v>
      </c>
      <c r="E316" t="s">
        <v>406</v>
      </c>
      <c r="F316">
        <v>1.95</v>
      </c>
      <c r="G316">
        <v>1.87</v>
      </c>
      <c r="H316" s="1" t="s">
        <v>10</v>
      </c>
      <c r="J316" t="s">
        <v>214</v>
      </c>
      <c r="K316" t="s">
        <v>215</v>
      </c>
      <c r="L316">
        <v>6.25</v>
      </c>
      <c r="M316">
        <v>1.1200000000000001</v>
      </c>
      <c r="N316" t="s">
        <v>8</v>
      </c>
    </row>
    <row r="317" spans="1:14" x14ac:dyDescent="0.25">
      <c r="A317" t="s">
        <v>41</v>
      </c>
      <c r="B317" t="s">
        <v>57</v>
      </c>
      <c r="C317" t="s">
        <v>16</v>
      </c>
      <c r="D317" t="s">
        <v>27</v>
      </c>
      <c r="E317" t="s">
        <v>409</v>
      </c>
      <c r="F317">
        <v>2.0499999999999998</v>
      </c>
      <c r="G317">
        <v>1.8</v>
      </c>
      <c r="H317" s="1" t="s">
        <v>10</v>
      </c>
      <c r="J317" t="s">
        <v>214</v>
      </c>
      <c r="K317" t="s">
        <v>215</v>
      </c>
      <c r="L317">
        <v>5.85</v>
      </c>
      <c r="M317">
        <v>1.1499999999999999</v>
      </c>
      <c r="N317" t="s">
        <v>8</v>
      </c>
    </row>
    <row r="318" spans="1:14" x14ac:dyDescent="0.25">
      <c r="A318" t="s">
        <v>41</v>
      </c>
      <c r="B318" t="s">
        <v>57</v>
      </c>
      <c r="C318" t="s">
        <v>16</v>
      </c>
      <c r="D318" t="s">
        <v>21</v>
      </c>
      <c r="E318" t="s">
        <v>405</v>
      </c>
      <c r="F318">
        <v>1.95</v>
      </c>
      <c r="G318">
        <v>1.87</v>
      </c>
      <c r="H318" s="1" t="s">
        <v>10</v>
      </c>
      <c r="J318" t="s">
        <v>214</v>
      </c>
      <c r="K318" t="s">
        <v>215</v>
      </c>
      <c r="L318">
        <v>6.8</v>
      </c>
      <c r="M318">
        <v>1.1200000000000001</v>
      </c>
      <c r="N318" t="s">
        <v>8</v>
      </c>
    </row>
    <row r="319" spans="1:14" x14ac:dyDescent="0.25">
      <c r="A319" t="s">
        <v>41</v>
      </c>
      <c r="B319" t="s">
        <v>57</v>
      </c>
      <c r="C319" t="s">
        <v>16</v>
      </c>
      <c r="D319" t="s">
        <v>26</v>
      </c>
      <c r="E319" t="s">
        <v>404</v>
      </c>
      <c r="F319">
        <v>2</v>
      </c>
      <c r="G319">
        <v>1.83</v>
      </c>
      <c r="H319" s="1" t="s">
        <v>10</v>
      </c>
      <c r="J319" t="s">
        <v>214</v>
      </c>
      <c r="K319" t="s">
        <v>215</v>
      </c>
      <c r="L319">
        <v>6</v>
      </c>
      <c r="M319">
        <v>1.1399999999999999</v>
      </c>
      <c r="N319" t="s">
        <v>8</v>
      </c>
    </row>
    <row r="320" spans="1:14" x14ac:dyDescent="0.25">
      <c r="A320" t="s">
        <v>41</v>
      </c>
      <c r="B320" t="s">
        <v>57</v>
      </c>
      <c r="C320" t="s">
        <v>16</v>
      </c>
      <c r="D320" t="s">
        <v>18</v>
      </c>
      <c r="E320" t="s">
        <v>411</v>
      </c>
      <c r="F320">
        <v>2.02</v>
      </c>
      <c r="G320">
        <v>1.77</v>
      </c>
      <c r="H320" s="1" t="s">
        <v>10</v>
      </c>
      <c r="J320" t="s">
        <v>216</v>
      </c>
      <c r="K320" t="s">
        <v>215</v>
      </c>
      <c r="L320">
        <v>1.34</v>
      </c>
      <c r="M320">
        <v>3.4</v>
      </c>
      <c r="N320" t="s">
        <v>8</v>
      </c>
    </row>
    <row r="321" spans="1:14" x14ac:dyDescent="0.25">
      <c r="A321" t="s">
        <v>41</v>
      </c>
      <c r="B321" t="s">
        <v>57</v>
      </c>
      <c r="C321" t="s">
        <v>16</v>
      </c>
      <c r="D321" t="s">
        <v>17</v>
      </c>
      <c r="E321" t="s">
        <v>407</v>
      </c>
      <c r="F321">
        <v>2.0699999999999998</v>
      </c>
      <c r="G321">
        <v>1.76</v>
      </c>
      <c r="H321" s="1" t="s">
        <v>10</v>
      </c>
      <c r="J321" t="s">
        <v>216</v>
      </c>
      <c r="K321" t="s">
        <v>215</v>
      </c>
      <c r="L321">
        <v>1.32</v>
      </c>
      <c r="M321">
        <v>3.55</v>
      </c>
      <c r="N321" t="s">
        <v>8</v>
      </c>
    </row>
    <row r="322" spans="1:14" x14ac:dyDescent="0.25">
      <c r="A322" t="s">
        <v>41</v>
      </c>
      <c r="B322" t="s">
        <v>57</v>
      </c>
      <c r="C322" t="s">
        <v>16</v>
      </c>
      <c r="D322" t="s">
        <v>15</v>
      </c>
      <c r="E322" t="s">
        <v>408</v>
      </c>
      <c r="F322">
        <v>2.0699999999999998</v>
      </c>
      <c r="G322">
        <v>1.76</v>
      </c>
      <c r="H322" s="1" t="s">
        <v>10</v>
      </c>
      <c r="J322" t="s">
        <v>216</v>
      </c>
      <c r="K322" t="s">
        <v>215</v>
      </c>
      <c r="L322">
        <v>1.33</v>
      </c>
      <c r="M322">
        <v>3.4</v>
      </c>
      <c r="N322" t="s">
        <v>8</v>
      </c>
    </row>
    <row r="323" spans="1:14" x14ac:dyDescent="0.25">
      <c r="A323" t="s">
        <v>40</v>
      </c>
      <c r="B323" t="s">
        <v>57</v>
      </c>
      <c r="C323" t="s">
        <v>16</v>
      </c>
      <c r="D323" t="s">
        <v>15</v>
      </c>
      <c r="E323" t="s">
        <v>408</v>
      </c>
      <c r="F323">
        <v>1.42</v>
      </c>
      <c r="G323">
        <v>2.88</v>
      </c>
      <c r="H323" s="1" t="s">
        <v>10</v>
      </c>
      <c r="J323" t="s">
        <v>216</v>
      </c>
      <c r="K323" t="s">
        <v>215</v>
      </c>
      <c r="L323">
        <v>1.33</v>
      </c>
      <c r="M323">
        <v>3.4</v>
      </c>
      <c r="N323" t="s">
        <v>8</v>
      </c>
    </row>
    <row r="324" spans="1:14" x14ac:dyDescent="0.25">
      <c r="A324" t="s">
        <v>40</v>
      </c>
      <c r="B324" t="s">
        <v>57</v>
      </c>
      <c r="C324" t="s">
        <v>16</v>
      </c>
      <c r="D324" t="s">
        <v>21</v>
      </c>
      <c r="E324" t="s">
        <v>405</v>
      </c>
      <c r="F324">
        <v>1.46</v>
      </c>
      <c r="G324">
        <v>2.7</v>
      </c>
      <c r="H324" s="1" t="s">
        <v>10</v>
      </c>
      <c r="J324" t="s">
        <v>216</v>
      </c>
      <c r="K324" t="s">
        <v>215</v>
      </c>
      <c r="L324">
        <v>1.31</v>
      </c>
      <c r="M324">
        <v>3.55</v>
      </c>
      <c r="N324" t="s">
        <v>8</v>
      </c>
    </row>
    <row r="325" spans="1:14" x14ac:dyDescent="0.25">
      <c r="A325" t="s">
        <v>40</v>
      </c>
      <c r="B325" t="s">
        <v>57</v>
      </c>
      <c r="C325" t="s">
        <v>16</v>
      </c>
      <c r="D325" t="s">
        <v>27</v>
      </c>
      <c r="E325" t="s">
        <v>409</v>
      </c>
      <c r="F325">
        <v>1.42</v>
      </c>
      <c r="G325">
        <v>2.95</v>
      </c>
      <c r="H325" s="1" t="s">
        <v>10</v>
      </c>
      <c r="J325" t="s">
        <v>216</v>
      </c>
      <c r="K325" t="s">
        <v>215</v>
      </c>
      <c r="L325">
        <v>1.32</v>
      </c>
      <c r="M325">
        <v>3.45</v>
      </c>
      <c r="N325" t="s">
        <v>8</v>
      </c>
    </row>
    <row r="326" spans="1:14" x14ac:dyDescent="0.25">
      <c r="A326" t="s">
        <v>40</v>
      </c>
      <c r="B326" t="s">
        <v>57</v>
      </c>
      <c r="C326" t="s">
        <v>16</v>
      </c>
      <c r="D326" t="s">
        <v>17</v>
      </c>
      <c r="E326" t="s">
        <v>407</v>
      </c>
      <c r="F326">
        <v>1.42</v>
      </c>
      <c r="G326">
        <v>2.88</v>
      </c>
      <c r="H326" s="1" t="s">
        <v>10</v>
      </c>
      <c r="J326" t="s">
        <v>216</v>
      </c>
      <c r="K326" t="s">
        <v>215</v>
      </c>
      <c r="L326">
        <v>1.33</v>
      </c>
      <c r="M326">
        <v>3.4</v>
      </c>
      <c r="N326" t="s">
        <v>8</v>
      </c>
    </row>
    <row r="327" spans="1:14" x14ac:dyDescent="0.25">
      <c r="A327" t="s">
        <v>40</v>
      </c>
      <c r="B327" t="s">
        <v>57</v>
      </c>
      <c r="C327" t="s">
        <v>16</v>
      </c>
      <c r="D327" t="s">
        <v>24</v>
      </c>
      <c r="E327" t="s">
        <v>406</v>
      </c>
      <c r="F327">
        <v>1.46</v>
      </c>
      <c r="G327">
        <v>2.7</v>
      </c>
      <c r="H327" s="1" t="s">
        <v>10</v>
      </c>
      <c r="J327" t="s">
        <v>216</v>
      </c>
      <c r="K327" t="s">
        <v>215</v>
      </c>
      <c r="L327">
        <v>1.32</v>
      </c>
      <c r="M327">
        <v>3.45</v>
      </c>
      <c r="N327" t="s">
        <v>8</v>
      </c>
    </row>
    <row r="328" spans="1:14" x14ac:dyDescent="0.25">
      <c r="A328" t="s">
        <v>40</v>
      </c>
      <c r="B328" t="s">
        <v>57</v>
      </c>
      <c r="C328" t="s">
        <v>16</v>
      </c>
      <c r="D328" t="s">
        <v>18</v>
      </c>
      <c r="E328" t="s">
        <v>411</v>
      </c>
      <c r="F328">
        <v>1.41</v>
      </c>
      <c r="G328">
        <v>2.86</v>
      </c>
      <c r="H328" s="1" t="s">
        <v>10</v>
      </c>
      <c r="J328" t="s">
        <v>216</v>
      </c>
      <c r="K328" t="s">
        <v>215</v>
      </c>
      <c r="L328">
        <v>1.34</v>
      </c>
      <c r="M328">
        <v>3.45</v>
      </c>
      <c r="N328" t="s">
        <v>8</v>
      </c>
    </row>
    <row r="329" spans="1:14" x14ac:dyDescent="0.25">
      <c r="A329" t="s">
        <v>40</v>
      </c>
      <c r="B329" t="s">
        <v>57</v>
      </c>
      <c r="C329" t="s">
        <v>16</v>
      </c>
      <c r="D329" t="s">
        <v>28</v>
      </c>
      <c r="E329" t="s">
        <v>412</v>
      </c>
      <c r="F329">
        <v>1.44</v>
      </c>
      <c r="G329">
        <v>2.85</v>
      </c>
      <c r="H329" s="1" t="s">
        <v>10</v>
      </c>
      <c r="J329" t="s">
        <v>216</v>
      </c>
      <c r="K329" t="s">
        <v>215</v>
      </c>
      <c r="L329">
        <v>1.33</v>
      </c>
      <c r="M329">
        <v>3.4</v>
      </c>
      <c r="N329" t="s">
        <v>8</v>
      </c>
    </row>
    <row r="330" spans="1:14" x14ac:dyDescent="0.25">
      <c r="A330" t="s">
        <v>431</v>
      </c>
      <c r="B330" t="s">
        <v>432</v>
      </c>
      <c r="C330" t="s">
        <v>16</v>
      </c>
      <c r="D330" t="s">
        <v>24</v>
      </c>
      <c r="E330" t="s">
        <v>406</v>
      </c>
      <c r="F330">
        <v>2.25</v>
      </c>
      <c r="G330">
        <v>1.69</v>
      </c>
      <c r="H330" s="1" t="s">
        <v>10</v>
      </c>
      <c r="J330" t="s">
        <v>216</v>
      </c>
      <c r="K330" t="s">
        <v>215</v>
      </c>
      <c r="L330">
        <v>1.34</v>
      </c>
      <c r="M330">
        <v>3.4</v>
      </c>
      <c r="N330" t="s">
        <v>8</v>
      </c>
    </row>
    <row r="331" spans="1:14" x14ac:dyDescent="0.25">
      <c r="A331" t="s">
        <v>431</v>
      </c>
      <c r="B331" t="s">
        <v>432</v>
      </c>
      <c r="C331" t="s">
        <v>16</v>
      </c>
      <c r="D331" t="s">
        <v>21</v>
      </c>
      <c r="E331" t="s">
        <v>405</v>
      </c>
      <c r="F331">
        <v>2.25</v>
      </c>
      <c r="G331">
        <v>1.69</v>
      </c>
      <c r="H331" s="1" t="s">
        <v>10</v>
      </c>
      <c r="J331" t="s">
        <v>216</v>
      </c>
      <c r="K331" t="s">
        <v>215</v>
      </c>
      <c r="L331">
        <v>1.34</v>
      </c>
      <c r="M331">
        <v>3.45</v>
      </c>
      <c r="N331" t="s">
        <v>8</v>
      </c>
    </row>
    <row r="332" spans="1:14" x14ac:dyDescent="0.25">
      <c r="A332" t="s">
        <v>431</v>
      </c>
      <c r="B332" t="s">
        <v>432</v>
      </c>
      <c r="C332" t="s">
        <v>16</v>
      </c>
      <c r="D332" t="s">
        <v>26</v>
      </c>
      <c r="E332" t="s">
        <v>404</v>
      </c>
      <c r="F332">
        <v>2.15</v>
      </c>
      <c r="G332">
        <v>1.71</v>
      </c>
      <c r="H332" s="1" t="s">
        <v>10</v>
      </c>
      <c r="J332" t="s">
        <v>216</v>
      </c>
      <c r="K332" t="s">
        <v>215</v>
      </c>
      <c r="L332">
        <v>1.33</v>
      </c>
      <c r="M332">
        <v>3.5</v>
      </c>
      <c r="N332" t="s">
        <v>8</v>
      </c>
    </row>
    <row r="333" spans="1:14" x14ac:dyDescent="0.25">
      <c r="A333" t="s">
        <v>431</v>
      </c>
      <c r="B333" t="s">
        <v>432</v>
      </c>
      <c r="C333" t="s">
        <v>16</v>
      </c>
      <c r="D333" t="s">
        <v>18</v>
      </c>
      <c r="E333" t="s">
        <v>411</v>
      </c>
      <c r="F333">
        <v>2.3199999999999998</v>
      </c>
      <c r="G333">
        <v>1.59</v>
      </c>
      <c r="H333" s="1" t="s">
        <v>10</v>
      </c>
      <c r="J333" t="s">
        <v>217</v>
      </c>
      <c r="K333" t="s">
        <v>218</v>
      </c>
      <c r="L333">
        <v>1.17</v>
      </c>
      <c r="M333">
        <v>5.4</v>
      </c>
      <c r="N333" t="s">
        <v>8</v>
      </c>
    </row>
    <row r="334" spans="1:14" x14ac:dyDescent="0.25">
      <c r="A334" t="s">
        <v>431</v>
      </c>
      <c r="B334" t="s">
        <v>432</v>
      </c>
      <c r="C334" t="s">
        <v>16</v>
      </c>
      <c r="D334" t="s">
        <v>17</v>
      </c>
      <c r="E334" t="s">
        <v>407</v>
      </c>
      <c r="F334">
        <v>2.3199999999999998</v>
      </c>
      <c r="G334">
        <v>1.61</v>
      </c>
      <c r="H334" s="1" t="s">
        <v>10</v>
      </c>
      <c r="J334" t="s">
        <v>217</v>
      </c>
      <c r="K334" t="s">
        <v>218</v>
      </c>
      <c r="L334">
        <v>1.17</v>
      </c>
      <c r="M334">
        <v>5.6</v>
      </c>
      <c r="N334" t="s">
        <v>8</v>
      </c>
    </row>
    <row r="335" spans="1:14" x14ac:dyDescent="0.25">
      <c r="A335" t="s">
        <v>431</v>
      </c>
      <c r="B335" t="s">
        <v>432</v>
      </c>
      <c r="C335" t="s">
        <v>16</v>
      </c>
      <c r="D335" t="s">
        <v>15</v>
      </c>
      <c r="E335" t="s">
        <v>408</v>
      </c>
      <c r="F335">
        <v>2.3199999999999998</v>
      </c>
      <c r="G335">
        <v>1.61</v>
      </c>
      <c r="H335" s="1" t="s">
        <v>10</v>
      </c>
      <c r="J335" t="s">
        <v>217</v>
      </c>
      <c r="K335" t="s">
        <v>218</v>
      </c>
      <c r="L335">
        <v>1.17</v>
      </c>
      <c r="M335">
        <v>5.6</v>
      </c>
      <c r="N335" t="s">
        <v>8</v>
      </c>
    </row>
    <row r="336" spans="1:14" x14ac:dyDescent="0.25">
      <c r="H336" s="1" t="s">
        <v>10</v>
      </c>
      <c r="J336" t="s">
        <v>217</v>
      </c>
      <c r="K336" t="s">
        <v>218</v>
      </c>
      <c r="L336">
        <v>1.1599999999999999</v>
      </c>
      <c r="M336">
        <v>5.5</v>
      </c>
      <c r="N336" t="s">
        <v>8</v>
      </c>
    </row>
    <row r="337" spans="8:14" x14ac:dyDescent="0.25">
      <c r="H337" s="1" t="s">
        <v>10</v>
      </c>
      <c r="J337" t="s">
        <v>217</v>
      </c>
      <c r="K337" t="s">
        <v>218</v>
      </c>
      <c r="L337">
        <v>1.1499999999999999</v>
      </c>
      <c r="M337">
        <v>5.5</v>
      </c>
      <c r="N337" t="s">
        <v>8</v>
      </c>
    </row>
    <row r="338" spans="8:14" x14ac:dyDescent="0.25">
      <c r="H338" s="1" t="s">
        <v>10</v>
      </c>
      <c r="J338" t="s">
        <v>217</v>
      </c>
      <c r="K338" t="s">
        <v>218</v>
      </c>
      <c r="L338">
        <v>1.1599999999999999</v>
      </c>
      <c r="M338">
        <v>5.5</v>
      </c>
      <c r="N338" t="s">
        <v>8</v>
      </c>
    </row>
    <row r="339" spans="8:14" x14ac:dyDescent="0.25">
      <c r="H339" s="1" t="s">
        <v>10</v>
      </c>
      <c r="J339" t="s">
        <v>217</v>
      </c>
      <c r="K339" t="s">
        <v>218</v>
      </c>
      <c r="L339">
        <v>1.1599999999999999</v>
      </c>
      <c r="M339">
        <v>5.45</v>
      </c>
      <c r="N339" t="s">
        <v>8</v>
      </c>
    </row>
    <row r="340" spans="8:14" x14ac:dyDescent="0.25">
      <c r="H340" s="1" t="s">
        <v>10</v>
      </c>
      <c r="J340" t="s">
        <v>217</v>
      </c>
      <c r="K340" t="s">
        <v>218</v>
      </c>
      <c r="L340">
        <v>1.17</v>
      </c>
      <c r="M340">
        <v>5.3</v>
      </c>
      <c r="N340" t="s">
        <v>8</v>
      </c>
    </row>
    <row r="341" spans="8:14" x14ac:dyDescent="0.25">
      <c r="H341" s="1" t="s">
        <v>10</v>
      </c>
      <c r="J341" t="s">
        <v>217</v>
      </c>
      <c r="K341" t="s">
        <v>218</v>
      </c>
      <c r="L341">
        <v>1.1599999999999999</v>
      </c>
      <c r="M341">
        <v>5.5</v>
      </c>
      <c r="N341" t="s">
        <v>8</v>
      </c>
    </row>
    <row r="342" spans="8:14" x14ac:dyDescent="0.25">
      <c r="H342" s="1" t="s">
        <v>10</v>
      </c>
      <c r="J342" t="s">
        <v>217</v>
      </c>
      <c r="K342" t="s">
        <v>218</v>
      </c>
      <c r="L342">
        <v>1.17</v>
      </c>
      <c r="M342">
        <v>5.25</v>
      </c>
      <c r="N342" t="s">
        <v>8</v>
      </c>
    </row>
    <row r="343" spans="8:14" x14ac:dyDescent="0.25">
      <c r="H343" s="1" t="s">
        <v>10</v>
      </c>
      <c r="J343" t="s">
        <v>217</v>
      </c>
      <c r="K343" t="s">
        <v>218</v>
      </c>
      <c r="L343">
        <v>1.1499999999999999</v>
      </c>
      <c r="M343">
        <v>5.8</v>
      </c>
      <c r="N343" t="s">
        <v>8</v>
      </c>
    </row>
    <row r="344" spans="8:14" x14ac:dyDescent="0.25">
      <c r="H344" s="1" t="s">
        <v>10</v>
      </c>
      <c r="J344" t="s">
        <v>217</v>
      </c>
      <c r="K344" t="s">
        <v>218</v>
      </c>
      <c r="L344">
        <v>1.17</v>
      </c>
      <c r="M344">
        <v>5.5</v>
      </c>
      <c r="N344" t="s">
        <v>8</v>
      </c>
    </row>
    <row r="345" spans="8:14" x14ac:dyDescent="0.25">
      <c r="H345" s="1" t="s">
        <v>10</v>
      </c>
      <c r="J345" t="s">
        <v>217</v>
      </c>
      <c r="K345" t="s">
        <v>218</v>
      </c>
      <c r="L345">
        <v>1.1499999999999999</v>
      </c>
      <c r="M345">
        <v>5.75</v>
      </c>
      <c r="N345" t="s">
        <v>8</v>
      </c>
    </row>
    <row r="346" spans="8:14" x14ac:dyDescent="0.25">
      <c r="H346" s="1" t="s">
        <v>10</v>
      </c>
      <c r="J346" t="s">
        <v>219</v>
      </c>
      <c r="K346" t="s">
        <v>218</v>
      </c>
      <c r="L346">
        <v>3.7</v>
      </c>
      <c r="M346">
        <v>1.29</v>
      </c>
      <c r="N346" t="s">
        <v>8</v>
      </c>
    </row>
    <row r="347" spans="8:14" x14ac:dyDescent="0.25">
      <c r="H347" s="1" t="s">
        <v>10</v>
      </c>
      <c r="J347" t="s">
        <v>219</v>
      </c>
      <c r="K347" t="s">
        <v>218</v>
      </c>
      <c r="L347">
        <v>3.7</v>
      </c>
      <c r="M347">
        <v>1.29</v>
      </c>
      <c r="N347" t="s">
        <v>8</v>
      </c>
    </row>
    <row r="348" spans="8:14" x14ac:dyDescent="0.25">
      <c r="H348" s="1" t="s">
        <v>10</v>
      </c>
      <c r="J348" t="s">
        <v>219</v>
      </c>
      <c r="K348" t="s">
        <v>218</v>
      </c>
      <c r="L348">
        <v>3.75</v>
      </c>
      <c r="M348">
        <v>1.29</v>
      </c>
      <c r="N348" t="s">
        <v>8</v>
      </c>
    </row>
    <row r="349" spans="8:14" x14ac:dyDescent="0.25">
      <c r="H349" s="1" t="s">
        <v>10</v>
      </c>
      <c r="J349" t="s">
        <v>219</v>
      </c>
      <c r="K349" t="s">
        <v>218</v>
      </c>
      <c r="L349">
        <v>3.85</v>
      </c>
      <c r="M349">
        <v>1.27</v>
      </c>
      <c r="N349" t="s">
        <v>8</v>
      </c>
    </row>
    <row r="350" spans="8:14" x14ac:dyDescent="0.25">
      <c r="H350" s="1" t="s">
        <v>10</v>
      </c>
      <c r="J350" t="s">
        <v>219</v>
      </c>
      <c r="K350" t="s">
        <v>218</v>
      </c>
      <c r="L350">
        <v>3.7</v>
      </c>
      <c r="M350">
        <v>1.29</v>
      </c>
      <c r="N350" t="s">
        <v>8</v>
      </c>
    </row>
    <row r="351" spans="8:14" x14ac:dyDescent="0.25">
      <c r="H351" s="1" t="s">
        <v>10</v>
      </c>
      <c r="J351" t="s">
        <v>219</v>
      </c>
      <c r="K351" t="s">
        <v>218</v>
      </c>
      <c r="L351">
        <v>3.75</v>
      </c>
      <c r="M351">
        <v>1.28</v>
      </c>
      <c r="N351" t="s">
        <v>8</v>
      </c>
    </row>
    <row r="352" spans="8:14" x14ac:dyDescent="0.25">
      <c r="H352" s="1" t="s">
        <v>10</v>
      </c>
      <c r="J352" t="s">
        <v>219</v>
      </c>
      <c r="K352" t="s">
        <v>218</v>
      </c>
      <c r="L352">
        <v>3.85</v>
      </c>
      <c r="M352">
        <v>1.27</v>
      </c>
      <c r="N352" t="s">
        <v>8</v>
      </c>
    </row>
    <row r="353" spans="8:14" x14ac:dyDescent="0.25">
      <c r="H353" s="1" t="s">
        <v>10</v>
      </c>
      <c r="J353" t="s">
        <v>219</v>
      </c>
      <c r="K353" t="s">
        <v>218</v>
      </c>
      <c r="L353">
        <v>3.8</v>
      </c>
      <c r="M353">
        <v>1.29</v>
      </c>
      <c r="N353" t="s">
        <v>8</v>
      </c>
    </row>
    <row r="354" spans="8:14" x14ac:dyDescent="0.25">
      <c r="H354" s="1" t="s">
        <v>10</v>
      </c>
      <c r="J354" t="s">
        <v>219</v>
      </c>
      <c r="K354" t="s">
        <v>218</v>
      </c>
      <c r="L354">
        <v>3.7</v>
      </c>
      <c r="M354">
        <v>1.29</v>
      </c>
      <c r="N354" t="s">
        <v>8</v>
      </c>
    </row>
    <row r="355" spans="8:14" x14ac:dyDescent="0.25">
      <c r="H355" s="1" t="s">
        <v>10</v>
      </c>
      <c r="J355" t="s">
        <v>219</v>
      </c>
      <c r="K355" t="s">
        <v>218</v>
      </c>
      <c r="L355">
        <v>3.8</v>
      </c>
      <c r="M355">
        <v>1.29</v>
      </c>
      <c r="N355" t="s">
        <v>8</v>
      </c>
    </row>
    <row r="356" spans="8:14" x14ac:dyDescent="0.25">
      <c r="H356" s="1" t="s">
        <v>10</v>
      </c>
      <c r="J356" t="s">
        <v>219</v>
      </c>
      <c r="K356" t="s">
        <v>218</v>
      </c>
      <c r="L356">
        <v>3.9</v>
      </c>
      <c r="M356">
        <v>1.28</v>
      </c>
      <c r="N356" t="s">
        <v>8</v>
      </c>
    </row>
    <row r="357" spans="8:14" x14ac:dyDescent="0.25">
      <c r="H357" s="1" t="s">
        <v>10</v>
      </c>
      <c r="J357" t="s">
        <v>219</v>
      </c>
      <c r="K357" t="s">
        <v>218</v>
      </c>
      <c r="L357">
        <v>3.75</v>
      </c>
      <c r="M357">
        <v>1.29</v>
      </c>
      <c r="N357" t="s">
        <v>8</v>
      </c>
    </row>
    <row r="358" spans="8:14" x14ac:dyDescent="0.25">
      <c r="H358" s="1" t="s">
        <v>10</v>
      </c>
      <c r="J358" t="s">
        <v>220</v>
      </c>
      <c r="K358" t="s">
        <v>218</v>
      </c>
      <c r="L358">
        <v>1.98</v>
      </c>
      <c r="M358">
        <v>1.85</v>
      </c>
      <c r="N358" t="s">
        <v>8</v>
      </c>
    </row>
    <row r="359" spans="8:14" x14ac:dyDescent="0.25">
      <c r="H359" s="1" t="s">
        <v>10</v>
      </c>
      <c r="J359" t="s">
        <v>220</v>
      </c>
      <c r="K359" t="s">
        <v>218</v>
      </c>
      <c r="L359">
        <v>2.04</v>
      </c>
      <c r="M359">
        <v>1.8</v>
      </c>
      <c r="N359" t="s">
        <v>8</v>
      </c>
    </row>
    <row r="360" spans="8:14" x14ac:dyDescent="0.25">
      <c r="H360" s="1" t="s">
        <v>10</v>
      </c>
      <c r="J360" t="s">
        <v>220</v>
      </c>
      <c r="K360" t="s">
        <v>218</v>
      </c>
      <c r="L360">
        <v>2.0499999999999998</v>
      </c>
      <c r="M360">
        <v>1.8</v>
      </c>
      <c r="N360" t="s">
        <v>8</v>
      </c>
    </row>
    <row r="361" spans="8:14" x14ac:dyDescent="0.25">
      <c r="H361" s="1" t="s">
        <v>10</v>
      </c>
      <c r="J361" t="s">
        <v>220</v>
      </c>
      <c r="K361" t="s">
        <v>218</v>
      </c>
      <c r="L361">
        <v>1.97</v>
      </c>
      <c r="M361">
        <v>1.83</v>
      </c>
      <c r="N361" t="s">
        <v>8</v>
      </c>
    </row>
    <row r="362" spans="8:14" x14ac:dyDescent="0.25">
      <c r="H362" s="1" t="s">
        <v>10</v>
      </c>
      <c r="J362" t="s">
        <v>220</v>
      </c>
      <c r="K362" t="s">
        <v>218</v>
      </c>
      <c r="L362">
        <v>2.1</v>
      </c>
      <c r="M362">
        <v>1.77</v>
      </c>
      <c r="N362" t="s">
        <v>8</v>
      </c>
    </row>
    <row r="363" spans="8:14" x14ac:dyDescent="0.25">
      <c r="H363" s="1" t="s">
        <v>10</v>
      </c>
      <c r="J363" t="s">
        <v>220</v>
      </c>
      <c r="K363" t="s">
        <v>218</v>
      </c>
      <c r="L363">
        <v>2.0499999999999998</v>
      </c>
      <c r="M363">
        <v>1.8</v>
      </c>
      <c r="N363" t="s">
        <v>8</v>
      </c>
    </row>
    <row r="364" spans="8:14" x14ac:dyDescent="0.25">
      <c r="H364" s="1" t="s">
        <v>10</v>
      </c>
      <c r="J364" t="s">
        <v>220</v>
      </c>
      <c r="K364" t="s">
        <v>218</v>
      </c>
      <c r="L364">
        <v>1.97</v>
      </c>
      <c r="M364">
        <v>1.83</v>
      </c>
      <c r="N364" t="s">
        <v>8</v>
      </c>
    </row>
    <row r="365" spans="8:14" x14ac:dyDescent="0.25">
      <c r="H365" s="1" t="s">
        <v>10</v>
      </c>
      <c r="J365" t="s">
        <v>220</v>
      </c>
      <c r="K365" t="s">
        <v>218</v>
      </c>
      <c r="L365">
        <v>2.08</v>
      </c>
      <c r="M365">
        <v>1.78</v>
      </c>
      <c r="N365" t="s">
        <v>8</v>
      </c>
    </row>
    <row r="366" spans="8:14" x14ac:dyDescent="0.25">
      <c r="H366" s="1" t="s">
        <v>10</v>
      </c>
      <c r="J366" t="s">
        <v>220</v>
      </c>
      <c r="K366" t="s">
        <v>218</v>
      </c>
      <c r="L366">
        <v>2.0499999999999998</v>
      </c>
      <c r="M366">
        <v>1.8</v>
      </c>
      <c r="N366" t="s">
        <v>8</v>
      </c>
    </row>
    <row r="367" spans="8:14" x14ac:dyDescent="0.25">
      <c r="H367" s="1" t="s">
        <v>10</v>
      </c>
      <c r="J367" t="s">
        <v>220</v>
      </c>
      <c r="K367" t="s">
        <v>218</v>
      </c>
      <c r="L367">
        <v>2.1</v>
      </c>
      <c r="M367">
        <v>1.77</v>
      </c>
      <c r="N367" t="s">
        <v>8</v>
      </c>
    </row>
    <row r="368" spans="8:14" x14ac:dyDescent="0.25">
      <c r="H368" s="1" t="s">
        <v>10</v>
      </c>
      <c r="J368" t="s">
        <v>220</v>
      </c>
      <c r="K368" t="s">
        <v>218</v>
      </c>
      <c r="L368">
        <v>2.08</v>
      </c>
      <c r="M368">
        <v>1.78</v>
      </c>
      <c r="N368" t="s">
        <v>8</v>
      </c>
    </row>
    <row r="369" spans="8:14" x14ac:dyDescent="0.25">
      <c r="H369" s="1" t="s">
        <v>10</v>
      </c>
      <c r="J369" t="s">
        <v>220</v>
      </c>
      <c r="K369" t="s">
        <v>218</v>
      </c>
      <c r="L369">
        <v>2.1</v>
      </c>
      <c r="M369">
        <v>1.77</v>
      </c>
      <c r="N369" t="s">
        <v>8</v>
      </c>
    </row>
    <row r="370" spans="8:14" x14ac:dyDescent="0.25">
      <c r="H370" s="1" t="s">
        <v>10</v>
      </c>
      <c r="J370" t="s">
        <v>220</v>
      </c>
      <c r="K370" t="s">
        <v>218</v>
      </c>
      <c r="L370">
        <v>2.0499999999999998</v>
      </c>
      <c r="M370">
        <v>1.8</v>
      </c>
      <c r="N370" t="s">
        <v>8</v>
      </c>
    </row>
    <row r="371" spans="8:14" x14ac:dyDescent="0.25">
      <c r="H371" s="1" t="s">
        <v>10</v>
      </c>
      <c r="J371" t="s">
        <v>221</v>
      </c>
      <c r="K371" t="s">
        <v>218</v>
      </c>
      <c r="L371">
        <v>1.74</v>
      </c>
      <c r="M371">
        <v>2.14</v>
      </c>
      <c r="N371" t="s">
        <v>8</v>
      </c>
    </row>
    <row r="372" spans="8:14" x14ac:dyDescent="0.25">
      <c r="H372" s="1" t="s">
        <v>10</v>
      </c>
      <c r="J372" t="s">
        <v>221</v>
      </c>
      <c r="K372" t="s">
        <v>218</v>
      </c>
      <c r="L372">
        <v>1.75</v>
      </c>
      <c r="M372">
        <v>2.12</v>
      </c>
      <c r="N372" t="s">
        <v>8</v>
      </c>
    </row>
    <row r="373" spans="8:14" x14ac:dyDescent="0.25">
      <c r="H373" s="1" t="s">
        <v>10</v>
      </c>
      <c r="J373" t="s">
        <v>221</v>
      </c>
      <c r="K373" t="s">
        <v>218</v>
      </c>
      <c r="L373">
        <v>1.74</v>
      </c>
      <c r="M373">
        <v>2.15</v>
      </c>
      <c r="N373" t="s">
        <v>8</v>
      </c>
    </row>
    <row r="374" spans="8:14" x14ac:dyDescent="0.25">
      <c r="H374" s="1" t="s">
        <v>10</v>
      </c>
      <c r="J374" t="s">
        <v>221</v>
      </c>
      <c r="K374" t="s">
        <v>218</v>
      </c>
      <c r="L374">
        <v>1.71</v>
      </c>
      <c r="M374">
        <v>2.15</v>
      </c>
      <c r="N374" t="s">
        <v>8</v>
      </c>
    </row>
    <row r="375" spans="8:14" x14ac:dyDescent="0.25">
      <c r="H375" s="1" t="s">
        <v>10</v>
      </c>
      <c r="J375" t="s">
        <v>221</v>
      </c>
      <c r="K375" t="s">
        <v>218</v>
      </c>
      <c r="L375">
        <v>1.74</v>
      </c>
      <c r="M375">
        <v>2.15</v>
      </c>
      <c r="N375" t="s">
        <v>8</v>
      </c>
    </row>
    <row r="376" spans="8:14" x14ac:dyDescent="0.25">
      <c r="H376" s="1" t="s">
        <v>10</v>
      </c>
      <c r="J376" t="s">
        <v>221</v>
      </c>
      <c r="K376" t="s">
        <v>218</v>
      </c>
      <c r="L376">
        <v>1.71</v>
      </c>
      <c r="M376">
        <v>2.1800000000000002</v>
      </c>
      <c r="N376" t="s">
        <v>8</v>
      </c>
    </row>
    <row r="377" spans="8:14" x14ac:dyDescent="0.25">
      <c r="H377" s="1" t="s">
        <v>10</v>
      </c>
      <c r="J377" t="s">
        <v>221</v>
      </c>
      <c r="K377" t="s">
        <v>218</v>
      </c>
      <c r="L377">
        <v>1.71</v>
      </c>
      <c r="M377">
        <v>2.15</v>
      </c>
      <c r="N377" t="s">
        <v>8</v>
      </c>
    </row>
    <row r="378" spans="8:14" x14ac:dyDescent="0.25">
      <c r="H378" s="1" t="s">
        <v>10</v>
      </c>
      <c r="J378" t="s">
        <v>221</v>
      </c>
      <c r="K378" t="s">
        <v>218</v>
      </c>
      <c r="L378">
        <v>1.74</v>
      </c>
      <c r="M378">
        <v>2.15</v>
      </c>
      <c r="N378" t="s">
        <v>8</v>
      </c>
    </row>
    <row r="379" spans="8:14" x14ac:dyDescent="0.25">
      <c r="H379" s="1" t="s">
        <v>10</v>
      </c>
      <c r="J379" t="s">
        <v>221</v>
      </c>
      <c r="K379" t="s">
        <v>218</v>
      </c>
      <c r="L379">
        <v>1.71</v>
      </c>
      <c r="M379">
        <v>2.2000000000000002</v>
      </c>
      <c r="N379" t="s">
        <v>8</v>
      </c>
    </row>
    <row r="380" spans="8:14" x14ac:dyDescent="0.25">
      <c r="H380" s="1" t="s">
        <v>10</v>
      </c>
      <c r="J380" t="s">
        <v>221</v>
      </c>
      <c r="K380" t="s">
        <v>218</v>
      </c>
      <c r="L380">
        <v>1.71</v>
      </c>
      <c r="M380">
        <v>2.2000000000000002</v>
      </c>
      <c r="N380" t="s">
        <v>8</v>
      </c>
    </row>
    <row r="381" spans="8:14" x14ac:dyDescent="0.25">
      <c r="H381" s="1" t="s">
        <v>10</v>
      </c>
      <c r="J381" t="s">
        <v>221</v>
      </c>
      <c r="K381" t="s">
        <v>218</v>
      </c>
      <c r="L381">
        <v>1.74</v>
      </c>
      <c r="M381">
        <v>2.15</v>
      </c>
      <c r="N381" t="s">
        <v>8</v>
      </c>
    </row>
    <row r="382" spans="8:14" x14ac:dyDescent="0.25">
      <c r="H382" s="1" t="s">
        <v>10</v>
      </c>
      <c r="J382" t="s">
        <v>221</v>
      </c>
      <c r="K382" t="s">
        <v>218</v>
      </c>
      <c r="L382">
        <v>1.74</v>
      </c>
      <c r="M382">
        <v>2.15</v>
      </c>
      <c r="N382" t="s">
        <v>8</v>
      </c>
    </row>
    <row r="383" spans="8:14" x14ac:dyDescent="0.25">
      <c r="H383" s="1" t="s">
        <v>10</v>
      </c>
      <c r="J383" t="s">
        <v>221</v>
      </c>
      <c r="K383" t="s">
        <v>218</v>
      </c>
      <c r="L383">
        <v>1.71</v>
      </c>
      <c r="M383">
        <v>2.15</v>
      </c>
      <c r="N383" t="s">
        <v>8</v>
      </c>
    </row>
    <row r="384" spans="8:14" x14ac:dyDescent="0.25">
      <c r="H384" s="1" t="s">
        <v>10</v>
      </c>
      <c r="J384" t="s">
        <v>222</v>
      </c>
      <c r="K384" t="s">
        <v>218</v>
      </c>
      <c r="L384">
        <v>4.0999999999999996</v>
      </c>
      <c r="M384">
        <v>1.25</v>
      </c>
      <c r="N384" t="s">
        <v>8</v>
      </c>
    </row>
    <row r="385" spans="8:14" x14ac:dyDescent="0.25">
      <c r="H385" s="1" t="s">
        <v>10</v>
      </c>
      <c r="J385" t="s">
        <v>222</v>
      </c>
      <c r="K385" t="s">
        <v>218</v>
      </c>
      <c r="L385">
        <v>4</v>
      </c>
      <c r="M385">
        <v>1.26</v>
      </c>
      <c r="N385" t="s">
        <v>8</v>
      </c>
    </row>
    <row r="386" spans="8:14" x14ac:dyDescent="0.25">
      <c r="H386" s="1" t="s">
        <v>10</v>
      </c>
      <c r="J386" t="s">
        <v>222</v>
      </c>
      <c r="K386" t="s">
        <v>218</v>
      </c>
      <c r="L386">
        <v>4.1500000000000004</v>
      </c>
      <c r="M386">
        <v>1.24</v>
      </c>
      <c r="N386" t="s">
        <v>8</v>
      </c>
    </row>
    <row r="387" spans="8:14" x14ac:dyDescent="0.25">
      <c r="H387" s="1" t="s">
        <v>10</v>
      </c>
      <c r="J387" t="s">
        <v>222</v>
      </c>
      <c r="K387" t="s">
        <v>218</v>
      </c>
      <c r="L387">
        <v>3.9</v>
      </c>
      <c r="M387">
        <v>1.26</v>
      </c>
      <c r="N387" t="s">
        <v>8</v>
      </c>
    </row>
    <row r="388" spans="8:14" x14ac:dyDescent="0.25">
      <c r="H388" s="1" t="s">
        <v>10</v>
      </c>
      <c r="J388" t="s">
        <v>222</v>
      </c>
      <c r="K388" t="s">
        <v>218</v>
      </c>
      <c r="L388">
        <v>4</v>
      </c>
      <c r="M388">
        <v>1.26</v>
      </c>
      <c r="N388" t="s">
        <v>8</v>
      </c>
    </row>
    <row r="389" spans="8:14" x14ac:dyDescent="0.25">
      <c r="H389" s="1" t="s">
        <v>10</v>
      </c>
      <c r="J389" t="s">
        <v>222</v>
      </c>
      <c r="K389" t="s">
        <v>218</v>
      </c>
      <c r="L389">
        <v>4</v>
      </c>
      <c r="M389">
        <v>1.26</v>
      </c>
      <c r="N389" t="s">
        <v>8</v>
      </c>
    </row>
    <row r="390" spans="8:14" x14ac:dyDescent="0.25">
      <c r="H390" s="1" t="s">
        <v>10</v>
      </c>
      <c r="J390" t="s">
        <v>222</v>
      </c>
      <c r="K390" t="s">
        <v>218</v>
      </c>
      <c r="L390">
        <v>3.9</v>
      </c>
      <c r="M390">
        <v>1.26</v>
      </c>
      <c r="N390" t="s">
        <v>8</v>
      </c>
    </row>
    <row r="391" spans="8:14" x14ac:dyDescent="0.25">
      <c r="H391" s="1" t="s">
        <v>10</v>
      </c>
      <c r="J391" t="s">
        <v>222</v>
      </c>
      <c r="K391" t="s">
        <v>218</v>
      </c>
      <c r="L391">
        <v>4.05</v>
      </c>
      <c r="M391">
        <v>1.27</v>
      </c>
      <c r="N391" t="s">
        <v>8</v>
      </c>
    </row>
    <row r="392" spans="8:14" x14ac:dyDescent="0.25">
      <c r="H392" s="1" t="s">
        <v>10</v>
      </c>
      <c r="J392" t="s">
        <v>222</v>
      </c>
      <c r="K392" t="s">
        <v>218</v>
      </c>
      <c r="L392">
        <v>4</v>
      </c>
      <c r="M392">
        <v>1.25</v>
      </c>
      <c r="N392" t="s">
        <v>8</v>
      </c>
    </row>
    <row r="393" spans="8:14" x14ac:dyDescent="0.25">
      <c r="H393" s="1" t="s">
        <v>10</v>
      </c>
      <c r="J393" t="s">
        <v>222</v>
      </c>
      <c r="K393" t="s">
        <v>218</v>
      </c>
      <c r="L393">
        <v>3.95</v>
      </c>
      <c r="M393">
        <v>1.27</v>
      </c>
      <c r="N393" t="s">
        <v>8</v>
      </c>
    </row>
    <row r="394" spans="8:14" x14ac:dyDescent="0.25">
      <c r="H394" s="1" t="s">
        <v>10</v>
      </c>
      <c r="J394" t="s">
        <v>222</v>
      </c>
      <c r="K394" t="s">
        <v>218</v>
      </c>
      <c r="L394">
        <v>4.05</v>
      </c>
      <c r="M394">
        <v>1.27</v>
      </c>
      <c r="N394" t="s">
        <v>8</v>
      </c>
    </row>
    <row r="395" spans="8:14" x14ac:dyDescent="0.25">
      <c r="H395" s="1" t="s">
        <v>10</v>
      </c>
      <c r="J395" t="s">
        <v>222</v>
      </c>
      <c r="K395" t="s">
        <v>218</v>
      </c>
      <c r="L395">
        <v>4.2</v>
      </c>
      <c r="M395">
        <v>1.25</v>
      </c>
      <c r="N395" t="s">
        <v>8</v>
      </c>
    </row>
    <row r="396" spans="8:14" x14ac:dyDescent="0.25">
      <c r="H396" s="1" t="s">
        <v>10</v>
      </c>
      <c r="J396" t="s">
        <v>222</v>
      </c>
      <c r="K396" t="s">
        <v>218</v>
      </c>
      <c r="L396">
        <v>3.8</v>
      </c>
      <c r="M396">
        <v>1.27</v>
      </c>
      <c r="N396" t="s">
        <v>8</v>
      </c>
    </row>
    <row r="397" spans="8:14" x14ac:dyDescent="0.25">
      <c r="H397" s="1" t="s">
        <v>10</v>
      </c>
      <c r="J397" t="s">
        <v>224</v>
      </c>
      <c r="K397" t="s">
        <v>218</v>
      </c>
      <c r="L397">
        <v>1.68</v>
      </c>
      <c r="M397">
        <v>2.2400000000000002</v>
      </c>
      <c r="N397" t="s">
        <v>8</v>
      </c>
    </row>
    <row r="398" spans="8:14" x14ac:dyDescent="0.25">
      <c r="H398" s="1" t="s">
        <v>10</v>
      </c>
      <c r="J398" t="s">
        <v>224</v>
      </c>
      <c r="K398" t="s">
        <v>218</v>
      </c>
      <c r="L398">
        <v>1.67</v>
      </c>
      <c r="M398">
        <v>2.25</v>
      </c>
      <c r="N398" t="s">
        <v>8</v>
      </c>
    </row>
    <row r="399" spans="8:14" x14ac:dyDescent="0.25">
      <c r="H399" s="1" t="s">
        <v>10</v>
      </c>
      <c r="J399" t="s">
        <v>224</v>
      </c>
      <c r="K399" t="s">
        <v>218</v>
      </c>
      <c r="L399">
        <v>1.67</v>
      </c>
      <c r="M399">
        <v>2.2999999999999998</v>
      </c>
      <c r="N399" t="s">
        <v>8</v>
      </c>
    </row>
    <row r="400" spans="8:14" x14ac:dyDescent="0.25">
      <c r="H400" s="1" t="s">
        <v>10</v>
      </c>
      <c r="J400" t="s">
        <v>224</v>
      </c>
      <c r="K400" t="s">
        <v>218</v>
      </c>
      <c r="L400">
        <v>1.65</v>
      </c>
      <c r="M400">
        <v>2.25</v>
      </c>
      <c r="N400" t="s">
        <v>8</v>
      </c>
    </row>
    <row r="401" spans="8:14" x14ac:dyDescent="0.25">
      <c r="H401" s="1" t="s">
        <v>10</v>
      </c>
      <c r="J401" t="s">
        <v>224</v>
      </c>
      <c r="K401" t="s">
        <v>218</v>
      </c>
      <c r="L401">
        <v>1.65</v>
      </c>
      <c r="M401">
        <v>2.2999999999999998</v>
      </c>
      <c r="N401" t="s">
        <v>8</v>
      </c>
    </row>
    <row r="402" spans="8:14" x14ac:dyDescent="0.25">
      <c r="H402" s="1" t="s">
        <v>10</v>
      </c>
      <c r="J402" t="s">
        <v>224</v>
      </c>
      <c r="K402" t="s">
        <v>218</v>
      </c>
      <c r="L402">
        <v>1.67</v>
      </c>
      <c r="M402">
        <v>2.25</v>
      </c>
      <c r="N402" t="s">
        <v>8</v>
      </c>
    </row>
    <row r="403" spans="8:14" x14ac:dyDescent="0.25">
      <c r="H403" s="1" t="s">
        <v>10</v>
      </c>
      <c r="J403" t="s">
        <v>224</v>
      </c>
      <c r="K403" t="s">
        <v>218</v>
      </c>
      <c r="L403">
        <v>1.65</v>
      </c>
      <c r="M403">
        <v>2.2999999999999998</v>
      </c>
      <c r="N403" t="s">
        <v>8</v>
      </c>
    </row>
    <row r="404" spans="8:14" x14ac:dyDescent="0.25">
      <c r="H404" s="1" t="s">
        <v>10</v>
      </c>
      <c r="J404" t="s">
        <v>224</v>
      </c>
      <c r="K404" t="s">
        <v>218</v>
      </c>
      <c r="L404">
        <v>1.65</v>
      </c>
      <c r="M404">
        <v>2.25</v>
      </c>
      <c r="N404" t="s">
        <v>8</v>
      </c>
    </row>
    <row r="405" spans="8:14" x14ac:dyDescent="0.25">
      <c r="H405" s="1" t="s">
        <v>10</v>
      </c>
      <c r="J405" t="s">
        <v>224</v>
      </c>
      <c r="K405" t="s">
        <v>218</v>
      </c>
      <c r="L405">
        <v>1.67</v>
      </c>
      <c r="M405">
        <v>2.2999999999999998</v>
      </c>
      <c r="N405" t="s">
        <v>8</v>
      </c>
    </row>
    <row r="406" spans="8:14" x14ac:dyDescent="0.25">
      <c r="H406" s="1" t="s">
        <v>10</v>
      </c>
      <c r="J406" t="s">
        <v>224</v>
      </c>
      <c r="K406" t="s">
        <v>218</v>
      </c>
      <c r="L406">
        <v>1.67</v>
      </c>
      <c r="M406">
        <v>2.2999999999999998</v>
      </c>
      <c r="N406" t="s">
        <v>8</v>
      </c>
    </row>
    <row r="407" spans="8:14" x14ac:dyDescent="0.25">
      <c r="H407" s="1" t="s">
        <v>10</v>
      </c>
      <c r="J407" t="s">
        <v>224</v>
      </c>
      <c r="K407" t="s">
        <v>218</v>
      </c>
      <c r="L407">
        <v>1.67</v>
      </c>
      <c r="M407">
        <v>2.2999999999999998</v>
      </c>
      <c r="N407" t="s">
        <v>8</v>
      </c>
    </row>
    <row r="408" spans="8:14" x14ac:dyDescent="0.25">
      <c r="H408" s="1" t="s">
        <v>10</v>
      </c>
      <c r="J408" t="s">
        <v>224</v>
      </c>
      <c r="K408" t="s">
        <v>218</v>
      </c>
      <c r="L408">
        <v>1.67</v>
      </c>
      <c r="M408">
        <v>2.2999999999999998</v>
      </c>
      <c r="N408" t="s">
        <v>8</v>
      </c>
    </row>
    <row r="409" spans="8:14" x14ac:dyDescent="0.25">
      <c r="H409" s="1" t="s">
        <v>10</v>
      </c>
      <c r="J409" t="s">
        <v>224</v>
      </c>
      <c r="K409" t="s">
        <v>218</v>
      </c>
      <c r="L409">
        <v>1.65</v>
      </c>
      <c r="M409">
        <v>2.35</v>
      </c>
      <c r="N409" t="s">
        <v>8</v>
      </c>
    </row>
    <row r="410" spans="8:14" x14ac:dyDescent="0.25">
      <c r="H410" s="1" t="s">
        <v>10</v>
      </c>
      <c r="J410" t="s">
        <v>225</v>
      </c>
      <c r="K410" t="s">
        <v>218</v>
      </c>
      <c r="L410">
        <v>1.95</v>
      </c>
      <c r="M410">
        <v>1.87</v>
      </c>
      <c r="N410" t="s">
        <v>8</v>
      </c>
    </row>
    <row r="411" spans="8:14" x14ac:dyDescent="0.25">
      <c r="H411" s="1" t="s">
        <v>10</v>
      </c>
      <c r="J411" t="s">
        <v>225</v>
      </c>
      <c r="K411" t="s">
        <v>218</v>
      </c>
      <c r="L411">
        <v>1.95</v>
      </c>
      <c r="M411">
        <v>1.88</v>
      </c>
      <c r="N411" t="s">
        <v>8</v>
      </c>
    </row>
    <row r="412" spans="8:14" x14ac:dyDescent="0.25">
      <c r="H412" s="1" t="s">
        <v>10</v>
      </c>
      <c r="J412" t="s">
        <v>225</v>
      </c>
      <c r="K412" t="s">
        <v>218</v>
      </c>
      <c r="L412">
        <v>1.95</v>
      </c>
      <c r="M412">
        <v>1.87</v>
      </c>
      <c r="N412" t="s">
        <v>8</v>
      </c>
    </row>
    <row r="413" spans="8:14" x14ac:dyDescent="0.25">
      <c r="H413" s="1" t="s">
        <v>10</v>
      </c>
      <c r="J413" t="s">
        <v>225</v>
      </c>
      <c r="K413" t="s">
        <v>218</v>
      </c>
      <c r="L413">
        <v>1.94</v>
      </c>
      <c r="M413">
        <v>1.87</v>
      </c>
      <c r="N413" t="s">
        <v>8</v>
      </c>
    </row>
    <row r="414" spans="8:14" x14ac:dyDescent="0.25">
      <c r="H414" s="1" t="s">
        <v>10</v>
      </c>
      <c r="J414" t="s">
        <v>225</v>
      </c>
      <c r="K414" t="s">
        <v>218</v>
      </c>
      <c r="L414">
        <v>1.91</v>
      </c>
      <c r="M414">
        <v>1.91</v>
      </c>
      <c r="N414" t="s">
        <v>8</v>
      </c>
    </row>
    <row r="415" spans="8:14" x14ac:dyDescent="0.25">
      <c r="H415" s="1" t="s">
        <v>10</v>
      </c>
      <c r="J415" t="s">
        <v>225</v>
      </c>
      <c r="K415" t="s">
        <v>218</v>
      </c>
      <c r="L415">
        <v>1.95</v>
      </c>
      <c r="M415">
        <v>1.87</v>
      </c>
      <c r="N415" t="s">
        <v>8</v>
      </c>
    </row>
    <row r="416" spans="8:14" x14ac:dyDescent="0.25">
      <c r="H416" s="1" t="s">
        <v>10</v>
      </c>
      <c r="J416" t="s">
        <v>225</v>
      </c>
      <c r="K416" t="s">
        <v>218</v>
      </c>
      <c r="L416">
        <v>1.94</v>
      </c>
      <c r="M416">
        <v>1.87</v>
      </c>
      <c r="N416" t="s">
        <v>8</v>
      </c>
    </row>
    <row r="417" spans="8:14" x14ac:dyDescent="0.25">
      <c r="H417" s="1" t="s">
        <v>10</v>
      </c>
      <c r="J417" t="s">
        <v>225</v>
      </c>
      <c r="K417" t="s">
        <v>218</v>
      </c>
      <c r="L417">
        <v>1.95</v>
      </c>
      <c r="M417">
        <v>1.87</v>
      </c>
      <c r="N417" t="s">
        <v>8</v>
      </c>
    </row>
    <row r="418" spans="8:14" x14ac:dyDescent="0.25">
      <c r="H418" s="1" t="s">
        <v>10</v>
      </c>
      <c r="J418" t="s">
        <v>225</v>
      </c>
      <c r="K418" t="s">
        <v>218</v>
      </c>
      <c r="L418">
        <v>1.95</v>
      </c>
      <c r="M418">
        <v>1.87</v>
      </c>
      <c r="N418" t="s">
        <v>8</v>
      </c>
    </row>
    <row r="419" spans="8:14" x14ac:dyDescent="0.25">
      <c r="H419" s="1" t="s">
        <v>10</v>
      </c>
      <c r="J419" t="s">
        <v>225</v>
      </c>
      <c r="K419" t="s">
        <v>218</v>
      </c>
      <c r="L419">
        <v>1.95</v>
      </c>
      <c r="M419">
        <v>1.87</v>
      </c>
      <c r="N419" t="s">
        <v>8</v>
      </c>
    </row>
    <row r="420" spans="8:14" x14ac:dyDescent="0.25">
      <c r="H420" s="1" t="s">
        <v>10</v>
      </c>
      <c r="J420" t="s">
        <v>225</v>
      </c>
      <c r="K420" t="s">
        <v>218</v>
      </c>
      <c r="L420">
        <v>1.95</v>
      </c>
      <c r="M420">
        <v>1.87</v>
      </c>
      <c r="N420" t="s">
        <v>8</v>
      </c>
    </row>
    <row r="421" spans="8:14" x14ac:dyDescent="0.25">
      <c r="H421" s="1" t="s">
        <v>10</v>
      </c>
      <c r="J421" t="s">
        <v>226</v>
      </c>
      <c r="K421" t="s">
        <v>218</v>
      </c>
      <c r="L421">
        <v>4.3</v>
      </c>
      <c r="M421">
        <v>1.24</v>
      </c>
      <c r="N421" t="s">
        <v>8</v>
      </c>
    </row>
    <row r="422" spans="8:14" x14ac:dyDescent="0.25">
      <c r="H422" s="1" t="s">
        <v>10</v>
      </c>
      <c r="J422" t="s">
        <v>226</v>
      </c>
      <c r="K422" t="s">
        <v>218</v>
      </c>
      <c r="L422">
        <v>4.25</v>
      </c>
      <c r="M422">
        <v>1.23</v>
      </c>
      <c r="N422" t="s">
        <v>8</v>
      </c>
    </row>
    <row r="423" spans="8:14" x14ac:dyDescent="0.25">
      <c r="H423" s="1" t="s">
        <v>10</v>
      </c>
      <c r="J423" t="s">
        <v>226</v>
      </c>
      <c r="K423" t="s">
        <v>218</v>
      </c>
      <c r="L423">
        <v>4.2</v>
      </c>
      <c r="M423">
        <v>1.23</v>
      </c>
      <c r="N423" t="s">
        <v>8</v>
      </c>
    </row>
    <row r="424" spans="8:14" x14ac:dyDescent="0.25">
      <c r="H424" s="1" t="s">
        <v>10</v>
      </c>
      <c r="J424" t="s">
        <v>226</v>
      </c>
      <c r="K424" t="s">
        <v>218</v>
      </c>
      <c r="L424">
        <v>4.2</v>
      </c>
      <c r="M424">
        <v>1.24</v>
      </c>
      <c r="N424" t="s">
        <v>8</v>
      </c>
    </row>
    <row r="425" spans="8:14" x14ac:dyDescent="0.25">
      <c r="H425" s="1" t="s">
        <v>10</v>
      </c>
      <c r="J425" t="s">
        <v>226</v>
      </c>
      <c r="K425" t="s">
        <v>218</v>
      </c>
      <c r="L425">
        <v>4.25</v>
      </c>
      <c r="M425">
        <v>1.22</v>
      </c>
      <c r="N425" t="s">
        <v>8</v>
      </c>
    </row>
    <row r="426" spans="8:14" x14ac:dyDescent="0.25">
      <c r="H426" s="1" t="s">
        <v>10</v>
      </c>
      <c r="J426" t="s">
        <v>226</v>
      </c>
      <c r="K426" t="s">
        <v>218</v>
      </c>
      <c r="L426">
        <v>4.4000000000000004</v>
      </c>
      <c r="M426">
        <v>1.22</v>
      </c>
      <c r="N426" t="s">
        <v>8</v>
      </c>
    </row>
    <row r="427" spans="8:14" x14ac:dyDescent="0.25">
      <c r="H427" s="1" t="s">
        <v>10</v>
      </c>
      <c r="J427" t="s">
        <v>226</v>
      </c>
      <c r="K427" t="s">
        <v>218</v>
      </c>
      <c r="L427">
        <v>4.1500000000000004</v>
      </c>
      <c r="M427">
        <v>1.24</v>
      </c>
      <c r="N427" t="s">
        <v>8</v>
      </c>
    </row>
    <row r="428" spans="8:14" x14ac:dyDescent="0.25">
      <c r="H428" s="1" t="s">
        <v>10</v>
      </c>
      <c r="J428" t="s">
        <v>226</v>
      </c>
      <c r="K428" t="s">
        <v>218</v>
      </c>
      <c r="L428">
        <v>4.2</v>
      </c>
      <c r="M428">
        <v>1.23</v>
      </c>
      <c r="N428" t="s">
        <v>8</v>
      </c>
    </row>
    <row r="429" spans="8:14" x14ac:dyDescent="0.25">
      <c r="H429" s="1" t="s">
        <v>10</v>
      </c>
      <c r="J429" t="s">
        <v>226</v>
      </c>
      <c r="K429" t="s">
        <v>218</v>
      </c>
      <c r="L429">
        <v>4.0999999999999996</v>
      </c>
      <c r="M429">
        <v>1.26</v>
      </c>
      <c r="N429" t="s">
        <v>8</v>
      </c>
    </row>
    <row r="430" spans="8:14" x14ac:dyDescent="0.25">
      <c r="H430" s="1" t="s">
        <v>10</v>
      </c>
      <c r="J430" t="s">
        <v>226</v>
      </c>
      <c r="K430" t="s">
        <v>218</v>
      </c>
      <c r="L430">
        <v>4</v>
      </c>
      <c r="M430">
        <v>1.25</v>
      </c>
      <c r="N430" t="s">
        <v>8</v>
      </c>
    </row>
    <row r="431" spans="8:14" x14ac:dyDescent="0.25">
      <c r="H431" s="1" t="s">
        <v>10</v>
      </c>
      <c r="J431" t="s">
        <v>226</v>
      </c>
      <c r="K431" t="s">
        <v>218</v>
      </c>
      <c r="L431">
        <v>4</v>
      </c>
      <c r="M431">
        <v>1.26</v>
      </c>
      <c r="N431" t="s">
        <v>8</v>
      </c>
    </row>
    <row r="432" spans="8:14" x14ac:dyDescent="0.25">
      <c r="H432" s="1" t="s">
        <v>10</v>
      </c>
      <c r="J432" t="s">
        <v>226</v>
      </c>
      <c r="K432" t="s">
        <v>218</v>
      </c>
      <c r="L432">
        <v>4.0999999999999996</v>
      </c>
      <c r="M432">
        <v>1.26</v>
      </c>
      <c r="N432" t="s">
        <v>8</v>
      </c>
    </row>
    <row r="433" spans="8:14" x14ac:dyDescent="0.25">
      <c r="H433" s="1" t="s">
        <v>10</v>
      </c>
      <c r="J433" t="s">
        <v>226</v>
      </c>
      <c r="K433" t="s">
        <v>218</v>
      </c>
      <c r="L433">
        <v>4.4000000000000004</v>
      </c>
      <c r="M433">
        <v>1.24</v>
      </c>
      <c r="N433" t="s">
        <v>8</v>
      </c>
    </row>
    <row r="434" spans="8:14" x14ac:dyDescent="0.25">
      <c r="H434" s="1" t="s">
        <v>10</v>
      </c>
      <c r="J434" t="s">
        <v>227</v>
      </c>
      <c r="K434" t="s">
        <v>218</v>
      </c>
      <c r="L434">
        <v>2.7</v>
      </c>
      <c r="M434">
        <v>1.49</v>
      </c>
      <c r="N434" t="s">
        <v>8</v>
      </c>
    </row>
    <row r="435" spans="8:14" x14ac:dyDescent="0.25">
      <c r="H435" s="1" t="s">
        <v>10</v>
      </c>
      <c r="J435" t="s">
        <v>227</v>
      </c>
      <c r="K435" t="s">
        <v>218</v>
      </c>
      <c r="L435">
        <v>2.7</v>
      </c>
      <c r="M435">
        <v>1.5</v>
      </c>
      <c r="N435" t="s">
        <v>8</v>
      </c>
    </row>
    <row r="436" spans="8:14" x14ac:dyDescent="0.25">
      <c r="H436" s="1" t="s">
        <v>10</v>
      </c>
      <c r="J436" t="s">
        <v>227</v>
      </c>
      <c r="K436" t="s">
        <v>218</v>
      </c>
      <c r="L436">
        <v>2.48</v>
      </c>
      <c r="M436">
        <v>1.55</v>
      </c>
      <c r="N436" t="s">
        <v>8</v>
      </c>
    </row>
    <row r="437" spans="8:14" x14ac:dyDescent="0.25">
      <c r="H437" s="1" t="s">
        <v>10</v>
      </c>
      <c r="J437" t="s">
        <v>227</v>
      </c>
      <c r="K437" t="s">
        <v>218</v>
      </c>
      <c r="L437">
        <v>2.62</v>
      </c>
      <c r="M437">
        <v>1.51</v>
      </c>
      <c r="N437" t="s">
        <v>8</v>
      </c>
    </row>
    <row r="438" spans="8:14" x14ac:dyDescent="0.25">
      <c r="H438" s="1" t="s">
        <v>10</v>
      </c>
      <c r="J438" t="s">
        <v>227</v>
      </c>
      <c r="K438" t="s">
        <v>218</v>
      </c>
      <c r="L438">
        <v>2.65</v>
      </c>
      <c r="M438">
        <v>1.5</v>
      </c>
      <c r="N438" t="s">
        <v>8</v>
      </c>
    </row>
    <row r="439" spans="8:14" x14ac:dyDescent="0.25">
      <c r="H439" s="1" t="s">
        <v>10</v>
      </c>
      <c r="J439" t="s">
        <v>227</v>
      </c>
      <c r="K439" t="s">
        <v>218</v>
      </c>
      <c r="L439">
        <v>2.8</v>
      </c>
      <c r="M439">
        <v>1.45</v>
      </c>
      <c r="N439" t="s">
        <v>8</v>
      </c>
    </row>
    <row r="440" spans="8:14" x14ac:dyDescent="0.25">
      <c r="H440" s="1" t="s">
        <v>10</v>
      </c>
      <c r="J440" t="s">
        <v>227</v>
      </c>
      <c r="K440" t="s">
        <v>218</v>
      </c>
      <c r="L440">
        <v>2.65</v>
      </c>
      <c r="M440">
        <v>1.5</v>
      </c>
      <c r="N440" t="s">
        <v>8</v>
      </c>
    </row>
    <row r="441" spans="8:14" x14ac:dyDescent="0.25">
      <c r="H441" s="1" t="s">
        <v>10</v>
      </c>
      <c r="J441" t="s">
        <v>227</v>
      </c>
      <c r="K441" t="s">
        <v>218</v>
      </c>
      <c r="L441">
        <v>2.48</v>
      </c>
      <c r="M441">
        <v>1.55</v>
      </c>
      <c r="N441" t="s">
        <v>8</v>
      </c>
    </row>
    <row r="442" spans="8:14" x14ac:dyDescent="0.25">
      <c r="H442" s="1" t="s">
        <v>10</v>
      </c>
      <c r="J442" t="s">
        <v>227</v>
      </c>
      <c r="K442" t="s">
        <v>218</v>
      </c>
      <c r="L442">
        <v>2.65</v>
      </c>
      <c r="M442">
        <v>1.53</v>
      </c>
      <c r="N442" t="s">
        <v>8</v>
      </c>
    </row>
    <row r="443" spans="8:14" x14ac:dyDescent="0.25">
      <c r="H443" s="1" t="s">
        <v>10</v>
      </c>
      <c r="J443" t="s">
        <v>227</v>
      </c>
      <c r="K443" t="s">
        <v>218</v>
      </c>
      <c r="L443">
        <v>2.6</v>
      </c>
      <c r="M443">
        <v>1.53</v>
      </c>
      <c r="N443" t="s">
        <v>8</v>
      </c>
    </row>
    <row r="444" spans="8:14" x14ac:dyDescent="0.25">
      <c r="H444" s="1" t="s">
        <v>10</v>
      </c>
      <c r="J444" t="s">
        <v>227</v>
      </c>
      <c r="K444" t="s">
        <v>218</v>
      </c>
      <c r="L444">
        <v>2.65</v>
      </c>
      <c r="M444">
        <v>1.51</v>
      </c>
      <c r="N444" t="s">
        <v>8</v>
      </c>
    </row>
    <row r="445" spans="8:14" x14ac:dyDescent="0.25">
      <c r="H445" s="1" t="s">
        <v>10</v>
      </c>
      <c r="J445" t="s">
        <v>227</v>
      </c>
      <c r="K445" t="s">
        <v>218</v>
      </c>
      <c r="L445">
        <v>2.65</v>
      </c>
      <c r="M445">
        <v>1.53</v>
      </c>
      <c r="N445" t="s">
        <v>8</v>
      </c>
    </row>
    <row r="446" spans="8:14" x14ac:dyDescent="0.25">
      <c r="H446" s="1" t="s">
        <v>10</v>
      </c>
      <c r="J446" t="s">
        <v>227</v>
      </c>
      <c r="K446" t="s">
        <v>218</v>
      </c>
      <c r="L446">
        <v>2.7</v>
      </c>
      <c r="M446">
        <v>1.5</v>
      </c>
      <c r="N446" t="s">
        <v>8</v>
      </c>
    </row>
    <row r="447" spans="8:14" x14ac:dyDescent="0.25">
      <c r="H447" s="1" t="s">
        <v>10</v>
      </c>
      <c r="J447" t="s">
        <v>228</v>
      </c>
      <c r="K447" t="s">
        <v>218</v>
      </c>
      <c r="L447">
        <v>2.14</v>
      </c>
      <c r="M447">
        <v>1.74</v>
      </c>
      <c r="N447" t="s">
        <v>8</v>
      </c>
    </row>
    <row r="448" spans="8:14" x14ac:dyDescent="0.25">
      <c r="H448" s="1" t="s">
        <v>10</v>
      </c>
      <c r="J448" t="s">
        <v>228</v>
      </c>
      <c r="K448" t="s">
        <v>218</v>
      </c>
      <c r="L448">
        <v>2.15</v>
      </c>
      <c r="M448">
        <v>1.74</v>
      </c>
      <c r="N448" t="s">
        <v>8</v>
      </c>
    </row>
    <row r="449" spans="8:14" x14ac:dyDescent="0.25">
      <c r="H449" s="1" t="s">
        <v>10</v>
      </c>
      <c r="J449" t="s">
        <v>228</v>
      </c>
      <c r="K449" t="s">
        <v>218</v>
      </c>
      <c r="L449">
        <v>2.12</v>
      </c>
      <c r="M449">
        <v>1.71</v>
      </c>
      <c r="N449" t="s">
        <v>8</v>
      </c>
    </row>
    <row r="450" spans="8:14" x14ac:dyDescent="0.25">
      <c r="H450" s="1" t="s">
        <v>10</v>
      </c>
      <c r="J450" t="s">
        <v>228</v>
      </c>
      <c r="K450" t="s">
        <v>218</v>
      </c>
      <c r="L450">
        <v>2.1800000000000002</v>
      </c>
      <c r="M450">
        <v>1.71</v>
      </c>
      <c r="N450" t="s">
        <v>8</v>
      </c>
    </row>
    <row r="451" spans="8:14" x14ac:dyDescent="0.25">
      <c r="H451" s="1" t="s">
        <v>10</v>
      </c>
      <c r="J451" t="s">
        <v>228</v>
      </c>
      <c r="K451" t="s">
        <v>218</v>
      </c>
      <c r="L451">
        <v>2.1</v>
      </c>
      <c r="M451">
        <v>1.74</v>
      </c>
      <c r="N451" t="s">
        <v>8</v>
      </c>
    </row>
    <row r="452" spans="8:14" x14ac:dyDescent="0.25">
      <c r="H452" s="1" t="s">
        <v>10</v>
      </c>
      <c r="J452" t="s">
        <v>228</v>
      </c>
      <c r="K452" t="s">
        <v>218</v>
      </c>
      <c r="L452">
        <v>2.14</v>
      </c>
      <c r="M452">
        <v>1.73</v>
      </c>
      <c r="N452" t="s">
        <v>8</v>
      </c>
    </row>
    <row r="453" spans="8:14" x14ac:dyDescent="0.25">
      <c r="H453" s="1" t="s">
        <v>10</v>
      </c>
      <c r="J453" t="s">
        <v>228</v>
      </c>
      <c r="K453" t="s">
        <v>218</v>
      </c>
      <c r="L453">
        <v>2.15</v>
      </c>
      <c r="M453">
        <v>1.74</v>
      </c>
      <c r="N453" t="s">
        <v>8</v>
      </c>
    </row>
    <row r="454" spans="8:14" x14ac:dyDescent="0.25">
      <c r="H454" s="1" t="s">
        <v>10</v>
      </c>
      <c r="J454" t="s">
        <v>228</v>
      </c>
      <c r="K454" t="s">
        <v>218</v>
      </c>
      <c r="L454">
        <v>2.12</v>
      </c>
      <c r="M454">
        <v>1.71</v>
      </c>
      <c r="N454" t="s">
        <v>8</v>
      </c>
    </row>
    <row r="455" spans="8:14" x14ac:dyDescent="0.25">
      <c r="H455" s="1" t="s">
        <v>10</v>
      </c>
      <c r="J455" t="s">
        <v>228</v>
      </c>
      <c r="K455" t="s">
        <v>218</v>
      </c>
      <c r="L455">
        <v>2.15</v>
      </c>
      <c r="M455">
        <v>1.74</v>
      </c>
      <c r="N455" t="s">
        <v>8</v>
      </c>
    </row>
    <row r="456" spans="8:14" x14ac:dyDescent="0.25">
      <c r="H456" s="1" t="s">
        <v>10</v>
      </c>
      <c r="J456" t="s">
        <v>228</v>
      </c>
      <c r="K456" t="s">
        <v>218</v>
      </c>
      <c r="L456">
        <v>2.2000000000000002</v>
      </c>
      <c r="M456">
        <v>1.71</v>
      </c>
      <c r="N456" t="s">
        <v>8</v>
      </c>
    </row>
    <row r="457" spans="8:14" x14ac:dyDescent="0.25">
      <c r="H457" s="1" t="s">
        <v>10</v>
      </c>
      <c r="J457" t="s">
        <v>228</v>
      </c>
      <c r="K457" t="s">
        <v>218</v>
      </c>
      <c r="L457">
        <v>2.15</v>
      </c>
      <c r="M457">
        <v>1.74</v>
      </c>
      <c r="N457" t="s">
        <v>8</v>
      </c>
    </row>
    <row r="458" spans="8:14" x14ac:dyDescent="0.25">
      <c r="H458" s="1" t="s">
        <v>10</v>
      </c>
      <c r="J458" t="s">
        <v>228</v>
      </c>
      <c r="K458" t="s">
        <v>218</v>
      </c>
      <c r="L458">
        <v>2.15</v>
      </c>
      <c r="M458">
        <v>1.74</v>
      </c>
      <c r="N458" t="s">
        <v>8</v>
      </c>
    </row>
    <row r="459" spans="8:14" x14ac:dyDescent="0.25">
      <c r="H459" s="1" t="s">
        <v>10</v>
      </c>
      <c r="J459" t="s">
        <v>228</v>
      </c>
      <c r="K459" t="s">
        <v>218</v>
      </c>
      <c r="L459">
        <v>2.15</v>
      </c>
      <c r="M459">
        <v>1.74</v>
      </c>
      <c r="N459" t="s">
        <v>8</v>
      </c>
    </row>
    <row r="460" spans="8:14" x14ac:dyDescent="0.25">
      <c r="H460" s="1" t="s">
        <v>10</v>
      </c>
      <c r="J460" t="s">
        <v>229</v>
      </c>
      <c r="K460" t="s">
        <v>218</v>
      </c>
      <c r="L460">
        <v>2.14</v>
      </c>
      <c r="M460">
        <v>1.74</v>
      </c>
      <c r="N460" t="s">
        <v>8</v>
      </c>
    </row>
    <row r="461" spans="8:14" x14ac:dyDescent="0.25">
      <c r="H461" s="1" t="s">
        <v>10</v>
      </c>
      <c r="J461" t="s">
        <v>229</v>
      </c>
      <c r="K461" t="s">
        <v>218</v>
      </c>
      <c r="L461">
        <v>2.1</v>
      </c>
      <c r="M461">
        <v>1.77</v>
      </c>
      <c r="N461" t="s">
        <v>8</v>
      </c>
    </row>
    <row r="462" spans="8:14" x14ac:dyDescent="0.25">
      <c r="H462" s="1" t="s">
        <v>10</v>
      </c>
      <c r="J462" t="s">
        <v>229</v>
      </c>
      <c r="K462" t="s">
        <v>218</v>
      </c>
      <c r="L462">
        <v>2.1</v>
      </c>
      <c r="M462">
        <v>1.76</v>
      </c>
      <c r="N462" t="s">
        <v>8</v>
      </c>
    </row>
    <row r="463" spans="8:14" x14ac:dyDescent="0.25">
      <c r="H463" s="1" t="s">
        <v>10</v>
      </c>
      <c r="J463" t="s">
        <v>229</v>
      </c>
      <c r="K463" t="s">
        <v>218</v>
      </c>
      <c r="L463">
        <v>2.1</v>
      </c>
      <c r="M463">
        <v>1.77</v>
      </c>
      <c r="N463" t="s">
        <v>8</v>
      </c>
    </row>
    <row r="464" spans="8:14" x14ac:dyDescent="0.25">
      <c r="H464" s="1" t="s">
        <v>10</v>
      </c>
      <c r="J464" t="s">
        <v>229</v>
      </c>
      <c r="K464" t="s">
        <v>218</v>
      </c>
      <c r="L464">
        <v>2.0499999999999998</v>
      </c>
      <c r="M464">
        <v>1.79</v>
      </c>
      <c r="N464" t="s">
        <v>8</v>
      </c>
    </row>
    <row r="465" spans="8:14" x14ac:dyDescent="0.25">
      <c r="H465" s="1" t="s">
        <v>10</v>
      </c>
      <c r="J465" t="s">
        <v>229</v>
      </c>
      <c r="K465" t="s">
        <v>218</v>
      </c>
      <c r="L465">
        <v>2.0499999999999998</v>
      </c>
      <c r="M465">
        <v>1.77</v>
      </c>
      <c r="N465" t="s">
        <v>8</v>
      </c>
    </row>
    <row r="466" spans="8:14" x14ac:dyDescent="0.25">
      <c r="H466" s="1" t="s">
        <v>10</v>
      </c>
      <c r="J466" t="s">
        <v>229</v>
      </c>
      <c r="K466" t="s">
        <v>218</v>
      </c>
      <c r="L466">
        <v>2.15</v>
      </c>
      <c r="M466">
        <v>1.71</v>
      </c>
      <c r="N466" t="s">
        <v>8</v>
      </c>
    </row>
    <row r="467" spans="8:14" x14ac:dyDescent="0.25">
      <c r="H467" s="1" t="s">
        <v>10</v>
      </c>
      <c r="J467" t="s">
        <v>229</v>
      </c>
      <c r="K467" t="s">
        <v>218</v>
      </c>
      <c r="L467">
        <v>2.0499999999999998</v>
      </c>
      <c r="M467">
        <v>1.77</v>
      </c>
      <c r="N467" t="s">
        <v>8</v>
      </c>
    </row>
    <row r="468" spans="8:14" x14ac:dyDescent="0.25">
      <c r="H468" s="1" t="s">
        <v>10</v>
      </c>
      <c r="J468" t="s">
        <v>229</v>
      </c>
      <c r="K468" t="s">
        <v>218</v>
      </c>
      <c r="L468">
        <v>2.0499999999999998</v>
      </c>
      <c r="M468">
        <v>1.8</v>
      </c>
      <c r="N468" t="s">
        <v>8</v>
      </c>
    </row>
    <row r="469" spans="8:14" x14ac:dyDescent="0.25">
      <c r="H469" s="1" t="s">
        <v>10</v>
      </c>
      <c r="J469" t="s">
        <v>229</v>
      </c>
      <c r="K469" t="s">
        <v>218</v>
      </c>
      <c r="L469">
        <v>2.1</v>
      </c>
      <c r="M469">
        <v>1.77</v>
      </c>
      <c r="N469" t="s">
        <v>8</v>
      </c>
    </row>
    <row r="470" spans="8:14" x14ac:dyDescent="0.25">
      <c r="H470" s="1" t="s">
        <v>10</v>
      </c>
      <c r="J470" t="s">
        <v>229</v>
      </c>
      <c r="K470" t="s">
        <v>218</v>
      </c>
      <c r="L470">
        <v>2.0499999999999998</v>
      </c>
      <c r="M470">
        <v>1.8</v>
      </c>
      <c r="N470" t="s">
        <v>8</v>
      </c>
    </row>
    <row r="471" spans="8:14" x14ac:dyDescent="0.25">
      <c r="H471" s="1" t="s">
        <v>10</v>
      </c>
      <c r="J471" t="s">
        <v>229</v>
      </c>
      <c r="K471" t="s">
        <v>218</v>
      </c>
      <c r="L471">
        <v>2.0499999999999998</v>
      </c>
      <c r="M471">
        <v>1.8</v>
      </c>
      <c r="N471" t="s">
        <v>8</v>
      </c>
    </row>
    <row r="472" spans="8:14" x14ac:dyDescent="0.25">
      <c r="H472" s="1" t="s">
        <v>10</v>
      </c>
      <c r="J472" t="s">
        <v>229</v>
      </c>
      <c r="K472" t="s">
        <v>218</v>
      </c>
      <c r="L472">
        <v>2.1</v>
      </c>
      <c r="M472">
        <v>1.77</v>
      </c>
      <c r="N472" t="s">
        <v>8</v>
      </c>
    </row>
    <row r="473" spans="8:14" x14ac:dyDescent="0.25">
      <c r="H473" s="1" t="s">
        <v>10</v>
      </c>
      <c r="J473" t="s">
        <v>230</v>
      </c>
      <c r="K473" t="s">
        <v>218</v>
      </c>
      <c r="L473">
        <v>1.85</v>
      </c>
      <c r="M473">
        <v>1.98</v>
      </c>
      <c r="N473" t="s">
        <v>8</v>
      </c>
    </row>
    <row r="474" spans="8:14" x14ac:dyDescent="0.25">
      <c r="H474" s="1" t="s">
        <v>10</v>
      </c>
      <c r="J474" t="s">
        <v>230</v>
      </c>
      <c r="K474" t="s">
        <v>218</v>
      </c>
      <c r="L474">
        <v>1.87</v>
      </c>
      <c r="M474">
        <v>1.94</v>
      </c>
      <c r="N474" t="s">
        <v>8</v>
      </c>
    </row>
    <row r="475" spans="8:14" x14ac:dyDescent="0.25">
      <c r="H475" s="1" t="s">
        <v>10</v>
      </c>
      <c r="J475" t="s">
        <v>230</v>
      </c>
      <c r="K475" t="s">
        <v>218</v>
      </c>
      <c r="L475">
        <v>1.83</v>
      </c>
      <c r="M475">
        <v>2</v>
      </c>
      <c r="N475" t="s">
        <v>8</v>
      </c>
    </row>
    <row r="476" spans="8:14" x14ac:dyDescent="0.25">
      <c r="H476" s="1" t="s">
        <v>10</v>
      </c>
      <c r="J476" t="s">
        <v>230</v>
      </c>
      <c r="K476" t="s">
        <v>218</v>
      </c>
      <c r="L476">
        <v>1.91</v>
      </c>
      <c r="M476">
        <v>1.91</v>
      </c>
      <c r="N476" t="s">
        <v>8</v>
      </c>
    </row>
    <row r="477" spans="8:14" x14ac:dyDescent="0.25">
      <c r="H477" s="1" t="s">
        <v>10</v>
      </c>
      <c r="J477" t="s">
        <v>230</v>
      </c>
      <c r="K477" t="s">
        <v>218</v>
      </c>
      <c r="L477">
        <v>1.83</v>
      </c>
      <c r="M477">
        <v>2</v>
      </c>
      <c r="N477" t="s">
        <v>8</v>
      </c>
    </row>
    <row r="478" spans="8:14" x14ac:dyDescent="0.25">
      <c r="H478" s="1" t="s">
        <v>10</v>
      </c>
      <c r="J478" t="s">
        <v>230</v>
      </c>
      <c r="K478" t="s">
        <v>218</v>
      </c>
      <c r="L478">
        <v>1.87</v>
      </c>
      <c r="M478">
        <v>1.94</v>
      </c>
      <c r="N478" t="s">
        <v>8</v>
      </c>
    </row>
    <row r="479" spans="8:14" x14ac:dyDescent="0.25">
      <c r="H479" s="1" t="s">
        <v>10</v>
      </c>
      <c r="J479" t="s">
        <v>230</v>
      </c>
      <c r="K479" t="s">
        <v>218</v>
      </c>
      <c r="L479">
        <v>1.87</v>
      </c>
      <c r="M479">
        <v>1.95</v>
      </c>
      <c r="N479" t="s">
        <v>8</v>
      </c>
    </row>
    <row r="480" spans="8:14" x14ac:dyDescent="0.25">
      <c r="H480" s="1" t="s">
        <v>10</v>
      </c>
      <c r="J480" t="s">
        <v>230</v>
      </c>
      <c r="K480" t="s">
        <v>218</v>
      </c>
      <c r="L480">
        <v>1.83</v>
      </c>
      <c r="M480">
        <v>2</v>
      </c>
      <c r="N480" t="s">
        <v>8</v>
      </c>
    </row>
    <row r="481" spans="8:14" x14ac:dyDescent="0.25">
      <c r="H481" s="1" t="s">
        <v>10</v>
      </c>
      <c r="J481" t="s">
        <v>230</v>
      </c>
      <c r="K481" t="s">
        <v>218</v>
      </c>
      <c r="L481">
        <v>1.87</v>
      </c>
      <c r="M481">
        <v>1.95</v>
      </c>
      <c r="N481" t="s">
        <v>8</v>
      </c>
    </row>
    <row r="482" spans="8:14" x14ac:dyDescent="0.25">
      <c r="H482" s="1" t="s">
        <v>10</v>
      </c>
      <c r="J482" t="s">
        <v>230</v>
      </c>
      <c r="K482" t="s">
        <v>218</v>
      </c>
      <c r="L482">
        <v>1.87</v>
      </c>
      <c r="M482">
        <v>1.95</v>
      </c>
      <c r="N482" t="s">
        <v>8</v>
      </c>
    </row>
    <row r="483" spans="8:14" x14ac:dyDescent="0.25">
      <c r="H483" s="1" t="s">
        <v>10</v>
      </c>
      <c r="J483" t="s">
        <v>230</v>
      </c>
      <c r="K483" t="s">
        <v>218</v>
      </c>
      <c r="L483">
        <v>1.83</v>
      </c>
      <c r="M483">
        <v>2</v>
      </c>
      <c r="N483" t="s">
        <v>8</v>
      </c>
    </row>
    <row r="484" spans="8:14" x14ac:dyDescent="0.25">
      <c r="H484" s="1" t="s">
        <v>10</v>
      </c>
      <c r="J484" t="s">
        <v>230</v>
      </c>
      <c r="K484" t="s">
        <v>218</v>
      </c>
      <c r="L484">
        <v>1.87</v>
      </c>
      <c r="M484">
        <v>1.95</v>
      </c>
      <c r="N484" t="s">
        <v>8</v>
      </c>
    </row>
    <row r="485" spans="8:14" x14ac:dyDescent="0.25">
      <c r="H485" s="1" t="s">
        <v>10</v>
      </c>
      <c r="J485" t="s">
        <v>231</v>
      </c>
      <c r="K485" t="s">
        <v>232</v>
      </c>
      <c r="L485">
        <v>1.74</v>
      </c>
      <c r="M485">
        <v>2.14</v>
      </c>
      <c r="N485" t="s">
        <v>8</v>
      </c>
    </row>
    <row r="486" spans="8:14" x14ac:dyDescent="0.25">
      <c r="H486" s="1" t="s">
        <v>10</v>
      </c>
      <c r="J486" t="s">
        <v>231</v>
      </c>
      <c r="K486" t="s">
        <v>232</v>
      </c>
      <c r="L486">
        <v>1.7</v>
      </c>
      <c r="M486">
        <v>2.1800000000000002</v>
      </c>
      <c r="N486" t="s">
        <v>8</v>
      </c>
    </row>
    <row r="487" spans="8:14" x14ac:dyDescent="0.25">
      <c r="H487" s="1" t="s">
        <v>10</v>
      </c>
      <c r="J487" t="s">
        <v>231</v>
      </c>
      <c r="K487" t="s">
        <v>232</v>
      </c>
      <c r="L487">
        <v>1.8</v>
      </c>
      <c r="M487">
        <v>2.0499999999999998</v>
      </c>
      <c r="N487" t="s">
        <v>8</v>
      </c>
    </row>
    <row r="488" spans="8:14" x14ac:dyDescent="0.25">
      <c r="H488" s="1" t="s">
        <v>10</v>
      </c>
      <c r="J488" t="s">
        <v>231</v>
      </c>
      <c r="K488" t="s">
        <v>232</v>
      </c>
      <c r="L488">
        <v>1.74</v>
      </c>
      <c r="M488">
        <v>2.12</v>
      </c>
      <c r="N488" t="s">
        <v>8</v>
      </c>
    </row>
    <row r="489" spans="8:14" x14ac:dyDescent="0.25">
      <c r="H489" s="1" t="s">
        <v>10</v>
      </c>
      <c r="J489" t="s">
        <v>231</v>
      </c>
      <c r="K489" t="s">
        <v>232</v>
      </c>
      <c r="L489">
        <v>1.71</v>
      </c>
      <c r="M489">
        <v>2.1800000000000002</v>
      </c>
      <c r="N489" t="s">
        <v>8</v>
      </c>
    </row>
    <row r="490" spans="8:14" x14ac:dyDescent="0.25">
      <c r="H490" s="1" t="s">
        <v>10</v>
      </c>
      <c r="J490" t="s">
        <v>231</v>
      </c>
      <c r="K490" t="s">
        <v>232</v>
      </c>
      <c r="L490">
        <v>1.74</v>
      </c>
      <c r="M490">
        <v>2.15</v>
      </c>
      <c r="N490" t="s">
        <v>8</v>
      </c>
    </row>
    <row r="491" spans="8:14" x14ac:dyDescent="0.25">
      <c r="H491" s="1" t="s">
        <v>10</v>
      </c>
      <c r="J491" t="s">
        <v>231</v>
      </c>
      <c r="K491" t="s">
        <v>232</v>
      </c>
      <c r="L491">
        <v>1.74</v>
      </c>
      <c r="M491">
        <v>2.1</v>
      </c>
      <c r="N491" t="s">
        <v>8</v>
      </c>
    </row>
    <row r="492" spans="8:14" x14ac:dyDescent="0.25">
      <c r="H492" s="1" t="s">
        <v>10</v>
      </c>
      <c r="J492" t="s">
        <v>231</v>
      </c>
      <c r="K492" t="s">
        <v>232</v>
      </c>
      <c r="L492">
        <v>1.74</v>
      </c>
      <c r="M492">
        <v>2.12</v>
      </c>
      <c r="N492" t="s">
        <v>8</v>
      </c>
    </row>
    <row r="493" spans="8:14" x14ac:dyDescent="0.25">
      <c r="H493" s="1" t="s">
        <v>10</v>
      </c>
      <c r="J493" t="s">
        <v>231</v>
      </c>
      <c r="K493" t="s">
        <v>232</v>
      </c>
      <c r="L493">
        <v>1.77</v>
      </c>
      <c r="M493">
        <v>2.1</v>
      </c>
      <c r="N493" t="s">
        <v>8</v>
      </c>
    </row>
    <row r="494" spans="8:14" x14ac:dyDescent="0.25">
      <c r="H494" s="1" t="s">
        <v>10</v>
      </c>
      <c r="J494" t="s">
        <v>231</v>
      </c>
      <c r="K494" t="s">
        <v>232</v>
      </c>
      <c r="L494">
        <v>1.74</v>
      </c>
      <c r="M494">
        <v>2.15</v>
      </c>
      <c r="N494" t="s">
        <v>8</v>
      </c>
    </row>
    <row r="495" spans="8:14" x14ac:dyDescent="0.25">
      <c r="H495" s="1" t="s">
        <v>10</v>
      </c>
      <c r="J495" t="s">
        <v>231</v>
      </c>
      <c r="K495" t="s">
        <v>232</v>
      </c>
      <c r="L495">
        <v>1.77</v>
      </c>
      <c r="M495">
        <v>2.1</v>
      </c>
      <c r="N495" t="s">
        <v>8</v>
      </c>
    </row>
    <row r="496" spans="8:14" x14ac:dyDescent="0.25">
      <c r="H496" s="1" t="s">
        <v>10</v>
      </c>
      <c r="J496" t="s">
        <v>231</v>
      </c>
      <c r="K496" t="s">
        <v>232</v>
      </c>
      <c r="L496">
        <v>1.77</v>
      </c>
      <c r="M496">
        <v>2.1</v>
      </c>
      <c r="N496" t="s">
        <v>8</v>
      </c>
    </row>
    <row r="497" spans="8:14" x14ac:dyDescent="0.25">
      <c r="H497" s="1" t="s">
        <v>10</v>
      </c>
      <c r="J497" t="s">
        <v>231</v>
      </c>
      <c r="K497" t="s">
        <v>232</v>
      </c>
      <c r="L497">
        <v>1.77</v>
      </c>
      <c r="M497">
        <v>2.1</v>
      </c>
      <c r="N497" t="s">
        <v>8</v>
      </c>
    </row>
    <row r="498" spans="8:14" x14ac:dyDescent="0.25">
      <c r="H498" s="1" t="s">
        <v>10</v>
      </c>
      <c r="J498" t="s">
        <v>233</v>
      </c>
      <c r="K498" t="s">
        <v>232</v>
      </c>
      <c r="L498">
        <v>1.85</v>
      </c>
      <c r="M498">
        <v>1.98</v>
      </c>
      <c r="N498" t="s">
        <v>8</v>
      </c>
    </row>
    <row r="499" spans="8:14" x14ac:dyDescent="0.25">
      <c r="H499" s="1" t="s">
        <v>10</v>
      </c>
      <c r="J499" t="s">
        <v>233</v>
      </c>
      <c r="K499" t="s">
        <v>232</v>
      </c>
      <c r="L499">
        <v>1.87</v>
      </c>
      <c r="M499">
        <v>1.96</v>
      </c>
      <c r="N499" t="s">
        <v>8</v>
      </c>
    </row>
    <row r="500" spans="8:14" x14ac:dyDescent="0.25">
      <c r="H500" s="1" t="s">
        <v>10</v>
      </c>
      <c r="J500" t="s">
        <v>233</v>
      </c>
      <c r="K500" t="s">
        <v>232</v>
      </c>
      <c r="L500">
        <v>1.91</v>
      </c>
      <c r="M500">
        <v>1.91</v>
      </c>
      <c r="N500" t="s">
        <v>8</v>
      </c>
    </row>
    <row r="501" spans="8:14" x14ac:dyDescent="0.25">
      <c r="H501" s="1" t="s">
        <v>10</v>
      </c>
      <c r="J501" t="s">
        <v>233</v>
      </c>
      <c r="K501" t="s">
        <v>232</v>
      </c>
      <c r="L501">
        <v>1.85</v>
      </c>
      <c r="M501">
        <v>1.97</v>
      </c>
      <c r="N501" t="s">
        <v>8</v>
      </c>
    </row>
    <row r="502" spans="8:14" x14ac:dyDescent="0.25">
      <c r="H502" s="1" t="s">
        <v>10</v>
      </c>
      <c r="J502" t="s">
        <v>233</v>
      </c>
      <c r="K502" t="s">
        <v>232</v>
      </c>
      <c r="L502">
        <v>1.83</v>
      </c>
      <c r="M502">
        <v>2</v>
      </c>
      <c r="N502" t="s">
        <v>8</v>
      </c>
    </row>
    <row r="503" spans="8:14" x14ac:dyDescent="0.25">
      <c r="H503" s="1" t="s">
        <v>10</v>
      </c>
      <c r="J503" t="s">
        <v>233</v>
      </c>
      <c r="K503" t="s">
        <v>232</v>
      </c>
      <c r="L503">
        <v>1.87</v>
      </c>
      <c r="M503">
        <v>1.95</v>
      </c>
      <c r="N503" t="s">
        <v>8</v>
      </c>
    </row>
    <row r="504" spans="8:14" x14ac:dyDescent="0.25">
      <c r="H504" s="1" t="s">
        <v>10</v>
      </c>
      <c r="J504" t="s">
        <v>233</v>
      </c>
      <c r="K504" t="s">
        <v>232</v>
      </c>
      <c r="L504">
        <v>1.83</v>
      </c>
      <c r="M504">
        <v>2</v>
      </c>
      <c r="N504" t="s">
        <v>8</v>
      </c>
    </row>
    <row r="505" spans="8:14" x14ac:dyDescent="0.25">
      <c r="H505" s="1" t="s">
        <v>10</v>
      </c>
      <c r="J505" t="s">
        <v>233</v>
      </c>
      <c r="K505" t="s">
        <v>232</v>
      </c>
      <c r="L505">
        <v>1.85</v>
      </c>
      <c r="M505">
        <v>1.97</v>
      </c>
      <c r="N505" t="s">
        <v>8</v>
      </c>
    </row>
    <row r="506" spans="8:14" x14ac:dyDescent="0.25">
      <c r="H506" s="1" t="s">
        <v>10</v>
      </c>
      <c r="J506" t="s">
        <v>233</v>
      </c>
      <c r="K506" t="s">
        <v>232</v>
      </c>
      <c r="L506">
        <v>1.87</v>
      </c>
      <c r="M506">
        <v>1.95</v>
      </c>
      <c r="N506" t="s">
        <v>8</v>
      </c>
    </row>
    <row r="507" spans="8:14" x14ac:dyDescent="0.25">
      <c r="H507" s="1" t="s">
        <v>10</v>
      </c>
      <c r="J507" t="s">
        <v>233</v>
      </c>
      <c r="K507" t="s">
        <v>232</v>
      </c>
      <c r="L507">
        <v>1.87</v>
      </c>
      <c r="M507">
        <v>1.95</v>
      </c>
      <c r="N507" t="s">
        <v>8</v>
      </c>
    </row>
    <row r="508" spans="8:14" x14ac:dyDescent="0.25">
      <c r="H508" s="1" t="s">
        <v>10</v>
      </c>
      <c r="J508" t="s">
        <v>234</v>
      </c>
      <c r="K508" t="s">
        <v>232</v>
      </c>
      <c r="L508">
        <v>3.35</v>
      </c>
      <c r="M508">
        <v>1.34</v>
      </c>
      <c r="N508" t="s">
        <v>8</v>
      </c>
    </row>
    <row r="509" spans="8:14" x14ac:dyDescent="0.25">
      <c r="H509" s="1" t="s">
        <v>10</v>
      </c>
      <c r="J509" t="s">
        <v>234</v>
      </c>
      <c r="K509" t="s">
        <v>232</v>
      </c>
      <c r="L509">
        <v>3.55</v>
      </c>
      <c r="M509">
        <v>1.32</v>
      </c>
      <c r="N509" t="s">
        <v>8</v>
      </c>
    </row>
    <row r="510" spans="8:14" x14ac:dyDescent="0.25">
      <c r="H510" s="1" t="s">
        <v>10</v>
      </c>
      <c r="J510" t="s">
        <v>234</v>
      </c>
      <c r="K510" t="s">
        <v>232</v>
      </c>
      <c r="L510">
        <v>3.4</v>
      </c>
      <c r="M510">
        <v>1.32</v>
      </c>
      <c r="N510" t="s">
        <v>8</v>
      </c>
    </row>
    <row r="511" spans="8:14" x14ac:dyDescent="0.25">
      <c r="H511" s="1" t="s">
        <v>10</v>
      </c>
      <c r="J511" t="s">
        <v>234</v>
      </c>
      <c r="K511" t="s">
        <v>232</v>
      </c>
      <c r="L511">
        <v>3.4</v>
      </c>
      <c r="M511">
        <v>1.33</v>
      </c>
      <c r="N511" t="s">
        <v>8</v>
      </c>
    </row>
    <row r="512" spans="8:14" x14ac:dyDescent="0.25">
      <c r="H512" s="1" t="s">
        <v>10</v>
      </c>
      <c r="J512" t="s">
        <v>234</v>
      </c>
      <c r="K512" t="s">
        <v>232</v>
      </c>
      <c r="L512">
        <v>3.4</v>
      </c>
      <c r="M512">
        <v>1.33</v>
      </c>
      <c r="N512" t="s">
        <v>8</v>
      </c>
    </row>
    <row r="513" spans="8:14" x14ac:dyDescent="0.25">
      <c r="H513" s="1" t="s">
        <v>10</v>
      </c>
      <c r="J513" t="s">
        <v>234</v>
      </c>
      <c r="K513" t="s">
        <v>232</v>
      </c>
      <c r="L513">
        <v>3.4</v>
      </c>
      <c r="M513">
        <v>1.33</v>
      </c>
      <c r="N513" t="s">
        <v>8</v>
      </c>
    </row>
    <row r="514" spans="8:14" x14ac:dyDescent="0.25">
      <c r="H514" s="1" t="s">
        <v>10</v>
      </c>
      <c r="J514" t="s">
        <v>234</v>
      </c>
      <c r="K514" t="s">
        <v>232</v>
      </c>
      <c r="L514">
        <v>3.65</v>
      </c>
      <c r="M514">
        <v>1.3</v>
      </c>
      <c r="N514" t="s">
        <v>8</v>
      </c>
    </row>
    <row r="515" spans="8:14" x14ac:dyDescent="0.25">
      <c r="H515" s="1" t="s">
        <v>10</v>
      </c>
      <c r="J515" t="s">
        <v>234</v>
      </c>
      <c r="K515" t="s">
        <v>232</v>
      </c>
      <c r="L515">
        <v>3.4</v>
      </c>
      <c r="M515">
        <v>1.32</v>
      </c>
      <c r="N515" t="s">
        <v>8</v>
      </c>
    </row>
    <row r="516" spans="8:14" x14ac:dyDescent="0.25">
      <c r="H516" s="1" t="s">
        <v>10</v>
      </c>
      <c r="J516" t="s">
        <v>234</v>
      </c>
      <c r="K516" t="s">
        <v>232</v>
      </c>
      <c r="L516">
        <v>3.3</v>
      </c>
      <c r="M516">
        <v>1.36</v>
      </c>
      <c r="N516" t="s">
        <v>8</v>
      </c>
    </row>
    <row r="517" spans="8:14" x14ac:dyDescent="0.25">
      <c r="H517" s="1" t="s">
        <v>10</v>
      </c>
      <c r="J517" t="s">
        <v>234</v>
      </c>
      <c r="K517" t="s">
        <v>232</v>
      </c>
      <c r="L517">
        <v>3.4</v>
      </c>
      <c r="M517">
        <v>1.33</v>
      </c>
      <c r="N517" t="s">
        <v>8</v>
      </c>
    </row>
    <row r="518" spans="8:14" x14ac:dyDescent="0.25">
      <c r="H518" s="1" t="s">
        <v>10</v>
      </c>
      <c r="J518" t="s">
        <v>234</v>
      </c>
      <c r="K518" t="s">
        <v>232</v>
      </c>
      <c r="L518">
        <v>3.5</v>
      </c>
      <c r="M518">
        <v>1.33</v>
      </c>
      <c r="N518" t="s">
        <v>8</v>
      </c>
    </row>
    <row r="519" spans="8:14" x14ac:dyDescent="0.25">
      <c r="H519" s="1" t="s">
        <v>10</v>
      </c>
      <c r="J519" t="s">
        <v>234</v>
      </c>
      <c r="K519" t="s">
        <v>232</v>
      </c>
      <c r="L519">
        <v>3.3</v>
      </c>
      <c r="M519">
        <v>1.36</v>
      </c>
      <c r="N519" t="s">
        <v>8</v>
      </c>
    </row>
    <row r="520" spans="8:14" x14ac:dyDescent="0.25">
      <c r="H520" s="1" t="s">
        <v>10</v>
      </c>
      <c r="J520" t="s">
        <v>234</v>
      </c>
      <c r="K520" t="s">
        <v>232</v>
      </c>
      <c r="L520">
        <v>3.5</v>
      </c>
      <c r="M520">
        <v>1.33</v>
      </c>
      <c r="N520" t="s">
        <v>8</v>
      </c>
    </row>
    <row r="521" spans="8:14" x14ac:dyDescent="0.25">
      <c r="H521" s="1" t="s">
        <v>10</v>
      </c>
      <c r="J521" t="s">
        <v>235</v>
      </c>
      <c r="K521" t="s">
        <v>236</v>
      </c>
      <c r="L521">
        <v>5.0999999999999996</v>
      </c>
      <c r="M521">
        <v>1.18</v>
      </c>
      <c r="N521" t="s">
        <v>8</v>
      </c>
    </row>
    <row r="522" spans="8:14" x14ac:dyDescent="0.25">
      <c r="H522" s="1" t="s">
        <v>10</v>
      </c>
      <c r="J522" t="s">
        <v>235</v>
      </c>
      <c r="K522" t="s">
        <v>236</v>
      </c>
      <c r="L522">
        <v>4.9000000000000004</v>
      </c>
      <c r="M522">
        <v>1.18</v>
      </c>
      <c r="N522" t="s">
        <v>8</v>
      </c>
    </row>
    <row r="523" spans="8:14" x14ac:dyDescent="0.25">
      <c r="H523" s="1" t="s">
        <v>10</v>
      </c>
      <c r="J523" t="s">
        <v>235</v>
      </c>
      <c r="K523" t="s">
        <v>236</v>
      </c>
      <c r="L523">
        <v>5.2</v>
      </c>
      <c r="M523">
        <v>1.17</v>
      </c>
      <c r="N523" t="s">
        <v>8</v>
      </c>
    </row>
    <row r="524" spans="8:14" x14ac:dyDescent="0.25">
      <c r="H524" s="1" t="s">
        <v>10</v>
      </c>
      <c r="J524" t="s">
        <v>235</v>
      </c>
      <c r="K524" t="s">
        <v>236</v>
      </c>
      <c r="L524">
        <v>5</v>
      </c>
      <c r="M524">
        <v>1.18</v>
      </c>
      <c r="N524" t="s">
        <v>8</v>
      </c>
    </row>
    <row r="525" spans="8:14" x14ac:dyDescent="0.25">
      <c r="H525" s="1" t="s">
        <v>10</v>
      </c>
      <c r="J525" t="s">
        <v>235</v>
      </c>
      <c r="K525" t="s">
        <v>236</v>
      </c>
      <c r="L525">
        <v>5</v>
      </c>
      <c r="M525">
        <v>1.18</v>
      </c>
      <c r="N525" t="s">
        <v>8</v>
      </c>
    </row>
    <row r="526" spans="8:14" x14ac:dyDescent="0.25">
      <c r="H526" s="1" t="s">
        <v>10</v>
      </c>
      <c r="J526" t="s">
        <v>235</v>
      </c>
      <c r="K526" t="s">
        <v>236</v>
      </c>
      <c r="L526">
        <v>4.8499999999999996</v>
      </c>
      <c r="M526">
        <v>1.19</v>
      </c>
      <c r="N526" t="s">
        <v>8</v>
      </c>
    </row>
    <row r="527" spans="8:14" x14ac:dyDescent="0.25">
      <c r="H527" s="1" t="s">
        <v>10</v>
      </c>
      <c r="J527" t="s">
        <v>235</v>
      </c>
      <c r="K527" t="s">
        <v>236</v>
      </c>
      <c r="L527">
        <v>5.0999999999999996</v>
      </c>
      <c r="M527">
        <v>1.18</v>
      </c>
      <c r="N527" t="s">
        <v>8</v>
      </c>
    </row>
    <row r="528" spans="8:14" x14ac:dyDescent="0.25">
      <c r="H528" s="1" t="s">
        <v>10</v>
      </c>
      <c r="J528" t="s">
        <v>235</v>
      </c>
      <c r="K528" t="s">
        <v>236</v>
      </c>
      <c r="L528">
        <v>5.2</v>
      </c>
      <c r="M528">
        <v>1.17</v>
      </c>
      <c r="N528" t="s">
        <v>8</v>
      </c>
    </row>
    <row r="529" spans="8:14" x14ac:dyDescent="0.25">
      <c r="H529" s="1" t="s">
        <v>10</v>
      </c>
      <c r="J529" t="s">
        <v>235</v>
      </c>
      <c r="K529" t="s">
        <v>236</v>
      </c>
      <c r="L529">
        <v>5.15</v>
      </c>
      <c r="M529">
        <v>1.19</v>
      </c>
      <c r="N529" t="s">
        <v>8</v>
      </c>
    </row>
    <row r="530" spans="8:14" x14ac:dyDescent="0.25">
      <c r="H530" s="1" t="s">
        <v>10</v>
      </c>
      <c r="J530" t="s">
        <v>235</v>
      </c>
      <c r="K530" t="s">
        <v>236</v>
      </c>
      <c r="L530">
        <v>5</v>
      </c>
      <c r="M530">
        <v>1.18</v>
      </c>
      <c r="N530" t="s">
        <v>8</v>
      </c>
    </row>
    <row r="531" spans="8:14" x14ac:dyDescent="0.25">
      <c r="H531" s="1" t="s">
        <v>10</v>
      </c>
      <c r="J531" t="s">
        <v>235</v>
      </c>
      <c r="K531" t="s">
        <v>236</v>
      </c>
      <c r="L531">
        <v>5.05</v>
      </c>
      <c r="M531">
        <v>1.19</v>
      </c>
      <c r="N531" t="s">
        <v>8</v>
      </c>
    </row>
    <row r="532" spans="8:14" x14ac:dyDescent="0.25">
      <c r="H532" s="1" t="s">
        <v>10</v>
      </c>
      <c r="J532" t="s">
        <v>235</v>
      </c>
      <c r="K532" t="s">
        <v>236</v>
      </c>
      <c r="L532">
        <v>5.15</v>
      </c>
      <c r="M532">
        <v>1.19</v>
      </c>
      <c r="N532" t="s">
        <v>8</v>
      </c>
    </row>
    <row r="533" spans="8:14" x14ac:dyDescent="0.25">
      <c r="H533" s="1" t="s">
        <v>10</v>
      </c>
      <c r="J533" t="s">
        <v>235</v>
      </c>
      <c r="K533" t="s">
        <v>236</v>
      </c>
      <c r="L533">
        <v>4.8</v>
      </c>
      <c r="M533">
        <v>1.2</v>
      </c>
      <c r="N533" t="s">
        <v>8</v>
      </c>
    </row>
    <row r="534" spans="8:14" x14ac:dyDescent="0.25">
      <c r="H534" s="1" t="s">
        <v>10</v>
      </c>
      <c r="J534" t="s">
        <v>237</v>
      </c>
      <c r="K534" t="s">
        <v>238</v>
      </c>
      <c r="L534">
        <v>1.07</v>
      </c>
      <c r="M534">
        <v>9</v>
      </c>
      <c r="N534" t="s">
        <v>8</v>
      </c>
    </row>
    <row r="535" spans="8:14" x14ac:dyDescent="0.25">
      <c r="H535" s="1" t="s">
        <v>10</v>
      </c>
      <c r="J535" t="s">
        <v>237</v>
      </c>
      <c r="K535" t="s">
        <v>238</v>
      </c>
      <c r="L535">
        <v>1.06</v>
      </c>
      <c r="M535">
        <v>9.6</v>
      </c>
      <c r="N535" t="s">
        <v>8</v>
      </c>
    </row>
    <row r="536" spans="8:14" x14ac:dyDescent="0.25">
      <c r="H536" s="1" t="s">
        <v>10</v>
      </c>
      <c r="J536" t="s">
        <v>237</v>
      </c>
      <c r="K536" t="s">
        <v>238</v>
      </c>
      <c r="L536">
        <v>1.06</v>
      </c>
      <c r="M536">
        <v>9</v>
      </c>
      <c r="N536" t="s">
        <v>8</v>
      </c>
    </row>
    <row r="537" spans="8:14" x14ac:dyDescent="0.25">
      <c r="H537" s="1" t="s">
        <v>10</v>
      </c>
      <c r="J537" t="s">
        <v>237</v>
      </c>
      <c r="K537" t="s">
        <v>238</v>
      </c>
      <c r="L537">
        <v>1.07</v>
      </c>
      <c r="M537">
        <v>8.5</v>
      </c>
      <c r="N537" t="s">
        <v>8</v>
      </c>
    </row>
    <row r="538" spans="8:14" x14ac:dyDescent="0.25">
      <c r="H538" s="1" t="s">
        <v>10</v>
      </c>
      <c r="J538" t="s">
        <v>237</v>
      </c>
      <c r="K538" t="s">
        <v>238</v>
      </c>
      <c r="L538">
        <v>1.06</v>
      </c>
      <c r="M538">
        <v>10</v>
      </c>
      <c r="N538" t="s">
        <v>8</v>
      </c>
    </row>
    <row r="539" spans="8:14" x14ac:dyDescent="0.25">
      <c r="H539" s="1" t="s">
        <v>10</v>
      </c>
      <c r="J539" t="s">
        <v>237</v>
      </c>
      <c r="K539" t="s">
        <v>238</v>
      </c>
      <c r="L539">
        <v>1.06</v>
      </c>
      <c r="M539">
        <v>9.5500000000000007</v>
      </c>
      <c r="N539" t="s">
        <v>8</v>
      </c>
    </row>
    <row r="540" spans="8:14" x14ac:dyDescent="0.25">
      <c r="H540" s="1" t="s">
        <v>10</v>
      </c>
      <c r="J540" t="s">
        <v>237</v>
      </c>
      <c r="K540" t="s">
        <v>238</v>
      </c>
      <c r="L540">
        <v>1.07</v>
      </c>
      <c r="M540">
        <v>8.5</v>
      </c>
      <c r="N540" t="s">
        <v>8</v>
      </c>
    </row>
    <row r="541" spans="8:14" x14ac:dyDescent="0.25">
      <c r="H541" s="1" t="s">
        <v>10</v>
      </c>
      <c r="J541" t="s">
        <v>237</v>
      </c>
      <c r="K541" t="s">
        <v>238</v>
      </c>
      <c r="L541">
        <v>1.06</v>
      </c>
      <c r="M541">
        <v>10.5</v>
      </c>
      <c r="N541" t="s">
        <v>8</v>
      </c>
    </row>
    <row r="542" spans="8:14" x14ac:dyDescent="0.25">
      <c r="H542" s="1" t="s">
        <v>10</v>
      </c>
      <c r="J542" t="s">
        <v>237</v>
      </c>
      <c r="K542" t="s">
        <v>238</v>
      </c>
      <c r="L542">
        <v>1.06</v>
      </c>
      <c r="M542">
        <v>9.5</v>
      </c>
      <c r="N542" t="s">
        <v>8</v>
      </c>
    </row>
    <row r="543" spans="8:14" x14ac:dyDescent="0.25">
      <c r="H543" s="1" t="s">
        <v>10</v>
      </c>
      <c r="J543" t="s">
        <v>237</v>
      </c>
      <c r="K543" t="s">
        <v>238</v>
      </c>
      <c r="L543">
        <v>1.06</v>
      </c>
      <c r="M543">
        <v>10</v>
      </c>
      <c r="N543" t="s">
        <v>8</v>
      </c>
    </row>
    <row r="544" spans="8:14" x14ac:dyDescent="0.25">
      <c r="H544" s="1" t="s">
        <v>10</v>
      </c>
      <c r="J544" t="s">
        <v>237</v>
      </c>
      <c r="K544" t="s">
        <v>238</v>
      </c>
      <c r="L544">
        <v>1.06</v>
      </c>
      <c r="M544">
        <v>10.5</v>
      </c>
      <c r="N544" t="s">
        <v>8</v>
      </c>
    </row>
    <row r="545" spans="8:14" x14ac:dyDescent="0.25">
      <c r="H545" s="1" t="s">
        <v>10</v>
      </c>
      <c r="J545" t="s">
        <v>237</v>
      </c>
      <c r="K545" t="s">
        <v>238</v>
      </c>
      <c r="L545">
        <v>1.06</v>
      </c>
      <c r="M545">
        <v>10</v>
      </c>
      <c r="N545" t="s">
        <v>8</v>
      </c>
    </row>
    <row r="546" spans="8:14" x14ac:dyDescent="0.25">
      <c r="H546" s="1" t="s">
        <v>10</v>
      </c>
      <c r="J546" t="s">
        <v>237</v>
      </c>
      <c r="K546" t="s">
        <v>238</v>
      </c>
      <c r="L546">
        <v>1.05</v>
      </c>
      <c r="M546">
        <v>11</v>
      </c>
      <c r="N546" t="s">
        <v>8</v>
      </c>
    </row>
    <row r="547" spans="8:14" x14ac:dyDescent="0.25">
      <c r="H547" s="1" t="s">
        <v>10</v>
      </c>
      <c r="J547" t="s">
        <v>239</v>
      </c>
      <c r="K547" t="s">
        <v>240</v>
      </c>
      <c r="L547">
        <v>1.23</v>
      </c>
      <c r="M547">
        <v>4.4000000000000004</v>
      </c>
      <c r="N547" t="s">
        <v>8</v>
      </c>
    </row>
    <row r="548" spans="8:14" x14ac:dyDescent="0.25">
      <c r="H548" s="1" t="s">
        <v>10</v>
      </c>
      <c r="J548" t="s">
        <v>239</v>
      </c>
      <c r="K548" t="s">
        <v>240</v>
      </c>
      <c r="L548">
        <v>1.24</v>
      </c>
      <c r="M548">
        <v>4.3499999999999996</v>
      </c>
      <c r="N548" t="s">
        <v>8</v>
      </c>
    </row>
    <row r="549" spans="8:14" x14ac:dyDescent="0.25">
      <c r="H549" s="1" t="s">
        <v>10</v>
      </c>
      <c r="J549" t="s">
        <v>239</v>
      </c>
      <c r="K549" t="s">
        <v>240</v>
      </c>
      <c r="L549">
        <v>1.22</v>
      </c>
      <c r="M549">
        <v>4.5</v>
      </c>
      <c r="N549" t="s">
        <v>8</v>
      </c>
    </row>
    <row r="550" spans="8:14" x14ac:dyDescent="0.25">
      <c r="H550" s="1" t="s">
        <v>10</v>
      </c>
      <c r="J550" t="s">
        <v>239</v>
      </c>
      <c r="K550" t="s">
        <v>240</v>
      </c>
      <c r="L550">
        <v>1.22</v>
      </c>
      <c r="M550">
        <v>4.3499999999999996</v>
      </c>
      <c r="N550" t="s">
        <v>8</v>
      </c>
    </row>
    <row r="551" spans="8:14" x14ac:dyDescent="0.25">
      <c r="H551" s="1" t="s">
        <v>10</v>
      </c>
      <c r="J551" t="s">
        <v>239</v>
      </c>
      <c r="K551" t="s">
        <v>240</v>
      </c>
      <c r="L551">
        <v>1.25</v>
      </c>
      <c r="M551">
        <v>4</v>
      </c>
      <c r="N551" t="s">
        <v>8</v>
      </c>
    </row>
    <row r="552" spans="8:14" x14ac:dyDescent="0.25">
      <c r="H552" s="1" t="s">
        <v>10</v>
      </c>
      <c r="J552" t="s">
        <v>239</v>
      </c>
      <c r="K552" t="s">
        <v>240</v>
      </c>
      <c r="L552">
        <v>1.23</v>
      </c>
      <c r="M552">
        <v>4.25</v>
      </c>
      <c r="N552" t="s">
        <v>8</v>
      </c>
    </row>
    <row r="553" spans="8:14" x14ac:dyDescent="0.25">
      <c r="H553" s="1" t="s">
        <v>10</v>
      </c>
      <c r="J553" t="s">
        <v>239</v>
      </c>
      <c r="K553" t="s">
        <v>240</v>
      </c>
      <c r="L553">
        <v>1.24</v>
      </c>
      <c r="M553">
        <v>4.2</v>
      </c>
      <c r="N553" t="s">
        <v>8</v>
      </c>
    </row>
    <row r="554" spans="8:14" x14ac:dyDescent="0.25">
      <c r="H554" s="1" t="s">
        <v>10</v>
      </c>
      <c r="J554" t="s">
        <v>239</v>
      </c>
      <c r="K554" t="s">
        <v>240</v>
      </c>
      <c r="L554">
        <v>1.25</v>
      </c>
      <c r="M554">
        <v>4</v>
      </c>
      <c r="N554" t="s">
        <v>8</v>
      </c>
    </row>
    <row r="555" spans="8:14" x14ac:dyDescent="0.25">
      <c r="H555" s="1" t="s">
        <v>10</v>
      </c>
      <c r="J555" t="s">
        <v>239</v>
      </c>
      <c r="K555" t="s">
        <v>240</v>
      </c>
      <c r="L555">
        <v>1.24</v>
      </c>
      <c r="M555">
        <v>4.25</v>
      </c>
      <c r="N555" t="s">
        <v>8</v>
      </c>
    </row>
    <row r="556" spans="8:14" x14ac:dyDescent="0.25">
      <c r="H556" s="1" t="s">
        <v>10</v>
      </c>
      <c r="J556" t="s">
        <v>239</v>
      </c>
      <c r="K556" t="s">
        <v>240</v>
      </c>
      <c r="L556">
        <v>1.24</v>
      </c>
      <c r="M556">
        <v>4.3</v>
      </c>
      <c r="N556" t="s">
        <v>8</v>
      </c>
    </row>
    <row r="557" spans="8:14" x14ac:dyDescent="0.25">
      <c r="H557" s="1" t="s">
        <v>10</v>
      </c>
      <c r="J557" t="s">
        <v>239</v>
      </c>
      <c r="K557" t="s">
        <v>240</v>
      </c>
      <c r="L557">
        <v>1.25</v>
      </c>
      <c r="M557">
        <v>4.2</v>
      </c>
      <c r="N557" t="s">
        <v>8</v>
      </c>
    </row>
    <row r="558" spans="8:14" x14ac:dyDescent="0.25">
      <c r="H558" s="1" t="s">
        <v>10</v>
      </c>
      <c r="J558" t="s">
        <v>239</v>
      </c>
      <c r="K558" t="s">
        <v>240</v>
      </c>
      <c r="L558">
        <v>1.22</v>
      </c>
      <c r="M558">
        <v>4.4000000000000004</v>
      </c>
      <c r="N558" t="s">
        <v>8</v>
      </c>
    </row>
    <row r="559" spans="8:14" x14ac:dyDescent="0.25">
      <c r="H559" s="1" t="s">
        <v>10</v>
      </c>
      <c r="J559" t="s">
        <v>241</v>
      </c>
      <c r="K559" t="s">
        <v>240</v>
      </c>
      <c r="L559">
        <v>1.19</v>
      </c>
      <c r="M559">
        <v>5</v>
      </c>
      <c r="N559" t="s">
        <v>8</v>
      </c>
    </row>
    <row r="560" spans="8:14" x14ac:dyDescent="0.25">
      <c r="H560" s="1" t="s">
        <v>10</v>
      </c>
      <c r="J560" t="s">
        <v>241</v>
      </c>
      <c r="K560" t="s">
        <v>240</v>
      </c>
      <c r="L560">
        <v>1.2</v>
      </c>
      <c r="M560">
        <v>4.6500000000000004</v>
      </c>
      <c r="N560" t="s">
        <v>8</v>
      </c>
    </row>
    <row r="561" spans="8:14" x14ac:dyDescent="0.25">
      <c r="H561" s="1" t="s">
        <v>10</v>
      </c>
      <c r="J561" t="s">
        <v>241</v>
      </c>
      <c r="K561" t="s">
        <v>240</v>
      </c>
      <c r="L561">
        <v>1.19</v>
      </c>
      <c r="M561">
        <v>4.75</v>
      </c>
      <c r="N561" t="s">
        <v>8</v>
      </c>
    </row>
    <row r="562" spans="8:14" x14ac:dyDescent="0.25">
      <c r="H562" s="1" t="s">
        <v>10</v>
      </c>
      <c r="J562" t="s">
        <v>241</v>
      </c>
      <c r="K562" t="s">
        <v>240</v>
      </c>
      <c r="L562">
        <v>1.18</v>
      </c>
      <c r="M562">
        <v>5</v>
      </c>
      <c r="N562" t="s">
        <v>8</v>
      </c>
    </row>
    <row r="563" spans="8:14" x14ac:dyDescent="0.25">
      <c r="H563" s="1" t="s">
        <v>10</v>
      </c>
      <c r="J563" t="s">
        <v>241</v>
      </c>
      <c r="K563" t="s">
        <v>240</v>
      </c>
      <c r="L563">
        <v>1.18</v>
      </c>
      <c r="M563">
        <v>5</v>
      </c>
      <c r="N563" t="s">
        <v>8</v>
      </c>
    </row>
    <row r="564" spans="8:14" x14ac:dyDescent="0.25">
      <c r="H564" s="1" t="s">
        <v>10</v>
      </c>
      <c r="J564" t="s">
        <v>241</v>
      </c>
      <c r="K564" t="s">
        <v>240</v>
      </c>
      <c r="L564">
        <v>1.19</v>
      </c>
      <c r="M564">
        <v>4.8499999999999996</v>
      </c>
      <c r="N564" t="s">
        <v>8</v>
      </c>
    </row>
    <row r="565" spans="8:14" x14ac:dyDescent="0.25">
      <c r="H565" s="1" t="s">
        <v>10</v>
      </c>
      <c r="J565" t="s">
        <v>241</v>
      </c>
      <c r="K565" t="s">
        <v>240</v>
      </c>
      <c r="L565">
        <v>1.18</v>
      </c>
      <c r="M565">
        <v>5</v>
      </c>
      <c r="N565" t="s">
        <v>8</v>
      </c>
    </row>
    <row r="566" spans="8:14" x14ac:dyDescent="0.25">
      <c r="H566" s="1" t="s">
        <v>10</v>
      </c>
      <c r="J566" t="s">
        <v>241</v>
      </c>
      <c r="K566" t="s">
        <v>240</v>
      </c>
      <c r="L566">
        <v>1.21</v>
      </c>
      <c r="M566">
        <v>4.8499999999999996</v>
      </c>
      <c r="N566" t="s">
        <v>8</v>
      </c>
    </row>
    <row r="567" spans="8:14" x14ac:dyDescent="0.25">
      <c r="H567" s="1" t="s">
        <v>10</v>
      </c>
      <c r="J567" t="s">
        <v>241</v>
      </c>
      <c r="K567" t="s">
        <v>240</v>
      </c>
      <c r="L567">
        <v>1.2</v>
      </c>
      <c r="M567">
        <v>4.75</v>
      </c>
      <c r="N567" t="s">
        <v>8</v>
      </c>
    </row>
    <row r="568" spans="8:14" x14ac:dyDescent="0.25">
      <c r="H568" s="1" t="s">
        <v>10</v>
      </c>
      <c r="J568" t="s">
        <v>241</v>
      </c>
      <c r="K568" t="s">
        <v>240</v>
      </c>
      <c r="L568">
        <v>1.23</v>
      </c>
      <c r="M568">
        <v>4.4000000000000004</v>
      </c>
      <c r="N568" t="s">
        <v>8</v>
      </c>
    </row>
    <row r="569" spans="8:14" x14ac:dyDescent="0.25">
      <c r="H569" s="1" t="s">
        <v>10</v>
      </c>
      <c r="J569" t="s">
        <v>241</v>
      </c>
      <c r="K569" t="s">
        <v>240</v>
      </c>
      <c r="L569">
        <v>1.21</v>
      </c>
      <c r="M569">
        <v>4.8499999999999996</v>
      </c>
      <c r="N569" t="s">
        <v>8</v>
      </c>
    </row>
    <row r="570" spans="8:14" x14ac:dyDescent="0.25">
      <c r="H570" s="1" t="s">
        <v>10</v>
      </c>
      <c r="J570" t="s">
        <v>241</v>
      </c>
      <c r="K570" t="s">
        <v>240</v>
      </c>
      <c r="L570">
        <v>1.2</v>
      </c>
      <c r="M570">
        <v>4.75</v>
      </c>
      <c r="N570" t="s">
        <v>8</v>
      </c>
    </row>
    <row r="571" spans="8:14" x14ac:dyDescent="0.25">
      <c r="H571" s="1" t="s">
        <v>10</v>
      </c>
      <c r="J571" t="s">
        <v>241</v>
      </c>
      <c r="K571" t="s">
        <v>240</v>
      </c>
      <c r="L571">
        <v>1.18</v>
      </c>
      <c r="M571">
        <v>5</v>
      </c>
      <c r="N571" t="s">
        <v>8</v>
      </c>
    </row>
    <row r="572" spans="8:14" x14ac:dyDescent="0.25">
      <c r="H572" s="1" t="s">
        <v>10</v>
      </c>
      <c r="J572" t="s">
        <v>242</v>
      </c>
      <c r="K572" t="s">
        <v>240</v>
      </c>
      <c r="L572">
        <v>2.14</v>
      </c>
      <c r="M572">
        <v>1.74</v>
      </c>
      <c r="N572" t="s">
        <v>8</v>
      </c>
    </row>
    <row r="573" spans="8:14" x14ac:dyDescent="0.25">
      <c r="H573" s="1" t="s">
        <v>10</v>
      </c>
      <c r="J573" t="s">
        <v>242</v>
      </c>
      <c r="K573" t="s">
        <v>240</v>
      </c>
      <c r="L573">
        <v>2.08</v>
      </c>
      <c r="M573">
        <v>1.77</v>
      </c>
      <c r="N573" t="s">
        <v>8</v>
      </c>
    </row>
    <row r="574" spans="8:14" x14ac:dyDescent="0.25">
      <c r="H574" s="1" t="s">
        <v>10</v>
      </c>
      <c r="J574" t="s">
        <v>242</v>
      </c>
      <c r="K574" t="s">
        <v>240</v>
      </c>
      <c r="L574">
        <v>2.15</v>
      </c>
      <c r="M574">
        <v>1.74</v>
      </c>
      <c r="N574" t="s">
        <v>8</v>
      </c>
    </row>
    <row r="575" spans="8:14" x14ac:dyDescent="0.25">
      <c r="H575" s="1" t="s">
        <v>10</v>
      </c>
      <c r="J575" t="s">
        <v>242</v>
      </c>
      <c r="K575" t="s">
        <v>240</v>
      </c>
      <c r="L575">
        <v>2.14</v>
      </c>
      <c r="M575">
        <v>1.73</v>
      </c>
      <c r="N575" t="s">
        <v>8</v>
      </c>
    </row>
    <row r="576" spans="8:14" x14ac:dyDescent="0.25">
      <c r="H576" s="1" t="s">
        <v>10</v>
      </c>
      <c r="J576" t="s">
        <v>242</v>
      </c>
      <c r="K576" t="s">
        <v>240</v>
      </c>
      <c r="L576">
        <v>2.15</v>
      </c>
      <c r="M576">
        <v>1.74</v>
      </c>
      <c r="N576" t="s">
        <v>8</v>
      </c>
    </row>
    <row r="577" spans="8:14" x14ac:dyDescent="0.25">
      <c r="H577" s="1" t="s">
        <v>10</v>
      </c>
      <c r="J577" t="s">
        <v>242</v>
      </c>
      <c r="K577" t="s">
        <v>240</v>
      </c>
      <c r="L577">
        <v>2.15</v>
      </c>
      <c r="M577">
        <v>1.74</v>
      </c>
      <c r="N577" t="s">
        <v>8</v>
      </c>
    </row>
    <row r="578" spans="8:14" x14ac:dyDescent="0.25">
      <c r="H578" s="1" t="s">
        <v>10</v>
      </c>
      <c r="J578" t="s">
        <v>242</v>
      </c>
      <c r="K578" t="s">
        <v>240</v>
      </c>
      <c r="L578">
        <v>2.14</v>
      </c>
      <c r="M578">
        <v>1.73</v>
      </c>
      <c r="N578" t="s">
        <v>8</v>
      </c>
    </row>
    <row r="579" spans="8:14" x14ac:dyDescent="0.25">
      <c r="H579" s="1" t="s">
        <v>10</v>
      </c>
      <c r="J579" t="s">
        <v>242</v>
      </c>
      <c r="K579" t="s">
        <v>240</v>
      </c>
      <c r="L579">
        <v>2.15</v>
      </c>
      <c r="M579">
        <v>1.74</v>
      </c>
      <c r="N579" t="s">
        <v>8</v>
      </c>
    </row>
    <row r="580" spans="8:14" x14ac:dyDescent="0.25">
      <c r="H580" s="1" t="s">
        <v>10</v>
      </c>
      <c r="J580" t="s">
        <v>242</v>
      </c>
      <c r="K580" t="s">
        <v>240</v>
      </c>
      <c r="L580">
        <v>2.15</v>
      </c>
      <c r="M580">
        <v>1.74</v>
      </c>
      <c r="N580" t="s">
        <v>8</v>
      </c>
    </row>
    <row r="581" spans="8:14" x14ac:dyDescent="0.25">
      <c r="H581" s="1" t="s">
        <v>10</v>
      </c>
      <c r="J581" t="s">
        <v>242</v>
      </c>
      <c r="K581" t="s">
        <v>240</v>
      </c>
      <c r="L581">
        <v>2.15</v>
      </c>
      <c r="M581">
        <v>1.74</v>
      </c>
      <c r="N581" t="s">
        <v>8</v>
      </c>
    </row>
    <row r="582" spans="8:14" x14ac:dyDescent="0.25">
      <c r="H582" s="1" t="s">
        <v>10</v>
      </c>
      <c r="J582" t="s">
        <v>242</v>
      </c>
      <c r="K582" t="s">
        <v>240</v>
      </c>
      <c r="L582">
        <v>2.15</v>
      </c>
      <c r="M582">
        <v>1.74</v>
      </c>
      <c r="N582" t="s">
        <v>8</v>
      </c>
    </row>
    <row r="583" spans="8:14" x14ac:dyDescent="0.25">
      <c r="H583" s="1" t="s">
        <v>10</v>
      </c>
      <c r="J583" t="s">
        <v>242</v>
      </c>
      <c r="K583" t="s">
        <v>240</v>
      </c>
      <c r="L583">
        <v>2.15</v>
      </c>
      <c r="M583">
        <v>1.74</v>
      </c>
      <c r="N583" t="s">
        <v>8</v>
      </c>
    </row>
    <row r="584" spans="8:14" x14ac:dyDescent="0.25">
      <c r="H584" s="1" t="s">
        <v>10</v>
      </c>
      <c r="J584" t="s">
        <v>242</v>
      </c>
      <c r="K584" t="s">
        <v>240</v>
      </c>
      <c r="L584">
        <v>2.15</v>
      </c>
      <c r="M584">
        <v>1.71</v>
      </c>
      <c r="N584" t="s">
        <v>8</v>
      </c>
    </row>
    <row r="585" spans="8:14" x14ac:dyDescent="0.25">
      <c r="H585" s="1" t="s">
        <v>10</v>
      </c>
      <c r="J585" t="s">
        <v>243</v>
      </c>
      <c r="K585" t="s">
        <v>240</v>
      </c>
      <c r="L585">
        <v>1.6</v>
      </c>
      <c r="M585">
        <v>2.4</v>
      </c>
      <c r="N585" t="s">
        <v>8</v>
      </c>
    </row>
    <row r="586" spans="8:14" x14ac:dyDescent="0.25">
      <c r="H586" s="1" t="s">
        <v>10</v>
      </c>
      <c r="J586" t="s">
        <v>243</v>
      </c>
      <c r="K586" t="s">
        <v>240</v>
      </c>
      <c r="L586">
        <v>1.57</v>
      </c>
      <c r="M586">
        <v>2.5</v>
      </c>
      <c r="N586" t="s">
        <v>8</v>
      </c>
    </row>
    <row r="587" spans="8:14" x14ac:dyDescent="0.25">
      <c r="H587" s="1" t="s">
        <v>10</v>
      </c>
      <c r="J587" t="s">
        <v>243</v>
      </c>
      <c r="K587" t="s">
        <v>240</v>
      </c>
      <c r="L587">
        <v>1.55</v>
      </c>
      <c r="M587">
        <v>2.5</v>
      </c>
      <c r="N587" t="s">
        <v>8</v>
      </c>
    </row>
    <row r="588" spans="8:14" x14ac:dyDescent="0.25">
      <c r="H588" s="1" t="s">
        <v>10</v>
      </c>
      <c r="J588" t="s">
        <v>243</v>
      </c>
      <c r="K588" t="s">
        <v>240</v>
      </c>
      <c r="L588">
        <v>1.56</v>
      </c>
      <c r="M588">
        <v>2.5</v>
      </c>
      <c r="N588" t="s">
        <v>8</v>
      </c>
    </row>
    <row r="589" spans="8:14" x14ac:dyDescent="0.25">
      <c r="H589" s="1" t="s">
        <v>10</v>
      </c>
      <c r="J589" t="s">
        <v>243</v>
      </c>
      <c r="K589" t="s">
        <v>240</v>
      </c>
      <c r="L589">
        <v>1.62</v>
      </c>
      <c r="M589">
        <v>2.35</v>
      </c>
      <c r="N589" t="s">
        <v>8</v>
      </c>
    </row>
    <row r="590" spans="8:14" x14ac:dyDescent="0.25">
      <c r="H590" s="1" t="s">
        <v>10</v>
      </c>
      <c r="J590" t="s">
        <v>243</v>
      </c>
      <c r="K590" t="s">
        <v>240</v>
      </c>
      <c r="L590">
        <v>1.56</v>
      </c>
      <c r="M590">
        <v>2.46</v>
      </c>
      <c r="N590" t="s">
        <v>8</v>
      </c>
    </row>
    <row r="591" spans="8:14" x14ac:dyDescent="0.25">
      <c r="H591" s="1" t="s">
        <v>10</v>
      </c>
      <c r="J591" t="s">
        <v>243</v>
      </c>
      <c r="K591" t="s">
        <v>240</v>
      </c>
      <c r="L591">
        <v>1.54</v>
      </c>
      <c r="M591">
        <v>2.5499999999999998</v>
      </c>
      <c r="N591" t="s">
        <v>8</v>
      </c>
    </row>
    <row r="592" spans="8:14" x14ac:dyDescent="0.25">
      <c r="H592" s="1" t="s">
        <v>10</v>
      </c>
      <c r="J592" t="s">
        <v>243</v>
      </c>
      <c r="K592" t="s">
        <v>240</v>
      </c>
      <c r="L592">
        <v>1.55</v>
      </c>
      <c r="M592">
        <v>2.5</v>
      </c>
      <c r="N592" t="s">
        <v>8</v>
      </c>
    </row>
    <row r="593" spans="8:14" x14ac:dyDescent="0.25">
      <c r="H593" s="1" t="s">
        <v>10</v>
      </c>
      <c r="J593" t="s">
        <v>243</v>
      </c>
      <c r="K593" t="s">
        <v>240</v>
      </c>
      <c r="L593">
        <v>1.59</v>
      </c>
      <c r="M593">
        <v>2.5</v>
      </c>
      <c r="N593" t="s">
        <v>8</v>
      </c>
    </row>
    <row r="594" spans="8:14" x14ac:dyDescent="0.25">
      <c r="H594" s="1" t="s">
        <v>10</v>
      </c>
      <c r="J594" t="s">
        <v>243</v>
      </c>
      <c r="K594" t="s">
        <v>240</v>
      </c>
      <c r="L594">
        <v>1.56</v>
      </c>
      <c r="M594">
        <v>2.5</v>
      </c>
      <c r="N594" t="s">
        <v>8</v>
      </c>
    </row>
    <row r="595" spans="8:14" x14ac:dyDescent="0.25">
      <c r="H595" s="1" t="s">
        <v>10</v>
      </c>
      <c r="J595" t="s">
        <v>243</v>
      </c>
      <c r="K595" t="s">
        <v>240</v>
      </c>
      <c r="L595">
        <v>1.59</v>
      </c>
      <c r="M595">
        <v>2.48</v>
      </c>
      <c r="N595" t="s">
        <v>8</v>
      </c>
    </row>
    <row r="596" spans="8:14" x14ac:dyDescent="0.25">
      <c r="H596" s="1" t="s">
        <v>10</v>
      </c>
      <c r="J596" t="s">
        <v>243</v>
      </c>
      <c r="K596" t="s">
        <v>240</v>
      </c>
      <c r="L596">
        <v>1.59</v>
      </c>
      <c r="M596">
        <v>2.5</v>
      </c>
      <c r="N596" t="s">
        <v>8</v>
      </c>
    </row>
    <row r="597" spans="8:14" x14ac:dyDescent="0.25">
      <c r="H597" s="1" t="s">
        <v>10</v>
      </c>
      <c r="J597" t="s">
        <v>243</v>
      </c>
      <c r="K597" t="s">
        <v>240</v>
      </c>
      <c r="L597">
        <v>1.59</v>
      </c>
      <c r="M597">
        <v>2.4500000000000002</v>
      </c>
      <c r="N597" t="s">
        <v>8</v>
      </c>
    </row>
    <row r="598" spans="8:14" x14ac:dyDescent="0.25">
      <c r="H598" s="1" t="s">
        <v>10</v>
      </c>
      <c r="J598" t="s">
        <v>244</v>
      </c>
      <c r="K598" t="s">
        <v>240</v>
      </c>
      <c r="L598">
        <v>1.8</v>
      </c>
      <c r="M598">
        <v>2.0499999999999998</v>
      </c>
      <c r="N598" t="s">
        <v>8</v>
      </c>
    </row>
    <row r="599" spans="8:14" x14ac:dyDescent="0.25">
      <c r="H599" s="1" t="s">
        <v>10</v>
      </c>
      <c r="J599" t="s">
        <v>244</v>
      </c>
      <c r="K599" t="s">
        <v>240</v>
      </c>
      <c r="L599">
        <v>1.8</v>
      </c>
      <c r="M599">
        <v>2.0499999999999998</v>
      </c>
      <c r="N599" t="s">
        <v>8</v>
      </c>
    </row>
    <row r="600" spans="8:14" x14ac:dyDescent="0.25">
      <c r="H600" s="1" t="s">
        <v>10</v>
      </c>
      <c r="J600" t="s">
        <v>244</v>
      </c>
      <c r="K600" t="s">
        <v>240</v>
      </c>
      <c r="L600">
        <v>1.72</v>
      </c>
      <c r="M600">
        <v>2.12</v>
      </c>
      <c r="N600" t="s">
        <v>8</v>
      </c>
    </row>
    <row r="601" spans="8:14" x14ac:dyDescent="0.25">
      <c r="H601" s="1" t="s">
        <v>10</v>
      </c>
      <c r="J601" t="s">
        <v>244</v>
      </c>
      <c r="K601" t="s">
        <v>240</v>
      </c>
      <c r="L601">
        <v>1.74</v>
      </c>
      <c r="M601">
        <v>2.15</v>
      </c>
      <c r="N601" t="s">
        <v>8</v>
      </c>
    </row>
    <row r="602" spans="8:14" x14ac:dyDescent="0.25">
      <c r="H602" s="1" t="s">
        <v>10</v>
      </c>
      <c r="J602" t="s">
        <v>244</v>
      </c>
      <c r="K602" t="s">
        <v>240</v>
      </c>
      <c r="L602">
        <v>1.74</v>
      </c>
      <c r="M602">
        <v>2.15</v>
      </c>
      <c r="N602" t="s">
        <v>8</v>
      </c>
    </row>
    <row r="603" spans="8:14" x14ac:dyDescent="0.25">
      <c r="H603" s="1" t="s">
        <v>10</v>
      </c>
      <c r="J603" t="s">
        <v>244</v>
      </c>
      <c r="K603" t="s">
        <v>240</v>
      </c>
      <c r="L603">
        <v>1.75</v>
      </c>
      <c r="M603">
        <v>2.12</v>
      </c>
      <c r="N603" t="s">
        <v>8</v>
      </c>
    </row>
    <row r="604" spans="8:14" x14ac:dyDescent="0.25">
      <c r="H604" s="1" t="s">
        <v>10</v>
      </c>
      <c r="J604" t="s">
        <v>244</v>
      </c>
      <c r="K604" t="s">
        <v>240</v>
      </c>
      <c r="L604">
        <v>1.72</v>
      </c>
      <c r="M604">
        <v>2.12</v>
      </c>
      <c r="N604" t="s">
        <v>8</v>
      </c>
    </row>
    <row r="605" spans="8:14" x14ac:dyDescent="0.25">
      <c r="H605" s="1" t="s">
        <v>10</v>
      </c>
      <c r="J605" t="s">
        <v>244</v>
      </c>
      <c r="K605" t="s">
        <v>240</v>
      </c>
      <c r="L605">
        <v>1.77</v>
      </c>
      <c r="M605">
        <v>2.1</v>
      </c>
      <c r="N605" t="s">
        <v>8</v>
      </c>
    </row>
    <row r="606" spans="8:14" x14ac:dyDescent="0.25">
      <c r="H606" s="1" t="s">
        <v>10</v>
      </c>
      <c r="J606" t="s">
        <v>244</v>
      </c>
      <c r="K606" t="s">
        <v>240</v>
      </c>
      <c r="L606">
        <v>1.74</v>
      </c>
      <c r="M606">
        <v>2.15</v>
      </c>
      <c r="N606" t="s">
        <v>8</v>
      </c>
    </row>
    <row r="607" spans="8:14" x14ac:dyDescent="0.25">
      <c r="H607" s="1" t="s">
        <v>10</v>
      </c>
      <c r="J607" t="s">
        <v>244</v>
      </c>
      <c r="K607" t="s">
        <v>240</v>
      </c>
      <c r="L607">
        <v>1.77</v>
      </c>
      <c r="M607">
        <v>2.1</v>
      </c>
      <c r="N607" t="s">
        <v>8</v>
      </c>
    </row>
    <row r="608" spans="8:14" x14ac:dyDescent="0.25">
      <c r="H608" s="1" t="s">
        <v>10</v>
      </c>
      <c r="J608" t="s">
        <v>244</v>
      </c>
      <c r="K608" t="s">
        <v>240</v>
      </c>
      <c r="L608">
        <v>1.77</v>
      </c>
      <c r="M608">
        <v>2.1</v>
      </c>
      <c r="N608" t="s">
        <v>8</v>
      </c>
    </row>
    <row r="609" spans="8:14" x14ac:dyDescent="0.25">
      <c r="H609" s="1" t="s">
        <v>10</v>
      </c>
      <c r="J609" t="s">
        <v>244</v>
      </c>
      <c r="K609" t="s">
        <v>240</v>
      </c>
      <c r="L609">
        <v>1.77</v>
      </c>
      <c r="M609">
        <v>2.1</v>
      </c>
      <c r="N609" t="s">
        <v>8</v>
      </c>
    </row>
    <row r="610" spans="8:14" x14ac:dyDescent="0.25">
      <c r="H610" s="1" t="s">
        <v>10</v>
      </c>
      <c r="J610" t="s">
        <v>244</v>
      </c>
      <c r="K610" t="s">
        <v>240</v>
      </c>
      <c r="L610">
        <v>1.71</v>
      </c>
      <c r="M610">
        <v>2.15</v>
      </c>
      <c r="N610" t="s">
        <v>8</v>
      </c>
    </row>
    <row r="611" spans="8:14" x14ac:dyDescent="0.25">
      <c r="H611" s="1" t="s">
        <v>10</v>
      </c>
      <c r="J611" t="s">
        <v>120</v>
      </c>
      <c r="K611" t="s">
        <v>245</v>
      </c>
      <c r="L611">
        <v>6.25</v>
      </c>
      <c r="M611">
        <v>1.1299999999999999</v>
      </c>
      <c r="N611" t="s">
        <v>8</v>
      </c>
    </row>
    <row r="612" spans="8:14" x14ac:dyDescent="0.25">
      <c r="H612" s="1" t="s">
        <v>10</v>
      </c>
      <c r="J612" t="s">
        <v>120</v>
      </c>
      <c r="K612" t="s">
        <v>245</v>
      </c>
      <c r="L612">
        <v>5.4</v>
      </c>
      <c r="M612">
        <v>1.1599999999999999</v>
      </c>
      <c r="N612" t="s">
        <v>8</v>
      </c>
    </row>
    <row r="613" spans="8:14" x14ac:dyDescent="0.25">
      <c r="H613" s="1" t="s">
        <v>10</v>
      </c>
      <c r="J613" t="s">
        <v>120</v>
      </c>
      <c r="K613" t="s">
        <v>245</v>
      </c>
      <c r="L613">
        <v>5.4</v>
      </c>
      <c r="M613">
        <v>1.1599999999999999</v>
      </c>
      <c r="N613" t="s">
        <v>8</v>
      </c>
    </row>
    <row r="614" spans="8:14" x14ac:dyDescent="0.25">
      <c r="H614" s="1" t="s">
        <v>10</v>
      </c>
      <c r="J614" t="s">
        <v>120</v>
      </c>
      <c r="K614" t="s">
        <v>245</v>
      </c>
      <c r="L614">
        <v>6.2</v>
      </c>
      <c r="M614">
        <v>1.1299999999999999</v>
      </c>
      <c r="N614" t="s">
        <v>8</v>
      </c>
    </row>
    <row r="615" spans="8:14" x14ac:dyDescent="0.25">
      <c r="H615" s="1" t="s">
        <v>10</v>
      </c>
      <c r="J615" t="s">
        <v>120</v>
      </c>
      <c r="K615" t="s">
        <v>245</v>
      </c>
      <c r="L615">
        <v>5.5</v>
      </c>
      <c r="M615">
        <v>1.1499999999999999</v>
      </c>
      <c r="N615" t="s">
        <v>8</v>
      </c>
    </row>
    <row r="616" spans="8:14" x14ac:dyDescent="0.25">
      <c r="H616" s="1" t="s">
        <v>10</v>
      </c>
      <c r="J616" t="s">
        <v>120</v>
      </c>
      <c r="K616" t="s">
        <v>245</v>
      </c>
      <c r="L616">
        <v>5.3</v>
      </c>
      <c r="M616">
        <v>1.17</v>
      </c>
      <c r="N616" t="s">
        <v>8</v>
      </c>
    </row>
    <row r="617" spans="8:14" x14ac:dyDescent="0.25">
      <c r="H617" s="1" t="s">
        <v>10</v>
      </c>
      <c r="J617" t="s">
        <v>120</v>
      </c>
      <c r="K617" t="s">
        <v>245</v>
      </c>
      <c r="L617">
        <v>5.6</v>
      </c>
      <c r="M617">
        <v>1.1499999999999999</v>
      </c>
      <c r="N617" t="s">
        <v>8</v>
      </c>
    </row>
    <row r="618" spans="8:14" x14ac:dyDescent="0.25">
      <c r="H618" s="1" t="s">
        <v>10</v>
      </c>
      <c r="J618" t="s">
        <v>120</v>
      </c>
      <c r="K618" t="s">
        <v>245</v>
      </c>
      <c r="L618">
        <v>6</v>
      </c>
      <c r="M618">
        <v>1.1499999999999999</v>
      </c>
      <c r="N618" t="s">
        <v>8</v>
      </c>
    </row>
    <row r="619" spans="8:14" x14ac:dyDescent="0.25">
      <c r="H619" s="1" t="s">
        <v>10</v>
      </c>
      <c r="J619" t="s">
        <v>120</v>
      </c>
      <c r="K619" t="s">
        <v>245</v>
      </c>
      <c r="L619">
        <v>5.8</v>
      </c>
      <c r="M619">
        <v>1.1499999999999999</v>
      </c>
      <c r="N619" t="s">
        <v>8</v>
      </c>
    </row>
    <row r="620" spans="8:14" x14ac:dyDescent="0.25">
      <c r="H620" s="1" t="s">
        <v>10</v>
      </c>
      <c r="J620" t="s">
        <v>120</v>
      </c>
      <c r="K620" t="s">
        <v>245</v>
      </c>
      <c r="L620">
        <v>6</v>
      </c>
      <c r="M620">
        <v>1.1499999999999999</v>
      </c>
      <c r="N620" t="s">
        <v>8</v>
      </c>
    </row>
    <row r="621" spans="8:14" x14ac:dyDescent="0.25">
      <c r="H621" s="1" t="s">
        <v>10</v>
      </c>
      <c r="J621" t="s">
        <v>120</v>
      </c>
      <c r="K621" t="s">
        <v>245</v>
      </c>
      <c r="L621">
        <v>5.5</v>
      </c>
      <c r="M621">
        <v>1.1499999999999999</v>
      </c>
      <c r="N621" t="s">
        <v>8</v>
      </c>
    </row>
    <row r="622" spans="8:14" x14ac:dyDescent="0.25">
      <c r="H622" s="1" t="s">
        <v>10</v>
      </c>
      <c r="J622" t="s">
        <v>120</v>
      </c>
      <c r="K622" t="s">
        <v>245</v>
      </c>
      <c r="L622">
        <v>5.75</v>
      </c>
      <c r="M622">
        <v>1.1499999999999999</v>
      </c>
      <c r="N622" t="s">
        <v>8</v>
      </c>
    </row>
    <row r="623" spans="8:14" x14ac:dyDescent="0.25">
      <c r="H623" s="1" t="s">
        <v>10</v>
      </c>
      <c r="J623" t="s">
        <v>120</v>
      </c>
      <c r="K623" t="s">
        <v>245</v>
      </c>
      <c r="L623">
        <v>5.25</v>
      </c>
      <c r="M623">
        <v>1.17</v>
      </c>
      <c r="N623" t="s">
        <v>8</v>
      </c>
    </row>
    <row r="624" spans="8:14" x14ac:dyDescent="0.25">
      <c r="H624" s="1" t="s">
        <v>10</v>
      </c>
      <c r="J624" t="s">
        <v>121</v>
      </c>
      <c r="K624" t="s">
        <v>245</v>
      </c>
      <c r="L624">
        <v>26</v>
      </c>
      <c r="M624">
        <v>1.01</v>
      </c>
      <c r="N624" t="s">
        <v>8</v>
      </c>
    </row>
    <row r="625" spans="8:14" x14ac:dyDescent="0.25">
      <c r="H625" s="1" t="s">
        <v>10</v>
      </c>
      <c r="J625" t="s">
        <v>121</v>
      </c>
      <c r="K625" t="s">
        <v>245</v>
      </c>
      <c r="L625">
        <v>26</v>
      </c>
      <c r="M625">
        <v>1.01</v>
      </c>
      <c r="N625" t="s">
        <v>8</v>
      </c>
    </row>
    <row r="626" spans="8:14" x14ac:dyDescent="0.25">
      <c r="H626" s="1" t="s">
        <v>10</v>
      </c>
      <c r="J626" t="s">
        <v>121</v>
      </c>
      <c r="K626" t="s">
        <v>245</v>
      </c>
      <c r="L626">
        <v>29</v>
      </c>
      <c r="M626">
        <v>1</v>
      </c>
      <c r="N626" t="s">
        <v>8</v>
      </c>
    </row>
    <row r="627" spans="8:14" x14ac:dyDescent="0.25">
      <c r="H627" s="1" t="s">
        <v>10</v>
      </c>
      <c r="J627" t="s">
        <v>121</v>
      </c>
      <c r="K627" t="s">
        <v>245</v>
      </c>
      <c r="L627">
        <v>26</v>
      </c>
      <c r="M627">
        <v>1</v>
      </c>
      <c r="N627" t="s">
        <v>8</v>
      </c>
    </row>
    <row r="628" spans="8:14" x14ac:dyDescent="0.25">
      <c r="H628" s="1" t="s">
        <v>10</v>
      </c>
      <c r="J628" t="s">
        <v>121</v>
      </c>
      <c r="K628" t="s">
        <v>245</v>
      </c>
      <c r="L628">
        <v>31</v>
      </c>
      <c r="M628">
        <v>1.01</v>
      </c>
      <c r="N628" t="s">
        <v>8</v>
      </c>
    </row>
    <row r="629" spans="8:14" x14ac:dyDescent="0.25">
      <c r="H629" s="1" t="s">
        <v>10</v>
      </c>
      <c r="J629" t="s">
        <v>246</v>
      </c>
      <c r="K629" t="s">
        <v>245</v>
      </c>
      <c r="L629">
        <v>4.3</v>
      </c>
      <c r="M629">
        <v>1.24</v>
      </c>
      <c r="N629" t="s">
        <v>8</v>
      </c>
    </row>
    <row r="630" spans="8:14" x14ac:dyDescent="0.25">
      <c r="H630" s="1" t="s">
        <v>10</v>
      </c>
      <c r="J630" t="s">
        <v>246</v>
      </c>
      <c r="K630" t="s">
        <v>245</v>
      </c>
      <c r="L630">
        <v>4.8499999999999996</v>
      </c>
      <c r="M630">
        <v>1.19</v>
      </c>
      <c r="N630" t="s">
        <v>8</v>
      </c>
    </row>
    <row r="631" spans="8:14" x14ac:dyDescent="0.25">
      <c r="H631" s="1" t="s">
        <v>10</v>
      </c>
      <c r="J631" t="s">
        <v>246</v>
      </c>
      <c r="K631" t="s">
        <v>245</v>
      </c>
      <c r="L631">
        <v>4.4000000000000004</v>
      </c>
      <c r="M631">
        <v>1.22</v>
      </c>
      <c r="N631" t="s">
        <v>8</v>
      </c>
    </row>
    <row r="632" spans="8:14" x14ac:dyDescent="0.25">
      <c r="H632" s="1" t="s">
        <v>10</v>
      </c>
      <c r="J632" t="s">
        <v>246</v>
      </c>
      <c r="K632" t="s">
        <v>245</v>
      </c>
      <c r="L632">
        <v>4.7</v>
      </c>
      <c r="M632">
        <v>1.2</v>
      </c>
      <c r="N632" t="s">
        <v>8</v>
      </c>
    </row>
    <row r="633" spans="8:14" x14ac:dyDescent="0.25">
      <c r="H633" s="1" t="s">
        <v>10</v>
      </c>
      <c r="J633" t="s">
        <v>246</v>
      </c>
      <c r="K633" t="s">
        <v>245</v>
      </c>
      <c r="L633">
        <v>4.5999999999999996</v>
      </c>
      <c r="M633">
        <v>1.21</v>
      </c>
      <c r="N633" t="s">
        <v>8</v>
      </c>
    </row>
    <row r="634" spans="8:14" x14ac:dyDescent="0.25">
      <c r="H634" s="1" t="s">
        <v>10</v>
      </c>
      <c r="J634" t="s">
        <v>246</v>
      </c>
      <c r="K634" t="s">
        <v>245</v>
      </c>
      <c r="L634">
        <v>4.4000000000000004</v>
      </c>
      <c r="M634">
        <v>1.22</v>
      </c>
      <c r="N634" t="s">
        <v>8</v>
      </c>
    </row>
    <row r="635" spans="8:14" x14ac:dyDescent="0.25">
      <c r="H635" s="1" t="s">
        <v>10</v>
      </c>
      <c r="J635" t="s">
        <v>246</v>
      </c>
      <c r="K635" t="s">
        <v>245</v>
      </c>
      <c r="L635">
        <v>4.7</v>
      </c>
      <c r="M635">
        <v>1.2</v>
      </c>
      <c r="N635" t="s">
        <v>8</v>
      </c>
    </row>
    <row r="636" spans="8:14" x14ac:dyDescent="0.25">
      <c r="H636" s="1" t="s">
        <v>10</v>
      </c>
      <c r="J636" t="s">
        <v>246</v>
      </c>
      <c r="K636" t="s">
        <v>245</v>
      </c>
      <c r="L636">
        <v>4.5</v>
      </c>
      <c r="M636">
        <v>1.22</v>
      </c>
      <c r="N636" t="s">
        <v>8</v>
      </c>
    </row>
    <row r="637" spans="8:14" x14ac:dyDescent="0.25">
      <c r="H637" s="1" t="s">
        <v>10</v>
      </c>
      <c r="J637" t="s">
        <v>246</v>
      </c>
      <c r="K637" t="s">
        <v>245</v>
      </c>
      <c r="L637">
        <v>4.4000000000000004</v>
      </c>
      <c r="M637">
        <v>1.23</v>
      </c>
      <c r="N637" t="s">
        <v>8</v>
      </c>
    </row>
    <row r="638" spans="8:14" x14ac:dyDescent="0.25">
      <c r="H638" s="1" t="s">
        <v>10</v>
      </c>
      <c r="J638" t="s">
        <v>246</v>
      </c>
      <c r="K638" t="s">
        <v>245</v>
      </c>
      <c r="L638">
        <v>4.5999999999999996</v>
      </c>
      <c r="M638">
        <v>1.22</v>
      </c>
      <c r="N638" t="s">
        <v>8</v>
      </c>
    </row>
    <row r="639" spans="8:14" x14ac:dyDescent="0.25">
      <c r="H639" s="1" t="s">
        <v>10</v>
      </c>
      <c r="J639" t="s">
        <v>246</v>
      </c>
      <c r="K639" t="s">
        <v>245</v>
      </c>
      <c r="L639">
        <v>4.5999999999999996</v>
      </c>
      <c r="M639">
        <v>1.2</v>
      </c>
      <c r="N639" t="s">
        <v>8</v>
      </c>
    </row>
    <row r="640" spans="8:14" x14ac:dyDescent="0.25">
      <c r="H640" s="1" t="s">
        <v>10</v>
      </c>
      <c r="J640" t="s">
        <v>247</v>
      </c>
      <c r="K640" t="s">
        <v>245</v>
      </c>
      <c r="L640">
        <v>6.75</v>
      </c>
      <c r="M640">
        <v>1.1200000000000001</v>
      </c>
      <c r="N640" t="s">
        <v>8</v>
      </c>
    </row>
    <row r="641" spans="8:14" x14ac:dyDescent="0.25">
      <c r="H641" s="1" t="s">
        <v>10</v>
      </c>
      <c r="J641" t="s">
        <v>247</v>
      </c>
      <c r="K641" t="s">
        <v>245</v>
      </c>
      <c r="L641">
        <v>7.1</v>
      </c>
      <c r="M641">
        <v>1.1100000000000001</v>
      </c>
      <c r="N641" t="s">
        <v>8</v>
      </c>
    </row>
    <row r="642" spans="8:14" x14ac:dyDescent="0.25">
      <c r="H642" s="1" t="s">
        <v>10</v>
      </c>
      <c r="J642" t="s">
        <v>247</v>
      </c>
      <c r="K642" t="s">
        <v>245</v>
      </c>
      <c r="L642">
        <v>7.25</v>
      </c>
      <c r="M642">
        <v>1.1000000000000001</v>
      </c>
      <c r="N642" t="s">
        <v>8</v>
      </c>
    </row>
    <row r="643" spans="8:14" x14ac:dyDescent="0.25">
      <c r="H643" s="1" t="s">
        <v>10</v>
      </c>
      <c r="J643" t="s">
        <v>247</v>
      </c>
      <c r="K643" t="s">
        <v>245</v>
      </c>
      <c r="L643">
        <v>8.5</v>
      </c>
      <c r="M643">
        <v>1.08</v>
      </c>
      <c r="N643" t="s">
        <v>8</v>
      </c>
    </row>
    <row r="644" spans="8:14" x14ac:dyDescent="0.25">
      <c r="H644" s="1" t="s">
        <v>10</v>
      </c>
      <c r="J644" t="s">
        <v>247</v>
      </c>
      <c r="K644" t="s">
        <v>245</v>
      </c>
      <c r="L644">
        <v>7.5</v>
      </c>
      <c r="M644">
        <v>1.1000000000000001</v>
      </c>
      <c r="N644" t="s">
        <v>8</v>
      </c>
    </row>
    <row r="645" spans="8:14" x14ac:dyDescent="0.25">
      <c r="H645" s="1" t="s">
        <v>10</v>
      </c>
      <c r="J645" t="s">
        <v>247</v>
      </c>
      <c r="K645" t="s">
        <v>245</v>
      </c>
      <c r="L645">
        <v>7.25</v>
      </c>
      <c r="M645">
        <v>1.1000000000000001</v>
      </c>
      <c r="N645" t="s">
        <v>8</v>
      </c>
    </row>
    <row r="646" spans="8:14" x14ac:dyDescent="0.25">
      <c r="H646" s="1" t="s">
        <v>10</v>
      </c>
      <c r="J646" t="s">
        <v>247</v>
      </c>
      <c r="K646" t="s">
        <v>245</v>
      </c>
      <c r="L646">
        <v>7.35</v>
      </c>
      <c r="M646">
        <v>1.1000000000000001</v>
      </c>
      <c r="N646" t="s">
        <v>8</v>
      </c>
    </row>
    <row r="647" spans="8:14" x14ac:dyDescent="0.25">
      <c r="H647" s="1" t="s">
        <v>10</v>
      </c>
      <c r="J647" t="s">
        <v>247</v>
      </c>
      <c r="K647" t="s">
        <v>245</v>
      </c>
      <c r="L647">
        <v>8.5</v>
      </c>
      <c r="M647">
        <v>1.08</v>
      </c>
      <c r="N647" t="s">
        <v>8</v>
      </c>
    </row>
    <row r="648" spans="8:14" x14ac:dyDescent="0.25">
      <c r="H648" s="1" t="s">
        <v>10</v>
      </c>
      <c r="J648" t="s">
        <v>247</v>
      </c>
      <c r="K648" t="s">
        <v>245</v>
      </c>
      <c r="L648">
        <v>8</v>
      </c>
      <c r="M648">
        <v>1.0900000000000001</v>
      </c>
      <c r="N648" t="s">
        <v>8</v>
      </c>
    </row>
    <row r="649" spans="8:14" x14ac:dyDescent="0.25">
      <c r="H649" s="1" t="s">
        <v>10</v>
      </c>
      <c r="J649" t="s">
        <v>247</v>
      </c>
      <c r="K649" t="s">
        <v>245</v>
      </c>
      <c r="L649">
        <v>7.5</v>
      </c>
      <c r="M649">
        <v>1.0900000000000001</v>
      </c>
      <c r="N649" t="s">
        <v>8</v>
      </c>
    </row>
    <row r="650" spans="8:14" x14ac:dyDescent="0.25">
      <c r="H650" s="1" t="s">
        <v>10</v>
      </c>
      <c r="J650" t="s">
        <v>247</v>
      </c>
      <c r="K650" t="s">
        <v>245</v>
      </c>
      <c r="L650">
        <v>8</v>
      </c>
      <c r="M650">
        <v>1.0900000000000001</v>
      </c>
      <c r="N650" t="s">
        <v>8</v>
      </c>
    </row>
    <row r="651" spans="8:14" x14ac:dyDescent="0.25">
      <c r="H651" s="1" t="s">
        <v>10</v>
      </c>
      <c r="J651" t="s">
        <v>247</v>
      </c>
      <c r="K651" t="s">
        <v>245</v>
      </c>
      <c r="L651">
        <v>8</v>
      </c>
      <c r="M651">
        <v>1.0900000000000001</v>
      </c>
      <c r="N651" t="s">
        <v>8</v>
      </c>
    </row>
    <row r="652" spans="8:14" x14ac:dyDescent="0.25">
      <c r="H652" s="1" t="s">
        <v>10</v>
      </c>
      <c r="J652" t="s">
        <v>247</v>
      </c>
      <c r="K652" t="s">
        <v>245</v>
      </c>
      <c r="L652">
        <v>8.5</v>
      </c>
      <c r="M652">
        <v>1.08</v>
      </c>
      <c r="N652" t="s">
        <v>8</v>
      </c>
    </row>
    <row r="653" spans="8:14" x14ac:dyDescent="0.25">
      <c r="H653" s="1" t="s">
        <v>10</v>
      </c>
      <c r="J653" t="s">
        <v>248</v>
      </c>
      <c r="K653" t="s">
        <v>245</v>
      </c>
      <c r="L653">
        <v>5.7</v>
      </c>
      <c r="M653">
        <v>1.1499999999999999</v>
      </c>
      <c r="N653" t="s">
        <v>8</v>
      </c>
    </row>
    <row r="654" spans="8:14" x14ac:dyDescent="0.25">
      <c r="H654" s="1" t="s">
        <v>10</v>
      </c>
      <c r="J654" t="s">
        <v>248</v>
      </c>
      <c r="K654" t="s">
        <v>245</v>
      </c>
      <c r="L654">
        <v>5.5</v>
      </c>
      <c r="M654">
        <v>1.1499999999999999</v>
      </c>
      <c r="N654" t="s">
        <v>8</v>
      </c>
    </row>
    <row r="655" spans="8:14" x14ac:dyDescent="0.25">
      <c r="H655" s="1" t="s">
        <v>10</v>
      </c>
      <c r="J655" t="s">
        <v>248</v>
      </c>
      <c r="K655" t="s">
        <v>245</v>
      </c>
      <c r="L655">
        <v>5.5</v>
      </c>
      <c r="M655">
        <v>1.1399999999999999</v>
      </c>
      <c r="N655" t="s">
        <v>8</v>
      </c>
    </row>
    <row r="656" spans="8:14" x14ac:dyDescent="0.25">
      <c r="H656" s="1" t="s">
        <v>10</v>
      </c>
      <c r="J656" t="s">
        <v>248</v>
      </c>
      <c r="K656" t="s">
        <v>245</v>
      </c>
      <c r="L656">
        <v>5.6</v>
      </c>
      <c r="M656">
        <v>1.1499999999999999</v>
      </c>
      <c r="N656" t="s">
        <v>8</v>
      </c>
    </row>
    <row r="657" spans="8:14" x14ac:dyDescent="0.25">
      <c r="H657" s="1" t="s">
        <v>10</v>
      </c>
      <c r="J657" t="s">
        <v>248</v>
      </c>
      <c r="K657" t="s">
        <v>245</v>
      </c>
      <c r="L657">
        <v>5.65</v>
      </c>
      <c r="M657">
        <v>1.1499999999999999</v>
      </c>
      <c r="N657" t="s">
        <v>8</v>
      </c>
    </row>
    <row r="658" spans="8:14" x14ac:dyDescent="0.25">
      <c r="H658" s="1" t="s">
        <v>10</v>
      </c>
      <c r="J658" t="s">
        <v>248</v>
      </c>
      <c r="K658" t="s">
        <v>245</v>
      </c>
      <c r="L658">
        <v>6.4</v>
      </c>
      <c r="M658">
        <v>1.1200000000000001</v>
      </c>
      <c r="N658" t="s">
        <v>8</v>
      </c>
    </row>
    <row r="659" spans="8:14" x14ac:dyDescent="0.25">
      <c r="H659" s="1" t="s">
        <v>10</v>
      </c>
      <c r="J659" t="s">
        <v>248</v>
      </c>
      <c r="K659" t="s">
        <v>245</v>
      </c>
      <c r="L659">
        <v>5.5</v>
      </c>
      <c r="M659">
        <v>1.1499999999999999</v>
      </c>
      <c r="N659" t="s">
        <v>8</v>
      </c>
    </row>
    <row r="660" spans="8:14" x14ac:dyDescent="0.25">
      <c r="H660" s="1" t="s">
        <v>10</v>
      </c>
      <c r="J660" t="s">
        <v>248</v>
      </c>
      <c r="K660" t="s">
        <v>245</v>
      </c>
      <c r="L660">
        <v>5.5</v>
      </c>
      <c r="M660">
        <v>1.1399999999999999</v>
      </c>
      <c r="N660" t="s">
        <v>8</v>
      </c>
    </row>
    <row r="661" spans="8:14" x14ac:dyDescent="0.25">
      <c r="H661" s="1" t="s">
        <v>10</v>
      </c>
      <c r="J661" t="s">
        <v>248</v>
      </c>
      <c r="K661" t="s">
        <v>245</v>
      </c>
      <c r="L661">
        <v>5.85</v>
      </c>
      <c r="M661">
        <v>1.1599999999999999</v>
      </c>
      <c r="N661" t="s">
        <v>8</v>
      </c>
    </row>
    <row r="662" spans="8:14" x14ac:dyDescent="0.25">
      <c r="H662" s="1" t="s">
        <v>10</v>
      </c>
      <c r="J662" t="s">
        <v>248</v>
      </c>
      <c r="K662" t="s">
        <v>245</v>
      </c>
      <c r="L662">
        <v>5.5</v>
      </c>
      <c r="M662">
        <v>1.1499999999999999</v>
      </c>
      <c r="N662" t="s">
        <v>8</v>
      </c>
    </row>
    <row r="663" spans="8:14" x14ac:dyDescent="0.25">
      <c r="H663" s="1" t="s">
        <v>10</v>
      </c>
      <c r="J663" t="s">
        <v>248</v>
      </c>
      <c r="K663" t="s">
        <v>245</v>
      </c>
      <c r="L663">
        <v>5.75</v>
      </c>
      <c r="M663">
        <v>1.1599999999999999</v>
      </c>
      <c r="N663" t="s">
        <v>8</v>
      </c>
    </row>
    <row r="664" spans="8:14" x14ac:dyDescent="0.25">
      <c r="H664" s="1" t="s">
        <v>10</v>
      </c>
      <c r="J664" t="s">
        <v>248</v>
      </c>
      <c r="K664" t="s">
        <v>245</v>
      </c>
      <c r="L664">
        <v>5.85</v>
      </c>
      <c r="M664">
        <v>1.1599999999999999</v>
      </c>
      <c r="N664" t="s">
        <v>8</v>
      </c>
    </row>
    <row r="665" spans="8:14" x14ac:dyDescent="0.25">
      <c r="H665" s="1" t="s">
        <v>10</v>
      </c>
      <c r="J665" t="s">
        <v>248</v>
      </c>
      <c r="K665" t="s">
        <v>245</v>
      </c>
      <c r="L665">
        <v>5.75</v>
      </c>
      <c r="M665">
        <v>1.1499999999999999</v>
      </c>
      <c r="N665" t="s">
        <v>8</v>
      </c>
    </row>
    <row r="666" spans="8:14" x14ac:dyDescent="0.25">
      <c r="H666" s="1" t="s">
        <v>10</v>
      </c>
      <c r="J666" t="s">
        <v>249</v>
      </c>
      <c r="K666" t="s">
        <v>250</v>
      </c>
      <c r="L666">
        <v>5.25</v>
      </c>
      <c r="M666">
        <v>1.17</v>
      </c>
      <c r="N666" t="s">
        <v>8</v>
      </c>
    </row>
    <row r="667" spans="8:14" x14ac:dyDescent="0.25">
      <c r="H667" s="1" t="s">
        <v>10</v>
      </c>
      <c r="J667" t="s">
        <v>249</v>
      </c>
      <c r="K667" t="s">
        <v>250</v>
      </c>
      <c r="L667">
        <v>5.4</v>
      </c>
      <c r="M667">
        <v>1.1599999999999999</v>
      </c>
      <c r="N667" t="s">
        <v>8</v>
      </c>
    </row>
    <row r="668" spans="8:14" x14ac:dyDescent="0.25">
      <c r="H668" s="1" t="s">
        <v>10</v>
      </c>
      <c r="J668" t="s">
        <v>249</v>
      </c>
      <c r="K668" t="s">
        <v>250</v>
      </c>
      <c r="L668">
        <v>5.3</v>
      </c>
      <c r="M668">
        <v>1.1599999999999999</v>
      </c>
      <c r="N668" t="s">
        <v>8</v>
      </c>
    </row>
    <row r="669" spans="8:14" x14ac:dyDescent="0.25">
      <c r="H669" s="1" t="s">
        <v>10</v>
      </c>
      <c r="J669" t="s">
        <v>249</v>
      </c>
      <c r="K669" t="s">
        <v>250</v>
      </c>
      <c r="L669">
        <v>6</v>
      </c>
      <c r="M669">
        <v>1.1399999999999999</v>
      </c>
      <c r="N669" t="s">
        <v>8</v>
      </c>
    </row>
    <row r="670" spans="8:14" x14ac:dyDescent="0.25">
      <c r="H670" s="1" t="s">
        <v>10</v>
      </c>
      <c r="J670" t="s">
        <v>249</v>
      </c>
      <c r="K670" t="s">
        <v>250</v>
      </c>
      <c r="L670">
        <v>5.5</v>
      </c>
      <c r="M670">
        <v>1.1499999999999999</v>
      </c>
      <c r="N670" t="s">
        <v>8</v>
      </c>
    </row>
    <row r="671" spans="8:14" x14ac:dyDescent="0.25">
      <c r="H671" s="1" t="s">
        <v>10</v>
      </c>
      <c r="J671" t="s">
        <v>249</v>
      </c>
      <c r="K671" t="s">
        <v>250</v>
      </c>
      <c r="L671">
        <v>5.3</v>
      </c>
      <c r="M671">
        <v>1.17</v>
      </c>
      <c r="N671" t="s">
        <v>8</v>
      </c>
    </row>
    <row r="672" spans="8:14" x14ac:dyDescent="0.25">
      <c r="H672" s="1" t="s">
        <v>10</v>
      </c>
      <c r="J672" t="s">
        <v>249</v>
      </c>
      <c r="K672" t="s">
        <v>250</v>
      </c>
      <c r="L672">
        <v>6</v>
      </c>
      <c r="M672">
        <v>1.1399999999999999</v>
      </c>
      <c r="N672" t="s">
        <v>8</v>
      </c>
    </row>
    <row r="673" spans="8:14" x14ac:dyDescent="0.25">
      <c r="H673" s="1" t="s">
        <v>10</v>
      </c>
      <c r="J673" t="s">
        <v>249</v>
      </c>
      <c r="K673" t="s">
        <v>250</v>
      </c>
      <c r="L673">
        <v>5.6</v>
      </c>
      <c r="M673">
        <v>1.17</v>
      </c>
      <c r="N673" t="s">
        <v>8</v>
      </c>
    </row>
    <row r="674" spans="8:14" x14ac:dyDescent="0.25">
      <c r="H674" s="1" t="s">
        <v>10</v>
      </c>
      <c r="J674" t="s">
        <v>249</v>
      </c>
      <c r="K674" t="s">
        <v>250</v>
      </c>
      <c r="L674">
        <v>5.5</v>
      </c>
      <c r="M674">
        <v>1.1499999999999999</v>
      </c>
      <c r="N674" t="s">
        <v>8</v>
      </c>
    </row>
    <row r="675" spans="8:14" x14ac:dyDescent="0.25">
      <c r="H675" s="1" t="s">
        <v>10</v>
      </c>
      <c r="J675" t="s">
        <v>249</v>
      </c>
      <c r="K675" t="s">
        <v>250</v>
      </c>
      <c r="L675">
        <v>5.8</v>
      </c>
      <c r="M675">
        <v>1.1499999999999999</v>
      </c>
      <c r="N675" t="s">
        <v>8</v>
      </c>
    </row>
    <row r="676" spans="8:14" x14ac:dyDescent="0.25">
      <c r="H676" s="1" t="s">
        <v>10</v>
      </c>
      <c r="J676" t="s">
        <v>249</v>
      </c>
      <c r="K676" t="s">
        <v>250</v>
      </c>
      <c r="L676">
        <v>5.6</v>
      </c>
      <c r="M676">
        <v>1.17</v>
      </c>
      <c r="N676" t="s">
        <v>8</v>
      </c>
    </row>
    <row r="677" spans="8:14" x14ac:dyDescent="0.25">
      <c r="H677" s="1" t="s">
        <v>10</v>
      </c>
      <c r="J677" t="s">
        <v>249</v>
      </c>
      <c r="K677" t="s">
        <v>250</v>
      </c>
      <c r="L677">
        <v>5.75</v>
      </c>
      <c r="M677">
        <v>1.1499999999999999</v>
      </c>
      <c r="N677" t="s">
        <v>8</v>
      </c>
    </row>
    <row r="678" spans="8:14" x14ac:dyDescent="0.25">
      <c r="H678" s="1" t="s">
        <v>10</v>
      </c>
      <c r="J678" t="s">
        <v>252</v>
      </c>
      <c r="K678" t="s">
        <v>95</v>
      </c>
      <c r="L678">
        <v>6.25</v>
      </c>
      <c r="M678">
        <v>1.1299999999999999</v>
      </c>
      <c r="N678" t="s">
        <v>8</v>
      </c>
    </row>
    <row r="679" spans="8:14" x14ac:dyDescent="0.25">
      <c r="H679" s="1" t="s">
        <v>10</v>
      </c>
      <c r="J679" t="s">
        <v>252</v>
      </c>
      <c r="K679" t="s">
        <v>95</v>
      </c>
      <c r="L679">
        <v>6.7</v>
      </c>
      <c r="M679">
        <v>1.1200000000000001</v>
      </c>
      <c r="N679" t="s">
        <v>8</v>
      </c>
    </row>
    <row r="680" spans="8:14" x14ac:dyDescent="0.25">
      <c r="H680" s="1" t="s">
        <v>10</v>
      </c>
      <c r="J680" t="s">
        <v>252</v>
      </c>
      <c r="K680" t="s">
        <v>95</v>
      </c>
      <c r="L680">
        <v>6.75</v>
      </c>
      <c r="M680">
        <v>1.1100000000000001</v>
      </c>
      <c r="N680" t="s">
        <v>8</v>
      </c>
    </row>
    <row r="681" spans="8:14" x14ac:dyDescent="0.25">
      <c r="H681" s="1" t="s">
        <v>10</v>
      </c>
      <c r="J681" t="s">
        <v>252</v>
      </c>
      <c r="K681" t="s">
        <v>95</v>
      </c>
      <c r="L681">
        <v>7.4</v>
      </c>
      <c r="M681">
        <v>1.1000000000000001</v>
      </c>
      <c r="N681" t="s">
        <v>8</v>
      </c>
    </row>
    <row r="682" spans="8:14" x14ac:dyDescent="0.25">
      <c r="H682" s="1" t="s">
        <v>10</v>
      </c>
      <c r="J682" t="s">
        <v>252</v>
      </c>
      <c r="K682" t="s">
        <v>95</v>
      </c>
      <c r="L682">
        <v>6</v>
      </c>
      <c r="M682">
        <v>1.1399999999999999</v>
      </c>
      <c r="N682" t="s">
        <v>8</v>
      </c>
    </row>
    <row r="683" spans="8:14" x14ac:dyDescent="0.25">
      <c r="H683" s="1" t="s">
        <v>10</v>
      </c>
      <c r="J683" t="s">
        <v>252</v>
      </c>
      <c r="K683" t="s">
        <v>95</v>
      </c>
      <c r="L683">
        <v>6.4</v>
      </c>
      <c r="M683">
        <v>1.1200000000000001</v>
      </c>
      <c r="N683" t="s">
        <v>8</v>
      </c>
    </row>
    <row r="684" spans="8:14" x14ac:dyDescent="0.25">
      <c r="H684" s="1" t="s">
        <v>10</v>
      </c>
      <c r="J684" t="s">
        <v>252</v>
      </c>
      <c r="K684" t="s">
        <v>95</v>
      </c>
      <c r="L684">
        <v>7.4</v>
      </c>
      <c r="M684">
        <v>1.1000000000000001</v>
      </c>
      <c r="N684" t="s">
        <v>8</v>
      </c>
    </row>
    <row r="685" spans="8:14" x14ac:dyDescent="0.25">
      <c r="H685" s="1" t="s">
        <v>10</v>
      </c>
      <c r="J685" t="s">
        <v>252</v>
      </c>
      <c r="K685" t="s">
        <v>95</v>
      </c>
      <c r="L685">
        <v>6.5</v>
      </c>
      <c r="M685">
        <v>1.1299999999999999</v>
      </c>
      <c r="N685" t="s">
        <v>8</v>
      </c>
    </row>
    <row r="686" spans="8:14" x14ac:dyDescent="0.25">
      <c r="H686" s="1" t="s">
        <v>10</v>
      </c>
      <c r="J686" t="s">
        <v>252</v>
      </c>
      <c r="K686" t="s">
        <v>95</v>
      </c>
      <c r="L686">
        <v>6.25</v>
      </c>
      <c r="M686">
        <v>1.1200000000000001</v>
      </c>
      <c r="N686" t="s">
        <v>8</v>
      </c>
    </row>
    <row r="687" spans="8:14" x14ac:dyDescent="0.25">
      <c r="H687" s="1" t="s">
        <v>10</v>
      </c>
      <c r="J687" t="s">
        <v>252</v>
      </c>
      <c r="K687" t="s">
        <v>95</v>
      </c>
      <c r="L687">
        <v>6.2</v>
      </c>
      <c r="M687">
        <v>1.1299999999999999</v>
      </c>
      <c r="N687" t="s">
        <v>8</v>
      </c>
    </row>
    <row r="688" spans="8:14" x14ac:dyDescent="0.25">
      <c r="H688" s="1" t="s">
        <v>10</v>
      </c>
      <c r="J688" t="s">
        <v>252</v>
      </c>
      <c r="K688" t="s">
        <v>95</v>
      </c>
      <c r="L688">
        <v>6.5</v>
      </c>
      <c r="M688">
        <v>1.1299999999999999</v>
      </c>
      <c r="N688" t="s">
        <v>8</v>
      </c>
    </row>
    <row r="689" spans="8:14" x14ac:dyDescent="0.25">
      <c r="H689" s="1" t="s">
        <v>10</v>
      </c>
      <c r="J689" t="s">
        <v>252</v>
      </c>
      <c r="K689" t="s">
        <v>95</v>
      </c>
      <c r="L689">
        <v>7</v>
      </c>
      <c r="M689">
        <v>1.1100000000000001</v>
      </c>
      <c r="N689" t="s">
        <v>8</v>
      </c>
    </row>
    <row r="690" spans="8:14" x14ac:dyDescent="0.25">
      <c r="H690" s="1" t="s">
        <v>10</v>
      </c>
      <c r="J690" t="s">
        <v>251</v>
      </c>
      <c r="K690" t="s">
        <v>88</v>
      </c>
      <c r="L690">
        <v>1.03</v>
      </c>
      <c r="M690">
        <v>16</v>
      </c>
      <c r="N690" t="s">
        <v>8</v>
      </c>
    </row>
    <row r="691" spans="8:14" x14ac:dyDescent="0.25">
      <c r="H691" s="1" t="s">
        <v>10</v>
      </c>
      <c r="J691" t="s">
        <v>251</v>
      </c>
      <c r="K691" t="s">
        <v>88</v>
      </c>
      <c r="L691">
        <v>1.02</v>
      </c>
      <c r="M691">
        <v>14</v>
      </c>
      <c r="N691" t="s">
        <v>8</v>
      </c>
    </row>
    <row r="692" spans="8:14" x14ac:dyDescent="0.25">
      <c r="H692" s="1" t="s">
        <v>10</v>
      </c>
      <c r="J692" t="s">
        <v>251</v>
      </c>
      <c r="K692" t="s">
        <v>88</v>
      </c>
      <c r="L692">
        <v>1.02</v>
      </c>
      <c r="M692">
        <v>14</v>
      </c>
      <c r="N692" t="s">
        <v>8</v>
      </c>
    </row>
    <row r="693" spans="8:14" x14ac:dyDescent="0.25">
      <c r="H693" s="1" t="s">
        <v>10</v>
      </c>
      <c r="J693" t="s">
        <v>251</v>
      </c>
      <c r="K693" t="s">
        <v>88</v>
      </c>
      <c r="L693">
        <v>1.02</v>
      </c>
      <c r="M693">
        <v>15.1</v>
      </c>
      <c r="N693" t="s">
        <v>8</v>
      </c>
    </row>
    <row r="694" spans="8:14" x14ac:dyDescent="0.25">
      <c r="H694" s="1" t="s">
        <v>10</v>
      </c>
      <c r="J694" t="s">
        <v>251</v>
      </c>
      <c r="K694" t="s">
        <v>88</v>
      </c>
      <c r="L694">
        <v>1.03</v>
      </c>
      <c r="M694">
        <v>14.5</v>
      </c>
      <c r="N694" t="s">
        <v>8</v>
      </c>
    </row>
    <row r="695" spans="8:14" x14ac:dyDescent="0.25">
      <c r="H695" s="1" t="s">
        <v>10</v>
      </c>
      <c r="J695" t="s">
        <v>251</v>
      </c>
      <c r="K695" t="s">
        <v>88</v>
      </c>
      <c r="L695">
        <v>1.02</v>
      </c>
      <c r="M695">
        <v>15</v>
      </c>
      <c r="N695" t="s">
        <v>8</v>
      </c>
    </row>
    <row r="696" spans="8:14" x14ac:dyDescent="0.25">
      <c r="H696" s="1" t="s">
        <v>10</v>
      </c>
      <c r="J696" t="s">
        <v>251</v>
      </c>
      <c r="K696" t="s">
        <v>88</v>
      </c>
      <c r="L696">
        <v>1.02</v>
      </c>
      <c r="M696">
        <v>14</v>
      </c>
      <c r="N696" t="s">
        <v>8</v>
      </c>
    </row>
    <row r="697" spans="8:14" x14ac:dyDescent="0.25">
      <c r="H697" s="1" t="s">
        <v>10</v>
      </c>
      <c r="J697" t="s">
        <v>251</v>
      </c>
      <c r="K697" t="s">
        <v>88</v>
      </c>
      <c r="L697">
        <v>1.02</v>
      </c>
      <c r="M697">
        <v>15</v>
      </c>
      <c r="N697" t="s">
        <v>8</v>
      </c>
    </row>
    <row r="698" spans="8:14" x14ac:dyDescent="0.25">
      <c r="H698" s="1" t="s">
        <v>10</v>
      </c>
      <c r="J698" t="s">
        <v>251</v>
      </c>
      <c r="K698" t="s">
        <v>88</v>
      </c>
      <c r="L698">
        <v>1.02</v>
      </c>
      <c r="M698">
        <v>15</v>
      </c>
      <c r="N698" t="s">
        <v>8</v>
      </c>
    </row>
    <row r="699" spans="8:14" x14ac:dyDescent="0.25">
      <c r="H699" s="1" t="s">
        <v>10</v>
      </c>
      <c r="J699" t="s">
        <v>251</v>
      </c>
      <c r="K699" t="s">
        <v>88</v>
      </c>
      <c r="L699">
        <v>1.02</v>
      </c>
      <c r="M699">
        <v>15</v>
      </c>
      <c r="N699" t="s">
        <v>8</v>
      </c>
    </row>
    <row r="700" spans="8:14" x14ac:dyDescent="0.25">
      <c r="H700" s="1" t="s">
        <v>10</v>
      </c>
      <c r="J700" t="s">
        <v>251</v>
      </c>
      <c r="K700" t="s">
        <v>88</v>
      </c>
      <c r="L700">
        <v>1.03</v>
      </c>
      <c r="M700">
        <v>14</v>
      </c>
      <c r="N700" t="s">
        <v>8</v>
      </c>
    </row>
    <row r="701" spans="8:14" x14ac:dyDescent="0.25">
      <c r="H701" s="1" t="s">
        <v>10</v>
      </c>
      <c r="J701" t="s">
        <v>114</v>
      </c>
      <c r="K701" t="s">
        <v>67</v>
      </c>
      <c r="L701">
        <v>1.1399999999999999</v>
      </c>
      <c r="M701">
        <v>5.6</v>
      </c>
      <c r="N701" t="s">
        <v>8</v>
      </c>
    </row>
    <row r="702" spans="8:14" x14ac:dyDescent="0.25">
      <c r="H702" s="1" t="s">
        <v>10</v>
      </c>
      <c r="J702" t="s">
        <v>114</v>
      </c>
      <c r="K702" t="s">
        <v>67</v>
      </c>
      <c r="L702">
        <v>1.1399999999999999</v>
      </c>
      <c r="M702">
        <v>5.6</v>
      </c>
      <c r="N702" t="s">
        <v>8</v>
      </c>
    </row>
    <row r="703" spans="8:14" x14ac:dyDescent="0.25">
      <c r="H703" s="1" t="s">
        <v>10</v>
      </c>
      <c r="J703" t="s">
        <v>114</v>
      </c>
      <c r="K703" t="s">
        <v>67</v>
      </c>
      <c r="L703">
        <v>1.1200000000000001</v>
      </c>
      <c r="M703">
        <v>6.75</v>
      </c>
      <c r="N703" t="s">
        <v>8</v>
      </c>
    </row>
    <row r="704" spans="8:14" x14ac:dyDescent="0.25">
      <c r="H704" s="1" t="s">
        <v>10</v>
      </c>
      <c r="J704" t="s">
        <v>114</v>
      </c>
      <c r="K704" t="s">
        <v>67</v>
      </c>
      <c r="L704">
        <v>1.1299999999999999</v>
      </c>
      <c r="M704">
        <v>6.3</v>
      </c>
      <c r="N704" t="s">
        <v>8</v>
      </c>
    </row>
    <row r="705" spans="8:14" x14ac:dyDescent="0.25">
      <c r="H705" s="1" t="s">
        <v>10</v>
      </c>
      <c r="J705" t="s">
        <v>114</v>
      </c>
      <c r="K705" t="s">
        <v>67</v>
      </c>
      <c r="L705">
        <v>1.1399999999999999</v>
      </c>
      <c r="M705">
        <v>6.2</v>
      </c>
      <c r="N705" t="s">
        <v>8</v>
      </c>
    </row>
    <row r="706" spans="8:14" x14ac:dyDescent="0.25">
      <c r="H706" s="1" t="s">
        <v>10</v>
      </c>
      <c r="J706" t="s">
        <v>114</v>
      </c>
      <c r="K706" t="s">
        <v>67</v>
      </c>
      <c r="L706">
        <v>1.1399999999999999</v>
      </c>
      <c r="M706">
        <v>6.2</v>
      </c>
      <c r="N706" t="s">
        <v>8</v>
      </c>
    </row>
    <row r="707" spans="8:14" x14ac:dyDescent="0.25">
      <c r="H707" s="1" t="s">
        <v>10</v>
      </c>
      <c r="J707" t="s">
        <v>114</v>
      </c>
      <c r="K707" t="s">
        <v>67</v>
      </c>
      <c r="L707">
        <v>1.1299999999999999</v>
      </c>
      <c r="M707">
        <v>6</v>
      </c>
      <c r="N707" t="s">
        <v>8</v>
      </c>
    </row>
    <row r="708" spans="8:14" x14ac:dyDescent="0.25">
      <c r="H708" s="1" t="s">
        <v>10</v>
      </c>
      <c r="J708" t="s">
        <v>114</v>
      </c>
      <c r="K708" t="s">
        <v>67</v>
      </c>
      <c r="L708">
        <v>1.1399999999999999</v>
      </c>
      <c r="M708">
        <v>6</v>
      </c>
      <c r="N708" t="s">
        <v>8</v>
      </c>
    </row>
    <row r="709" spans="8:14" x14ac:dyDescent="0.25">
      <c r="H709" s="1" t="s">
        <v>10</v>
      </c>
      <c r="J709" t="s">
        <v>114</v>
      </c>
      <c r="K709" t="s">
        <v>67</v>
      </c>
      <c r="L709">
        <v>1.1299999999999999</v>
      </c>
      <c r="M709">
        <v>6.1</v>
      </c>
      <c r="N709" t="s">
        <v>8</v>
      </c>
    </row>
    <row r="710" spans="8:14" x14ac:dyDescent="0.25">
      <c r="H710" s="1" t="s">
        <v>10</v>
      </c>
      <c r="J710" t="s">
        <v>114</v>
      </c>
      <c r="K710" t="s">
        <v>67</v>
      </c>
      <c r="L710">
        <v>1.1399999999999999</v>
      </c>
      <c r="M710">
        <v>5.9</v>
      </c>
      <c r="N710" t="s">
        <v>8</v>
      </c>
    </row>
    <row r="711" spans="8:14" x14ac:dyDescent="0.25">
      <c r="H711" s="1" t="s">
        <v>10</v>
      </c>
      <c r="J711" t="s">
        <v>114</v>
      </c>
      <c r="K711" t="s">
        <v>67</v>
      </c>
      <c r="L711">
        <v>1.1200000000000001</v>
      </c>
      <c r="M711">
        <v>6.5</v>
      </c>
      <c r="N711" t="s">
        <v>8</v>
      </c>
    </row>
    <row r="712" spans="8:14" x14ac:dyDescent="0.25">
      <c r="H712" s="1" t="s">
        <v>10</v>
      </c>
      <c r="J712" t="s">
        <v>114</v>
      </c>
      <c r="K712" t="s">
        <v>67</v>
      </c>
      <c r="L712">
        <v>1.1399999999999999</v>
      </c>
      <c r="M712">
        <v>5.75</v>
      </c>
      <c r="N712" t="s">
        <v>8</v>
      </c>
    </row>
    <row r="713" spans="8:14" x14ac:dyDescent="0.25">
      <c r="H713" s="1" t="s">
        <v>10</v>
      </c>
      <c r="J713" t="s">
        <v>253</v>
      </c>
      <c r="K713" t="s">
        <v>67</v>
      </c>
      <c r="L713">
        <v>3.6</v>
      </c>
      <c r="M713">
        <v>1.31</v>
      </c>
      <c r="N713" t="s">
        <v>8</v>
      </c>
    </row>
    <row r="714" spans="8:14" x14ac:dyDescent="0.25">
      <c r="H714" s="1" t="s">
        <v>10</v>
      </c>
      <c r="J714" t="s">
        <v>253</v>
      </c>
      <c r="K714" t="s">
        <v>67</v>
      </c>
      <c r="L714">
        <v>3.5</v>
      </c>
      <c r="M714">
        <v>1.32</v>
      </c>
      <c r="N714" t="s">
        <v>8</v>
      </c>
    </row>
    <row r="715" spans="8:14" x14ac:dyDescent="0.25">
      <c r="H715" s="1" t="s">
        <v>10</v>
      </c>
      <c r="J715" t="s">
        <v>253</v>
      </c>
      <c r="K715" t="s">
        <v>67</v>
      </c>
      <c r="L715">
        <v>3.35</v>
      </c>
      <c r="M715">
        <v>1.35</v>
      </c>
      <c r="N715" t="s">
        <v>8</v>
      </c>
    </row>
    <row r="716" spans="8:14" x14ac:dyDescent="0.25">
      <c r="H716" s="1" t="s">
        <v>10</v>
      </c>
      <c r="J716" t="s">
        <v>253</v>
      </c>
      <c r="K716" t="s">
        <v>67</v>
      </c>
      <c r="L716">
        <v>3.55</v>
      </c>
      <c r="M716">
        <v>1.3</v>
      </c>
      <c r="N716" t="s">
        <v>8</v>
      </c>
    </row>
    <row r="717" spans="8:14" x14ac:dyDescent="0.25">
      <c r="H717" s="1" t="s">
        <v>10</v>
      </c>
      <c r="J717" t="s">
        <v>253</v>
      </c>
      <c r="K717" t="s">
        <v>67</v>
      </c>
      <c r="L717">
        <v>3.5</v>
      </c>
      <c r="M717">
        <v>1.31</v>
      </c>
      <c r="N717" t="s">
        <v>8</v>
      </c>
    </row>
    <row r="718" spans="8:14" x14ac:dyDescent="0.25">
      <c r="H718" s="1" t="s">
        <v>10</v>
      </c>
      <c r="J718" t="s">
        <v>253</v>
      </c>
      <c r="K718" t="s">
        <v>67</v>
      </c>
      <c r="L718">
        <v>3.45</v>
      </c>
      <c r="M718">
        <v>1.32</v>
      </c>
      <c r="N718" t="s">
        <v>8</v>
      </c>
    </row>
    <row r="719" spans="8:14" x14ac:dyDescent="0.25">
      <c r="H719" s="1" t="s">
        <v>10</v>
      </c>
      <c r="J719" t="s">
        <v>253</v>
      </c>
      <c r="K719" t="s">
        <v>67</v>
      </c>
      <c r="L719">
        <v>3.55</v>
      </c>
      <c r="M719">
        <v>1.3</v>
      </c>
      <c r="N719" t="s">
        <v>8</v>
      </c>
    </row>
    <row r="720" spans="8:14" x14ac:dyDescent="0.25">
      <c r="H720" s="1" t="s">
        <v>10</v>
      </c>
      <c r="J720" t="s">
        <v>253</v>
      </c>
      <c r="K720" t="s">
        <v>67</v>
      </c>
      <c r="L720">
        <v>3.5</v>
      </c>
      <c r="M720">
        <v>1.33</v>
      </c>
      <c r="N720" t="s">
        <v>8</v>
      </c>
    </row>
    <row r="721" spans="8:14" x14ac:dyDescent="0.25">
      <c r="H721" s="1" t="s">
        <v>10</v>
      </c>
      <c r="J721" t="s">
        <v>253</v>
      </c>
      <c r="K721" t="s">
        <v>67</v>
      </c>
      <c r="L721">
        <v>3.5</v>
      </c>
      <c r="M721">
        <v>1.32</v>
      </c>
      <c r="N721" t="s">
        <v>8</v>
      </c>
    </row>
    <row r="722" spans="8:14" x14ac:dyDescent="0.25">
      <c r="H722" s="1" t="s">
        <v>10</v>
      </c>
      <c r="J722" t="s">
        <v>253</v>
      </c>
      <c r="K722" t="s">
        <v>67</v>
      </c>
      <c r="L722">
        <v>3.5</v>
      </c>
      <c r="M722">
        <v>1.33</v>
      </c>
      <c r="N722" t="s">
        <v>8</v>
      </c>
    </row>
    <row r="723" spans="8:14" x14ac:dyDescent="0.25">
      <c r="H723" s="1" t="s">
        <v>10</v>
      </c>
      <c r="J723" t="s">
        <v>253</v>
      </c>
      <c r="K723" t="s">
        <v>67</v>
      </c>
      <c r="L723">
        <v>3.5</v>
      </c>
      <c r="M723">
        <v>1.33</v>
      </c>
      <c r="N723" t="s">
        <v>8</v>
      </c>
    </row>
    <row r="724" spans="8:14" x14ac:dyDescent="0.25">
      <c r="H724" s="1" t="s">
        <v>10</v>
      </c>
      <c r="J724" t="s">
        <v>253</v>
      </c>
      <c r="K724" t="s">
        <v>67</v>
      </c>
      <c r="L724">
        <v>3.3</v>
      </c>
      <c r="M724">
        <v>1.36</v>
      </c>
      <c r="N724" t="s">
        <v>8</v>
      </c>
    </row>
    <row r="725" spans="8:14" x14ac:dyDescent="0.25">
      <c r="H725" s="1" t="s">
        <v>10</v>
      </c>
      <c r="J725" t="s">
        <v>254</v>
      </c>
      <c r="K725" t="s">
        <v>255</v>
      </c>
      <c r="L725">
        <v>1.95</v>
      </c>
      <c r="M725">
        <v>1.87</v>
      </c>
      <c r="N725" t="s">
        <v>8</v>
      </c>
    </row>
    <row r="726" spans="8:14" x14ac:dyDescent="0.25">
      <c r="H726" s="1" t="s">
        <v>10</v>
      </c>
      <c r="J726" t="s">
        <v>254</v>
      </c>
      <c r="K726" t="s">
        <v>255</v>
      </c>
      <c r="L726">
        <v>1.95</v>
      </c>
      <c r="M726">
        <v>1.87</v>
      </c>
      <c r="N726" t="s">
        <v>8</v>
      </c>
    </row>
    <row r="727" spans="8:14" x14ac:dyDescent="0.25">
      <c r="H727" s="1" t="s">
        <v>10</v>
      </c>
      <c r="J727" t="s">
        <v>254</v>
      </c>
      <c r="K727" t="s">
        <v>255</v>
      </c>
      <c r="L727">
        <v>1.91</v>
      </c>
      <c r="M727">
        <v>1.91</v>
      </c>
      <c r="N727" t="s">
        <v>8</v>
      </c>
    </row>
    <row r="728" spans="8:14" x14ac:dyDescent="0.25">
      <c r="H728" s="1" t="s">
        <v>10</v>
      </c>
      <c r="J728" t="s">
        <v>254</v>
      </c>
      <c r="K728" t="s">
        <v>255</v>
      </c>
      <c r="L728">
        <v>2.0499999999999998</v>
      </c>
      <c r="M728">
        <v>1.8</v>
      </c>
      <c r="N728" t="s">
        <v>8</v>
      </c>
    </row>
    <row r="729" spans="8:14" x14ac:dyDescent="0.25">
      <c r="H729" s="1" t="s">
        <v>10</v>
      </c>
      <c r="J729" t="s">
        <v>254</v>
      </c>
      <c r="K729" t="s">
        <v>255</v>
      </c>
      <c r="L729">
        <v>1.95</v>
      </c>
      <c r="M729">
        <v>1.87</v>
      </c>
      <c r="N729" t="s">
        <v>8</v>
      </c>
    </row>
    <row r="730" spans="8:14" x14ac:dyDescent="0.25">
      <c r="H730" s="1" t="s">
        <v>10</v>
      </c>
      <c r="J730" t="s">
        <v>254</v>
      </c>
      <c r="K730" t="s">
        <v>255</v>
      </c>
      <c r="L730">
        <v>2</v>
      </c>
      <c r="M730">
        <v>1.83</v>
      </c>
      <c r="N730" t="s">
        <v>8</v>
      </c>
    </row>
    <row r="731" spans="8:14" x14ac:dyDescent="0.25">
      <c r="H731" s="1" t="s">
        <v>10</v>
      </c>
      <c r="J731" t="s">
        <v>254</v>
      </c>
      <c r="K731" t="s">
        <v>255</v>
      </c>
      <c r="L731">
        <v>1.91</v>
      </c>
      <c r="M731">
        <v>1.91</v>
      </c>
      <c r="N731" t="s">
        <v>8</v>
      </c>
    </row>
    <row r="732" spans="8:14" x14ac:dyDescent="0.25">
      <c r="H732" s="1" t="s">
        <v>10</v>
      </c>
      <c r="J732" t="s">
        <v>254</v>
      </c>
      <c r="K732" t="s">
        <v>255</v>
      </c>
      <c r="L732">
        <v>2</v>
      </c>
      <c r="M732">
        <v>1.83</v>
      </c>
      <c r="N732" t="s">
        <v>8</v>
      </c>
    </row>
    <row r="733" spans="8:14" x14ac:dyDescent="0.25">
      <c r="H733" s="1" t="s">
        <v>10</v>
      </c>
      <c r="J733" t="s">
        <v>254</v>
      </c>
      <c r="K733" t="s">
        <v>255</v>
      </c>
      <c r="L733">
        <v>2</v>
      </c>
      <c r="M733">
        <v>1.83</v>
      </c>
      <c r="N733" t="s">
        <v>8</v>
      </c>
    </row>
    <row r="734" spans="8:14" x14ac:dyDescent="0.25">
      <c r="H734" s="1" t="s">
        <v>10</v>
      </c>
      <c r="J734" t="s">
        <v>256</v>
      </c>
      <c r="K734" t="s">
        <v>257</v>
      </c>
      <c r="L734">
        <v>1.1000000000000001</v>
      </c>
      <c r="M734">
        <v>7.75</v>
      </c>
      <c r="N734" t="s">
        <v>8</v>
      </c>
    </row>
    <row r="735" spans="8:14" x14ac:dyDescent="0.25">
      <c r="H735" s="1" t="s">
        <v>10</v>
      </c>
      <c r="J735" t="s">
        <v>256</v>
      </c>
      <c r="K735" t="s">
        <v>257</v>
      </c>
      <c r="L735">
        <v>1.07</v>
      </c>
      <c r="M735">
        <v>9</v>
      </c>
      <c r="N735" t="s">
        <v>8</v>
      </c>
    </row>
    <row r="736" spans="8:14" x14ac:dyDescent="0.25">
      <c r="H736" s="1" t="s">
        <v>10</v>
      </c>
      <c r="J736" t="s">
        <v>256</v>
      </c>
      <c r="K736" t="s">
        <v>257</v>
      </c>
      <c r="L736">
        <v>1.08</v>
      </c>
      <c r="M736">
        <v>8</v>
      </c>
      <c r="N736" t="s">
        <v>8</v>
      </c>
    </row>
    <row r="737" spans="8:14" x14ac:dyDescent="0.25">
      <c r="H737" s="1" t="s">
        <v>10</v>
      </c>
      <c r="J737" t="s">
        <v>256</v>
      </c>
      <c r="K737" t="s">
        <v>257</v>
      </c>
      <c r="L737">
        <v>1.0900000000000001</v>
      </c>
      <c r="M737">
        <v>8</v>
      </c>
      <c r="N737" t="s">
        <v>8</v>
      </c>
    </row>
    <row r="738" spans="8:14" x14ac:dyDescent="0.25">
      <c r="H738" s="1" t="s">
        <v>10</v>
      </c>
      <c r="J738" t="s">
        <v>256</v>
      </c>
      <c r="K738" t="s">
        <v>257</v>
      </c>
      <c r="L738">
        <v>1.0900000000000001</v>
      </c>
      <c r="M738">
        <v>8</v>
      </c>
      <c r="N738" t="s">
        <v>8</v>
      </c>
    </row>
    <row r="739" spans="8:14" x14ac:dyDescent="0.25">
      <c r="H739" s="1" t="s">
        <v>10</v>
      </c>
      <c r="J739" t="s">
        <v>256</v>
      </c>
      <c r="K739" t="s">
        <v>257</v>
      </c>
      <c r="L739">
        <v>1.08</v>
      </c>
      <c r="M739">
        <v>8</v>
      </c>
      <c r="N739" t="s">
        <v>8</v>
      </c>
    </row>
    <row r="740" spans="8:14" x14ac:dyDescent="0.25">
      <c r="H740" s="1" t="s">
        <v>10</v>
      </c>
      <c r="J740" t="s">
        <v>256</v>
      </c>
      <c r="K740" t="s">
        <v>257</v>
      </c>
      <c r="L740">
        <v>1.0900000000000001</v>
      </c>
      <c r="M740">
        <v>8</v>
      </c>
      <c r="N740" t="s">
        <v>8</v>
      </c>
    </row>
    <row r="741" spans="8:14" x14ac:dyDescent="0.25">
      <c r="H741" s="1" t="s">
        <v>10</v>
      </c>
      <c r="J741" t="s">
        <v>256</v>
      </c>
      <c r="K741" t="s">
        <v>257</v>
      </c>
      <c r="L741">
        <v>1.08</v>
      </c>
      <c r="M741">
        <v>8.5</v>
      </c>
      <c r="N741" t="s">
        <v>8</v>
      </c>
    </row>
    <row r="742" spans="8:14" x14ac:dyDescent="0.25">
      <c r="H742" s="1" t="s">
        <v>10</v>
      </c>
      <c r="J742" t="s">
        <v>256</v>
      </c>
      <c r="K742" t="s">
        <v>257</v>
      </c>
      <c r="L742">
        <v>1.08</v>
      </c>
      <c r="M742">
        <v>8</v>
      </c>
      <c r="N742" t="s">
        <v>8</v>
      </c>
    </row>
    <row r="743" spans="8:14" x14ac:dyDescent="0.25">
      <c r="H743" s="1" t="s">
        <v>10</v>
      </c>
      <c r="J743" t="s">
        <v>256</v>
      </c>
      <c r="K743" t="s">
        <v>257</v>
      </c>
      <c r="L743">
        <v>1.1000000000000001</v>
      </c>
      <c r="M743">
        <v>7.5</v>
      </c>
      <c r="N743" t="s">
        <v>8</v>
      </c>
    </row>
    <row r="744" spans="8:14" x14ac:dyDescent="0.25">
      <c r="H744" s="1" t="s">
        <v>10</v>
      </c>
      <c r="J744" t="s">
        <v>256</v>
      </c>
      <c r="K744" t="s">
        <v>257</v>
      </c>
      <c r="L744">
        <v>1.08</v>
      </c>
      <c r="M744">
        <v>8.5</v>
      </c>
      <c r="N744" t="s">
        <v>8</v>
      </c>
    </row>
    <row r="745" spans="8:14" x14ac:dyDescent="0.25">
      <c r="H745" s="1" t="s">
        <v>10</v>
      </c>
      <c r="J745" t="s">
        <v>256</v>
      </c>
      <c r="K745" t="s">
        <v>257</v>
      </c>
      <c r="L745">
        <v>1.07</v>
      </c>
      <c r="M745">
        <v>9</v>
      </c>
      <c r="N745" t="s">
        <v>8</v>
      </c>
    </row>
    <row r="746" spans="8:14" x14ac:dyDescent="0.25">
      <c r="H746" s="1" t="s">
        <v>10</v>
      </c>
      <c r="J746" t="s">
        <v>115</v>
      </c>
      <c r="K746" t="s">
        <v>258</v>
      </c>
      <c r="L746">
        <v>1.3</v>
      </c>
      <c r="M746">
        <v>3.75</v>
      </c>
      <c r="N746" t="s">
        <v>8</v>
      </c>
    </row>
    <row r="747" spans="8:14" x14ac:dyDescent="0.25">
      <c r="H747" s="1" t="s">
        <v>10</v>
      </c>
      <c r="J747" t="s">
        <v>115</v>
      </c>
      <c r="K747" t="s">
        <v>258</v>
      </c>
      <c r="L747">
        <v>1.24</v>
      </c>
      <c r="M747">
        <v>4.2</v>
      </c>
      <c r="N747" t="s">
        <v>8</v>
      </c>
    </row>
    <row r="748" spans="8:14" x14ac:dyDescent="0.25">
      <c r="H748" s="1" t="s">
        <v>10</v>
      </c>
      <c r="J748" t="s">
        <v>115</v>
      </c>
      <c r="K748" t="s">
        <v>258</v>
      </c>
      <c r="L748">
        <v>1.3</v>
      </c>
      <c r="M748">
        <v>3.75</v>
      </c>
      <c r="N748" t="s">
        <v>8</v>
      </c>
    </row>
    <row r="749" spans="8:14" x14ac:dyDescent="0.25">
      <c r="H749" s="1" t="s">
        <v>10</v>
      </c>
      <c r="J749" t="s">
        <v>116</v>
      </c>
      <c r="K749" t="s">
        <v>117</v>
      </c>
      <c r="L749">
        <v>1.41</v>
      </c>
      <c r="M749">
        <v>2.95</v>
      </c>
      <c r="N749" t="s">
        <v>8</v>
      </c>
    </row>
    <row r="750" spans="8:14" x14ac:dyDescent="0.25">
      <c r="H750" s="1" t="s">
        <v>10</v>
      </c>
      <c r="J750" t="s">
        <v>116</v>
      </c>
      <c r="K750" t="s">
        <v>117</v>
      </c>
      <c r="L750">
        <v>1.43</v>
      </c>
      <c r="M750">
        <v>2.88</v>
      </c>
      <c r="N750" t="s">
        <v>8</v>
      </c>
    </row>
    <row r="751" spans="8:14" x14ac:dyDescent="0.25">
      <c r="H751" s="1" t="s">
        <v>10</v>
      </c>
      <c r="J751" t="s">
        <v>116</v>
      </c>
      <c r="K751" t="s">
        <v>117</v>
      </c>
      <c r="L751">
        <v>1.41</v>
      </c>
      <c r="M751">
        <v>2.95</v>
      </c>
      <c r="N751" t="s">
        <v>8</v>
      </c>
    </row>
    <row r="752" spans="8:14" x14ac:dyDescent="0.25">
      <c r="H752" s="1" t="s">
        <v>10</v>
      </c>
      <c r="J752" t="s">
        <v>124</v>
      </c>
      <c r="K752" t="s">
        <v>399</v>
      </c>
      <c r="L752">
        <v>2.5</v>
      </c>
      <c r="M752">
        <v>1.56</v>
      </c>
      <c r="N752" s="1" t="s">
        <v>9</v>
      </c>
    </row>
    <row r="753" spans="8:14" x14ac:dyDescent="0.25">
      <c r="H753" s="1" t="s">
        <v>10</v>
      </c>
      <c r="J753" t="s">
        <v>124</v>
      </c>
      <c r="K753" t="s">
        <v>399</v>
      </c>
      <c r="L753">
        <v>2.5</v>
      </c>
      <c r="M753">
        <v>1.56</v>
      </c>
      <c r="N753" s="1" t="s">
        <v>9</v>
      </c>
    </row>
    <row r="754" spans="8:14" x14ac:dyDescent="0.25">
      <c r="H754" s="1" t="s">
        <v>10</v>
      </c>
      <c r="J754" t="s">
        <v>124</v>
      </c>
      <c r="K754" t="s">
        <v>399</v>
      </c>
      <c r="L754">
        <v>2.5</v>
      </c>
      <c r="M754">
        <v>1.56</v>
      </c>
      <c r="N754" s="1" t="s">
        <v>9</v>
      </c>
    </row>
    <row r="755" spans="8:14" x14ac:dyDescent="0.25">
      <c r="H755" s="1" t="s">
        <v>10</v>
      </c>
      <c r="J755" t="s">
        <v>124</v>
      </c>
      <c r="K755" t="s">
        <v>399</v>
      </c>
      <c r="L755">
        <v>2.56</v>
      </c>
      <c r="M755">
        <v>1.57</v>
      </c>
      <c r="N755" s="1" t="s">
        <v>9</v>
      </c>
    </row>
    <row r="756" spans="8:14" x14ac:dyDescent="0.25">
      <c r="H756" s="1" t="s">
        <v>10</v>
      </c>
      <c r="J756" t="s">
        <v>124</v>
      </c>
      <c r="K756" t="s">
        <v>399</v>
      </c>
      <c r="L756">
        <v>2.56</v>
      </c>
      <c r="M756">
        <v>1.57</v>
      </c>
      <c r="N756" s="1" t="s">
        <v>9</v>
      </c>
    </row>
    <row r="757" spans="8:14" x14ac:dyDescent="0.25">
      <c r="H757" s="1" t="s">
        <v>10</v>
      </c>
      <c r="J757" t="s">
        <v>124</v>
      </c>
      <c r="K757" t="s">
        <v>399</v>
      </c>
      <c r="L757">
        <v>2.5499999999999998</v>
      </c>
      <c r="M757">
        <v>1.56</v>
      </c>
      <c r="N757" s="1" t="s">
        <v>9</v>
      </c>
    </row>
    <row r="758" spans="8:14" x14ac:dyDescent="0.25">
      <c r="H758" s="1" t="s">
        <v>10</v>
      </c>
      <c r="J758" t="s">
        <v>124</v>
      </c>
      <c r="K758" t="s">
        <v>399</v>
      </c>
      <c r="L758">
        <v>2.5</v>
      </c>
      <c r="M758">
        <v>1.56</v>
      </c>
      <c r="N758" s="1" t="s">
        <v>9</v>
      </c>
    </row>
    <row r="759" spans="8:14" x14ac:dyDescent="0.25">
      <c r="H759" s="1" t="s">
        <v>10</v>
      </c>
      <c r="J759" t="s">
        <v>124</v>
      </c>
      <c r="K759" t="s">
        <v>399</v>
      </c>
      <c r="L759">
        <v>2.5499999999999998</v>
      </c>
      <c r="M759">
        <v>1.56</v>
      </c>
      <c r="N759" s="1" t="s">
        <v>9</v>
      </c>
    </row>
    <row r="760" spans="8:14" x14ac:dyDescent="0.25">
      <c r="H760" s="1" t="s">
        <v>10</v>
      </c>
      <c r="J760" t="s">
        <v>124</v>
      </c>
      <c r="K760" t="s">
        <v>399</v>
      </c>
      <c r="L760">
        <v>2.5</v>
      </c>
      <c r="M760">
        <v>1.56</v>
      </c>
      <c r="N760" s="1" t="s">
        <v>9</v>
      </c>
    </row>
    <row r="761" spans="8:14" x14ac:dyDescent="0.25">
      <c r="H761" s="1" t="s">
        <v>10</v>
      </c>
      <c r="J761" t="s">
        <v>124</v>
      </c>
      <c r="K761" t="s">
        <v>399</v>
      </c>
      <c r="L761">
        <v>2.5</v>
      </c>
      <c r="M761">
        <v>1.54</v>
      </c>
      <c r="N761" s="1" t="s">
        <v>9</v>
      </c>
    </row>
    <row r="762" spans="8:14" x14ac:dyDescent="0.25">
      <c r="H762" s="1" t="s">
        <v>10</v>
      </c>
      <c r="J762" t="s">
        <v>124</v>
      </c>
      <c r="K762" t="s">
        <v>399</v>
      </c>
      <c r="L762">
        <v>2.5</v>
      </c>
      <c r="M762">
        <v>1.54</v>
      </c>
      <c r="N762" s="1" t="s">
        <v>9</v>
      </c>
    </row>
    <row r="763" spans="8:14" x14ac:dyDescent="0.25">
      <c r="H763" s="1" t="s">
        <v>10</v>
      </c>
      <c r="J763" t="s">
        <v>124</v>
      </c>
      <c r="K763" t="s">
        <v>399</v>
      </c>
      <c r="L763">
        <v>2.5</v>
      </c>
      <c r="M763">
        <v>1.54</v>
      </c>
      <c r="N763" s="1" t="s">
        <v>9</v>
      </c>
    </row>
    <row r="764" spans="8:14" x14ac:dyDescent="0.25">
      <c r="H764" s="1" t="s">
        <v>10</v>
      </c>
      <c r="J764" t="s">
        <v>124</v>
      </c>
      <c r="K764" t="s">
        <v>399</v>
      </c>
      <c r="L764">
        <v>2.5</v>
      </c>
      <c r="M764">
        <v>1.56</v>
      </c>
      <c r="N764" s="1" t="s">
        <v>9</v>
      </c>
    </row>
    <row r="765" spans="8:14" x14ac:dyDescent="0.25">
      <c r="H765" s="1" t="s">
        <v>10</v>
      </c>
      <c r="J765" t="s">
        <v>124</v>
      </c>
      <c r="K765" t="s">
        <v>399</v>
      </c>
      <c r="L765">
        <v>2.42</v>
      </c>
      <c r="M765">
        <v>1.61</v>
      </c>
      <c r="N765" s="1" t="s">
        <v>9</v>
      </c>
    </row>
    <row r="766" spans="8:14" x14ac:dyDescent="0.25">
      <c r="H766" s="1" t="s">
        <v>10</v>
      </c>
      <c r="J766" t="s">
        <v>124</v>
      </c>
      <c r="K766" t="s">
        <v>399</v>
      </c>
      <c r="L766">
        <v>2.5</v>
      </c>
      <c r="M766">
        <v>1.54</v>
      </c>
      <c r="N766" s="1" t="s">
        <v>9</v>
      </c>
    </row>
    <row r="767" spans="8:14" x14ac:dyDescent="0.25">
      <c r="H767" s="1" t="s">
        <v>10</v>
      </c>
      <c r="J767" t="s">
        <v>124</v>
      </c>
      <c r="K767" t="s">
        <v>399</v>
      </c>
      <c r="L767">
        <v>2.5</v>
      </c>
      <c r="M767">
        <v>1.57</v>
      </c>
      <c r="N767" s="1" t="s">
        <v>9</v>
      </c>
    </row>
    <row r="768" spans="8:14" x14ac:dyDescent="0.25">
      <c r="H768" s="1" t="s">
        <v>10</v>
      </c>
      <c r="J768" t="s">
        <v>125</v>
      </c>
      <c r="K768" t="s">
        <v>400</v>
      </c>
      <c r="L768">
        <v>1.75</v>
      </c>
      <c r="M768">
        <v>2.14</v>
      </c>
      <c r="N768" s="1" t="s">
        <v>9</v>
      </c>
    </row>
    <row r="769" spans="8:14" x14ac:dyDescent="0.25">
      <c r="H769" s="1" t="s">
        <v>10</v>
      </c>
      <c r="J769" t="s">
        <v>125</v>
      </c>
      <c r="K769" t="s">
        <v>400</v>
      </c>
      <c r="L769">
        <v>1.77</v>
      </c>
      <c r="M769">
        <v>2.1</v>
      </c>
      <c r="N769" s="1" t="s">
        <v>9</v>
      </c>
    </row>
    <row r="770" spans="8:14" x14ac:dyDescent="0.25">
      <c r="H770" s="1" t="s">
        <v>10</v>
      </c>
      <c r="J770" t="s">
        <v>125</v>
      </c>
      <c r="K770" t="s">
        <v>400</v>
      </c>
      <c r="L770">
        <v>1.77</v>
      </c>
      <c r="M770">
        <v>2.1</v>
      </c>
      <c r="N770" s="1" t="s">
        <v>9</v>
      </c>
    </row>
    <row r="771" spans="8:14" x14ac:dyDescent="0.25">
      <c r="H771" s="1" t="s">
        <v>10</v>
      </c>
      <c r="J771" t="s">
        <v>125</v>
      </c>
      <c r="K771" t="s">
        <v>400</v>
      </c>
      <c r="L771">
        <v>1.77</v>
      </c>
      <c r="M771">
        <v>2.1</v>
      </c>
      <c r="N771" s="1" t="s">
        <v>9</v>
      </c>
    </row>
    <row r="772" spans="8:14" x14ac:dyDescent="0.25">
      <c r="H772" s="1" t="s">
        <v>10</v>
      </c>
      <c r="J772" t="s">
        <v>125</v>
      </c>
      <c r="K772" t="s">
        <v>400</v>
      </c>
      <c r="L772">
        <v>1.77</v>
      </c>
      <c r="M772">
        <v>2.1</v>
      </c>
      <c r="N772" s="1" t="s">
        <v>9</v>
      </c>
    </row>
    <row r="773" spans="8:14" x14ac:dyDescent="0.25">
      <c r="H773" s="1" t="s">
        <v>10</v>
      </c>
      <c r="J773" t="s">
        <v>125</v>
      </c>
      <c r="K773" t="s">
        <v>400</v>
      </c>
      <c r="L773">
        <v>1.77</v>
      </c>
      <c r="M773">
        <v>2.1</v>
      </c>
      <c r="N773" s="1" t="s">
        <v>9</v>
      </c>
    </row>
    <row r="774" spans="8:14" x14ac:dyDescent="0.25">
      <c r="H774" s="1" t="s">
        <v>10</v>
      </c>
      <c r="J774" t="s">
        <v>125</v>
      </c>
      <c r="K774" t="s">
        <v>400</v>
      </c>
      <c r="L774">
        <v>1.77</v>
      </c>
      <c r="M774">
        <v>2.1</v>
      </c>
      <c r="N774" s="1" t="s">
        <v>9</v>
      </c>
    </row>
    <row r="775" spans="8:14" x14ac:dyDescent="0.25">
      <c r="H775" s="1" t="s">
        <v>10</v>
      </c>
      <c r="J775" t="s">
        <v>125</v>
      </c>
      <c r="K775" t="s">
        <v>400</v>
      </c>
      <c r="L775">
        <v>1.77</v>
      </c>
      <c r="M775">
        <v>2.1</v>
      </c>
      <c r="N775" s="1" t="s">
        <v>9</v>
      </c>
    </row>
    <row r="776" spans="8:14" x14ac:dyDescent="0.25">
      <c r="H776" s="1" t="s">
        <v>10</v>
      </c>
      <c r="J776" t="s">
        <v>125</v>
      </c>
      <c r="K776" t="s">
        <v>400</v>
      </c>
      <c r="L776">
        <v>1.79</v>
      </c>
      <c r="M776">
        <v>2.04</v>
      </c>
      <c r="N776" s="1" t="s">
        <v>9</v>
      </c>
    </row>
    <row r="777" spans="8:14" x14ac:dyDescent="0.25">
      <c r="H777" s="1" t="s">
        <v>10</v>
      </c>
      <c r="J777" t="s">
        <v>125</v>
      </c>
      <c r="K777" t="s">
        <v>400</v>
      </c>
      <c r="L777">
        <v>1.79</v>
      </c>
      <c r="M777">
        <v>2.04</v>
      </c>
      <c r="N777" s="1" t="s">
        <v>9</v>
      </c>
    </row>
    <row r="778" spans="8:14" x14ac:dyDescent="0.25">
      <c r="H778" s="1" t="s">
        <v>10</v>
      </c>
      <c r="J778" t="s">
        <v>125</v>
      </c>
      <c r="K778" t="s">
        <v>400</v>
      </c>
      <c r="L778">
        <v>1.79</v>
      </c>
      <c r="M778">
        <v>2.04</v>
      </c>
      <c r="N778" s="1" t="s">
        <v>9</v>
      </c>
    </row>
    <row r="779" spans="8:14" x14ac:dyDescent="0.25">
      <c r="H779" s="1" t="s">
        <v>10</v>
      </c>
      <c r="J779" t="s">
        <v>125</v>
      </c>
      <c r="K779" t="s">
        <v>400</v>
      </c>
      <c r="L779">
        <v>1.8</v>
      </c>
      <c r="M779">
        <v>2.0499999999999998</v>
      </c>
      <c r="N779" s="1" t="s">
        <v>9</v>
      </c>
    </row>
    <row r="780" spans="8:14" x14ac:dyDescent="0.25">
      <c r="H780" s="1" t="s">
        <v>10</v>
      </c>
      <c r="J780" t="s">
        <v>125</v>
      </c>
      <c r="K780" t="s">
        <v>400</v>
      </c>
      <c r="L780">
        <v>1.8</v>
      </c>
      <c r="M780">
        <v>2.0499999999999998</v>
      </c>
      <c r="N780" s="1" t="s">
        <v>9</v>
      </c>
    </row>
    <row r="781" spans="8:14" x14ac:dyDescent="0.25">
      <c r="H781" s="1" t="s">
        <v>10</v>
      </c>
      <c r="J781" t="s">
        <v>125</v>
      </c>
      <c r="K781" t="s">
        <v>400</v>
      </c>
      <c r="L781">
        <v>1.83</v>
      </c>
      <c r="M781">
        <v>2.04</v>
      </c>
      <c r="N781" s="1" t="s">
        <v>9</v>
      </c>
    </row>
    <row r="782" spans="8:14" x14ac:dyDescent="0.25">
      <c r="H782" s="1" t="s">
        <v>10</v>
      </c>
      <c r="J782" t="s">
        <v>125</v>
      </c>
      <c r="K782" t="s">
        <v>400</v>
      </c>
      <c r="L782">
        <v>1.77</v>
      </c>
      <c r="M782">
        <v>2.1</v>
      </c>
      <c r="N782" s="1" t="s">
        <v>9</v>
      </c>
    </row>
    <row r="783" spans="8:14" x14ac:dyDescent="0.25">
      <c r="H783" s="1" t="s">
        <v>10</v>
      </c>
      <c r="J783" t="s">
        <v>125</v>
      </c>
      <c r="K783" t="s">
        <v>400</v>
      </c>
      <c r="L783">
        <v>1.77</v>
      </c>
      <c r="M783">
        <v>2.1</v>
      </c>
      <c r="N783" s="1" t="s">
        <v>9</v>
      </c>
    </row>
    <row r="784" spans="8:14" x14ac:dyDescent="0.25">
      <c r="H784" s="1" t="s">
        <v>10</v>
      </c>
      <c r="J784" t="s">
        <v>126</v>
      </c>
      <c r="K784" t="s">
        <v>401</v>
      </c>
      <c r="L784">
        <v>2.38</v>
      </c>
      <c r="M784">
        <v>1.61</v>
      </c>
      <c r="N784" s="1" t="s">
        <v>9</v>
      </c>
    </row>
    <row r="785" spans="8:14" x14ac:dyDescent="0.25">
      <c r="H785" s="1" t="s">
        <v>10</v>
      </c>
      <c r="J785" t="s">
        <v>126</v>
      </c>
      <c r="K785" t="s">
        <v>401</v>
      </c>
      <c r="L785">
        <v>2.4</v>
      </c>
      <c r="M785">
        <v>1.6</v>
      </c>
      <c r="N785" s="1" t="s">
        <v>9</v>
      </c>
    </row>
    <row r="786" spans="8:14" x14ac:dyDescent="0.25">
      <c r="H786" s="1" t="s">
        <v>10</v>
      </c>
      <c r="J786" t="s">
        <v>126</v>
      </c>
      <c r="K786" t="s">
        <v>401</v>
      </c>
      <c r="L786">
        <v>2.4</v>
      </c>
      <c r="M786">
        <v>1.62</v>
      </c>
      <c r="N786" s="1" t="s">
        <v>9</v>
      </c>
    </row>
    <row r="787" spans="8:14" x14ac:dyDescent="0.25">
      <c r="H787" s="1" t="s">
        <v>10</v>
      </c>
      <c r="J787" t="s">
        <v>126</v>
      </c>
      <c r="K787" t="s">
        <v>401</v>
      </c>
      <c r="L787">
        <v>2.46</v>
      </c>
      <c r="M787">
        <v>1.6</v>
      </c>
      <c r="N787" s="1" t="s">
        <v>9</v>
      </c>
    </row>
    <row r="788" spans="8:14" x14ac:dyDescent="0.25">
      <c r="H788" s="1" t="s">
        <v>10</v>
      </c>
      <c r="J788" t="s">
        <v>126</v>
      </c>
      <c r="K788" t="s">
        <v>401</v>
      </c>
      <c r="L788">
        <v>2.46</v>
      </c>
      <c r="M788">
        <v>1.6</v>
      </c>
      <c r="N788" s="1" t="s">
        <v>9</v>
      </c>
    </row>
    <row r="789" spans="8:14" x14ac:dyDescent="0.25">
      <c r="H789" s="1" t="s">
        <v>10</v>
      </c>
      <c r="J789" t="s">
        <v>126</v>
      </c>
      <c r="K789" t="s">
        <v>401</v>
      </c>
      <c r="L789">
        <v>2.4500000000000002</v>
      </c>
      <c r="M789">
        <v>1.61</v>
      </c>
      <c r="N789" s="1" t="s">
        <v>9</v>
      </c>
    </row>
    <row r="790" spans="8:14" x14ac:dyDescent="0.25">
      <c r="H790" s="1" t="s">
        <v>10</v>
      </c>
      <c r="J790" t="s">
        <v>126</v>
      </c>
      <c r="K790" t="s">
        <v>401</v>
      </c>
      <c r="L790">
        <v>2.4</v>
      </c>
      <c r="M790">
        <v>1.61</v>
      </c>
      <c r="N790" s="1" t="s">
        <v>9</v>
      </c>
    </row>
    <row r="791" spans="8:14" x14ac:dyDescent="0.25">
      <c r="H791" s="1" t="s">
        <v>10</v>
      </c>
      <c r="J791" t="s">
        <v>126</v>
      </c>
      <c r="K791" t="s">
        <v>401</v>
      </c>
      <c r="L791">
        <v>2.4</v>
      </c>
      <c r="M791">
        <v>1.61</v>
      </c>
      <c r="N791" s="1" t="s">
        <v>9</v>
      </c>
    </row>
    <row r="792" spans="8:14" x14ac:dyDescent="0.25">
      <c r="H792" s="1" t="s">
        <v>10</v>
      </c>
      <c r="J792" t="s">
        <v>126</v>
      </c>
      <c r="K792" t="s">
        <v>401</v>
      </c>
      <c r="L792">
        <v>2.4</v>
      </c>
      <c r="M792">
        <v>1.57</v>
      </c>
      <c r="N792" s="1" t="s">
        <v>9</v>
      </c>
    </row>
    <row r="793" spans="8:14" x14ac:dyDescent="0.25">
      <c r="H793" s="1" t="s">
        <v>10</v>
      </c>
      <c r="J793" t="s">
        <v>126</v>
      </c>
      <c r="K793" t="s">
        <v>401</v>
      </c>
      <c r="L793">
        <v>2.4</v>
      </c>
      <c r="M793">
        <v>1.57</v>
      </c>
      <c r="N793" s="1" t="s">
        <v>9</v>
      </c>
    </row>
    <row r="794" spans="8:14" x14ac:dyDescent="0.25">
      <c r="H794" s="1" t="s">
        <v>10</v>
      </c>
      <c r="J794" t="s">
        <v>126</v>
      </c>
      <c r="K794" t="s">
        <v>401</v>
      </c>
      <c r="L794">
        <v>2.4</v>
      </c>
      <c r="M794">
        <v>1.57</v>
      </c>
      <c r="N794" s="1" t="s">
        <v>9</v>
      </c>
    </row>
    <row r="795" spans="8:14" x14ac:dyDescent="0.25">
      <c r="H795" s="1" t="s">
        <v>10</v>
      </c>
      <c r="J795" t="s">
        <v>126</v>
      </c>
      <c r="K795" t="s">
        <v>401</v>
      </c>
      <c r="L795">
        <v>2.4500000000000002</v>
      </c>
      <c r="M795">
        <v>1.61</v>
      </c>
      <c r="N795" s="1" t="s">
        <v>9</v>
      </c>
    </row>
    <row r="796" spans="8:14" x14ac:dyDescent="0.25">
      <c r="H796" s="1" t="s">
        <v>10</v>
      </c>
      <c r="J796" t="s">
        <v>126</v>
      </c>
      <c r="K796" t="s">
        <v>401</v>
      </c>
      <c r="L796">
        <v>2.4</v>
      </c>
      <c r="M796">
        <v>1.59</v>
      </c>
      <c r="N796" s="1" t="s">
        <v>9</v>
      </c>
    </row>
    <row r="797" spans="8:14" x14ac:dyDescent="0.25">
      <c r="H797" s="1" t="s">
        <v>10</v>
      </c>
      <c r="J797" t="s">
        <v>126</v>
      </c>
      <c r="K797" t="s">
        <v>401</v>
      </c>
      <c r="L797">
        <v>2.33</v>
      </c>
      <c r="M797">
        <v>1.65</v>
      </c>
      <c r="N797" s="1" t="s">
        <v>9</v>
      </c>
    </row>
    <row r="798" spans="8:14" x14ac:dyDescent="0.25">
      <c r="H798" s="1" t="s">
        <v>10</v>
      </c>
      <c r="J798" t="s">
        <v>126</v>
      </c>
      <c r="K798" t="s">
        <v>401</v>
      </c>
      <c r="L798">
        <v>2.35</v>
      </c>
      <c r="M798">
        <v>1.62</v>
      </c>
      <c r="N798" s="1" t="s">
        <v>9</v>
      </c>
    </row>
    <row r="799" spans="8:14" x14ac:dyDescent="0.25">
      <c r="H799" s="1" t="s">
        <v>10</v>
      </c>
      <c r="J799" t="s">
        <v>126</v>
      </c>
      <c r="K799" t="s">
        <v>401</v>
      </c>
      <c r="L799">
        <v>2.4</v>
      </c>
      <c r="M799">
        <v>1.61</v>
      </c>
      <c r="N799" s="1" t="s">
        <v>9</v>
      </c>
    </row>
    <row r="800" spans="8:14" x14ac:dyDescent="0.25">
      <c r="H800" s="1" t="s">
        <v>10</v>
      </c>
      <c r="J800" t="s">
        <v>127</v>
      </c>
      <c r="K800" t="s">
        <v>401</v>
      </c>
      <c r="L800">
        <v>2.2599999999999998</v>
      </c>
      <c r="M800">
        <v>1.68</v>
      </c>
      <c r="N800" s="1" t="s">
        <v>9</v>
      </c>
    </row>
    <row r="801" spans="8:14" x14ac:dyDescent="0.25">
      <c r="H801" s="1" t="s">
        <v>10</v>
      </c>
      <c r="J801" t="s">
        <v>127</v>
      </c>
      <c r="K801" t="s">
        <v>401</v>
      </c>
      <c r="L801">
        <v>2.2999999999999998</v>
      </c>
      <c r="M801">
        <v>1.65</v>
      </c>
      <c r="N801" s="1" t="s">
        <v>9</v>
      </c>
    </row>
    <row r="802" spans="8:14" x14ac:dyDescent="0.25">
      <c r="H802" s="1" t="s">
        <v>10</v>
      </c>
      <c r="J802" t="s">
        <v>127</v>
      </c>
      <c r="K802" t="s">
        <v>401</v>
      </c>
      <c r="L802">
        <v>2.35</v>
      </c>
      <c r="M802">
        <v>1.65</v>
      </c>
      <c r="N802" s="1" t="s">
        <v>9</v>
      </c>
    </row>
    <row r="803" spans="8:14" x14ac:dyDescent="0.25">
      <c r="H803" s="1" t="s">
        <v>10</v>
      </c>
      <c r="J803" t="s">
        <v>127</v>
      </c>
      <c r="K803" t="s">
        <v>401</v>
      </c>
      <c r="L803">
        <v>2.35</v>
      </c>
      <c r="M803">
        <v>1.64</v>
      </c>
      <c r="N803" s="1" t="s">
        <v>9</v>
      </c>
    </row>
    <row r="804" spans="8:14" x14ac:dyDescent="0.25">
      <c r="H804" s="1" t="s">
        <v>10</v>
      </c>
      <c r="J804" t="s">
        <v>127</v>
      </c>
      <c r="K804" t="s">
        <v>401</v>
      </c>
      <c r="L804">
        <v>2.35</v>
      </c>
      <c r="M804">
        <v>1.65</v>
      </c>
      <c r="N804" s="1" t="s">
        <v>9</v>
      </c>
    </row>
    <row r="805" spans="8:14" x14ac:dyDescent="0.25">
      <c r="H805" s="1" t="s">
        <v>10</v>
      </c>
      <c r="J805" t="s">
        <v>127</v>
      </c>
      <c r="K805" t="s">
        <v>401</v>
      </c>
      <c r="L805">
        <v>2.2999999999999998</v>
      </c>
      <c r="M805">
        <v>1.67</v>
      </c>
      <c r="N805" s="1" t="s">
        <v>9</v>
      </c>
    </row>
    <row r="806" spans="8:14" x14ac:dyDescent="0.25">
      <c r="H806" s="1" t="s">
        <v>10</v>
      </c>
      <c r="J806" t="s">
        <v>127</v>
      </c>
      <c r="K806" t="s">
        <v>401</v>
      </c>
      <c r="L806">
        <v>2.2200000000000002</v>
      </c>
      <c r="M806">
        <v>1.69</v>
      </c>
      <c r="N806" s="1" t="s">
        <v>9</v>
      </c>
    </row>
    <row r="807" spans="8:14" x14ac:dyDescent="0.25">
      <c r="H807" s="1" t="s">
        <v>10</v>
      </c>
      <c r="J807" t="s">
        <v>127</v>
      </c>
      <c r="K807" t="s">
        <v>401</v>
      </c>
      <c r="L807">
        <v>2.35</v>
      </c>
      <c r="M807">
        <v>1.62</v>
      </c>
      <c r="N807" s="1" t="s">
        <v>9</v>
      </c>
    </row>
    <row r="808" spans="8:14" x14ac:dyDescent="0.25">
      <c r="H808" s="1" t="s">
        <v>10</v>
      </c>
      <c r="J808" t="s">
        <v>127</v>
      </c>
      <c r="K808" t="s">
        <v>401</v>
      </c>
      <c r="L808">
        <v>2.2000000000000002</v>
      </c>
      <c r="M808">
        <v>1.68</v>
      </c>
      <c r="N808" s="1" t="s">
        <v>9</v>
      </c>
    </row>
    <row r="809" spans="8:14" x14ac:dyDescent="0.25">
      <c r="H809" s="1" t="s">
        <v>10</v>
      </c>
      <c r="J809" t="s">
        <v>127</v>
      </c>
      <c r="K809" t="s">
        <v>401</v>
      </c>
      <c r="L809">
        <v>2.2000000000000002</v>
      </c>
      <c r="M809">
        <v>1.68</v>
      </c>
      <c r="N809" s="1" t="s">
        <v>9</v>
      </c>
    </row>
    <row r="810" spans="8:14" x14ac:dyDescent="0.25">
      <c r="H810" s="1" t="s">
        <v>10</v>
      </c>
      <c r="J810" t="s">
        <v>127</v>
      </c>
      <c r="K810" t="s">
        <v>401</v>
      </c>
      <c r="L810">
        <v>2.2000000000000002</v>
      </c>
      <c r="M810">
        <v>1.68</v>
      </c>
      <c r="N810" s="1" t="s">
        <v>9</v>
      </c>
    </row>
    <row r="811" spans="8:14" x14ac:dyDescent="0.25">
      <c r="H811" s="1" t="s">
        <v>10</v>
      </c>
      <c r="J811" t="s">
        <v>127</v>
      </c>
      <c r="K811" t="s">
        <v>401</v>
      </c>
      <c r="L811">
        <v>2.2999999999999998</v>
      </c>
      <c r="M811">
        <v>1.65</v>
      </c>
      <c r="N811" s="1" t="s">
        <v>9</v>
      </c>
    </row>
    <row r="812" spans="8:14" x14ac:dyDescent="0.25">
      <c r="H812" s="1" t="s">
        <v>10</v>
      </c>
      <c r="J812" t="s">
        <v>127</v>
      </c>
      <c r="K812" t="s">
        <v>401</v>
      </c>
      <c r="L812">
        <v>2.2999999999999998</v>
      </c>
      <c r="M812">
        <v>1.62</v>
      </c>
      <c r="N812" s="1" t="s">
        <v>9</v>
      </c>
    </row>
    <row r="813" spans="8:14" x14ac:dyDescent="0.25">
      <c r="H813" s="1" t="s">
        <v>10</v>
      </c>
      <c r="J813" t="s">
        <v>127</v>
      </c>
      <c r="K813" t="s">
        <v>401</v>
      </c>
      <c r="L813">
        <v>2.2000000000000002</v>
      </c>
      <c r="M813">
        <v>1.71</v>
      </c>
      <c r="N813" s="1" t="s">
        <v>9</v>
      </c>
    </row>
    <row r="814" spans="8:14" x14ac:dyDescent="0.25">
      <c r="H814" s="1" t="s">
        <v>10</v>
      </c>
      <c r="J814" t="s">
        <v>127</v>
      </c>
      <c r="K814" t="s">
        <v>401</v>
      </c>
      <c r="L814">
        <v>2.25</v>
      </c>
      <c r="M814">
        <v>1.67</v>
      </c>
      <c r="N814" s="1" t="s">
        <v>9</v>
      </c>
    </row>
    <row r="815" spans="8:14" x14ac:dyDescent="0.25">
      <c r="H815" s="1" t="s">
        <v>10</v>
      </c>
      <c r="J815" t="s">
        <v>127</v>
      </c>
      <c r="K815" t="s">
        <v>401</v>
      </c>
      <c r="L815">
        <v>2.25</v>
      </c>
      <c r="M815">
        <v>1.69</v>
      </c>
      <c r="N815" s="1" t="s">
        <v>9</v>
      </c>
    </row>
    <row r="816" spans="8:14" x14ac:dyDescent="0.25">
      <c r="H816" s="1" t="s">
        <v>10</v>
      </c>
      <c r="J816" t="s">
        <v>128</v>
      </c>
      <c r="K816" t="s">
        <v>401</v>
      </c>
      <c r="L816">
        <v>1.85</v>
      </c>
      <c r="M816">
        <v>2</v>
      </c>
      <c r="N816" s="1" t="s">
        <v>9</v>
      </c>
    </row>
    <row r="817" spans="8:14" x14ac:dyDescent="0.25">
      <c r="H817" s="1" t="s">
        <v>10</v>
      </c>
      <c r="J817" t="s">
        <v>128</v>
      </c>
      <c r="K817" t="s">
        <v>401</v>
      </c>
      <c r="L817">
        <v>1.87</v>
      </c>
      <c r="M817">
        <v>1.95</v>
      </c>
      <c r="N817" s="1" t="s">
        <v>9</v>
      </c>
    </row>
    <row r="818" spans="8:14" x14ac:dyDescent="0.25">
      <c r="H818" s="1" t="s">
        <v>10</v>
      </c>
      <c r="J818" t="s">
        <v>128</v>
      </c>
      <c r="K818" t="s">
        <v>401</v>
      </c>
      <c r="L818">
        <v>1.8</v>
      </c>
      <c r="M818">
        <v>2.0499999999999998</v>
      </c>
      <c r="N818" s="1" t="s">
        <v>9</v>
      </c>
    </row>
    <row r="819" spans="8:14" x14ac:dyDescent="0.25">
      <c r="H819" s="1" t="s">
        <v>10</v>
      </c>
      <c r="J819" t="s">
        <v>128</v>
      </c>
      <c r="K819" t="s">
        <v>401</v>
      </c>
      <c r="L819">
        <v>1.87</v>
      </c>
      <c r="M819">
        <v>1.95</v>
      </c>
      <c r="N819" s="1" t="s">
        <v>9</v>
      </c>
    </row>
    <row r="820" spans="8:14" x14ac:dyDescent="0.25">
      <c r="H820" s="1" t="s">
        <v>10</v>
      </c>
      <c r="J820" t="s">
        <v>128</v>
      </c>
      <c r="K820" t="s">
        <v>401</v>
      </c>
      <c r="L820">
        <v>1.8</v>
      </c>
      <c r="M820">
        <v>2.0499999999999998</v>
      </c>
      <c r="N820" s="1" t="s">
        <v>9</v>
      </c>
    </row>
    <row r="821" spans="8:14" x14ac:dyDescent="0.25">
      <c r="H821" s="1" t="s">
        <v>10</v>
      </c>
      <c r="J821" t="s">
        <v>128</v>
      </c>
      <c r="K821" t="s">
        <v>401</v>
      </c>
      <c r="L821">
        <v>1.87</v>
      </c>
      <c r="M821">
        <v>1.95</v>
      </c>
      <c r="N821" s="1" t="s">
        <v>9</v>
      </c>
    </row>
    <row r="822" spans="8:14" x14ac:dyDescent="0.25">
      <c r="H822" s="1" t="s">
        <v>10</v>
      </c>
      <c r="J822" t="s">
        <v>128</v>
      </c>
      <c r="K822" t="s">
        <v>401</v>
      </c>
      <c r="L822">
        <v>1.87</v>
      </c>
      <c r="M822">
        <v>1.95</v>
      </c>
      <c r="N822" s="1" t="s">
        <v>9</v>
      </c>
    </row>
    <row r="823" spans="8:14" x14ac:dyDescent="0.25">
      <c r="H823" s="1" t="s">
        <v>10</v>
      </c>
      <c r="J823" t="s">
        <v>128</v>
      </c>
      <c r="K823" t="s">
        <v>401</v>
      </c>
      <c r="L823">
        <v>1.85</v>
      </c>
      <c r="M823">
        <v>1.98</v>
      </c>
      <c r="N823" s="1" t="s">
        <v>9</v>
      </c>
    </row>
    <row r="824" spans="8:14" x14ac:dyDescent="0.25">
      <c r="H824" s="1" t="s">
        <v>10</v>
      </c>
      <c r="J824" t="s">
        <v>128</v>
      </c>
      <c r="K824" t="s">
        <v>401</v>
      </c>
      <c r="L824">
        <v>1.85</v>
      </c>
      <c r="M824">
        <v>1.98</v>
      </c>
      <c r="N824" s="1" t="s">
        <v>9</v>
      </c>
    </row>
    <row r="825" spans="8:14" x14ac:dyDescent="0.25">
      <c r="H825" s="1" t="s">
        <v>10</v>
      </c>
      <c r="J825" t="s">
        <v>128</v>
      </c>
      <c r="K825" t="s">
        <v>401</v>
      </c>
      <c r="L825">
        <v>1.85</v>
      </c>
      <c r="M825">
        <v>1.95</v>
      </c>
      <c r="N825" s="1" t="s">
        <v>9</v>
      </c>
    </row>
    <row r="826" spans="8:14" x14ac:dyDescent="0.25">
      <c r="H826" s="1" t="s">
        <v>10</v>
      </c>
      <c r="J826" t="s">
        <v>128</v>
      </c>
      <c r="K826" t="s">
        <v>401</v>
      </c>
      <c r="L826">
        <v>1.85</v>
      </c>
      <c r="M826">
        <v>1.95</v>
      </c>
      <c r="N826" s="1" t="s">
        <v>9</v>
      </c>
    </row>
    <row r="827" spans="8:14" x14ac:dyDescent="0.25">
      <c r="H827" s="1" t="s">
        <v>10</v>
      </c>
      <c r="J827" t="s">
        <v>128</v>
      </c>
      <c r="K827" t="s">
        <v>401</v>
      </c>
      <c r="L827">
        <v>1.85</v>
      </c>
      <c r="M827">
        <v>1.95</v>
      </c>
      <c r="N827" s="1" t="s">
        <v>9</v>
      </c>
    </row>
    <row r="828" spans="8:14" x14ac:dyDescent="0.25">
      <c r="H828" s="1" t="s">
        <v>10</v>
      </c>
      <c r="J828" t="s">
        <v>128</v>
      </c>
      <c r="K828" t="s">
        <v>401</v>
      </c>
      <c r="L828">
        <v>1.86</v>
      </c>
      <c r="M828">
        <v>1.94</v>
      </c>
      <c r="N828" s="1" t="s">
        <v>9</v>
      </c>
    </row>
    <row r="829" spans="8:14" x14ac:dyDescent="0.25">
      <c r="H829" s="1" t="s">
        <v>10</v>
      </c>
      <c r="J829" t="s">
        <v>128</v>
      </c>
      <c r="K829" t="s">
        <v>401</v>
      </c>
      <c r="L829">
        <v>1.87</v>
      </c>
      <c r="M829">
        <v>1.95</v>
      </c>
      <c r="N829" s="1" t="s">
        <v>9</v>
      </c>
    </row>
    <row r="830" spans="8:14" x14ac:dyDescent="0.25">
      <c r="H830" s="1" t="s">
        <v>10</v>
      </c>
      <c r="J830" t="s">
        <v>128</v>
      </c>
      <c r="K830" t="s">
        <v>401</v>
      </c>
      <c r="L830">
        <v>1.91</v>
      </c>
      <c r="M830">
        <v>1.91</v>
      </c>
      <c r="N830" s="1" t="s">
        <v>9</v>
      </c>
    </row>
    <row r="831" spans="8:14" x14ac:dyDescent="0.25">
      <c r="H831" s="1" t="s">
        <v>10</v>
      </c>
      <c r="J831" t="s">
        <v>128</v>
      </c>
      <c r="K831" t="s">
        <v>401</v>
      </c>
      <c r="L831">
        <v>1.83</v>
      </c>
      <c r="M831">
        <v>2</v>
      </c>
      <c r="N831" s="1" t="s">
        <v>9</v>
      </c>
    </row>
    <row r="832" spans="8:14" x14ac:dyDescent="0.25">
      <c r="H832" s="1" t="s">
        <v>10</v>
      </c>
      <c r="J832" t="s">
        <v>129</v>
      </c>
      <c r="K832" t="s">
        <v>401</v>
      </c>
      <c r="L832">
        <v>1.34</v>
      </c>
      <c r="M832">
        <v>3.35</v>
      </c>
      <c r="N832" s="1" t="s">
        <v>9</v>
      </c>
    </row>
    <row r="833" spans="8:14" x14ac:dyDescent="0.25">
      <c r="H833" s="1" t="s">
        <v>10</v>
      </c>
      <c r="J833" t="s">
        <v>129</v>
      </c>
      <c r="K833" t="s">
        <v>401</v>
      </c>
      <c r="L833">
        <v>1.34</v>
      </c>
      <c r="M833">
        <v>3.4</v>
      </c>
      <c r="N833" s="1" t="s">
        <v>9</v>
      </c>
    </row>
    <row r="834" spans="8:14" x14ac:dyDescent="0.25">
      <c r="H834" s="1" t="s">
        <v>10</v>
      </c>
      <c r="J834" t="s">
        <v>129</v>
      </c>
      <c r="K834" t="s">
        <v>401</v>
      </c>
      <c r="L834">
        <v>1.34</v>
      </c>
      <c r="M834">
        <v>3.35</v>
      </c>
      <c r="N834" s="1" t="s">
        <v>9</v>
      </c>
    </row>
    <row r="835" spans="8:14" x14ac:dyDescent="0.25">
      <c r="H835" s="1" t="s">
        <v>10</v>
      </c>
      <c r="J835" t="s">
        <v>129</v>
      </c>
      <c r="K835" t="s">
        <v>401</v>
      </c>
      <c r="L835">
        <v>1.35</v>
      </c>
      <c r="M835">
        <v>3.39</v>
      </c>
      <c r="N835" s="1" t="s">
        <v>9</v>
      </c>
    </row>
    <row r="836" spans="8:14" x14ac:dyDescent="0.25">
      <c r="H836" s="1" t="s">
        <v>10</v>
      </c>
      <c r="J836" t="s">
        <v>129</v>
      </c>
      <c r="K836" t="s">
        <v>401</v>
      </c>
      <c r="L836">
        <v>1.35</v>
      </c>
      <c r="M836">
        <v>3.39</v>
      </c>
      <c r="N836" s="1" t="s">
        <v>9</v>
      </c>
    </row>
    <row r="837" spans="8:14" x14ac:dyDescent="0.25">
      <c r="H837" s="1" t="s">
        <v>10</v>
      </c>
      <c r="J837" t="s">
        <v>129</v>
      </c>
      <c r="K837" t="s">
        <v>401</v>
      </c>
      <c r="L837">
        <v>1.35</v>
      </c>
      <c r="M837">
        <v>3.35</v>
      </c>
      <c r="N837" s="1" t="s">
        <v>9</v>
      </c>
    </row>
    <row r="838" spans="8:14" x14ac:dyDescent="0.25">
      <c r="H838" s="1" t="s">
        <v>10</v>
      </c>
      <c r="J838" t="s">
        <v>129</v>
      </c>
      <c r="K838" t="s">
        <v>401</v>
      </c>
      <c r="L838">
        <v>1.34</v>
      </c>
      <c r="M838">
        <v>3.35</v>
      </c>
      <c r="N838" s="1" t="s">
        <v>9</v>
      </c>
    </row>
    <row r="839" spans="8:14" x14ac:dyDescent="0.25">
      <c r="H839" s="1" t="s">
        <v>10</v>
      </c>
      <c r="J839" t="s">
        <v>129</v>
      </c>
      <c r="K839" t="s">
        <v>401</v>
      </c>
      <c r="L839">
        <v>1.36</v>
      </c>
      <c r="M839">
        <v>3.3</v>
      </c>
      <c r="N839" s="1" t="s">
        <v>9</v>
      </c>
    </row>
    <row r="840" spans="8:14" x14ac:dyDescent="0.25">
      <c r="H840" s="1" t="s">
        <v>10</v>
      </c>
      <c r="J840" t="s">
        <v>129</v>
      </c>
      <c r="K840" t="s">
        <v>401</v>
      </c>
      <c r="L840">
        <v>1.36</v>
      </c>
      <c r="M840">
        <v>3.15</v>
      </c>
      <c r="N840" s="1" t="s">
        <v>9</v>
      </c>
    </row>
    <row r="841" spans="8:14" x14ac:dyDescent="0.25">
      <c r="H841" s="1" t="s">
        <v>10</v>
      </c>
      <c r="J841" t="s">
        <v>129</v>
      </c>
      <c r="K841" t="s">
        <v>401</v>
      </c>
      <c r="L841">
        <v>1.36</v>
      </c>
      <c r="M841">
        <v>3.15</v>
      </c>
      <c r="N841" s="1" t="s">
        <v>9</v>
      </c>
    </row>
    <row r="842" spans="8:14" x14ac:dyDescent="0.25">
      <c r="H842" s="1" t="s">
        <v>10</v>
      </c>
      <c r="J842" t="s">
        <v>129</v>
      </c>
      <c r="K842" t="s">
        <v>401</v>
      </c>
      <c r="L842">
        <v>1.36</v>
      </c>
      <c r="M842">
        <v>3.15</v>
      </c>
      <c r="N842" s="1" t="s">
        <v>9</v>
      </c>
    </row>
    <row r="843" spans="8:14" x14ac:dyDescent="0.25">
      <c r="H843" s="1" t="s">
        <v>10</v>
      </c>
      <c r="J843" t="s">
        <v>129</v>
      </c>
      <c r="K843" t="s">
        <v>401</v>
      </c>
      <c r="L843">
        <v>1.33</v>
      </c>
      <c r="M843">
        <v>3.4</v>
      </c>
      <c r="N843" s="1" t="s">
        <v>9</v>
      </c>
    </row>
    <row r="844" spans="8:14" x14ac:dyDescent="0.25">
      <c r="H844" s="1" t="s">
        <v>10</v>
      </c>
      <c r="J844" t="s">
        <v>129</v>
      </c>
      <c r="K844" t="s">
        <v>401</v>
      </c>
      <c r="L844">
        <v>1.34</v>
      </c>
      <c r="M844">
        <v>3.3</v>
      </c>
      <c r="N844" s="1" t="s">
        <v>9</v>
      </c>
    </row>
    <row r="845" spans="8:14" x14ac:dyDescent="0.25">
      <c r="H845" s="1" t="s">
        <v>10</v>
      </c>
      <c r="J845" t="s">
        <v>129</v>
      </c>
      <c r="K845" t="s">
        <v>401</v>
      </c>
      <c r="L845">
        <v>1.34</v>
      </c>
      <c r="M845">
        <v>3.43</v>
      </c>
      <c r="N845" s="1" t="s">
        <v>9</v>
      </c>
    </row>
    <row r="846" spans="8:14" x14ac:dyDescent="0.25">
      <c r="H846" s="1" t="s">
        <v>10</v>
      </c>
      <c r="J846" t="s">
        <v>129</v>
      </c>
      <c r="K846" t="s">
        <v>401</v>
      </c>
      <c r="L846">
        <v>1.36</v>
      </c>
      <c r="M846">
        <v>3.2</v>
      </c>
      <c r="N846" s="1" t="s">
        <v>9</v>
      </c>
    </row>
    <row r="847" spans="8:14" x14ac:dyDescent="0.25">
      <c r="H847" s="1" t="s">
        <v>10</v>
      </c>
      <c r="J847" t="s">
        <v>129</v>
      </c>
      <c r="K847" t="s">
        <v>401</v>
      </c>
      <c r="L847">
        <v>1.33</v>
      </c>
      <c r="M847">
        <v>3.5</v>
      </c>
      <c r="N847" s="1" t="s">
        <v>9</v>
      </c>
    </row>
    <row r="848" spans="8:14" x14ac:dyDescent="0.25">
      <c r="H848" s="1" t="s">
        <v>10</v>
      </c>
      <c r="J848" t="s">
        <v>130</v>
      </c>
      <c r="K848" t="s">
        <v>401</v>
      </c>
      <c r="L848">
        <v>1.38</v>
      </c>
      <c r="M848">
        <v>3.15</v>
      </c>
      <c r="N848" s="1" t="s">
        <v>9</v>
      </c>
    </row>
    <row r="849" spans="8:14" x14ac:dyDescent="0.25">
      <c r="H849" s="1" t="s">
        <v>10</v>
      </c>
      <c r="J849" t="s">
        <v>130</v>
      </c>
      <c r="K849" t="s">
        <v>401</v>
      </c>
      <c r="L849">
        <v>1.36</v>
      </c>
      <c r="M849">
        <v>3.25</v>
      </c>
      <c r="N849" s="1" t="s">
        <v>9</v>
      </c>
    </row>
    <row r="850" spans="8:14" x14ac:dyDescent="0.25">
      <c r="H850" s="1" t="s">
        <v>10</v>
      </c>
      <c r="J850" t="s">
        <v>130</v>
      </c>
      <c r="K850" t="s">
        <v>401</v>
      </c>
      <c r="L850">
        <v>1.36</v>
      </c>
      <c r="M850">
        <v>3.25</v>
      </c>
      <c r="N850" s="1" t="s">
        <v>9</v>
      </c>
    </row>
    <row r="851" spans="8:14" x14ac:dyDescent="0.25">
      <c r="H851" s="1" t="s">
        <v>10</v>
      </c>
      <c r="J851" t="s">
        <v>130</v>
      </c>
      <c r="K851" t="s">
        <v>401</v>
      </c>
      <c r="L851">
        <v>1.36</v>
      </c>
      <c r="M851">
        <v>3.3</v>
      </c>
      <c r="N851" s="1" t="s">
        <v>9</v>
      </c>
    </row>
    <row r="852" spans="8:14" x14ac:dyDescent="0.25">
      <c r="H852" s="1" t="s">
        <v>10</v>
      </c>
      <c r="J852" t="s">
        <v>130</v>
      </c>
      <c r="K852" t="s">
        <v>401</v>
      </c>
      <c r="L852">
        <v>1.36</v>
      </c>
      <c r="M852">
        <v>3.3</v>
      </c>
      <c r="N852" s="1" t="s">
        <v>9</v>
      </c>
    </row>
    <row r="853" spans="8:14" x14ac:dyDescent="0.25">
      <c r="H853" s="1" t="s">
        <v>10</v>
      </c>
      <c r="J853" t="s">
        <v>130</v>
      </c>
      <c r="K853" t="s">
        <v>401</v>
      </c>
      <c r="L853">
        <v>1.36</v>
      </c>
      <c r="M853">
        <v>3.25</v>
      </c>
      <c r="N853" s="1" t="s">
        <v>9</v>
      </c>
    </row>
    <row r="854" spans="8:14" x14ac:dyDescent="0.25">
      <c r="H854" s="1" t="s">
        <v>10</v>
      </c>
      <c r="J854" t="s">
        <v>130</v>
      </c>
      <c r="K854" t="s">
        <v>401</v>
      </c>
      <c r="L854">
        <v>1.35</v>
      </c>
      <c r="M854">
        <v>3.28</v>
      </c>
      <c r="N854" s="1" t="s">
        <v>9</v>
      </c>
    </row>
    <row r="855" spans="8:14" x14ac:dyDescent="0.25">
      <c r="H855" s="1" t="s">
        <v>10</v>
      </c>
      <c r="J855" t="s">
        <v>130</v>
      </c>
      <c r="K855" t="s">
        <v>401</v>
      </c>
      <c r="L855">
        <v>1.35</v>
      </c>
      <c r="M855">
        <v>3.35</v>
      </c>
      <c r="N855" s="1" t="s">
        <v>9</v>
      </c>
    </row>
    <row r="856" spans="8:14" x14ac:dyDescent="0.25">
      <c r="H856" s="1" t="s">
        <v>10</v>
      </c>
      <c r="J856" t="s">
        <v>130</v>
      </c>
      <c r="K856" t="s">
        <v>401</v>
      </c>
      <c r="L856">
        <v>1.33</v>
      </c>
      <c r="M856">
        <v>3.35</v>
      </c>
      <c r="N856" s="1" t="s">
        <v>9</v>
      </c>
    </row>
    <row r="857" spans="8:14" x14ac:dyDescent="0.25">
      <c r="H857" s="1" t="s">
        <v>10</v>
      </c>
      <c r="J857" t="s">
        <v>130</v>
      </c>
      <c r="K857" t="s">
        <v>401</v>
      </c>
      <c r="L857">
        <v>1.33</v>
      </c>
      <c r="M857">
        <v>3.35</v>
      </c>
      <c r="N857" s="1" t="s">
        <v>9</v>
      </c>
    </row>
    <row r="858" spans="8:14" x14ac:dyDescent="0.25">
      <c r="H858" s="1" t="s">
        <v>10</v>
      </c>
      <c r="J858" t="s">
        <v>130</v>
      </c>
      <c r="K858" t="s">
        <v>401</v>
      </c>
      <c r="L858">
        <v>1.33</v>
      </c>
      <c r="M858">
        <v>3.35</v>
      </c>
      <c r="N858" s="1" t="s">
        <v>9</v>
      </c>
    </row>
    <row r="859" spans="8:14" x14ac:dyDescent="0.25">
      <c r="H859" s="1" t="s">
        <v>10</v>
      </c>
      <c r="J859" t="s">
        <v>130</v>
      </c>
      <c r="K859" t="s">
        <v>401</v>
      </c>
      <c r="L859">
        <v>1.36</v>
      </c>
      <c r="M859">
        <v>3.2</v>
      </c>
      <c r="N859" s="1" t="s">
        <v>9</v>
      </c>
    </row>
    <row r="860" spans="8:14" x14ac:dyDescent="0.25">
      <c r="H860" s="1" t="s">
        <v>10</v>
      </c>
      <c r="J860" t="s">
        <v>130</v>
      </c>
      <c r="K860" t="s">
        <v>401</v>
      </c>
      <c r="L860">
        <v>1.34</v>
      </c>
      <c r="M860">
        <v>3.3</v>
      </c>
      <c r="N860" s="1" t="s">
        <v>9</v>
      </c>
    </row>
    <row r="861" spans="8:14" x14ac:dyDescent="0.25">
      <c r="H861" s="1" t="s">
        <v>10</v>
      </c>
      <c r="J861" t="s">
        <v>130</v>
      </c>
      <c r="K861" t="s">
        <v>401</v>
      </c>
      <c r="L861">
        <v>1.34</v>
      </c>
      <c r="M861">
        <v>3.43</v>
      </c>
      <c r="N861" s="1" t="s">
        <v>9</v>
      </c>
    </row>
    <row r="862" spans="8:14" x14ac:dyDescent="0.25">
      <c r="H862" s="1" t="s">
        <v>10</v>
      </c>
      <c r="J862" t="s">
        <v>130</v>
      </c>
      <c r="K862" t="s">
        <v>401</v>
      </c>
      <c r="L862">
        <v>1.33</v>
      </c>
      <c r="M862">
        <v>3.4</v>
      </c>
      <c r="N862" s="1" t="s">
        <v>9</v>
      </c>
    </row>
    <row r="863" spans="8:14" x14ac:dyDescent="0.25">
      <c r="H863" s="1" t="s">
        <v>10</v>
      </c>
      <c r="J863" t="s">
        <v>130</v>
      </c>
      <c r="K863" t="s">
        <v>401</v>
      </c>
      <c r="L863">
        <v>1.36</v>
      </c>
      <c r="M863">
        <v>3.3</v>
      </c>
      <c r="N863" s="1" t="s">
        <v>9</v>
      </c>
    </row>
    <row r="864" spans="8:14" x14ac:dyDescent="0.25">
      <c r="H864" s="1" t="s">
        <v>10</v>
      </c>
      <c r="J864" t="s">
        <v>131</v>
      </c>
      <c r="K864" t="s">
        <v>401</v>
      </c>
      <c r="L864">
        <v>2.48</v>
      </c>
      <c r="M864">
        <v>1.57</v>
      </c>
      <c r="N864" s="1" t="s">
        <v>9</v>
      </c>
    </row>
    <row r="865" spans="8:14" x14ac:dyDescent="0.25">
      <c r="H865" s="1" t="s">
        <v>10</v>
      </c>
      <c r="J865" t="s">
        <v>131</v>
      </c>
      <c r="K865" t="s">
        <v>401</v>
      </c>
      <c r="L865">
        <v>2.42</v>
      </c>
      <c r="M865">
        <v>1.59</v>
      </c>
      <c r="N865" s="1" t="s">
        <v>9</v>
      </c>
    </row>
    <row r="866" spans="8:14" x14ac:dyDescent="0.25">
      <c r="H866" s="1" t="s">
        <v>10</v>
      </c>
      <c r="J866" t="s">
        <v>131</v>
      </c>
      <c r="K866" t="s">
        <v>401</v>
      </c>
      <c r="L866">
        <v>2.5</v>
      </c>
      <c r="M866">
        <v>1.56</v>
      </c>
      <c r="N866" s="1" t="s">
        <v>9</v>
      </c>
    </row>
    <row r="867" spans="8:14" x14ac:dyDescent="0.25">
      <c r="H867" s="1" t="s">
        <v>10</v>
      </c>
      <c r="J867" t="s">
        <v>131</v>
      </c>
      <c r="K867" t="s">
        <v>401</v>
      </c>
      <c r="L867">
        <v>2.5</v>
      </c>
      <c r="M867">
        <v>1.59</v>
      </c>
      <c r="N867" s="1" t="s">
        <v>9</v>
      </c>
    </row>
    <row r="868" spans="8:14" x14ac:dyDescent="0.25">
      <c r="H868" s="1" t="s">
        <v>10</v>
      </c>
      <c r="J868" t="s">
        <v>131</v>
      </c>
      <c r="K868" t="s">
        <v>401</v>
      </c>
      <c r="L868">
        <v>2.5</v>
      </c>
      <c r="M868">
        <v>1.59</v>
      </c>
      <c r="N868" s="1" t="s">
        <v>9</v>
      </c>
    </row>
    <row r="869" spans="8:14" x14ac:dyDescent="0.25">
      <c r="H869" s="1" t="s">
        <v>10</v>
      </c>
      <c r="J869" t="s">
        <v>131</v>
      </c>
      <c r="K869" t="s">
        <v>401</v>
      </c>
      <c r="L869">
        <v>2.48</v>
      </c>
      <c r="M869">
        <v>1.59</v>
      </c>
      <c r="N869" s="1" t="s">
        <v>9</v>
      </c>
    </row>
    <row r="870" spans="8:14" x14ac:dyDescent="0.25">
      <c r="H870" s="1" t="s">
        <v>10</v>
      </c>
      <c r="J870" t="s">
        <v>131</v>
      </c>
      <c r="K870" t="s">
        <v>401</v>
      </c>
      <c r="L870">
        <v>2.4300000000000002</v>
      </c>
      <c r="M870">
        <v>1.59</v>
      </c>
      <c r="N870" s="1" t="s">
        <v>9</v>
      </c>
    </row>
    <row r="871" spans="8:14" x14ac:dyDescent="0.25">
      <c r="H871" s="1" t="s">
        <v>10</v>
      </c>
      <c r="J871" t="s">
        <v>131</v>
      </c>
      <c r="K871" t="s">
        <v>401</v>
      </c>
      <c r="L871">
        <v>2.5499999999999998</v>
      </c>
      <c r="M871">
        <v>1.56</v>
      </c>
      <c r="N871" s="1" t="s">
        <v>9</v>
      </c>
    </row>
    <row r="872" spans="8:14" x14ac:dyDescent="0.25">
      <c r="H872" s="1" t="s">
        <v>10</v>
      </c>
      <c r="J872" t="s">
        <v>131</v>
      </c>
      <c r="K872" t="s">
        <v>401</v>
      </c>
      <c r="L872">
        <v>2.5</v>
      </c>
      <c r="M872">
        <v>1.56</v>
      </c>
      <c r="N872" s="1" t="s">
        <v>9</v>
      </c>
    </row>
    <row r="873" spans="8:14" x14ac:dyDescent="0.25">
      <c r="H873" s="1" t="s">
        <v>10</v>
      </c>
      <c r="J873" t="s">
        <v>131</v>
      </c>
      <c r="K873" t="s">
        <v>401</v>
      </c>
      <c r="L873">
        <v>2.48</v>
      </c>
      <c r="M873">
        <v>1.56</v>
      </c>
      <c r="N873" s="1" t="s">
        <v>9</v>
      </c>
    </row>
    <row r="874" spans="8:14" x14ac:dyDescent="0.25">
      <c r="H874" s="1" t="s">
        <v>10</v>
      </c>
      <c r="J874" t="s">
        <v>131</v>
      </c>
      <c r="K874" t="s">
        <v>401</v>
      </c>
      <c r="L874">
        <v>2.48</v>
      </c>
      <c r="M874">
        <v>1.56</v>
      </c>
      <c r="N874" s="1" t="s">
        <v>9</v>
      </c>
    </row>
    <row r="875" spans="8:14" x14ac:dyDescent="0.25">
      <c r="H875" s="1" t="s">
        <v>10</v>
      </c>
      <c r="J875" t="s">
        <v>131</v>
      </c>
      <c r="K875" t="s">
        <v>401</v>
      </c>
      <c r="L875">
        <v>2.48</v>
      </c>
      <c r="M875">
        <v>1.56</v>
      </c>
      <c r="N875" s="1" t="s">
        <v>9</v>
      </c>
    </row>
    <row r="876" spans="8:14" x14ac:dyDescent="0.25">
      <c r="H876" s="1" t="s">
        <v>10</v>
      </c>
      <c r="J876" t="s">
        <v>131</v>
      </c>
      <c r="K876" t="s">
        <v>401</v>
      </c>
      <c r="L876">
        <v>2.4500000000000002</v>
      </c>
      <c r="M876">
        <v>1.59</v>
      </c>
      <c r="N876" s="1" t="s">
        <v>9</v>
      </c>
    </row>
    <row r="877" spans="8:14" x14ac:dyDescent="0.25">
      <c r="H877" s="1" t="s">
        <v>10</v>
      </c>
      <c r="J877" t="s">
        <v>131</v>
      </c>
      <c r="K877" t="s">
        <v>401</v>
      </c>
      <c r="L877">
        <v>2.4500000000000002</v>
      </c>
      <c r="M877">
        <v>1.57</v>
      </c>
      <c r="N877" s="1" t="s">
        <v>9</v>
      </c>
    </row>
    <row r="878" spans="8:14" x14ac:dyDescent="0.25">
      <c r="H878" s="1" t="s">
        <v>10</v>
      </c>
      <c r="J878" t="s">
        <v>131</v>
      </c>
      <c r="K878" t="s">
        <v>401</v>
      </c>
      <c r="L878">
        <v>2.5</v>
      </c>
      <c r="M878">
        <v>1.57</v>
      </c>
      <c r="N878" s="1" t="s">
        <v>9</v>
      </c>
    </row>
    <row r="879" spans="8:14" x14ac:dyDescent="0.25">
      <c r="H879" s="1" t="s">
        <v>10</v>
      </c>
      <c r="J879" t="s">
        <v>131</v>
      </c>
      <c r="K879" t="s">
        <v>401</v>
      </c>
      <c r="L879">
        <v>2.4500000000000002</v>
      </c>
      <c r="M879">
        <v>1.59</v>
      </c>
      <c r="N879" s="1" t="s">
        <v>9</v>
      </c>
    </row>
    <row r="880" spans="8:14" x14ac:dyDescent="0.25">
      <c r="H880" s="1" t="s">
        <v>10</v>
      </c>
      <c r="J880" t="s">
        <v>132</v>
      </c>
      <c r="K880" t="s">
        <v>402</v>
      </c>
      <c r="L880">
        <v>2.08</v>
      </c>
      <c r="M880">
        <v>1.79</v>
      </c>
      <c r="N880" s="1" t="s">
        <v>9</v>
      </c>
    </row>
    <row r="881" spans="8:14" x14ac:dyDescent="0.25">
      <c r="H881" s="1" t="s">
        <v>10</v>
      </c>
      <c r="J881" t="s">
        <v>132</v>
      </c>
      <c r="K881" t="s">
        <v>402</v>
      </c>
      <c r="L881">
        <v>2.0499999999999998</v>
      </c>
      <c r="M881">
        <v>1.8</v>
      </c>
      <c r="N881" s="1" t="s">
        <v>9</v>
      </c>
    </row>
    <row r="882" spans="8:14" x14ac:dyDescent="0.25">
      <c r="H882" s="1" t="s">
        <v>10</v>
      </c>
      <c r="J882" t="s">
        <v>132</v>
      </c>
      <c r="K882" t="s">
        <v>402</v>
      </c>
      <c r="L882">
        <v>2.0499999999999998</v>
      </c>
      <c r="M882">
        <v>1.8</v>
      </c>
      <c r="N882" s="1" t="s">
        <v>9</v>
      </c>
    </row>
    <row r="883" spans="8:14" x14ac:dyDescent="0.25">
      <c r="H883" s="1" t="s">
        <v>10</v>
      </c>
      <c r="J883" t="s">
        <v>132</v>
      </c>
      <c r="K883" t="s">
        <v>402</v>
      </c>
      <c r="L883">
        <v>2.1</v>
      </c>
      <c r="M883">
        <v>1.77</v>
      </c>
      <c r="N883" s="1" t="s">
        <v>9</v>
      </c>
    </row>
    <row r="884" spans="8:14" x14ac:dyDescent="0.25">
      <c r="H884" s="1" t="s">
        <v>10</v>
      </c>
      <c r="J884" t="s">
        <v>132</v>
      </c>
      <c r="K884" t="s">
        <v>402</v>
      </c>
      <c r="L884">
        <v>2.1</v>
      </c>
      <c r="M884">
        <v>1.77</v>
      </c>
      <c r="N884" s="1" t="s">
        <v>9</v>
      </c>
    </row>
    <row r="885" spans="8:14" x14ac:dyDescent="0.25">
      <c r="H885" s="1" t="s">
        <v>10</v>
      </c>
      <c r="J885" t="s">
        <v>132</v>
      </c>
      <c r="K885" t="s">
        <v>402</v>
      </c>
      <c r="L885">
        <v>2.1</v>
      </c>
      <c r="M885">
        <v>1.77</v>
      </c>
      <c r="N885" s="1" t="s">
        <v>9</v>
      </c>
    </row>
    <row r="886" spans="8:14" x14ac:dyDescent="0.25">
      <c r="H886" s="1" t="s">
        <v>10</v>
      </c>
      <c r="J886" t="s">
        <v>132</v>
      </c>
      <c r="K886" t="s">
        <v>402</v>
      </c>
      <c r="L886">
        <v>2.0499999999999998</v>
      </c>
      <c r="M886">
        <v>1.8</v>
      </c>
      <c r="N886" s="1" t="s">
        <v>9</v>
      </c>
    </row>
    <row r="887" spans="8:14" x14ac:dyDescent="0.25">
      <c r="H887" s="1" t="s">
        <v>10</v>
      </c>
      <c r="J887" t="s">
        <v>132</v>
      </c>
      <c r="K887" t="s">
        <v>402</v>
      </c>
      <c r="L887">
        <v>2.0499999999999998</v>
      </c>
      <c r="M887">
        <v>1.8</v>
      </c>
      <c r="N887" s="1" t="s">
        <v>9</v>
      </c>
    </row>
    <row r="888" spans="8:14" x14ac:dyDescent="0.25">
      <c r="H888" s="1" t="s">
        <v>10</v>
      </c>
      <c r="J888" t="s">
        <v>132</v>
      </c>
      <c r="K888" t="s">
        <v>402</v>
      </c>
      <c r="L888">
        <v>2</v>
      </c>
      <c r="M888">
        <v>1.83</v>
      </c>
      <c r="N888" s="1" t="s">
        <v>9</v>
      </c>
    </row>
    <row r="889" spans="8:14" x14ac:dyDescent="0.25">
      <c r="H889" s="1" t="s">
        <v>10</v>
      </c>
      <c r="J889" t="s">
        <v>132</v>
      </c>
      <c r="K889" t="s">
        <v>402</v>
      </c>
      <c r="L889">
        <v>2</v>
      </c>
      <c r="M889">
        <v>1.83</v>
      </c>
      <c r="N889" s="1" t="s">
        <v>9</v>
      </c>
    </row>
    <row r="890" spans="8:14" x14ac:dyDescent="0.25">
      <c r="H890" s="1" t="s">
        <v>10</v>
      </c>
      <c r="J890" t="s">
        <v>132</v>
      </c>
      <c r="K890" t="s">
        <v>402</v>
      </c>
      <c r="L890">
        <v>2</v>
      </c>
      <c r="M890">
        <v>1.83</v>
      </c>
      <c r="N890" s="1" t="s">
        <v>9</v>
      </c>
    </row>
    <row r="891" spans="8:14" x14ac:dyDescent="0.25">
      <c r="H891" s="1" t="s">
        <v>10</v>
      </c>
      <c r="J891" t="s">
        <v>132</v>
      </c>
      <c r="K891" t="s">
        <v>402</v>
      </c>
      <c r="L891">
        <v>2.0499999999999998</v>
      </c>
      <c r="M891">
        <v>1.8</v>
      </c>
      <c r="N891" s="1" t="s">
        <v>9</v>
      </c>
    </row>
    <row r="892" spans="8:14" x14ac:dyDescent="0.25">
      <c r="H892" s="1" t="s">
        <v>10</v>
      </c>
      <c r="J892" t="s">
        <v>132</v>
      </c>
      <c r="K892" t="s">
        <v>402</v>
      </c>
      <c r="L892">
        <v>2.0499999999999998</v>
      </c>
      <c r="M892">
        <v>1.8</v>
      </c>
      <c r="N892" s="1" t="s">
        <v>9</v>
      </c>
    </row>
    <row r="893" spans="8:14" x14ac:dyDescent="0.25">
      <c r="H893" s="1" t="s">
        <v>10</v>
      </c>
      <c r="J893" t="s">
        <v>132</v>
      </c>
      <c r="K893" t="s">
        <v>402</v>
      </c>
      <c r="L893">
        <v>2</v>
      </c>
      <c r="M893">
        <v>1.86</v>
      </c>
      <c r="N893" s="1" t="s">
        <v>9</v>
      </c>
    </row>
    <row r="894" spans="8:14" x14ac:dyDescent="0.25">
      <c r="H894" s="1" t="s">
        <v>10</v>
      </c>
      <c r="J894" t="s">
        <v>132</v>
      </c>
      <c r="K894" t="s">
        <v>402</v>
      </c>
      <c r="L894">
        <v>2.0499999999999998</v>
      </c>
      <c r="M894">
        <v>1.8</v>
      </c>
      <c r="N894" s="1" t="s">
        <v>9</v>
      </c>
    </row>
    <row r="895" spans="8:14" x14ac:dyDescent="0.25">
      <c r="H895" s="1" t="s">
        <v>10</v>
      </c>
      <c r="J895" t="s">
        <v>132</v>
      </c>
      <c r="K895" t="s">
        <v>402</v>
      </c>
      <c r="L895">
        <v>2.0499999999999998</v>
      </c>
      <c r="M895">
        <v>1.8</v>
      </c>
      <c r="N895" s="1" t="s">
        <v>9</v>
      </c>
    </row>
    <row r="896" spans="8:14" x14ac:dyDescent="0.25">
      <c r="H896" s="1" t="s">
        <v>10</v>
      </c>
      <c r="J896" t="s">
        <v>133</v>
      </c>
      <c r="K896" t="s">
        <v>402</v>
      </c>
      <c r="L896">
        <v>1.63</v>
      </c>
      <c r="M896">
        <v>2.34</v>
      </c>
      <c r="N896" s="1" t="s">
        <v>9</v>
      </c>
    </row>
    <row r="897" spans="8:14" x14ac:dyDescent="0.25">
      <c r="H897" s="1" t="s">
        <v>10</v>
      </c>
      <c r="J897" t="s">
        <v>133</v>
      </c>
      <c r="K897" t="s">
        <v>402</v>
      </c>
      <c r="L897">
        <v>1.65</v>
      </c>
      <c r="M897">
        <v>2.2999999999999998</v>
      </c>
      <c r="N897" s="1" t="s">
        <v>9</v>
      </c>
    </row>
    <row r="898" spans="8:14" x14ac:dyDescent="0.25">
      <c r="H898" s="1" t="s">
        <v>10</v>
      </c>
      <c r="J898" t="s">
        <v>133</v>
      </c>
      <c r="K898" t="s">
        <v>402</v>
      </c>
      <c r="L898">
        <v>1.62</v>
      </c>
      <c r="M898">
        <v>2.4</v>
      </c>
      <c r="N898" s="1" t="s">
        <v>9</v>
      </c>
    </row>
    <row r="899" spans="8:14" x14ac:dyDescent="0.25">
      <c r="H899" s="1" t="s">
        <v>10</v>
      </c>
      <c r="J899" t="s">
        <v>133</v>
      </c>
      <c r="K899" t="s">
        <v>402</v>
      </c>
      <c r="L899">
        <v>1.64</v>
      </c>
      <c r="M899">
        <v>2.35</v>
      </c>
      <c r="N899" s="1" t="s">
        <v>9</v>
      </c>
    </row>
    <row r="900" spans="8:14" x14ac:dyDescent="0.25">
      <c r="H900" s="1" t="s">
        <v>10</v>
      </c>
      <c r="J900" t="s">
        <v>133</v>
      </c>
      <c r="K900" t="s">
        <v>402</v>
      </c>
      <c r="L900">
        <v>1.65</v>
      </c>
      <c r="M900">
        <v>2.35</v>
      </c>
      <c r="N900" s="1" t="s">
        <v>9</v>
      </c>
    </row>
    <row r="901" spans="8:14" x14ac:dyDescent="0.25">
      <c r="H901" s="1" t="s">
        <v>10</v>
      </c>
      <c r="J901" t="s">
        <v>133</v>
      </c>
      <c r="K901" t="s">
        <v>402</v>
      </c>
      <c r="L901">
        <v>1.65</v>
      </c>
      <c r="M901">
        <v>2.35</v>
      </c>
      <c r="N901" s="1" t="s">
        <v>9</v>
      </c>
    </row>
    <row r="902" spans="8:14" x14ac:dyDescent="0.25">
      <c r="H902" s="1" t="s">
        <v>10</v>
      </c>
      <c r="J902" t="s">
        <v>133</v>
      </c>
      <c r="K902" t="s">
        <v>402</v>
      </c>
      <c r="L902">
        <v>1.62</v>
      </c>
      <c r="M902">
        <v>2.35</v>
      </c>
      <c r="N902" s="1" t="s">
        <v>9</v>
      </c>
    </row>
    <row r="903" spans="8:14" x14ac:dyDescent="0.25">
      <c r="H903" s="1" t="s">
        <v>10</v>
      </c>
      <c r="J903" t="s">
        <v>133</v>
      </c>
      <c r="K903" t="s">
        <v>402</v>
      </c>
      <c r="L903">
        <v>1.61</v>
      </c>
      <c r="M903">
        <v>2.4</v>
      </c>
      <c r="N903" s="1" t="s">
        <v>9</v>
      </c>
    </row>
    <row r="904" spans="8:14" x14ac:dyDescent="0.25">
      <c r="H904" s="1" t="s">
        <v>10</v>
      </c>
      <c r="J904" t="s">
        <v>133</v>
      </c>
      <c r="K904" t="s">
        <v>402</v>
      </c>
      <c r="L904">
        <v>1.65</v>
      </c>
      <c r="M904">
        <v>2.2799999999999998</v>
      </c>
      <c r="N904" s="1" t="s">
        <v>9</v>
      </c>
    </row>
    <row r="905" spans="8:14" x14ac:dyDescent="0.25">
      <c r="H905" s="1" t="s">
        <v>10</v>
      </c>
      <c r="J905" t="s">
        <v>133</v>
      </c>
      <c r="K905" t="s">
        <v>402</v>
      </c>
      <c r="L905">
        <v>1.65</v>
      </c>
      <c r="M905">
        <v>2.2799999999999998</v>
      </c>
      <c r="N905" s="1" t="s">
        <v>9</v>
      </c>
    </row>
    <row r="906" spans="8:14" x14ac:dyDescent="0.25">
      <c r="H906" s="1" t="s">
        <v>10</v>
      </c>
      <c r="J906" t="s">
        <v>133</v>
      </c>
      <c r="K906" t="s">
        <v>402</v>
      </c>
      <c r="L906">
        <v>1.65</v>
      </c>
      <c r="M906">
        <v>2.2799999999999998</v>
      </c>
      <c r="N906" s="1" t="s">
        <v>9</v>
      </c>
    </row>
    <row r="907" spans="8:14" x14ac:dyDescent="0.25">
      <c r="H907" s="1" t="s">
        <v>10</v>
      </c>
      <c r="J907" t="s">
        <v>133</v>
      </c>
      <c r="K907" t="s">
        <v>402</v>
      </c>
      <c r="L907">
        <v>1.65</v>
      </c>
      <c r="M907">
        <v>2.35</v>
      </c>
      <c r="N907" s="1" t="s">
        <v>9</v>
      </c>
    </row>
    <row r="908" spans="8:14" x14ac:dyDescent="0.25">
      <c r="H908" s="1" t="s">
        <v>10</v>
      </c>
      <c r="J908" t="s">
        <v>133</v>
      </c>
      <c r="K908" t="s">
        <v>402</v>
      </c>
      <c r="L908">
        <v>1.59</v>
      </c>
      <c r="M908">
        <v>2.4</v>
      </c>
      <c r="N908" s="1" t="s">
        <v>9</v>
      </c>
    </row>
    <row r="909" spans="8:14" x14ac:dyDescent="0.25">
      <c r="H909" s="1" t="s">
        <v>10</v>
      </c>
      <c r="J909" t="s">
        <v>133</v>
      </c>
      <c r="K909" t="s">
        <v>402</v>
      </c>
      <c r="L909">
        <v>1.69</v>
      </c>
      <c r="M909">
        <v>2.25</v>
      </c>
      <c r="N909" s="1" t="s">
        <v>9</v>
      </c>
    </row>
    <row r="910" spans="8:14" x14ac:dyDescent="0.25">
      <c r="H910" s="1" t="s">
        <v>10</v>
      </c>
      <c r="J910" t="s">
        <v>133</v>
      </c>
      <c r="K910" t="s">
        <v>402</v>
      </c>
      <c r="L910">
        <v>1.62</v>
      </c>
      <c r="M910">
        <v>2.35</v>
      </c>
      <c r="N910" s="1" t="s">
        <v>9</v>
      </c>
    </row>
    <row r="911" spans="8:14" x14ac:dyDescent="0.25">
      <c r="H911" s="1" t="s">
        <v>10</v>
      </c>
      <c r="J911" t="s">
        <v>133</v>
      </c>
      <c r="K911" t="s">
        <v>402</v>
      </c>
      <c r="L911">
        <v>1.65</v>
      </c>
      <c r="M911">
        <v>2.35</v>
      </c>
      <c r="N911" s="1" t="s">
        <v>9</v>
      </c>
    </row>
    <row r="912" spans="8:14" x14ac:dyDescent="0.25">
      <c r="H912" s="1" t="s">
        <v>10</v>
      </c>
      <c r="J912" t="s">
        <v>134</v>
      </c>
      <c r="K912" t="s">
        <v>403</v>
      </c>
      <c r="L912">
        <v>1.05</v>
      </c>
      <c r="M912">
        <v>12</v>
      </c>
      <c r="N912" s="1" t="s">
        <v>9</v>
      </c>
    </row>
    <row r="913" spans="8:14" x14ac:dyDescent="0.25">
      <c r="H913" s="1" t="s">
        <v>10</v>
      </c>
      <c r="J913" t="s">
        <v>134</v>
      </c>
      <c r="K913" t="s">
        <v>403</v>
      </c>
      <c r="L913">
        <v>1.07</v>
      </c>
      <c r="M913">
        <v>9</v>
      </c>
      <c r="N913" s="1" t="s">
        <v>9</v>
      </c>
    </row>
    <row r="914" spans="8:14" x14ac:dyDescent="0.25">
      <c r="H914" s="1" t="s">
        <v>10</v>
      </c>
      <c r="J914" t="s">
        <v>134</v>
      </c>
      <c r="K914" t="s">
        <v>403</v>
      </c>
      <c r="L914">
        <v>1.05</v>
      </c>
      <c r="M914">
        <v>11</v>
      </c>
      <c r="N914" s="1" t="s">
        <v>9</v>
      </c>
    </row>
    <row r="915" spans="8:14" x14ac:dyDescent="0.25">
      <c r="H915" s="1" t="s">
        <v>10</v>
      </c>
      <c r="J915" t="s">
        <v>134</v>
      </c>
      <c r="K915" t="s">
        <v>403</v>
      </c>
      <c r="L915">
        <v>1.06</v>
      </c>
      <c r="M915">
        <v>10</v>
      </c>
      <c r="N915" s="1" t="s">
        <v>9</v>
      </c>
    </row>
    <row r="916" spans="8:14" x14ac:dyDescent="0.25">
      <c r="H916" s="1" t="s">
        <v>10</v>
      </c>
      <c r="J916" t="s">
        <v>134</v>
      </c>
      <c r="K916" t="s">
        <v>403</v>
      </c>
      <c r="L916">
        <v>1.06</v>
      </c>
      <c r="M916">
        <v>10</v>
      </c>
      <c r="N916" s="1" t="s">
        <v>9</v>
      </c>
    </row>
    <row r="917" spans="8:14" x14ac:dyDescent="0.25">
      <c r="H917" s="1" t="s">
        <v>10</v>
      </c>
      <c r="J917" t="s">
        <v>134</v>
      </c>
      <c r="K917" t="s">
        <v>403</v>
      </c>
      <c r="L917">
        <v>1.05</v>
      </c>
      <c r="M917">
        <v>11</v>
      </c>
      <c r="N917" s="1" t="s">
        <v>9</v>
      </c>
    </row>
    <row r="918" spans="8:14" x14ac:dyDescent="0.25">
      <c r="H918" s="1" t="s">
        <v>10</v>
      </c>
      <c r="J918" t="s">
        <v>134</v>
      </c>
      <c r="K918" t="s">
        <v>403</v>
      </c>
      <c r="L918">
        <v>1.06</v>
      </c>
      <c r="M918">
        <v>10.5</v>
      </c>
      <c r="N918" s="1" t="s">
        <v>9</v>
      </c>
    </row>
    <row r="919" spans="8:14" x14ac:dyDescent="0.25">
      <c r="H919" s="1" t="s">
        <v>10</v>
      </c>
      <c r="J919" t="s">
        <v>134</v>
      </c>
      <c r="K919" t="s">
        <v>403</v>
      </c>
      <c r="L919">
        <v>1.05</v>
      </c>
      <c r="M919">
        <v>10.5</v>
      </c>
      <c r="N919" s="1" t="s">
        <v>9</v>
      </c>
    </row>
    <row r="920" spans="8:14" x14ac:dyDescent="0.25">
      <c r="H920" s="1" t="s">
        <v>10</v>
      </c>
      <c r="J920" t="s">
        <v>134</v>
      </c>
      <c r="K920" t="s">
        <v>403</v>
      </c>
      <c r="L920">
        <v>1.06</v>
      </c>
      <c r="M920">
        <v>9.5</v>
      </c>
      <c r="N920" s="1" t="s">
        <v>9</v>
      </c>
    </row>
    <row r="921" spans="8:14" x14ac:dyDescent="0.25">
      <c r="H921" s="1" t="s">
        <v>10</v>
      </c>
      <c r="J921" t="s">
        <v>134</v>
      </c>
      <c r="K921" t="s">
        <v>403</v>
      </c>
      <c r="L921">
        <v>1.06</v>
      </c>
      <c r="M921">
        <v>9.5</v>
      </c>
      <c r="N921" s="1" t="s">
        <v>9</v>
      </c>
    </row>
    <row r="922" spans="8:14" x14ac:dyDescent="0.25">
      <c r="H922" s="1" t="s">
        <v>10</v>
      </c>
      <c r="J922" t="s">
        <v>134</v>
      </c>
      <c r="K922" t="s">
        <v>403</v>
      </c>
      <c r="L922">
        <v>1.06</v>
      </c>
      <c r="M922">
        <v>9.5</v>
      </c>
      <c r="N922" s="1" t="s">
        <v>9</v>
      </c>
    </row>
    <row r="923" spans="8:14" x14ac:dyDescent="0.25">
      <c r="H923" s="1" t="s">
        <v>10</v>
      </c>
      <c r="J923" t="s">
        <v>134</v>
      </c>
      <c r="K923" t="s">
        <v>403</v>
      </c>
      <c r="L923">
        <v>1.04</v>
      </c>
      <c r="M923">
        <v>10</v>
      </c>
      <c r="N923" s="1" t="s">
        <v>9</v>
      </c>
    </row>
    <row r="924" spans="8:14" x14ac:dyDescent="0.25">
      <c r="H924" s="1" t="s">
        <v>10</v>
      </c>
      <c r="J924" t="s">
        <v>134</v>
      </c>
      <c r="K924" t="s">
        <v>403</v>
      </c>
      <c r="L924">
        <v>1.06</v>
      </c>
      <c r="M924">
        <v>11</v>
      </c>
      <c r="N924" s="1" t="s">
        <v>9</v>
      </c>
    </row>
    <row r="925" spans="8:14" x14ac:dyDescent="0.25">
      <c r="H925" s="1" t="s">
        <v>10</v>
      </c>
      <c r="J925" t="s">
        <v>134</v>
      </c>
      <c r="K925" t="s">
        <v>403</v>
      </c>
      <c r="L925">
        <v>1.06</v>
      </c>
      <c r="M925">
        <v>11</v>
      </c>
      <c r="N925" s="1" t="s">
        <v>9</v>
      </c>
    </row>
    <row r="926" spans="8:14" x14ac:dyDescent="0.25">
      <c r="H926" s="1" t="s">
        <v>10</v>
      </c>
      <c r="J926" t="s">
        <v>134</v>
      </c>
      <c r="K926" t="s">
        <v>403</v>
      </c>
      <c r="L926">
        <v>1.05</v>
      </c>
      <c r="M926">
        <v>11</v>
      </c>
      <c r="N926" s="1" t="s">
        <v>9</v>
      </c>
    </row>
    <row r="927" spans="8:14" x14ac:dyDescent="0.25">
      <c r="H927" s="1" t="s">
        <v>10</v>
      </c>
      <c r="J927" t="s">
        <v>134</v>
      </c>
      <c r="K927" t="s">
        <v>403</v>
      </c>
      <c r="L927">
        <v>1.07</v>
      </c>
      <c r="M927">
        <v>9</v>
      </c>
      <c r="N927" s="1" t="s">
        <v>9</v>
      </c>
    </row>
    <row r="928" spans="8:14" x14ac:dyDescent="0.25">
      <c r="H928" s="1" t="s">
        <v>10</v>
      </c>
      <c r="J928" t="s">
        <v>135</v>
      </c>
      <c r="K928" t="s">
        <v>403</v>
      </c>
      <c r="L928">
        <v>1.33</v>
      </c>
      <c r="M928">
        <v>3.45</v>
      </c>
      <c r="N928" s="1" t="s">
        <v>9</v>
      </c>
    </row>
    <row r="929" spans="8:14" x14ac:dyDescent="0.25">
      <c r="H929" s="1" t="s">
        <v>10</v>
      </c>
      <c r="J929" t="s">
        <v>135</v>
      </c>
      <c r="K929" t="s">
        <v>403</v>
      </c>
      <c r="L929">
        <v>1.36</v>
      </c>
      <c r="M929">
        <v>3.25</v>
      </c>
      <c r="N929" s="1" t="s">
        <v>9</v>
      </c>
    </row>
    <row r="930" spans="8:14" x14ac:dyDescent="0.25">
      <c r="H930" s="1" t="s">
        <v>10</v>
      </c>
      <c r="J930" t="s">
        <v>135</v>
      </c>
      <c r="K930" t="s">
        <v>403</v>
      </c>
      <c r="L930">
        <v>1.36</v>
      </c>
      <c r="M930">
        <v>3.25</v>
      </c>
      <c r="N930" s="1" t="s">
        <v>9</v>
      </c>
    </row>
    <row r="931" spans="8:14" x14ac:dyDescent="0.25">
      <c r="H931" s="1" t="s">
        <v>10</v>
      </c>
      <c r="J931" t="s">
        <v>135</v>
      </c>
      <c r="K931" t="s">
        <v>403</v>
      </c>
      <c r="L931">
        <v>1.34</v>
      </c>
      <c r="M931">
        <v>3.45</v>
      </c>
      <c r="N931" s="1" t="s">
        <v>9</v>
      </c>
    </row>
    <row r="932" spans="8:14" x14ac:dyDescent="0.25">
      <c r="H932" s="1" t="s">
        <v>10</v>
      </c>
      <c r="J932" t="s">
        <v>135</v>
      </c>
      <c r="K932" t="s">
        <v>403</v>
      </c>
      <c r="L932">
        <v>1.34</v>
      </c>
      <c r="M932">
        <v>3.45</v>
      </c>
      <c r="N932" s="1" t="s">
        <v>9</v>
      </c>
    </row>
    <row r="933" spans="8:14" x14ac:dyDescent="0.25">
      <c r="H933" s="1" t="s">
        <v>10</v>
      </c>
      <c r="J933" t="s">
        <v>135</v>
      </c>
      <c r="K933" t="s">
        <v>403</v>
      </c>
      <c r="L933">
        <v>1.34</v>
      </c>
      <c r="M933">
        <v>3.4</v>
      </c>
      <c r="N933" s="1" t="s">
        <v>9</v>
      </c>
    </row>
    <row r="934" spans="8:14" x14ac:dyDescent="0.25">
      <c r="H934" s="1" t="s">
        <v>10</v>
      </c>
      <c r="J934" t="s">
        <v>135</v>
      </c>
      <c r="K934" t="s">
        <v>403</v>
      </c>
      <c r="L934">
        <v>1.36</v>
      </c>
      <c r="M934">
        <v>3.22</v>
      </c>
      <c r="N934" s="1" t="s">
        <v>9</v>
      </c>
    </row>
    <row r="935" spans="8:14" x14ac:dyDescent="0.25">
      <c r="H935" s="1" t="s">
        <v>10</v>
      </c>
      <c r="J935" t="s">
        <v>135</v>
      </c>
      <c r="K935" t="s">
        <v>403</v>
      </c>
      <c r="L935">
        <v>1.33</v>
      </c>
      <c r="M935">
        <v>3.5</v>
      </c>
      <c r="N935" s="1" t="s">
        <v>9</v>
      </c>
    </row>
    <row r="936" spans="8:14" x14ac:dyDescent="0.25">
      <c r="H936" s="1" t="s">
        <v>10</v>
      </c>
      <c r="J936" t="s">
        <v>135</v>
      </c>
      <c r="K936" t="s">
        <v>403</v>
      </c>
      <c r="L936">
        <v>1.35</v>
      </c>
      <c r="M936">
        <v>3.2</v>
      </c>
      <c r="N936" s="1" t="s">
        <v>9</v>
      </c>
    </row>
    <row r="937" spans="8:14" x14ac:dyDescent="0.25">
      <c r="H937" s="1" t="s">
        <v>10</v>
      </c>
      <c r="J937" t="s">
        <v>135</v>
      </c>
      <c r="K937" t="s">
        <v>403</v>
      </c>
      <c r="L937">
        <v>1.35</v>
      </c>
      <c r="M937">
        <v>3.2</v>
      </c>
      <c r="N937" s="1" t="s">
        <v>9</v>
      </c>
    </row>
    <row r="938" spans="8:14" x14ac:dyDescent="0.25">
      <c r="H938" s="1" t="s">
        <v>10</v>
      </c>
      <c r="J938" t="s">
        <v>135</v>
      </c>
      <c r="K938" t="s">
        <v>403</v>
      </c>
      <c r="L938">
        <v>1.35</v>
      </c>
      <c r="M938">
        <v>3.2</v>
      </c>
      <c r="N938" s="1" t="s">
        <v>9</v>
      </c>
    </row>
    <row r="939" spans="8:14" x14ac:dyDescent="0.25">
      <c r="H939" s="1" t="s">
        <v>10</v>
      </c>
      <c r="J939" t="s">
        <v>135</v>
      </c>
      <c r="K939" t="s">
        <v>403</v>
      </c>
      <c r="L939">
        <v>1.34</v>
      </c>
      <c r="M939">
        <v>3.3</v>
      </c>
      <c r="N939" s="1" t="s">
        <v>9</v>
      </c>
    </row>
    <row r="940" spans="8:14" x14ac:dyDescent="0.25">
      <c r="H940" s="1" t="s">
        <v>10</v>
      </c>
      <c r="J940" t="s">
        <v>135</v>
      </c>
      <c r="K940" t="s">
        <v>403</v>
      </c>
      <c r="L940">
        <v>1.4</v>
      </c>
      <c r="M940">
        <v>3</v>
      </c>
      <c r="N940" s="1" t="s">
        <v>9</v>
      </c>
    </row>
    <row r="941" spans="8:14" x14ac:dyDescent="0.25">
      <c r="H941" s="1" t="s">
        <v>10</v>
      </c>
      <c r="J941" t="s">
        <v>135</v>
      </c>
      <c r="K941" t="s">
        <v>403</v>
      </c>
      <c r="L941">
        <v>1.37</v>
      </c>
      <c r="M941">
        <v>3.25</v>
      </c>
      <c r="N941" s="1" t="s">
        <v>9</v>
      </c>
    </row>
    <row r="942" spans="8:14" x14ac:dyDescent="0.25">
      <c r="H942" s="1" t="s">
        <v>10</v>
      </c>
      <c r="J942" t="s">
        <v>135</v>
      </c>
      <c r="K942" t="s">
        <v>403</v>
      </c>
      <c r="L942">
        <v>1.36</v>
      </c>
      <c r="M942">
        <v>3.25</v>
      </c>
      <c r="N942" s="1" t="s">
        <v>9</v>
      </c>
    </row>
    <row r="943" spans="8:14" x14ac:dyDescent="0.25">
      <c r="H943" s="1" t="s">
        <v>10</v>
      </c>
      <c r="J943" t="s">
        <v>135</v>
      </c>
      <c r="K943" t="s">
        <v>403</v>
      </c>
      <c r="L943">
        <v>1.34</v>
      </c>
      <c r="M943">
        <v>3.4</v>
      </c>
      <c r="N943" s="1" t="s">
        <v>9</v>
      </c>
    </row>
    <row r="944" spans="8:14" x14ac:dyDescent="0.25">
      <c r="H944" s="1" t="s">
        <v>10</v>
      </c>
      <c r="J944" t="s">
        <v>136</v>
      </c>
      <c r="K944" t="s">
        <v>137</v>
      </c>
      <c r="L944">
        <v>1.94</v>
      </c>
      <c r="M944">
        <v>1.91</v>
      </c>
      <c r="N944" s="1" t="s">
        <v>9</v>
      </c>
    </row>
    <row r="945" spans="8:14" x14ac:dyDescent="0.25">
      <c r="H945" s="1" t="s">
        <v>10</v>
      </c>
      <c r="J945" t="s">
        <v>136</v>
      </c>
      <c r="K945" t="s">
        <v>137</v>
      </c>
      <c r="L945">
        <v>1.98</v>
      </c>
      <c r="M945">
        <v>1.85</v>
      </c>
      <c r="N945" s="1" t="s">
        <v>9</v>
      </c>
    </row>
    <row r="946" spans="8:14" x14ac:dyDescent="0.25">
      <c r="H946" s="1" t="s">
        <v>10</v>
      </c>
      <c r="J946" t="s">
        <v>136</v>
      </c>
      <c r="K946" t="s">
        <v>137</v>
      </c>
      <c r="L946">
        <v>1.91</v>
      </c>
      <c r="M946">
        <v>1.91</v>
      </c>
      <c r="N946" s="1" t="s">
        <v>9</v>
      </c>
    </row>
    <row r="947" spans="8:14" x14ac:dyDescent="0.25">
      <c r="H947" s="1" t="s">
        <v>10</v>
      </c>
      <c r="J947" t="s">
        <v>136</v>
      </c>
      <c r="K947" t="s">
        <v>137</v>
      </c>
      <c r="L947">
        <v>1.91</v>
      </c>
      <c r="M947">
        <v>1.91</v>
      </c>
      <c r="N947" s="1" t="s">
        <v>9</v>
      </c>
    </row>
    <row r="948" spans="8:14" x14ac:dyDescent="0.25">
      <c r="H948" s="1" t="s">
        <v>10</v>
      </c>
      <c r="J948" t="s">
        <v>136</v>
      </c>
      <c r="K948" t="s">
        <v>137</v>
      </c>
      <c r="L948">
        <v>1.91</v>
      </c>
      <c r="M948">
        <v>1.91</v>
      </c>
      <c r="N948" s="1" t="s">
        <v>9</v>
      </c>
    </row>
    <row r="949" spans="8:14" x14ac:dyDescent="0.25">
      <c r="H949" s="1" t="s">
        <v>10</v>
      </c>
      <c r="J949" t="s">
        <v>136</v>
      </c>
      <c r="K949" t="s">
        <v>137</v>
      </c>
      <c r="L949">
        <v>1.91</v>
      </c>
      <c r="M949">
        <v>1.91</v>
      </c>
      <c r="N949" s="1" t="s">
        <v>9</v>
      </c>
    </row>
    <row r="950" spans="8:14" x14ac:dyDescent="0.25">
      <c r="H950" s="1" t="s">
        <v>10</v>
      </c>
      <c r="J950" t="s">
        <v>136</v>
      </c>
      <c r="K950" t="s">
        <v>137</v>
      </c>
      <c r="L950">
        <v>1.91</v>
      </c>
      <c r="M950">
        <v>1.91</v>
      </c>
      <c r="N950" s="1" t="s">
        <v>9</v>
      </c>
    </row>
    <row r="951" spans="8:14" x14ac:dyDescent="0.25">
      <c r="H951" s="1" t="s">
        <v>10</v>
      </c>
      <c r="J951" t="s">
        <v>136</v>
      </c>
      <c r="K951" t="s">
        <v>137</v>
      </c>
      <c r="L951">
        <v>1.91</v>
      </c>
      <c r="M951">
        <v>1.91</v>
      </c>
      <c r="N951" s="1" t="s">
        <v>9</v>
      </c>
    </row>
    <row r="952" spans="8:14" x14ac:dyDescent="0.25">
      <c r="H952" s="1" t="s">
        <v>10</v>
      </c>
      <c r="J952" t="s">
        <v>136</v>
      </c>
      <c r="K952" t="s">
        <v>137</v>
      </c>
      <c r="L952">
        <v>1.91</v>
      </c>
      <c r="M952">
        <v>1.91</v>
      </c>
      <c r="N952" s="1" t="s">
        <v>9</v>
      </c>
    </row>
    <row r="953" spans="8:14" x14ac:dyDescent="0.25">
      <c r="H953" s="1" t="s">
        <v>10</v>
      </c>
      <c r="J953" t="s">
        <v>136</v>
      </c>
      <c r="K953" t="s">
        <v>137</v>
      </c>
      <c r="L953">
        <v>1.91</v>
      </c>
      <c r="M953">
        <v>1.91</v>
      </c>
      <c r="N953" s="1" t="s">
        <v>9</v>
      </c>
    </row>
    <row r="954" spans="8:14" x14ac:dyDescent="0.25">
      <c r="H954" s="1" t="s">
        <v>10</v>
      </c>
      <c r="J954" t="s">
        <v>136</v>
      </c>
      <c r="K954" t="s">
        <v>137</v>
      </c>
      <c r="L954">
        <v>1.93</v>
      </c>
      <c r="M954">
        <v>1.93</v>
      </c>
      <c r="N954" s="1" t="s">
        <v>9</v>
      </c>
    </row>
    <row r="955" spans="8:14" x14ac:dyDescent="0.25">
      <c r="H955" s="1" t="s">
        <v>10</v>
      </c>
      <c r="J955" t="s">
        <v>136</v>
      </c>
      <c r="K955" t="s">
        <v>137</v>
      </c>
      <c r="L955">
        <v>1.91</v>
      </c>
      <c r="M955">
        <v>1.91</v>
      </c>
      <c r="N955" s="1" t="s">
        <v>9</v>
      </c>
    </row>
    <row r="956" spans="8:14" x14ac:dyDescent="0.25">
      <c r="H956" s="1" t="s">
        <v>10</v>
      </c>
      <c r="J956" t="s">
        <v>136</v>
      </c>
      <c r="K956" t="s">
        <v>137</v>
      </c>
      <c r="L956">
        <v>1.95</v>
      </c>
      <c r="M956">
        <v>1.87</v>
      </c>
      <c r="N956" s="1" t="s">
        <v>9</v>
      </c>
    </row>
    <row r="957" spans="8:14" x14ac:dyDescent="0.25">
      <c r="H957" s="1" t="s">
        <v>10</v>
      </c>
      <c r="J957" t="s">
        <v>138</v>
      </c>
      <c r="K957" t="s">
        <v>139</v>
      </c>
      <c r="L957">
        <v>1.29</v>
      </c>
      <c r="M957">
        <v>3.8</v>
      </c>
      <c r="N957" s="1" t="s">
        <v>9</v>
      </c>
    </row>
    <row r="958" spans="8:14" x14ac:dyDescent="0.25">
      <c r="H958" s="1" t="s">
        <v>10</v>
      </c>
      <c r="J958" t="s">
        <v>138</v>
      </c>
      <c r="K958" t="s">
        <v>139</v>
      </c>
      <c r="L958">
        <v>1.29</v>
      </c>
      <c r="M958">
        <v>3.75</v>
      </c>
      <c r="N958" s="1" t="s">
        <v>9</v>
      </c>
    </row>
    <row r="959" spans="8:14" x14ac:dyDescent="0.25">
      <c r="H959" s="1" t="s">
        <v>10</v>
      </c>
      <c r="J959" t="s">
        <v>138</v>
      </c>
      <c r="K959" t="s">
        <v>139</v>
      </c>
      <c r="L959">
        <v>1.29</v>
      </c>
      <c r="M959">
        <v>3.75</v>
      </c>
      <c r="N959" s="1" t="s">
        <v>9</v>
      </c>
    </row>
    <row r="960" spans="8:14" x14ac:dyDescent="0.25">
      <c r="H960" s="1" t="s">
        <v>10</v>
      </c>
      <c r="J960" t="s">
        <v>138</v>
      </c>
      <c r="K960" t="s">
        <v>139</v>
      </c>
      <c r="L960">
        <v>1.3</v>
      </c>
      <c r="M960">
        <v>3.75</v>
      </c>
      <c r="N960" s="1" t="s">
        <v>9</v>
      </c>
    </row>
    <row r="961" spans="8:14" x14ac:dyDescent="0.25">
      <c r="H961" s="1" t="s">
        <v>10</v>
      </c>
      <c r="J961" t="s">
        <v>138</v>
      </c>
      <c r="K961" t="s">
        <v>139</v>
      </c>
      <c r="L961">
        <v>1.3</v>
      </c>
      <c r="M961">
        <v>3.75</v>
      </c>
      <c r="N961" s="1" t="s">
        <v>9</v>
      </c>
    </row>
    <row r="962" spans="8:14" x14ac:dyDescent="0.25">
      <c r="H962" s="1" t="s">
        <v>10</v>
      </c>
      <c r="J962" t="s">
        <v>138</v>
      </c>
      <c r="K962" t="s">
        <v>139</v>
      </c>
      <c r="L962">
        <v>1.29</v>
      </c>
      <c r="M962">
        <v>3.8</v>
      </c>
      <c r="N962" s="1" t="s">
        <v>9</v>
      </c>
    </row>
    <row r="963" spans="8:14" x14ac:dyDescent="0.25">
      <c r="H963" s="1" t="s">
        <v>10</v>
      </c>
      <c r="J963" t="s">
        <v>138</v>
      </c>
      <c r="K963" t="s">
        <v>139</v>
      </c>
      <c r="L963">
        <v>1.29</v>
      </c>
      <c r="M963">
        <v>3.7</v>
      </c>
      <c r="N963" s="1" t="s">
        <v>9</v>
      </c>
    </row>
    <row r="964" spans="8:14" x14ac:dyDescent="0.25">
      <c r="H964" s="1" t="s">
        <v>10</v>
      </c>
      <c r="J964" t="s">
        <v>138</v>
      </c>
      <c r="K964" t="s">
        <v>139</v>
      </c>
      <c r="L964">
        <v>1.29</v>
      </c>
      <c r="M964">
        <v>3.7</v>
      </c>
      <c r="N964" s="1" t="s">
        <v>9</v>
      </c>
    </row>
    <row r="965" spans="8:14" x14ac:dyDescent="0.25">
      <c r="H965" s="1" t="s">
        <v>10</v>
      </c>
      <c r="J965" t="s">
        <v>138</v>
      </c>
      <c r="K965" t="s">
        <v>139</v>
      </c>
      <c r="L965">
        <v>1.27</v>
      </c>
      <c r="M965">
        <v>3.8</v>
      </c>
      <c r="N965" s="1" t="s">
        <v>9</v>
      </c>
    </row>
    <row r="966" spans="8:14" x14ac:dyDescent="0.25">
      <c r="H966" s="1" t="s">
        <v>10</v>
      </c>
      <c r="J966" t="s">
        <v>138</v>
      </c>
      <c r="K966" t="s">
        <v>139</v>
      </c>
      <c r="L966">
        <v>1.27</v>
      </c>
      <c r="M966">
        <v>3.8</v>
      </c>
      <c r="N966" s="1" t="s">
        <v>9</v>
      </c>
    </row>
    <row r="967" spans="8:14" x14ac:dyDescent="0.25">
      <c r="H967" s="1" t="s">
        <v>10</v>
      </c>
      <c r="J967" t="s">
        <v>138</v>
      </c>
      <c r="K967" t="s">
        <v>139</v>
      </c>
      <c r="L967">
        <v>1.27</v>
      </c>
      <c r="M967">
        <v>3.8</v>
      </c>
      <c r="N967" s="1" t="s">
        <v>9</v>
      </c>
    </row>
    <row r="968" spans="8:14" x14ac:dyDescent="0.25">
      <c r="H968" s="1" t="s">
        <v>10</v>
      </c>
      <c r="J968" t="s">
        <v>138</v>
      </c>
      <c r="K968" t="s">
        <v>139</v>
      </c>
      <c r="L968">
        <v>1.26</v>
      </c>
      <c r="M968">
        <v>4.0999999999999996</v>
      </c>
      <c r="N968" s="1" t="s">
        <v>9</v>
      </c>
    </row>
    <row r="969" spans="8:14" x14ac:dyDescent="0.25">
      <c r="H969" s="1" t="s">
        <v>10</v>
      </c>
      <c r="J969" t="s">
        <v>138</v>
      </c>
      <c r="K969" t="s">
        <v>139</v>
      </c>
      <c r="L969">
        <v>1.29</v>
      </c>
      <c r="M969">
        <v>3.8</v>
      </c>
      <c r="N969" s="1" t="s">
        <v>9</v>
      </c>
    </row>
    <row r="970" spans="8:14" x14ac:dyDescent="0.25">
      <c r="H970" s="1" t="s">
        <v>10</v>
      </c>
      <c r="J970" t="s">
        <v>138</v>
      </c>
      <c r="K970" t="s">
        <v>139</v>
      </c>
      <c r="L970">
        <v>1.27</v>
      </c>
      <c r="M970">
        <v>3.85</v>
      </c>
      <c r="N970" s="1" t="s">
        <v>9</v>
      </c>
    </row>
    <row r="971" spans="8:14" x14ac:dyDescent="0.25">
      <c r="H971" s="1" t="s">
        <v>10</v>
      </c>
      <c r="J971" t="s">
        <v>138</v>
      </c>
      <c r="K971" t="s">
        <v>139</v>
      </c>
      <c r="L971">
        <v>1.25</v>
      </c>
      <c r="M971">
        <v>4.0999999999999996</v>
      </c>
      <c r="N971" s="1" t="s">
        <v>9</v>
      </c>
    </row>
    <row r="972" spans="8:14" x14ac:dyDescent="0.25">
      <c r="H972" s="1" t="s">
        <v>10</v>
      </c>
      <c r="J972" t="s">
        <v>138</v>
      </c>
      <c r="K972" t="s">
        <v>139</v>
      </c>
      <c r="L972">
        <v>1.29</v>
      </c>
      <c r="M972">
        <v>3.7</v>
      </c>
      <c r="N972" s="1" t="s">
        <v>9</v>
      </c>
    </row>
    <row r="973" spans="8:14" x14ac:dyDescent="0.25">
      <c r="H973" s="1" t="s">
        <v>10</v>
      </c>
      <c r="J973" t="s">
        <v>377</v>
      </c>
      <c r="K973" t="s">
        <v>378</v>
      </c>
      <c r="L973">
        <v>1.61</v>
      </c>
      <c r="M973">
        <v>2.38</v>
      </c>
      <c r="N973" s="1" t="s">
        <v>9</v>
      </c>
    </row>
    <row r="974" spans="8:14" x14ac:dyDescent="0.25">
      <c r="H974" s="1" t="s">
        <v>10</v>
      </c>
      <c r="J974" t="s">
        <v>377</v>
      </c>
      <c r="K974" t="s">
        <v>378</v>
      </c>
      <c r="L974">
        <v>1.65</v>
      </c>
      <c r="M974">
        <v>2.2999999999999998</v>
      </c>
      <c r="N974" s="1" t="s">
        <v>9</v>
      </c>
    </row>
    <row r="975" spans="8:14" x14ac:dyDescent="0.25">
      <c r="H975" s="1" t="s">
        <v>10</v>
      </c>
      <c r="J975" t="s">
        <v>377</v>
      </c>
      <c r="K975" t="s">
        <v>378</v>
      </c>
      <c r="L975">
        <v>1.62</v>
      </c>
      <c r="M975">
        <v>2.35</v>
      </c>
      <c r="N975" s="1" t="s">
        <v>9</v>
      </c>
    </row>
    <row r="976" spans="8:14" x14ac:dyDescent="0.25">
      <c r="H976" s="1" t="s">
        <v>10</v>
      </c>
      <c r="J976" t="s">
        <v>377</v>
      </c>
      <c r="K976" t="s">
        <v>378</v>
      </c>
      <c r="L976">
        <v>1.62</v>
      </c>
      <c r="M976">
        <v>2.33</v>
      </c>
      <c r="N976" s="1" t="s">
        <v>9</v>
      </c>
    </row>
    <row r="977" spans="8:14" x14ac:dyDescent="0.25">
      <c r="H977" s="1" t="s">
        <v>10</v>
      </c>
      <c r="J977" t="s">
        <v>377</v>
      </c>
      <c r="K977" t="s">
        <v>378</v>
      </c>
      <c r="L977">
        <v>1.62</v>
      </c>
      <c r="M977">
        <v>2.33</v>
      </c>
      <c r="N977" s="1" t="s">
        <v>9</v>
      </c>
    </row>
    <row r="978" spans="8:14" x14ac:dyDescent="0.25">
      <c r="H978" s="1" t="s">
        <v>10</v>
      </c>
      <c r="J978" t="s">
        <v>377</v>
      </c>
      <c r="K978" t="s">
        <v>378</v>
      </c>
      <c r="L978">
        <v>1.62</v>
      </c>
      <c r="M978">
        <v>2.33</v>
      </c>
      <c r="N978" s="1" t="s">
        <v>9</v>
      </c>
    </row>
    <row r="979" spans="8:14" x14ac:dyDescent="0.25">
      <c r="H979" s="1" t="s">
        <v>10</v>
      </c>
      <c r="J979" t="s">
        <v>379</v>
      </c>
      <c r="K979" t="s">
        <v>380</v>
      </c>
      <c r="L979">
        <v>2.2000000000000002</v>
      </c>
      <c r="M979">
        <v>1.7</v>
      </c>
      <c r="N979" s="1" t="s">
        <v>9</v>
      </c>
    </row>
    <row r="980" spans="8:14" x14ac:dyDescent="0.25">
      <c r="H980" s="1" t="s">
        <v>10</v>
      </c>
      <c r="J980" t="s">
        <v>379</v>
      </c>
      <c r="K980" t="s">
        <v>380</v>
      </c>
      <c r="L980">
        <v>2.2999999999999998</v>
      </c>
      <c r="M980">
        <v>1.65</v>
      </c>
      <c r="N980" s="1" t="s">
        <v>9</v>
      </c>
    </row>
    <row r="981" spans="8:14" x14ac:dyDescent="0.25">
      <c r="H981" s="1" t="s">
        <v>10</v>
      </c>
      <c r="J981" t="s">
        <v>379</v>
      </c>
      <c r="K981" t="s">
        <v>380</v>
      </c>
      <c r="L981">
        <v>2.2999999999999998</v>
      </c>
      <c r="M981">
        <v>1.65</v>
      </c>
      <c r="N981" s="1" t="s">
        <v>9</v>
      </c>
    </row>
    <row r="982" spans="8:14" x14ac:dyDescent="0.25">
      <c r="H982" s="1" t="s">
        <v>10</v>
      </c>
      <c r="J982" t="s">
        <v>379</v>
      </c>
      <c r="K982" t="s">
        <v>380</v>
      </c>
      <c r="L982">
        <v>2.2799999999999998</v>
      </c>
      <c r="M982">
        <v>1.63</v>
      </c>
      <c r="N982" s="1" t="s">
        <v>9</v>
      </c>
    </row>
    <row r="983" spans="8:14" x14ac:dyDescent="0.25">
      <c r="H983" s="1" t="s">
        <v>10</v>
      </c>
      <c r="J983" t="s">
        <v>379</v>
      </c>
      <c r="K983" t="s">
        <v>380</v>
      </c>
      <c r="L983">
        <v>2.2799999999999998</v>
      </c>
      <c r="M983">
        <v>1.63</v>
      </c>
      <c r="N983" s="1" t="s">
        <v>9</v>
      </c>
    </row>
    <row r="984" spans="8:14" x14ac:dyDescent="0.25">
      <c r="H984" s="1" t="s">
        <v>10</v>
      </c>
      <c r="J984" t="s">
        <v>379</v>
      </c>
      <c r="K984" t="s">
        <v>380</v>
      </c>
      <c r="L984">
        <v>2.2799999999999998</v>
      </c>
      <c r="M984">
        <v>1.63</v>
      </c>
      <c r="N984" s="1" t="s">
        <v>9</v>
      </c>
    </row>
    <row r="985" spans="8:14" x14ac:dyDescent="0.25">
      <c r="H985" s="1" t="s">
        <v>10</v>
      </c>
      <c r="J985" t="s">
        <v>381</v>
      </c>
      <c r="K985" t="s">
        <v>380</v>
      </c>
      <c r="L985">
        <v>1.4</v>
      </c>
      <c r="M985">
        <v>3.05</v>
      </c>
      <c r="N985" s="1" t="s">
        <v>9</v>
      </c>
    </row>
    <row r="986" spans="8:14" x14ac:dyDescent="0.25">
      <c r="H986" s="1" t="s">
        <v>10</v>
      </c>
      <c r="J986" t="s">
        <v>381</v>
      </c>
      <c r="K986" t="s">
        <v>380</v>
      </c>
      <c r="L986">
        <v>1.41</v>
      </c>
      <c r="M986">
        <v>3</v>
      </c>
      <c r="N986" s="1" t="s">
        <v>9</v>
      </c>
    </row>
    <row r="987" spans="8:14" x14ac:dyDescent="0.25">
      <c r="H987" s="1" t="s">
        <v>10</v>
      </c>
      <c r="J987" t="s">
        <v>381</v>
      </c>
      <c r="K987" t="s">
        <v>380</v>
      </c>
      <c r="L987">
        <v>1.38</v>
      </c>
      <c r="M987">
        <v>3.1</v>
      </c>
      <c r="N987" s="1" t="s">
        <v>9</v>
      </c>
    </row>
    <row r="988" spans="8:14" x14ac:dyDescent="0.25">
      <c r="H988" s="1" t="s">
        <v>10</v>
      </c>
      <c r="J988" t="s">
        <v>381</v>
      </c>
      <c r="K988" t="s">
        <v>380</v>
      </c>
      <c r="L988">
        <v>1.38</v>
      </c>
      <c r="M988">
        <v>3</v>
      </c>
      <c r="N988" s="1" t="s">
        <v>9</v>
      </c>
    </row>
    <row r="989" spans="8:14" x14ac:dyDescent="0.25">
      <c r="H989" s="1" t="s">
        <v>10</v>
      </c>
      <c r="J989" t="s">
        <v>381</v>
      </c>
      <c r="K989" t="s">
        <v>380</v>
      </c>
      <c r="L989">
        <v>1.38</v>
      </c>
      <c r="M989">
        <v>3</v>
      </c>
      <c r="N989" s="1" t="s">
        <v>9</v>
      </c>
    </row>
    <row r="990" spans="8:14" x14ac:dyDescent="0.25">
      <c r="H990" s="1" t="s">
        <v>10</v>
      </c>
      <c r="J990" t="s">
        <v>381</v>
      </c>
      <c r="K990" t="s">
        <v>380</v>
      </c>
      <c r="L990">
        <v>1.38</v>
      </c>
      <c r="M990">
        <v>3</v>
      </c>
      <c r="N990" s="1" t="s">
        <v>9</v>
      </c>
    </row>
    <row r="991" spans="8:14" x14ac:dyDescent="0.25">
      <c r="H991" s="1" t="s">
        <v>10</v>
      </c>
      <c r="J991" t="s">
        <v>382</v>
      </c>
      <c r="K991" t="s">
        <v>380</v>
      </c>
      <c r="L991">
        <v>4.7</v>
      </c>
      <c r="M991">
        <v>1.21</v>
      </c>
      <c r="N991" s="1" t="s">
        <v>9</v>
      </c>
    </row>
    <row r="992" spans="8:14" x14ac:dyDescent="0.25">
      <c r="H992" s="1" t="s">
        <v>10</v>
      </c>
      <c r="J992" t="s">
        <v>382</v>
      </c>
      <c r="K992" t="s">
        <v>380</v>
      </c>
      <c r="L992">
        <v>4.5999999999999996</v>
      </c>
      <c r="M992">
        <v>1.21</v>
      </c>
      <c r="N992" s="1" t="s">
        <v>9</v>
      </c>
    </row>
    <row r="993" spans="8:14" x14ac:dyDescent="0.25">
      <c r="H993" s="1" t="s">
        <v>10</v>
      </c>
      <c r="J993" t="s">
        <v>382</v>
      </c>
      <c r="K993" t="s">
        <v>380</v>
      </c>
      <c r="L993">
        <v>4.5999999999999996</v>
      </c>
      <c r="M993">
        <v>1.21</v>
      </c>
      <c r="N993" s="1" t="s">
        <v>9</v>
      </c>
    </row>
    <row r="994" spans="8:14" x14ac:dyDescent="0.25">
      <c r="H994" s="1" t="s">
        <v>10</v>
      </c>
      <c r="J994" t="s">
        <v>382</v>
      </c>
      <c r="K994" t="s">
        <v>380</v>
      </c>
      <c r="L994">
        <v>4.5</v>
      </c>
      <c r="M994">
        <v>1.21</v>
      </c>
      <c r="N994" s="1" t="s">
        <v>9</v>
      </c>
    </row>
    <row r="995" spans="8:14" x14ac:dyDescent="0.25">
      <c r="H995" s="1" t="s">
        <v>10</v>
      </c>
      <c r="J995" t="s">
        <v>382</v>
      </c>
      <c r="K995" t="s">
        <v>380</v>
      </c>
      <c r="L995">
        <v>4.5</v>
      </c>
      <c r="M995">
        <v>1.21</v>
      </c>
      <c r="N995" s="1" t="s">
        <v>9</v>
      </c>
    </row>
    <row r="996" spans="8:14" x14ac:dyDescent="0.25">
      <c r="H996" s="1" t="s">
        <v>10</v>
      </c>
      <c r="J996" t="s">
        <v>382</v>
      </c>
      <c r="K996" t="s">
        <v>380</v>
      </c>
      <c r="L996">
        <v>4.5</v>
      </c>
      <c r="M996">
        <v>1.21</v>
      </c>
      <c r="N996" s="1" t="s">
        <v>9</v>
      </c>
    </row>
    <row r="997" spans="8:14" x14ac:dyDescent="0.25">
      <c r="H997" s="1" t="s">
        <v>10</v>
      </c>
      <c r="J997" t="s">
        <v>383</v>
      </c>
      <c r="K997" t="s">
        <v>380</v>
      </c>
      <c r="L997">
        <v>4.0999999999999996</v>
      </c>
      <c r="M997">
        <v>1.26</v>
      </c>
      <c r="N997" s="1" t="s">
        <v>9</v>
      </c>
    </row>
    <row r="998" spans="8:14" x14ac:dyDescent="0.25">
      <c r="H998" s="1" t="s">
        <v>10</v>
      </c>
      <c r="J998" t="s">
        <v>383</v>
      </c>
      <c r="K998" t="s">
        <v>380</v>
      </c>
      <c r="L998">
        <v>4.0999999999999996</v>
      </c>
      <c r="M998">
        <v>1.25</v>
      </c>
      <c r="N998" s="1" t="s">
        <v>9</v>
      </c>
    </row>
    <row r="999" spans="8:14" x14ac:dyDescent="0.25">
      <c r="H999" s="1" t="s">
        <v>10</v>
      </c>
      <c r="J999" t="s">
        <v>383</v>
      </c>
      <c r="K999" t="s">
        <v>380</v>
      </c>
      <c r="L999">
        <v>4.0999999999999996</v>
      </c>
      <c r="M999">
        <v>1.25</v>
      </c>
      <c r="N999" s="1" t="s">
        <v>9</v>
      </c>
    </row>
    <row r="1000" spans="8:14" x14ac:dyDescent="0.25">
      <c r="H1000" s="1" t="s">
        <v>10</v>
      </c>
      <c r="J1000" t="s">
        <v>384</v>
      </c>
      <c r="K1000" t="s">
        <v>380</v>
      </c>
      <c r="L1000">
        <v>2.62</v>
      </c>
      <c r="M1000">
        <v>1.52</v>
      </c>
      <c r="N1000" s="1" t="s">
        <v>9</v>
      </c>
    </row>
    <row r="1001" spans="8:14" x14ac:dyDescent="0.25">
      <c r="H1001" s="1" t="s">
        <v>10</v>
      </c>
      <c r="J1001" t="s">
        <v>384</v>
      </c>
      <c r="K1001" t="s">
        <v>380</v>
      </c>
      <c r="L1001">
        <v>2.6</v>
      </c>
      <c r="M1001">
        <v>1.52</v>
      </c>
      <c r="N1001" s="1" t="s">
        <v>9</v>
      </c>
    </row>
    <row r="1002" spans="8:14" x14ac:dyDescent="0.25">
      <c r="H1002" s="1" t="s">
        <v>10</v>
      </c>
      <c r="J1002" t="s">
        <v>384</v>
      </c>
      <c r="K1002" t="s">
        <v>380</v>
      </c>
      <c r="L1002">
        <v>2.75</v>
      </c>
      <c r="M1002">
        <v>1.48</v>
      </c>
      <c r="N1002" s="1" t="s">
        <v>9</v>
      </c>
    </row>
    <row r="1003" spans="8:14" x14ac:dyDescent="0.25">
      <c r="H1003" s="1" t="s">
        <v>10</v>
      </c>
      <c r="J1003" t="s">
        <v>384</v>
      </c>
      <c r="K1003" t="s">
        <v>380</v>
      </c>
      <c r="L1003">
        <v>2.7</v>
      </c>
      <c r="M1003">
        <v>1.48</v>
      </c>
      <c r="N1003" s="1" t="s">
        <v>9</v>
      </c>
    </row>
    <row r="1004" spans="8:14" x14ac:dyDescent="0.25">
      <c r="H1004" s="1" t="s">
        <v>10</v>
      </c>
      <c r="J1004" t="s">
        <v>384</v>
      </c>
      <c r="K1004" t="s">
        <v>380</v>
      </c>
      <c r="L1004">
        <v>2.7</v>
      </c>
      <c r="M1004">
        <v>1.48</v>
      </c>
      <c r="N1004" s="1" t="s">
        <v>9</v>
      </c>
    </row>
    <row r="1005" spans="8:14" x14ac:dyDescent="0.25">
      <c r="H1005" s="1" t="s">
        <v>10</v>
      </c>
      <c r="J1005" t="s">
        <v>384</v>
      </c>
      <c r="K1005" t="s">
        <v>380</v>
      </c>
      <c r="L1005">
        <v>2.7</v>
      </c>
      <c r="M1005">
        <v>1.48</v>
      </c>
      <c r="N1005" s="1" t="s">
        <v>9</v>
      </c>
    </row>
    <row r="1006" spans="8:14" x14ac:dyDescent="0.25">
      <c r="H1006" s="1" t="s">
        <v>10</v>
      </c>
      <c r="J1006" t="s">
        <v>385</v>
      </c>
      <c r="K1006" t="s">
        <v>380</v>
      </c>
      <c r="L1006">
        <v>1.51</v>
      </c>
      <c r="M1006">
        <v>2.66</v>
      </c>
      <c r="N1006" s="1" t="s">
        <v>9</v>
      </c>
    </row>
    <row r="1007" spans="8:14" x14ac:dyDescent="0.25">
      <c r="H1007" s="1" t="s">
        <v>10</v>
      </c>
      <c r="J1007" t="s">
        <v>385</v>
      </c>
      <c r="K1007" t="s">
        <v>380</v>
      </c>
      <c r="L1007">
        <v>1.49</v>
      </c>
      <c r="M1007">
        <v>2.7</v>
      </c>
      <c r="N1007" s="1" t="s">
        <v>9</v>
      </c>
    </row>
    <row r="1008" spans="8:14" x14ac:dyDescent="0.25">
      <c r="H1008" s="1" t="s">
        <v>10</v>
      </c>
      <c r="J1008" t="s">
        <v>385</v>
      </c>
      <c r="K1008" t="s">
        <v>380</v>
      </c>
      <c r="L1008">
        <v>1.49</v>
      </c>
      <c r="M1008">
        <v>2.7</v>
      </c>
      <c r="N1008" s="1" t="s">
        <v>9</v>
      </c>
    </row>
    <row r="1009" spans="8:14" x14ac:dyDescent="0.25">
      <c r="H1009" s="1" t="s">
        <v>10</v>
      </c>
      <c r="J1009" t="s">
        <v>385</v>
      </c>
      <c r="K1009" t="s">
        <v>380</v>
      </c>
      <c r="L1009">
        <v>1.5</v>
      </c>
      <c r="M1009">
        <v>2.63</v>
      </c>
      <c r="N1009" s="1" t="s">
        <v>9</v>
      </c>
    </row>
    <row r="1010" spans="8:14" x14ac:dyDescent="0.25">
      <c r="H1010" s="1" t="s">
        <v>10</v>
      </c>
      <c r="J1010" t="s">
        <v>385</v>
      </c>
      <c r="K1010" t="s">
        <v>380</v>
      </c>
      <c r="L1010">
        <v>1.5</v>
      </c>
      <c r="M1010">
        <v>2.63</v>
      </c>
      <c r="N1010" s="1" t="s">
        <v>9</v>
      </c>
    </row>
    <row r="1011" spans="8:14" x14ac:dyDescent="0.25">
      <c r="H1011" s="1" t="s">
        <v>10</v>
      </c>
      <c r="J1011" t="s">
        <v>385</v>
      </c>
      <c r="K1011" t="s">
        <v>380</v>
      </c>
      <c r="L1011">
        <v>1.5</v>
      </c>
      <c r="M1011">
        <v>2.63</v>
      </c>
      <c r="N1011" s="1" t="s">
        <v>9</v>
      </c>
    </row>
    <row r="1012" spans="8:14" x14ac:dyDescent="0.25">
      <c r="H1012" s="1" t="s">
        <v>10</v>
      </c>
      <c r="J1012" t="s">
        <v>386</v>
      </c>
      <c r="K1012" t="s">
        <v>380</v>
      </c>
      <c r="L1012">
        <v>4.3</v>
      </c>
      <c r="M1012">
        <v>1.24</v>
      </c>
      <c r="N1012" s="1" t="s">
        <v>9</v>
      </c>
    </row>
    <row r="1013" spans="8:14" x14ac:dyDescent="0.25">
      <c r="H1013" s="1" t="s">
        <v>10</v>
      </c>
      <c r="J1013" t="s">
        <v>386</v>
      </c>
      <c r="K1013" t="s">
        <v>380</v>
      </c>
      <c r="L1013">
        <v>3.7</v>
      </c>
      <c r="M1013">
        <v>1.29</v>
      </c>
      <c r="N1013" s="1" t="s">
        <v>9</v>
      </c>
    </row>
    <row r="1014" spans="8:14" x14ac:dyDescent="0.25">
      <c r="H1014" s="1" t="s">
        <v>10</v>
      </c>
      <c r="J1014" t="s">
        <v>386</v>
      </c>
      <c r="K1014" t="s">
        <v>380</v>
      </c>
      <c r="L1014">
        <v>3.75</v>
      </c>
      <c r="M1014">
        <v>1.29</v>
      </c>
      <c r="N1014" s="1" t="s">
        <v>9</v>
      </c>
    </row>
    <row r="1015" spans="8:14" x14ac:dyDescent="0.25">
      <c r="H1015" s="1" t="s">
        <v>10</v>
      </c>
      <c r="J1015" t="s">
        <v>386</v>
      </c>
      <c r="K1015" t="s">
        <v>380</v>
      </c>
      <c r="L1015">
        <v>3.6</v>
      </c>
      <c r="M1015">
        <v>1.3</v>
      </c>
      <c r="N1015" s="1" t="s">
        <v>9</v>
      </c>
    </row>
    <row r="1016" spans="8:14" x14ac:dyDescent="0.25">
      <c r="H1016" s="1" t="s">
        <v>10</v>
      </c>
      <c r="J1016" t="s">
        <v>386</v>
      </c>
      <c r="K1016" t="s">
        <v>380</v>
      </c>
      <c r="L1016">
        <v>3.6</v>
      </c>
      <c r="M1016">
        <v>1.3</v>
      </c>
      <c r="N1016" s="1" t="s">
        <v>9</v>
      </c>
    </row>
    <row r="1017" spans="8:14" x14ac:dyDescent="0.25">
      <c r="H1017" s="1" t="s">
        <v>10</v>
      </c>
      <c r="J1017" t="s">
        <v>386</v>
      </c>
      <c r="K1017" t="s">
        <v>380</v>
      </c>
      <c r="L1017">
        <v>3.6</v>
      </c>
      <c r="M1017">
        <v>1.3</v>
      </c>
      <c r="N1017" s="1" t="s">
        <v>9</v>
      </c>
    </row>
    <row r="1018" spans="8:14" x14ac:dyDescent="0.25">
      <c r="H1018" s="1" t="s">
        <v>10</v>
      </c>
      <c r="J1018" t="s">
        <v>387</v>
      </c>
      <c r="K1018" t="s">
        <v>380</v>
      </c>
      <c r="L1018">
        <v>4.0999999999999996</v>
      </c>
      <c r="M1018">
        <v>1.26</v>
      </c>
      <c r="N1018" s="1" t="s">
        <v>9</v>
      </c>
    </row>
    <row r="1019" spans="8:14" x14ac:dyDescent="0.25">
      <c r="H1019" s="1" t="s">
        <v>10</v>
      </c>
      <c r="J1019" t="s">
        <v>387</v>
      </c>
      <c r="K1019" t="s">
        <v>380</v>
      </c>
      <c r="L1019">
        <v>3.8</v>
      </c>
      <c r="M1019">
        <v>1.28</v>
      </c>
      <c r="N1019" s="1" t="s">
        <v>9</v>
      </c>
    </row>
    <row r="1020" spans="8:14" x14ac:dyDescent="0.25">
      <c r="H1020" s="1" t="s">
        <v>10</v>
      </c>
      <c r="J1020" t="s">
        <v>387</v>
      </c>
      <c r="K1020" t="s">
        <v>380</v>
      </c>
      <c r="L1020">
        <v>3.78</v>
      </c>
      <c r="M1020">
        <v>1.28</v>
      </c>
      <c r="N1020" s="1" t="s">
        <v>9</v>
      </c>
    </row>
    <row r="1021" spans="8:14" x14ac:dyDescent="0.25">
      <c r="H1021" s="1" t="s">
        <v>10</v>
      </c>
      <c r="J1021" t="s">
        <v>388</v>
      </c>
      <c r="K1021" t="s">
        <v>389</v>
      </c>
      <c r="L1021">
        <v>1.18</v>
      </c>
      <c r="M1021">
        <v>5.2</v>
      </c>
      <c r="N1021" s="1" t="s">
        <v>9</v>
      </c>
    </row>
    <row r="1022" spans="8:14" x14ac:dyDescent="0.25">
      <c r="H1022" s="1" t="s">
        <v>10</v>
      </c>
      <c r="J1022" t="s">
        <v>388</v>
      </c>
      <c r="K1022" t="s">
        <v>389</v>
      </c>
      <c r="L1022">
        <v>1.22</v>
      </c>
      <c r="M1022">
        <v>4.5</v>
      </c>
      <c r="N1022" s="1" t="s">
        <v>9</v>
      </c>
    </row>
    <row r="1023" spans="8:14" x14ac:dyDescent="0.25">
      <c r="H1023" s="1" t="s">
        <v>10</v>
      </c>
      <c r="J1023" t="s">
        <v>388</v>
      </c>
      <c r="K1023" t="s">
        <v>389</v>
      </c>
      <c r="L1023">
        <v>1.21</v>
      </c>
      <c r="M1023">
        <v>4.5999999999999996</v>
      </c>
      <c r="N1023" s="1" t="s">
        <v>9</v>
      </c>
    </row>
    <row r="1024" spans="8:14" x14ac:dyDescent="0.25">
      <c r="H1024" s="1" t="s">
        <v>10</v>
      </c>
      <c r="J1024" t="s">
        <v>388</v>
      </c>
      <c r="K1024" t="s">
        <v>389</v>
      </c>
      <c r="L1024">
        <v>1.21</v>
      </c>
      <c r="M1024">
        <v>4.5</v>
      </c>
      <c r="N1024" s="1" t="s">
        <v>9</v>
      </c>
    </row>
    <row r="1025" spans="8:14" x14ac:dyDescent="0.25">
      <c r="H1025" s="1" t="s">
        <v>10</v>
      </c>
      <c r="J1025" t="s">
        <v>388</v>
      </c>
      <c r="K1025" t="s">
        <v>389</v>
      </c>
      <c r="L1025">
        <v>1.21</v>
      </c>
      <c r="M1025">
        <v>4.5</v>
      </c>
      <c r="N1025" s="1" t="s">
        <v>9</v>
      </c>
    </row>
    <row r="1026" spans="8:14" x14ac:dyDescent="0.25">
      <c r="H1026" s="1" t="s">
        <v>10</v>
      </c>
      <c r="J1026" t="s">
        <v>388</v>
      </c>
      <c r="K1026" t="s">
        <v>389</v>
      </c>
      <c r="L1026">
        <v>1.21</v>
      </c>
      <c r="M1026">
        <v>4.5</v>
      </c>
      <c r="N1026" s="1" t="s">
        <v>9</v>
      </c>
    </row>
    <row r="1027" spans="8:14" x14ac:dyDescent="0.25">
      <c r="H1027" s="1" t="s">
        <v>10</v>
      </c>
      <c r="J1027" t="s">
        <v>390</v>
      </c>
      <c r="K1027" t="s">
        <v>391</v>
      </c>
      <c r="L1027">
        <v>1.31</v>
      </c>
      <c r="M1027">
        <v>3.65</v>
      </c>
      <c r="N1027" s="1" t="s">
        <v>9</v>
      </c>
    </row>
    <row r="1028" spans="8:14" x14ac:dyDescent="0.25">
      <c r="H1028" s="1" t="s">
        <v>10</v>
      </c>
      <c r="J1028" t="s">
        <v>390</v>
      </c>
      <c r="K1028" t="s">
        <v>391</v>
      </c>
      <c r="L1028">
        <v>1.37</v>
      </c>
      <c r="M1028">
        <v>3.2</v>
      </c>
      <c r="N1028" s="1" t="s">
        <v>9</v>
      </c>
    </row>
    <row r="1029" spans="8:14" x14ac:dyDescent="0.25">
      <c r="H1029" s="1" t="s">
        <v>10</v>
      </c>
      <c r="J1029" t="s">
        <v>390</v>
      </c>
      <c r="K1029" t="s">
        <v>391</v>
      </c>
      <c r="L1029">
        <v>1.35</v>
      </c>
      <c r="M1029">
        <v>3.28</v>
      </c>
      <c r="N1029" s="1" t="s">
        <v>9</v>
      </c>
    </row>
    <row r="1030" spans="8:14" x14ac:dyDescent="0.25">
      <c r="H1030" s="1" t="s">
        <v>10</v>
      </c>
      <c r="J1030" t="s">
        <v>390</v>
      </c>
      <c r="K1030" t="s">
        <v>391</v>
      </c>
      <c r="L1030">
        <v>1.36</v>
      </c>
      <c r="M1030">
        <v>3.15</v>
      </c>
      <c r="N1030" s="1" t="s">
        <v>9</v>
      </c>
    </row>
    <row r="1031" spans="8:14" x14ac:dyDescent="0.25">
      <c r="H1031" s="1" t="s">
        <v>10</v>
      </c>
      <c r="J1031" t="s">
        <v>390</v>
      </c>
      <c r="K1031" t="s">
        <v>391</v>
      </c>
      <c r="L1031">
        <v>1.36</v>
      </c>
      <c r="M1031">
        <v>3.15</v>
      </c>
      <c r="N1031" s="1" t="s">
        <v>9</v>
      </c>
    </row>
    <row r="1032" spans="8:14" x14ac:dyDescent="0.25">
      <c r="H1032" s="1" t="s">
        <v>10</v>
      </c>
      <c r="J1032" t="s">
        <v>390</v>
      </c>
      <c r="K1032" t="s">
        <v>391</v>
      </c>
      <c r="L1032">
        <v>1.36</v>
      </c>
      <c r="M1032">
        <v>3.15</v>
      </c>
      <c r="N1032" s="1" t="s">
        <v>9</v>
      </c>
    </row>
    <row r="1033" spans="8:14" x14ac:dyDescent="0.25">
      <c r="H1033" s="1" t="s">
        <v>10</v>
      </c>
      <c r="J1033" t="s">
        <v>392</v>
      </c>
      <c r="K1033" t="s">
        <v>391</v>
      </c>
      <c r="L1033">
        <v>2.2599999999999998</v>
      </c>
      <c r="M1033">
        <v>1.68</v>
      </c>
      <c r="N1033" s="1" t="s">
        <v>9</v>
      </c>
    </row>
    <row r="1034" spans="8:14" x14ac:dyDescent="0.25">
      <c r="H1034" s="1" t="s">
        <v>10</v>
      </c>
      <c r="J1034" t="s">
        <v>392</v>
      </c>
      <c r="K1034" t="s">
        <v>391</v>
      </c>
      <c r="L1034">
        <v>2.2400000000000002</v>
      </c>
      <c r="M1034">
        <v>1.68</v>
      </c>
      <c r="N1034" s="1" t="s">
        <v>9</v>
      </c>
    </row>
    <row r="1035" spans="8:14" x14ac:dyDescent="0.25">
      <c r="H1035" s="1" t="s">
        <v>10</v>
      </c>
      <c r="J1035" t="s">
        <v>392</v>
      </c>
      <c r="K1035" t="s">
        <v>391</v>
      </c>
      <c r="L1035">
        <v>2.2999999999999998</v>
      </c>
      <c r="M1035">
        <v>1.65</v>
      </c>
      <c r="N1035" s="1" t="s">
        <v>9</v>
      </c>
    </row>
    <row r="1036" spans="8:14" x14ac:dyDescent="0.25">
      <c r="H1036" s="1" t="s">
        <v>10</v>
      </c>
      <c r="J1036" t="s">
        <v>392</v>
      </c>
      <c r="K1036" t="s">
        <v>391</v>
      </c>
      <c r="L1036">
        <v>2.1800000000000002</v>
      </c>
      <c r="M1036">
        <v>1.7</v>
      </c>
      <c r="N1036" s="1" t="s">
        <v>9</v>
      </c>
    </row>
    <row r="1037" spans="8:14" x14ac:dyDescent="0.25">
      <c r="H1037" s="1" t="s">
        <v>10</v>
      </c>
      <c r="J1037" t="s">
        <v>392</v>
      </c>
      <c r="K1037" t="s">
        <v>391</v>
      </c>
      <c r="L1037">
        <v>2.1800000000000002</v>
      </c>
      <c r="M1037">
        <v>1.7</v>
      </c>
      <c r="N1037" s="1" t="s">
        <v>9</v>
      </c>
    </row>
    <row r="1038" spans="8:14" x14ac:dyDescent="0.25">
      <c r="H1038" s="1" t="s">
        <v>10</v>
      </c>
      <c r="J1038" t="s">
        <v>392</v>
      </c>
      <c r="K1038" t="s">
        <v>391</v>
      </c>
      <c r="L1038">
        <v>2.1800000000000002</v>
      </c>
      <c r="M1038">
        <v>1.7</v>
      </c>
      <c r="N1038" s="1" t="s">
        <v>9</v>
      </c>
    </row>
    <row r="1039" spans="8:14" x14ac:dyDescent="0.25">
      <c r="H1039" s="1" t="s">
        <v>10</v>
      </c>
      <c r="J1039" t="s">
        <v>393</v>
      </c>
      <c r="K1039" t="s">
        <v>394</v>
      </c>
      <c r="L1039">
        <v>1.7</v>
      </c>
      <c r="M1039">
        <v>2.2000000000000002</v>
      </c>
      <c r="N1039" s="1" t="s">
        <v>9</v>
      </c>
    </row>
    <row r="1040" spans="8:14" x14ac:dyDescent="0.25">
      <c r="H1040" s="1" t="s">
        <v>10</v>
      </c>
      <c r="J1040" t="s">
        <v>393</v>
      </c>
      <c r="K1040" t="s">
        <v>394</v>
      </c>
      <c r="L1040">
        <v>1.74</v>
      </c>
      <c r="M1040">
        <v>2.14</v>
      </c>
      <c r="N1040" s="1" t="s">
        <v>9</v>
      </c>
    </row>
    <row r="1041" spans="8:14" x14ac:dyDescent="0.25">
      <c r="H1041" s="1" t="s">
        <v>10</v>
      </c>
      <c r="J1041" t="s">
        <v>393</v>
      </c>
      <c r="K1041" t="s">
        <v>394</v>
      </c>
      <c r="L1041">
        <v>1.74</v>
      </c>
      <c r="M1041">
        <v>2.15</v>
      </c>
      <c r="N1041" s="1" t="s">
        <v>9</v>
      </c>
    </row>
    <row r="1042" spans="8:14" x14ac:dyDescent="0.25">
      <c r="J1042" t="s">
        <v>393</v>
      </c>
      <c r="K1042" t="s">
        <v>394</v>
      </c>
      <c r="L1042">
        <v>1.72</v>
      </c>
      <c r="M1042">
        <v>2.15</v>
      </c>
      <c r="N1042" s="1" t="s">
        <v>9</v>
      </c>
    </row>
    <row r="1043" spans="8:14" x14ac:dyDescent="0.25">
      <c r="J1043" t="s">
        <v>393</v>
      </c>
      <c r="K1043" t="s">
        <v>394</v>
      </c>
      <c r="L1043">
        <v>1.72</v>
      </c>
      <c r="M1043">
        <v>2.15</v>
      </c>
      <c r="N1043" s="1" t="s">
        <v>9</v>
      </c>
    </row>
    <row r="1044" spans="8:14" x14ac:dyDescent="0.25">
      <c r="J1044" t="s">
        <v>393</v>
      </c>
      <c r="K1044" t="s">
        <v>394</v>
      </c>
      <c r="L1044">
        <v>1.72</v>
      </c>
      <c r="M1044">
        <v>2.15</v>
      </c>
      <c r="N1044" s="1" t="s">
        <v>9</v>
      </c>
    </row>
    <row r="1045" spans="8:14" x14ac:dyDescent="0.25">
      <c r="J1045" t="s">
        <v>395</v>
      </c>
      <c r="K1045" t="s">
        <v>396</v>
      </c>
      <c r="L1045">
        <v>1.7</v>
      </c>
      <c r="M1045">
        <v>2.2000000000000002</v>
      </c>
      <c r="N1045" s="1" t="s">
        <v>9</v>
      </c>
    </row>
    <row r="1046" spans="8:14" x14ac:dyDescent="0.25">
      <c r="J1046" t="s">
        <v>395</v>
      </c>
      <c r="K1046" t="s">
        <v>396</v>
      </c>
      <c r="L1046">
        <v>1.77</v>
      </c>
      <c r="M1046">
        <v>2.1</v>
      </c>
      <c r="N1046" s="1" t="s">
        <v>9</v>
      </c>
    </row>
    <row r="1047" spans="8:14" x14ac:dyDescent="0.25">
      <c r="J1047" t="s">
        <v>395</v>
      </c>
      <c r="K1047" t="s">
        <v>396</v>
      </c>
      <c r="L1047">
        <v>1.74</v>
      </c>
      <c r="M1047">
        <v>2.15</v>
      </c>
      <c r="N1047" s="1" t="s">
        <v>9</v>
      </c>
    </row>
    <row r="1048" spans="8:14" x14ac:dyDescent="0.25">
      <c r="J1048" t="s">
        <v>395</v>
      </c>
      <c r="K1048" t="s">
        <v>396</v>
      </c>
      <c r="L1048">
        <v>1.74</v>
      </c>
      <c r="M1048">
        <v>2.12</v>
      </c>
      <c r="N1048" s="1" t="s">
        <v>9</v>
      </c>
    </row>
    <row r="1049" spans="8:14" x14ac:dyDescent="0.25">
      <c r="J1049" t="s">
        <v>395</v>
      </c>
      <c r="K1049" t="s">
        <v>396</v>
      </c>
      <c r="L1049">
        <v>1.74</v>
      </c>
      <c r="M1049">
        <v>2.12</v>
      </c>
      <c r="N1049" s="1" t="s">
        <v>9</v>
      </c>
    </row>
    <row r="1050" spans="8:14" x14ac:dyDescent="0.25">
      <c r="J1050" t="s">
        <v>395</v>
      </c>
      <c r="K1050" t="s">
        <v>396</v>
      </c>
      <c r="L1050">
        <v>1.74</v>
      </c>
      <c r="M1050">
        <v>2.12</v>
      </c>
      <c r="N1050" s="1" t="s">
        <v>9</v>
      </c>
    </row>
    <row r="1051" spans="8:14" x14ac:dyDescent="0.25">
      <c r="J1051" t="s">
        <v>59</v>
      </c>
      <c r="K1051" t="s">
        <v>60</v>
      </c>
      <c r="L1051">
        <v>1.43</v>
      </c>
      <c r="M1051">
        <v>2.9</v>
      </c>
      <c r="N1051" s="1" t="s">
        <v>10</v>
      </c>
    </row>
    <row r="1052" spans="8:14" x14ac:dyDescent="0.25">
      <c r="J1052" t="s">
        <v>59</v>
      </c>
      <c r="K1052" t="s">
        <v>60</v>
      </c>
      <c r="L1052">
        <v>1.44</v>
      </c>
      <c r="M1052">
        <v>2.9</v>
      </c>
      <c r="N1052" s="1" t="s">
        <v>10</v>
      </c>
    </row>
    <row r="1053" spans="8:14" x14ac:dyDescent="0.25">
      <c r="J1053" t="s">
        <v>59</v>
      </c>
      <c r="K1053" t="s">
        <v>60</v>
      </c>
      <c r="L1053">
        <v>1.44</v>
      </c>
      <c r="M1053">
        <v>2.9</v>
      </c>
      <c r="N1053" s="1" t="s">
        <v>10</v>
      </c>
    </row>
    <row r="1054" spans="8:14" x14ac:dyDescent="0.25">
      <c r="J1054" t="s">
        <v>59</v>
      </c>
      <c r="K1054" t="s">
        <v>60</v>
      </c>
      <c r="L1054">
        <v>1.43</v>
      </c>
      <c r="M1054">
        <v>2.85</v>
      </c>
      <c r="N1054" s="1" t="s">
        <v>10</v>
      </c>
    </row>
    <row r="1055" spans="8:14" x14ac:dyDescent="0.25">
      <c r="J1055" t="s">
        <v>59</v>
      </c>
      <c r="K1055" t="s">
        <v>60</v>
      </c>
      <c r="L1055">
        <v>1.43</v>
      </c>
      <c r="M1055">
        <v>2.85</v>
      </c>
      <c r="N1055" s="1" t="s">
        <v>10</v>
      </c>
    </row>
    <row r="1056" spans="8:14" x14ac:dyDescent="0.25">
      <c r="J1056" t="s">
        <v>59</v>
      </c>
      <c r="K1056" t="s">
        <v>60</v>
      </c>
      <c r="L1056">
        <v>1.43</v>
      </c>
      <c r="M1056">
        <v>2.9</v>
      </c>
      <c r="N1056" s="1" t="s">
        <v>10</v>
      </c>
    </row>
    <row r="1057" spans="10:14" x14ac:dyDescent="0.25">
      <c r="J1057" t="s">
        <v>59</v>
      </c>
      <c r="K1057" t="s">
        <v>60</v>
      </c>
      <c r="L1057">
        <v>1.45</v>
      </c>
      <c r="M1057">
        <v>2.83</v>
      </c>
      <c r="N1057" s="1" t="s">
        <v>10</v>
      </c>
    </row>
    <row r="1058" spans="10:14" x14ac:dyDescent="0.25">
      <c r="J1058" t="s">
        <v>59</v>
      </c>
      <c r="K1058" t="s">
        <v>60</v>
      </c>
      <c r="L1058">
        <v>1.42</v>
      </c>
      <c r="M1058">
        <v>2.95</v>
      </c>
      <c r="N1058" s="1" t="s">
        <v>10</v>
      </c>
    </row>
    <row r="1059" spans="10:14" x14ac:dyDescent="0.25">
      <c r="J1059" t="s">
        <v>59</v>
      </c>
      <c r="K1059" t="s">
        <v>60</v>
      </c>
      <c r="L1059">
        <v>1.4</v>
      </c>
      <c r="M1059">
        <v>2.98</v>
      </c>
      <c r="N1059" s="1" t="s">
        <v>10</v>
      </c>
    </row>
    <row r="1060" spans="10:14" x14ac:dyDescent="0.25">
      <c r="J1060" t="s">
        <v>59</v>
      </c>
      <c r="K1060" t="s">
        <v>60</v>
      </c>
      <c r="L1060">
        <v>1.44</v>
      </c>
      <c r="M1060">
        <v>2.85</v>
      </c>
      <c r="N1060" s="1" t="s">
        <v>10</v>
      </c>
    </row>
    <row r="1061" spans="10:14" x14ac:dyDescent="0.25">
      <c r="J1061" t="s">
        <v>59</v>
      </c>
      <c r="K1061" t="s">
        <v>60</v>
      </c>
      <c r="L1061">
        <v>1.45</v>
      </c>
      <c r="M1061">
        <v>2.8</v>
      </c>
      <c r="N1061" s="1" t="s">
        <v>10</v>
      </c>
    </row>
    <row r="1062" spans="10:14" x14ac:dyDescent="0.25">
      <c r="J1062" t="s">
        <v>61</v>
      </c>
      <c r="K1062" t="s">
        <v>60</v>
      </c>
      <c r="L1062">
        <v>3.25</v>
      </c>
      <c r="M1062">
        <v>1.38</v>
      </c>
      <c r="N1062" s="1" t="s">
        <v>10</v>
      </c>
    </row>
    <row r="1063" spans="10:14" x14ac:dyDescent="0.25">
      <c r="J1063" t="s">
        <v>61</v>
      </c>
      <c r="K1063" t="s">
        <v>60</v>
      </c>
      <c r="L1063">
        <v>3.05</v>
      </c>
      <c r="M1063">
        <v>1.38</v>
      </c>
      <c r="N1063" s="1" t="s">
        <v>10</v>
      </c>
    </row>
    <row r="1064" spans="10:14" x14ac:dyDescent="0.25">
      <c r="J1064" t="s">
        <v>61</v>
      </c>
      <c r="K1064" t="s">
        <v>60</v>
      </c>
      <c r="L1064">
        <v>3.05</v>
      </c>
      <c r="M1064">
        <v>1.38</v>
      </c>
      <c r="N1064" s="1" t="s">
        <v>10</v>
      </c>
    </row>
    <row r="1065" spans="10:14" x14ac:dyDescent="0.25">
      <c r="J1065" t="s">
        <v>61</v>
      </c>
      <c r="K1065" t="s">
        <v>60</v>
      </c>
      <c r="L1065">
        <v>3.25</v>
      </c>
      <c r="M1065">
        <v>1.38</v>
      </c>
      <c r="N1065" s="1" t="s">
        <v>10</v>
      </c>
    </row>
    <row r="1066" spans="10:14" x14ac:dyDescent="0.25">
      <c r="J1066" t="s">
        <v>61</v>
      </c>
      <c r="K1066" t="s">
        <v>60</v>
      </c>
      <c r="L1066">
        <v>3.15</v>
      </c>
      <c r="M1066">
        <v>1.38</v>
      </c>
      <c r="N1066" s="1" t="s">
        <v>10</v>
      </c>
    </row>
    <row r="1067" spans="10:14" x14ac:dyDescent="0.25">
      <c r="J1067" t="s">
        <v>61</v>
      </c>
      <c r="K1067" t="s">
        <v>60</v>
      </c>
      <c r="L1067">
        <v>3.1</v>
      </c>
      <c r="M1067">
        <v>1.38</v>
      </c>
      <c r="N1067" s="1" t="s">
        <v>10</v>
      </c>
    </row>
    <row r="1068" spans="10:14" x14ac:dyDescent="0.25">
      <c r="J1068" t="s">
        <v>61</v>
      </c>
      <c r="K1068" t="s">
        <v>60</v>
      </c>
      <c r="L1068">
        <v>3.2</v>
      </c>
      <c r="M1068">
        <v>1.37</v>
      </c>
      <c r="N1068" s="1" t="s">
        <v>10</v>
      </c>
    </row>
    <row r="1069" spans="10:14" x14ac:dyDescent="0.25">
      <c r="J1069" t="s">
        <v>61</v>
      </c>
      <c r="K1069" t="s">
        <v>60</v>
      </c>
      <c r="L1069">
        <v>3.1</v>
      </c>
      <c r="M1069">
        <v>1.38</v>
      </c>
      <c r="N1069" s="1" t="s">
        <v>10</v>
      </c>
    </row>
    <row r="1070" spans="10:14" x14ac:dyDescent="0.25">
      <c r="J1070" t="s">
        <v>61</v>
      </c>
      <c r="K1070" t="s">
        <v>60</v>
      </c>
      <c r="L1070">
        <v>3.15</v>
      </c>
      <c r="M1070">
        <v>1.38</v>
      </c>
      <c r="N1070" s="1" t="s">
        <v>10</v>
      </c>
    </row>
    <row r="1071" spans="10:14" x14ac:dyDescent="0.25">
      <c r="J1071" t="s">
        <v>61</v>
      </c>
      <c r="K1071" t="s">
        <v>60</v>
      </c>
      <c r="L1071">
        <v>3.1</v>
      </c>
      <c r="M1071">
        <v>1.38</v>
      </c>
      <c r="N1071" s="1" t="s">
        <v>10</v>
      </c>
    </row>
    <row r="1072" spans="10:14" x14ac:dyDescent="0.25">
      <c r="J1072" t="s">
        <v>61</v>
      </c>
      <c r="K1072" t="s">
        <v>60</v>
      </c>
      <c r="L1072">
        <v>3</v>
      </c>
      <c r="M1072">
        <v>1.4</v>
      </c>
      <c r="N1072" s="1" t="s">
        <v>10</v>
      </c>
    </row>
    <row r="1073" spans="10:14" x14ac:dyDescent="0.25">
      <c r="J1073" t="s">
        <v>62</v>
      </c>
      <c r="K1073" t="s">
        <v>60</v>
      </c>
      <c r="L1073">
        <v>1.77</v>
      </c>
      <c r="M1073">
        <v>2.1</v>
      </c>
      <c r="N1073" s="1" t="s">
        <v>10</v>
      </c>
    </row>
    <row r="1074" spans="10:14" x14ac:dyDescent="0.25">
      <c r="J1074" t="s">
        <v>62</v>
      </c>
      <c r="K1074" t="s">
        <v>60</v>
      </c>
      <c r="L1074">
        <v>1.83</v>
      </c>
      <c r="M1074">
        <v>1.97</v>
      </c>
      <c r="N1074" s="1" t="s">
        <v>10</v>
      </c>
    </row>
    <row r="1075" spans="10:14" x14ac:dyDescent="0.25">
      <c r="J1075" t="s">
        <v>62</v>
      </c>
      <c r="K1075" t="s">
        <v>60</v>
      </c>
      <c r="L1075">
        <v>1.83</v>
      </c>
      <c r="M1075">
        <v>1.97</v>
      </c>
      <c r="N1075" s="1" t="s">
        <v>10</v>
      </c>
    </row>
    <row r="1076" spans="10:14" x14ac:dyDescent="0.25">
      <c r="J1076" t="s">
        <v>62</v>
      </c>
      <c r="K1076" t="s">
        <v>60</v>
      </c>
      <c r="L1076">
        <v>1.77</v>
      </c>
      <c r="M1076">
        <v>2.1</v>
      </c>
      <c r="N1076" s="1" t="s">
        <v>10</v>
      </c>
    </row>
    <row r="1077" spans="10:14" x14ac:dyDescent="0.25">
      <c r="J1077" t="s">
        <v>62</v>
      </c>
      <c r="K1077" t="s">
        <v>60</v>
      </c>
      <c r="L1077">
        <v>1.77</v>
      </c>
      <c r="M1077">
        <v>2.1</v>
      </c>
      <c r="N1077" s="1" t="s">
        <v>10</v>
      </c>
    </row>
    <row r="1078" spans="10:14" x14ac:dyDescent="0.25">
      <c r="J1078" t="s">
        <v>62</v>
      </c>
      <c r="K1078" t="s">
        <v>60</v>
      </c>
      <c r="L1078">
        <v>1.77</v>
      </c>
      <c r="M1078">
        <v>2.1</v>
      </c>
      <c r="N1078" s="1" t="s">
        <v>10</v>
      </c>
    </row>
    <row r="1079" spans="10:14" x14ac:dyDescent="0.25">
      <c r="J1079" t="s">
        <v>62</v>
      </c>
      <c r="K1079" t="s">
        <v>60</v>
      </c>
      <c r="L1079">
        <v>1.77</v>
      </c>
      <c r="M1079">
        <v>2.1</v>
      </c>
      <c r="N1079" s="1" t="s">
        <v>10</v>
      </c>
    </row>
    <row r="1080" spans="10:14" x14ac:dyDescent="0.25">
      <c r="J1080" t="s">
        <v>62</v>
      </c>
      <c r="K1080" t="s">
        <v>60</v>
      </c>
      <c r="L1080">
        <v>1.8</v>
      </c>
      <c r="M1080">
        <v>2.0499999999999998</v>
      </c>
      <c r="N1080" s="1" t="s">
        <v>10</v>
      </c>
    </row>
    <row r="1081" spans="10:14" x14ac:dyDescent="0.25">
      <c r="J1081" t="s">
        <v>62</v>
      </c>
      <c r="K1081" t="s">
        <v>60</v>
      </c>
      <c r="L1081">
        <v>1.77</v>
      </c>
      <c r="M1081">
        <v>2.02</v>
      </c>
      <c r="N1081" s="1" t="s">
        <v>10</v>
      </c>
    </row>
    <row r="1082" spans="10:14" x14ac:dyDescent="0.25">
      <c r="J1082" t="s">
        <v>62</v>
      </c>
      <c r="K1082" t="s">
        <v>60</v>
      </c>
      <c r="L1082">
        <v>1.8</v>
      </c>
      <c r="M1082">
        <v>2.0499999999999998</v>
      </c>
      <c r="N1082" s="1" t="s">
        <v>10</v>
      </c>
    </row>
    <row r="1083" spans="10:14" x14ac:dyDescent="0.25">
      <c r="J1083" t="s">
        <v>62</v>
      </c>
      <c r="K1083" t="s">
        <v>60</v>
      </c>
      <c r="L1083">
        <v>1.74</v>
      </c>
      <c r="M1083">
        <v>2.1</v>
      </c>
      <c r="N1083" s="1" t="s">
        <v>10</v>
      </c>
    </row>
    <row r="1084" spans="10:14" x14ac:dyDescent="0.25">
      <c r="J1084" t="s">
        <v>63</v>
      </c>
      <c r="K1084" t="s">
        <v>64</v>
      </c>
      <c r="L1084">
        <v>1.48</v>
      </c>
      <c r="M1084">
        <v>2.7</v>
      </c>
      <c r="N1084" s="1" t="s">
        <v>10</v>
      </c>
    </row>
    <row r="1085" spans="10:14" x14ac:dyDescent="0.25">
      <c r="J1085" t="s">
        <v>63</v>
      </c>
      <c r="K1085" t="s">
        <v>64</v>
      </c>
      <c r="L1085">
        <v>1.46</v>
      </c>
      <c r="M1085">
        <v>2.85</v>
      </c>
      <c r="N1085" s="1" t="s">
        <v>10</v>
      </c>
    </row>
    <row r="1086" spans="10:14" x14ac:dyDescent="0.25">
      <c r="J1086" t="s">
        <v>63</v>
      </c>
      <c r="K1086" t="s">
        <v>64</v>
      </c>
      <c r="L1086">
        <v>1.5</v>
      </c>
      <c r="M1086">
        <v>2.5499999999999998</v>
      </c>
      <c r="N1086" s="1" t="s">
        <v>10</v>
      </c>
    </row>
    <row r="1087" spans="10:14" x14ac:dyDescent="0.25">
      <c r="J1087" t="s">
        <v>63</v>
      </c>
      <c r="K1087" t="s">
        <v>64</v>
      </c>
      <c r="L1087">
        <v>1.5</v>
      </c>
      <c r="M1087">
        <v>2.5499999999999998</v>
      </c>
      <c r="N1087" s="1" t="s">
        <v>10</v>
      </c>
    </row>
    <row r="1088" spans="10:14" x14ac:dyDescent="0.25">
      <c r="J1088" t="s">
        <v>63</v>
      </c>
      <c r="K1088" t="s">
        <v>64</v>
      </c>
      <c r="L1088">
        <v>1.46</v>
      </c>
      <c r="M1088">
        <v>2.85</v>
      </c>
      <c r="N1088" s="1" t="s">
        <v>10</v>
      </c>
    </row>
    <row r="1089" spans="10:14" x14ac:dyDescent="0.25">
      <c r="J1089" t="s">
        <v>63</v>
      </c>
      <c r="K1089" t="s">
        <v>64</v>
      </c>
      <c r="L1089">
        <v>1.48</v>
      </c>
      <c r="M1089">
        <v>2.75</v>
      </c>
      <c r="N1089" s="1" t="s">
        <v>10</v>
      </c>
    </row>
    <row r="1090" spans="10:14" x14ac:dyDescent="0.25">
      <c r="J1090" t="s">
        <v>63</v>
      </c>
      <c r="K1090" t="s">
        <v>64</v>
      </c>
      <c r="L1090">
        <v>1.49</v>
      </c>
      <c r="M1090">
        <v>2.8</v>
      </c>
      <c r="N1090" s="1" t="s">
        <v>10</v>
      </c>
    </row>
    <row r="1091" spans="10:14" x14ac:dyDescent="0.25">
      <c r="J1091" t="s">
        <v>63</v>
      </c>
      <c r="K1091" t="s">
        <v>64</v>
      </c>
      <c r="L1091">
        <v>1.52</v>
      </c>
      <c r="M1091">
        <v>2.56</v>
      </c>
      <c r="N1091" s="1" t="s">
        <v>10</v>
      </c>
    </row>
    <row r="1092" spans="10:14" x14ac:dyDescent="0.25">
      <c r="J1092" t="s">
        <v>63</v>
      </c>
      <c r="K1092" t="s">
        <v>64</v>
      </c>
      <c r="L1092">
        <v>1.5</v>
      </c>
      <c r="M1092">
        <v>2.65</v>
      </c>
      <c r="N1092" s="1" t="s">
        <v>10</v>
      </c>
    </row>
    <row r="1093" spans="10:14" x14ac:dyDescent="0.25">
      <c r="J1093" t="s">
        <v>63</v>
      </c>
      <c r="K1093" t="s">
        <v>64</v>
      </c>
      <c r="L1093">
        <v>1.56</v>
      </c>
      <c r="M1093">
        <v>2.52</v>
      </c>
      <c r="N1093" s="1" t="s">
        <v>10</v>
      </c>
    </row>
    <row r="1094" spans="10:14" x14ac:dyDescent="0.25">
      <c r="J1094" t="s">
        <v>63</v>
      </c>
      <c r="K1094" t="s">
        <v>64</v>
      </c>
      <c r="L1094">
        <v>1.48</v>
      </c>
      <c r="M1094">
        <v>2.75</v>
      </c>
      <c r="N1094" s="1" t="s">
        <v>10</v>
      </c>
    </row>
    <row r="1095" spans="10:14" x14ac:dyDescent="0.25">
      <c r="J1095" t="s">
        <v>86</v>
      </c>
      <c r="K1095" t="s">
        <v>414</v>
      </c>
      <c r="L1095">
        <v>1.77</v>
      </c>
      <c r="M1095">
        <v>2.1</v>
      </c>
      <c r="N1095" s="1" t="s">
        <v>10</v>
      </c>
    </row>
    <row r="1096" spans="10:14" x14ac:dyDescent="0.25">
      <c r="J1096" t="s">
        <v>86</v>
      </c>
      <c r="K1096" t="s">
        <v>414</v>
      </c>
      <c r="L1096">
        <v>1.77</v>
      </c>
      <c r="M1096">
        <v>2.1</v>
      </c>
      <c r="N1096" s="1" t="s">
        <v>10</v>
      </c>
    </row>
    <row r="1097" spans="10:14" x14ac:dyDescent="0.25">
      <c r="J1097" t="s">
        <v>86</v>
      </c>
      <c r="K1097" t="s">
        <v>414</v>
      </c>
      <c r="L1097">
        <v>1.74</v>
      </c>
      <c r="M1097">
        <v>2.15</v>
      </c>
      <c r="N1097" s="1" t="s">
        <v>10</v>
      </c>
    </row>
    <row r="1098" spans="10:14" x14ac:dyDescent="0.25">
      <c r="J1098" t="s">
        <v>86</v>
      </c>
      <c r="K1098" t="s">
        <v>414</v>
      </c>
      <c r="L1098">
        <v>1.7</v>
      </c>
      <c r="M1098">
        <v>2.16</v>
      </c>
      <c r="N1098" s="1" t="s">
        <v>10</v>
      </c>
    </row>
    <row r="1099" spans="10:14" x14ac:dyDescent="0.25">
      <c r="J1099" t="s">
        <v>86</v>
      </c>
      <c r="K1099" t="s">
        <v>414</v>
      </c>
      <c r="L1099">
        <v>1.7</v>
      </c>
      <c r="M1099">
        <v>2.16</v>
      </c>
      <c r="N1099" s="1" t="s">
        <v>10</v>
      </c>
    </row>
    <row r="1100" spans="10:14" x14ac:dyDescent="0.25">
      <c r="J1100" t="s">
        <v>86</v>
      </c>
      <c r="K1100" t="s">
        <v>414</v>
      </c>
      <c r="L1100">
        <v>1.77</v>
      </c>
      <c r="M1100">
        <v>2.1</v>
      </c>
      <c r="N1100" s="1" t="s">
        <v>10</v>
      </c>
    </row>
    <row r="1101" spans="10:14" x14ac:dyDescent="0.25">
      <c r="J1101" t="s">
        <v>86</v>
      </c>
      <c r="K1101" t="s">
        <v>414</v>
      </c>
      <c r="L1101">
        <v>1.69</v>
      </c>
      <c r="M1101">
        <v>2.1800000000000002</v>
      </c>
      <c r="N1101" s="1" t="s">
        <v>10</v>
      </c>
    </row>
    <row r="1102" spans="10:14" x14ac:dyDescent="0.25">
      <c r="J1102" t="s">
        <v>86</v>
      </c>
      <c r="K1102" t="s">
        <v>414</v>
      </c>
      <c r="L1102">
        <v>1.74</v>
      </c>
      <c r="M1102">
        <v>2.15</v>
      </c>
      <c r="N1102" s="1" t="s">
        <v>10</v>
      </c>
    </row>
    <row r="1103" spans="10:14" x14ac:dyDescent="0.25">
      <c r="J1103" t="s">
        <v>86</v>
      </c>
      <c r="K1103" t="s">
        <v>414</v>
      </c>
      <c r="L1103">
        <v>1.74</v>
      </c>
      <c r="M1103">
        <v>2.12</v>
      </c>
      <c r="N1103" s="1" t="s">
        <v>10</v>
      </c>
    </row>
    <row r="1104" spans="10:14" x14ac:dyDescent="0.25">
      <c r="J1104" t="s">
        <v>86</v>
      </c>
      <c r="K1104" t="s">
        <v>414</v>
      </c>
      <c r="L1104">
        <v>1.71</v>
      </c>
      <c r="M1104">
        <v>2.15</v>
      </c>
      <c r="N1104" s="1" t="s">
        <v>10</v>
      </c>
    </row>
    <row r="1105" spans="10:14" x14ac:dyDescent="0.25">
      <c r="J1105" t="s">
        <v>86</v>
      </c>
      <c r="K1105" t="s">
        <v>414</v>
      </c>
      <c r="L1105">
        <v>1.71</v>
      </c>
      <c r="M1105">
        <v>2.2000000000000002</v>
      </c>
      <c r="N1105" s="1" t="s">
        <v>10</v>
      </c>
    </row>
    <row r="1106" spans="10:14" x14ac:dyDescent="0.25">
      <c r="J1106" t="s">
        <v>415</v>
      </c>
      <c r="K1106" t="s">
        <v>416</v>
      </c>
      <c r="L1106">
        <v>1.17</v>
      </c>
      <c r="M1106">
        <v>5.25</v>
      </c>
      <c r="N1106" s="1" t="s">
        <v>10</v>
      </c>
    </row>
    <row r="1107" spans="10:14" x14ac:dyDescent="0.25">
      <c r="J1107" t="s">
        <v>415</v>
      </c>
      <c r="K1107" t="s">
        <v>416</v>
      </c>
      <c r="L1107">
        <v>1.1100000000000001</v>
      </c>
      <c r="M1107">
        <v>6.2</v>
      </c>
      <c r="N1107" s="1" t="s">
        <v>10</v>
      </c>
    </row>
    <row r="1108" spans="10:14" x14ac:dyDescent="0.25">
      <c r="J1108" t="s">
        <v>415</v>
      </c>
      <c r="K1108" t="s">
        <v>416</v>
      </c>
      <c r="L1108">
        <v>1.1499999999999999</v>
      </c>
      <c r="M1108">
        <v>5.75</v>
      </c>
      <c r="N1108" s="1" t="s">
        <v>10</v>
      </c>
    </row>
    <row r="1109" spans="10:14" x14ac:dyDescent="0.25">
      <c r="J1109" t="s">
        <v>415</v>
      </c>
      <c r="K1109" t="s">
        <v>416</v>
      </c>
      <c r="L1109">
        <v>1.1499999999999999</v>
      </c>
      <c r="M1109">
        <v>5.75</v>
      </c>
      <c r="N1109" s="1" t="s">
        <v>10</v>
      </c>
    </row>
    <row r="1110" spans="10:14" x14ac:dyDescent="0.25">
      <c r="J1110" t="s">
        <v>415</v>
      </c>
      <c r="K1110" t="s">
        <v>416</v>
      </c>
      <c r="L1110">
        <v>1.1599999999999999</v>
      </c>
      <c r="M1110">
        <v>5.7</v>
      </c>
      <c r="N1110" s="1" t="s">
        <v>10</v>
      </c>
    </row>
    <row r="1111" spans="10:14" x14ac:dyDescent="0.25">
      <c r="J1111" t="s">
        <v>415</v>
      </c>
      <c r="K1111" t="s">
        <v>416</v>
      </c>
      <c r="L1111">
        <v>1.1399999999999999</v>
      </c>
      <c r="M1111">
        <v>6</v>
      </c>
      <c r="N1111" s="1" t="s">
        <v>10</v>
      </c>
    </row>
    <row r="1112" spans="10:14" x14ac:dyDescent="0.25">
      <c r="J1112" t="s">
        <v>415</v>
      </c>
      <c r="K1112" t="s">
        <v>416</v>
      </c>
      <c r="L1112">
        <v>1.1499999999999999</v>
      </c>
      <c r="M1112">
        <v>5.6</v>
      </c>
      <c r="N1112" s="1" t="s">
        <v>10</v>
      </c>
    </row>
    <row r="1113" spans="10:14" x14ac:dyDescent="0.25">
      <c r="J1113" t="s">
        <v>415</v>
      </c>
      <c r="K1113" t="s">
        <v>416</v>
      </c>
      <c r="L1113">
        <v>1.1399999999999999</v>
      </c>
      <c r="M1113">
        <v>5.75</v>
      </c>
      <c r="N1113" s="1" t="s">
        <v>10</v>
      </c>
    </row>
    <row r="1114" spans="10:14" x14ac:dyDescent="0.25">
      <c r="J1114" t="s">
        <v>65</v>
      </c>
      <c r="K1114" t="s">
        <v>417</v>
      </c>
      <c r="L1114">
        <v>1.61</v>
      </c>
      <c r="M1114">
        <v>2.4500000000000002</v>
      </c>
      <c r="N1114" s="1" t="s">
        <v>10</v>
      </c>
    </row>
    <row r="1115" spans="10:14" x14ac:dyDescent="0.25">
      <c r="J1115" t="s">
        <v>65</v>
      </c>
      <c r="K1115" t="s">
        <v>417</v>
      </c>
      <c r="L1115">
        <v>1.61</v>
      </c>
      <c r="M1115">
        <v>2.4500000000000002</v>
      </c>
      <c r="N1115" s="1" t="s">
        <v>10</v>
      </c>
    </row>
    <row r="1116" spans="10:14" x14ac:dyDescent="0.25">
      <c r="J1116" t="s">
        <v>65</v>
      </c>
      <c r="K1116" t="s">
        <v>417</v>
      </c>
      <c r="L1116">
        <v>1.56</v>
      </c>
      <c r="M1116">
        <v>2.5</v>
      </c>
      <c r="N1116" s="1" t="s">
        <v>10</v>
      </c>
    </row>
    <row r="1117" spans="10:14" x14ac:dyDescent="0.25">
      <c r="J1117" t="s">
        <v>65</v>
      </c>
      <c r="K1117" t="s">
        <v>417</v>
      </c>
      <c r="L1117">
        <v>1.59</v>
      </c>
      <c r="M1117">
        <v>2.4300000000000002</v>
      </c>
      <c r="N1117" s="1" t="s">
        <v>10</v>
      </c>
    </row>
    <row r="1118" spans="10:14" x14ac:dyDescent="0.25">
      <c r="J1118" t="s">
        <v>65</v>
      </c>
      <c r="K1118" t="s">
        <v>417</v>
      </c>
      <c r="L1118">
        <v>1.56</v>
      </c>
      <c r="M1118">
        <v>2.4</v>
      </c>
      <c r="N1118" s="1" t="s">
        <v>10</v>
      </c>
    </row>
    <row r="1119" spans="10:14" x14ac:dyDescent="0.25">
      <c r="J1119" t="s">
        <v>65</v>
      </c>
      <c r="K1119" t="s">
        <v>417</v>
      </c>
      <c r="L1119">
        <v>1.56</v>
      </c>
      <c r="M1119">
        <v>2.4</v>
      </c>
      <c r="N1119" s="1" t="s">
        <v>10</v>
      </c>
    </row>
    <row r="1120" spans="10:14" x14ac:dyDescent="0.25">
      <c r="J1120" t="s">
        <v>65</v>
      </c>
      <c r="K1120" t="s">
        <v>417</v>
      </c>
      <c r="L1120">
        <v>1.54</v>
      </c>
      <c r="M1120">
        <v>2.42</v>
      </c>
      <c r="N1120" s="1" t="s">
        <v>10</v>
      </c>
    </row>
    <row r="1121" spans="10:14" x14ac:dyDescent="0.25">
      <c r="J1121" t="s">
        <v>65</v>
      </c>
      <c r="K1121" t="s">
        <v>417</v>
      </c>
      <c r="L1121">
        <v>1.57</v>
      </c>
      <c r="M1121">
        <v>2.5</v>
      </c>
      <c r="N1121" s="1" t="s">
        <v>10</v>
      </c>
    </row>
    <row r="1122" spans="10:14" x14ac:dyDescent="0.25">
      <c r="J1122" t="s">
        <v>65</v>
      </c>
      <c r="K1122" t="s">
        <v>417</v>
      </c>
      <c r="L1122">
        <v>1.57</v>
      </c>
      <c r="M1122">
        <v>2.46</v>
      </c>
      <c r="N1122" s="1" t="s">
        <v>10</v>
      </c>
    </row>
    <row r="1123" spans="10:14" x14ac:dyDescent="0.25">
      <c r="J1123" t="s">
        <v>65</v>
      </c>
      <c r="K1123" t="s">
        <v>417</v>
      </c>
      <c r="L1123">
        <v>1.61</v>
      </c>
      <c r="M1123">
        <v>2.35</v>
      </c>
      <c r="N1123" s="1" t="s">
        <v>10</v>
      </c>
    </row>
    <row r="1124" spans="10:14" x14ac:dyDescent="0.25">
      <c r="J1124" t="s">
        <v>65</v>
      </c>
      <c r="K1124" t="s">
        <v>417</v>
      </c>
      <c r="L1124">
        <v>1.59</v>
      </c>
      <c r="M1124">
        <v>2.4500000000000002</v>
      </c>
      <c r="N1124" s="1" t="s">
        <v>10</v>
      </c>
    </row>
    <row r="1125" spans="10:14" x14ac:dyDescent="0.25">
      <c r="J1125" t="s">
        <v>259</v>
      </c>
      <c r="K1125" t="s">
        <v>418</v>
      </c>
      <c r="L1125">
        <v>2.7</v>
      </c>
      <c r="M1125">
        <v>1.5</v>
      </c>
      <c r="N1125" s="1" t="s">
        <v>10</v>
      </c>
    </row>
    <row r="1126" spans="10:14" x14ac:dyDescent="0.25">
      <c r="J1126" t="s">
        <v>259</v>
      </c>
      <c r="K1126" t="s">
        <v>418</v>
      </c>
      <c r="L1126">
        <v>2.7</v>
      </c>
      <c r="M1126">
        <v>1.5</v>
      </c>
      <c r="N1126" s="1" t="s">
        <v>10</v>
      </c>
    </row>
    <row r="1127" spans="10:14" x14ac:dyDescent="0.25">
      <c r="J1127" t="s">
        <v>259</v>
      </c>
      <c r="K1127" t="s">
        <v>418</v>
      </c>
      <c r="L1127">
        <v>2.63</v>
      </c>
      <c r="M1127">
        <v>1.51</v>
      </c>
      <c r="N1127" s="1" t="s">
        <v>10</v>
      </c>
    </row>
    <row r="1128" spans="10:14" x14ac:dyDescent="0.25">
      <c r="J1128" t="s">
        <v>259</v>
      </c>
      <c r="K1128" t="s">
        <v>418</v>
      </c>
      <c r="L1128">
        <v>2.65</v>
      </c>
      <c r="M1128">
        <v>1.5</v>
      </c>
      <c r="N1128" s="1" t="s">
        <v>10</v>
      </c>
    </row>
    <row r="1129" spans="10:14" x14ac:dyDescent="0.25">
      <c r="J1129" t="s">
        <v>259</v>
      </c>
      <c r="K1129" t="s">
        <v>418</v>
      </c>
      <c r="L1129">
        <v>2.52</v>
      </c>
      <c r="M1129">
        <v>1.51</v>
      </c>
      <c r="N1129" s="1" t="s">
        <v>10</v>
      </c>
    </row>
    <row r="1130" spans="10:14" x14ac:dyDescent="0.25">
      <c r="J1130" t="s">
        <v>259</v>
      </c>
      <c r="K1130" t="s">
        <v>418</v>
      </c>
      <c r="L1130">
        <v>2.7</v>
      </c>
      <c r="M1130">
        <v>1.49</v>
      </c>
      <c r="N1130" s="1" t="s">
        <v>10</v>
      </c>
    </row>
    <row r="1131" spans="10:14" x14ac:dyDescent="0.25">
      <c r="J1131" t="s">
        <v>259</v>
      </c>
      <c r="K1131" t="s">
        <v>418</v>
      </c>
      <c r="L1131">
        <v>2.6</v>
      </c>
      <c r="M1131">
        <v>1.53</v>
      </c>
      <c r="N1131" s="1" t="s">
        <v>10</v>
      </c>
    </row>
    <row r="1132" spans="10:14" x14ac:dyDescent="0.25">
      <c r="J1132" t="s">
        <v>259</v>
      </c>
      <c r="K1132" t="s">
        <v>418</v>
      </c>
      <c r="L1132">
        <v>2.65</v>
      </c>
      <c r="M1132">
        <v>1.51</v>
      </c>
      <c r="N1132" s="1" t="s">
        <v>10</v>
      </c>
    </row>
    <row r="1133" spans="10:14" x14ac:dyDescent="0.25">
      <c r="J1133" t="s">
        <v>68</v>
      </c>
      <c r="K1133" t="s">
        <v>419</v>
      </c>
      <c r="L1133">
        <v>1.96</v>
      </c>
      <c r="M1133">
        <v>1.86</v>
      </c>
      <c r="N1133" s="1" t="s">
        <v>10</v>
      </c>
    </row>
    <row r="1134" spans="10:14" x14ac:dyDescent="0.25">
      <c r="J1134" t="s">
        <v>68</v>
      </c>
      <c r="K1134" t="s">
        <v>419</v>
      </c>
      <c r="L1134">
        <v>1.95</v>
      </c>
      <c r="M1134">
        <v>1.87</v>
      </c>
      <c r="N1134" s="1" t="s">
        <v>10</v>
      </c>
    </row>
    <row r="1135" spans="10:14" x14ac:dyDescent="0.25">
      <c r="J1135" t="s">
        <v>68</v>
      </c>
      <c r="K1135" t="s">
        <v>419</v>
      </c>
      <c r="L1135">
        <v>1.96</v>
      </c>
      <c r="M1135">
        <v>1.86</v>
      </c>
      <c r="N1135" s="1" t="s">
        <v>10</v>
      </c>
    </row>
    <row r="1136" spans="10:14" x14ac:dyDescent="0.25">
      <c r="J1136" t="s">
        <v>68</v>
      </c>
      <c r="K1136" t="s">
        <v>419</v>
      </c>
      <c r="L1136">
        <v>2.02</v>
      </c>
      <c r="M1136">
        <v>1.82</v>
      </c>
      <c r="N1136" s="1" t="s">
        <v>10</v>
      </c>
    </row>
    <row r="1137" spans="10:14" x14ac:dyDescent="0.25">
      <c r="J1137" t="s">
        <v>68</v>
      </c>
      <c r="K1137" t="s">
        <v>419</v>
      </c>
      <c r="L1137">
        <v>2</v>
      </c>
      <c r="M1137">
        <v>1.83</v>
      </c>
      <c r="N1137" s="1" t="s">
        <v>10</v>
      </c>
    </row>
    <row r="1138" spans="10:14" x14ac:dyDescent="0.25">
      <c r="J1138" t="s">
        <v>68</v>
      </c>
      <c r="K1138" t="s">
        <v>419</v>
      </c>
      <c r="L1138">
        <v>2</v>
      </c>
      <c r="M1138">
        <v>1.82</v>
      </c>
      <c r="N1138" s="1" t="s">
        <v>10</v>
      </c>
    </row>
    <row r="1139" spans="10:14" x14ac:dyDescent="0.25">
      <c r="J1139" t="s">
        <v>68</v>
      </c>
      <c r="K1139" t="s">
        <v>419</v>
      </c>
      <c r="L1139">
        <v>2</v>
      </c>
      <c r="M1139">
        <v>1.82</v>
      </c>
      <c r="N1139" s="1" t="s">
        <v>10</v>
      </c>
    </row>
    <row r="1140" spans="10:14" x14ac:dyDescent="0.25">
      <c r="J1140" t="s">
        <v>68</v>
      </c>
      <c r="K1140" t="s">
        <v>419</v>
      </c>
      <c r="L1140">
        <v>1.94</v>
      </c>
      <c r="M1140">
        <v>1.83</v>
      </c>
      <c r="N1140" s="1" t="s">
        <v>10</v>
      </c>
    </row>
    <row r="1141" spans="10:14" x14ac:dyDescent="0.25">
      <c r="J1141" t="s">
        <v>68</v>
      </c>
      <c r="K1141" t="s">
        <v>419</v>
      </c>
      <c r="L1141">
        <v>2</v>
      </c>
      <c r="M1141">
        <v>1.83</v>
      </c>
      <c r="N1141" s="1" t="s">
        <v>10</v>
      </c>
    </row>
    <row r="1142" spans="10:14" x14ac:dyDescent="0.25">
      <c r="J1142" t="s">
        <v>68</v>
      </c>
      <c r="K1142" t="s">
        <v>419</v>
      </c>
      <c r="L1142">
        <v>2</v>
      </c>
      <c r="M1142">
        <v>1.83</v>
      </c>
      <c r="N1142" s="1" t="s">
        <v>10</v>
      </c>
    </row>
    <row r="1143" spans="10:14" x14ac:dyDescent="0.25">
      <c r="J1143" t="s">
        <v>68</v>
      </c>
      <c r="K1143" t="s">
        <v>419</v>
      </c>
      <c r="L1143">
        <v>2</v>
      </c>
      <c r="M1143">
        <v>1.83</v>
      </c>
      <c r="N1143" s="1" t="s">
        <v>10</v>
      </c>
    </row>
    <row r="1144" spans="10:14" x14ac:dyDescent="0.25">
      <c r="J1144" t="s">
        <v>66</v>
      </c>
      <c r="K1144" t="s">
        <v>260</v>
      </c>
      <c r="L1144">
        <v>1.45</v>
      </c>
      <c r="M1144">
        <v>2.86</v>
      </c>
      <c r="N1144" s="1" t="s">
        <v>10</v>
      </c>
    </row>
    <row r="1145" spans="10:14" x14ac:dyDescent="0.25">
      <c r="J1145" t="s">
        <v>66</v>
      </c>
      <c r="K1145" t="s">
        <v>260</v>
      </c>
      <c r="L1145">
        <v>1.45</v>
      </c>
      <c r="M1145">
        <v>2.86</v>
      </c>
      <c r="N1145" s="1" t="s">
        <v>10</v>
      </c>
    </row>
    <row r="1146" spans="10:14" x14ac:dyDescent="0.25">
      <c r="J1146" t="s">
        <v>66</v>
      </c>
      <c r="K1146" t="s">
        <v>260</v>
      </c>
      <c r="L1146">
        <v>1.43</v>
      </c>
      <c r="M1146">
        <v>2.9</v>
      </c>
      <c r="N1146" s="1" t="s">
        <v>10</v>
      </c>
    </row>
    <row r="1147" spans="10:14" x14ac:dyDescent="0.25">
      <c r="J1147" t="s">
        <v>66</v>
      </c>
      <c r="K1147" t="s">
        <v>260</v>
      </c>
      <c r="L1147">
        <v>1.44</v>
      </c>
      <c r="M1147">
        <v>2.85</v>
      </c>
      <c r="N1147" s="1" t="s">
        <v>10</v>
      </c>
    </row>
    <row r="1148" spans="10:14" x14ac:dyDescent="0.25">
      <c r="J1148" t="s">
        <v>66</v>
      </c>
      <c r="K1148" t="s">
        <v>260</v>
      </c>
      <c r="L1148">
        <v>1.43</v>
      </c>
      <c r="M1148">
        <v>2.95</v>
      </c>
      <c r="N1148" s="1" t="s">
        <v>10</v>
      </c>
    </row>
    <row r="1149" spans="10:14" x14ac:dyDescent="0.25">
      <c r="J1149" t="s">
        <v>66</v>
      </c>
      <c r="K1149" t="s">
        <v>260</v>
      </c>
      <c r="L1149">
        <v>1.4</v>
      </c>
      <c r="M1149">
        <v>2.95</v>
      </c>
      <c r="N1149" s="1" t="s">
        <v>10</v>
      </c>
    </row>
    <row r="1150" spans="10:14" x14ac:dyDescent="0.25">
      <c r="J1150" t="s">
        <v>66</v>
      </c>
      <c r="K1150" t="s">
        <v>260</v>
      </c>
      <c r="L1150">
        <v>1.4</v>
      </c>
      <c r="M1150">
        <v>2.95</v>
      </c>
      <c r="N1150" s="1" t="s">
        <v>10</v>
      </c>
    </row>
    <row r="1151" spans="10:14" x14ac:dyDescent="0.25">
      <c r="J1151" t="s">
        <v>66</v>
      </c>
      <c r="K1151" t="s">
        <v>260</v>
      </c>
      <c r="L1151">
        <v>1.41</v>
      </c>
      <c r="M1151">
        <v>2.86</v>
      </c>
      <c r="N1151" s="1" t="s">
        <v>10</v>
      </c>
    </row>
    <row r="1152" spans="10:14" x14ac:dyDescent="0.25">
      <c r="J1152" t="s">
        <v>66</v>
      </c>
      <c r="K1152" t="s">
        <v>260</v>
      </c>
      <c r="L1152">
        <v>1.44</v>
      </c>
      <c r="M1152">
        <v>2.85</v>
      </c>
      <c r="N1152" s="1" t="s">
        <v>10</v>
      </c>
    </row>
    <row r="1153" spans="10:14" x14ac:dyDescent="0.25">
      <c r="J1153" t="s">
        <v>66</v>
      </c>
      <c r="K1153" t="s">
        <v>260</v>
      </c>
      <c r="L1153">
        <v>1.44</v>
      </c>
      <c r="M1153">
        <v>2.85</v>
      </c>
      <c r="N1153" s="1" t="s">
        <v>10</v>
      </c>
    </row>
    <row r="1154" spans="10:14" x14ac:dyDescent="0.25">
      <c r="J1154" t="s">
        <v>53</v>
      </c>
      <c r="K1154" t="s">
        <v>261</v>
      </c>
      <c r="L1154">
        <v>2.64</v>
      </c>
      <c r="M1154">
        <v>1.47</v>
      </c>
      <c r="N1154" s="1" t="s">
        <v>10</v>
      </c>
    </row>
    <row r="1155" spans="10:14" x14ac:dyDescent="0.25">
      <c r="J1155" t="s">
        <v>53</v>
      </c>
      <c r="K1155" t="s">
        <v>261</v>
      </c>
      <c r="L1155">
        <v>2.7</v>
      </c>
      <c r="M1155">
        <v>1.49</v>
      </c>
      <c r="N1155" s="1" t="s">
        <v>10</v>
      </c>
    </row>
    <row r="1156" spans="10:14" x14ac:dyDescent="0.25">
      <c r="J1156" t="s">
        <v>53</v>
      </c>
      <c r="K1156" t="s">
        <v>261</v>
      </c>
      <c r="L1156">
        <v>2.8</v>
      </c>
      <c r="M1156">
        <v>1.48</v>
      </c>
      <c r="N1156" s="1" t="s">
        <v>10</v>
      </c>
    </row>
    <row r="1157" spans="10:14" x14ac:dyDescent="0.25">
      <c r="J1157" t="s">
        <v>53</v>
      </c>
      <c r="K1157" t="s">
        <v>261</v>
      </c>
      <c r="L1157">
        <v>2.8</v>
      </c>
      <c r="M1157">
        <v>1.48</v>
      </c>
      <c r="N1157" s="1" t="s">
        <v>10</v>
      </c>
    </row>
    <row r="1158" spans="10:14" x14ac:dyDescent="0.25">
      <c r="J1158" t="s">
        <v>53</v>
      </c>
      <c r="K1158" t="s">
        <v>261</v>
      </c>
      <c r="L1158">
        <v>2.7</v>
      </c>
      <c r="M1158">
        <v>1.49</v>
      </c>
      <c r="N1158" s="1" t="s">
        <v>10</v>
      </c>
    </row>
    <row r="1159" spans="10:14" x14ac:dyDescent="0.25">
      <c r="J1159" t="s">
        <v>53</v>
      </c>
      <c r="K1159" t="s">
        <v>261</v>
      </c>
      <c r="L1159">
        <v>2.65</v>
      </c>
      <c r="M1159">
        <v>1.48</v>
      </c>
      <c r="N1159" s="1" t="s">
        <v>10</v>
      </c>
    </row>
    <row r="1160" spans="10:14" x14ac:dyDescent="0.25">
      <c r="J1160" t="s">
        <v>53</v>
      </c>
      <c r="K1160" t="s">
        <v>261</v>
      </c>
      <c r="L1160">
        <v>2.65</v>
      </c>
      <c r="M1160">
        <v>1.48</v>
      </c>
      <c r="N1160" s="1" t="s">
        <v>10</v>
      </c>
    </row>
    <row r="1161" spans="10:14" x14ac:dyDescent="0.25">
      <c r="J1161" t="s">
        <v>53</v>
      </c>
      <c r="K1161" t="s">
        <v>261</v>
      </c>
      <c r="L1161">
        <v>2.7</v>
      </c>
      <c r="M1161">
        <v>1.49</v>
      </c>
      <c r="N1161" s="1" t="s">
        <v>10</v>
      </c>
    </row>
    <row r="1162" spans="10:14" x14ac:dyDescent="0.25">
      <c r="J1162" t="s">
        <v>53</v>
      </c>
      <c r="K1162" t="s">
        <v>261</v>
      </c>
      <c r="L1162">
        <v>2.73</v>
      </c>
      <c r="M1162">
        <v>1.48</v>
      </c>
      <c r="N1162" s="1" t="s">
        <v>10</v>
      </c>
    </row>
    <row r="1163" spans="10:14" x14ac:dyDescent="0.25">
      <c r="J1163" t="s">
        <v>53</v>
      </c>
      <c r="K1163" t="s">
        <v>261</v>
      </c>
      <c r="L1163">
        <v>2.7</v>
      </c>
      <c r="M1163">
        <v>1.48</v>
      </c>
      <c r="N1163" s="1" t="s">
        <v>10</v>
      </c>
    </row>
    <row r="1164" spans="10:14" x14ac:dyDescent="0.25">
      <c r="J1164" t="s">
        <v>53</v>
      </c>
      <c r="K1164" t="s">
        <v>261</v>
      </c>
      <c r="L1164">
        <v>2.75</v>
      </c>
      <c r="M1164">
        <v>1.48</v>
      </c>
      <c r="N1164" s="1" t="s">
        <v>10</v>
      </c>
    </row>
    <row r="1165" spans="10:14" x14ac:dyDescent="0.25">
      <c r="J1165" t="s">
        <v>87</v>
      </c>
      <c r="K1165" t="s">
        <v>56</v>
      </c>
      <c r="L1165">
        <v>1.99</v>
      </c>
      <c r="M1165">
        <v>1.84</v>
      </c>
      <c r="N1165" s="1" t="s">
        <v>10</v>
      </c>
    </row>
    <row r="1166" spans="10:14" x14ac:dyDescent="0.25">
      <c r="J1166" t="s">
        <v>87</v>
      </c>
      <c r="K1166" t="s">
        <v>56</v>
      </c>
      <c r="L1166">
        <v>1.99</v>
      </c>
      <c r="M1166">
        <v>1.84</v>
      </c>
      <c r="N1166" s="1" t="s">
        <v>10</v>
      </c>
    </row>
    <row r="1167" spans="10:14" x14ac:dyDescent="0.25">
      <c r="J1167" t="s">
        <v>87</v>
      </c>
      <c r="K1167" t="s">
        <v>56</v>
      </c>
      <c r="L1167">
        <v>1.96</v>
      </c>
      <c r="M1167">
        <v>1.82</v>
      </c>
      <c r="N1167" s="1" t="s">
        <v>10</v>
      </c>
    </row>
    <row r="1168" spans="10:14" x14ac:dyDescent="0.25">
      <c r="J1168" t="s">
        <v>87</v>
      </c>
      <c r="K1168" t="s">
        <v>56</v>
      </c>
      <c r="L1168">
        <v>1.95</v>
      </c>
      <c r="M1168">
        <v>1.87</v>
      </c>
      <c r="N1168" s="1" t="s">
        <v>10</v>
      </c>
    </row>
    <row r="1169" spans="10:14" x14ac:dyDescent="0.25">
      <c r="J1169" t="s">
        <v>87</v>
      </c>
      <c r="K1169" t="s">
        <v>56</v>
      </c>
      <c r="L1169">
        <v>1.95</v>
      </c>
      <c r="M1169">
        <v>1.87</v>
      </c>
      <c r="N1169" s="1" t="s">
        <v>10</v>
      </c>
    </row>
    <row r="1170" spans="10:14" x14ac:dyDescent="0.25">
      <c r="J1170" t="s">
        <v>87</v>
      </c>
      <c r="K1170" t="s">
        <v>56</v>
      </c>
      <c r="L1170">
        <v>1.98</v>
      </c>
      <c r="M1170">
        <v>1.85</v>
      </c>
      <c r="N1170" s="1" t="s">
        <v>10</v>
      </c>
    </row>
    <row r="1171" spans="10:14" x14ac:dyDescent="0.25">
      <c r="J1171" t="s">
        <v>87</v>
      </c>
      <c r="K1171" t="s">
        <v>56</v>
      </c>
      <c r="L1171">
        <v>1.97</v>
      </c>
      <c r="M1171">
        <v>1.83</v>
      </c>
      <c r="N1171" s="1" t="s">
        <v>10</v>
      </c>
    </row>
    <row r="1172" spans="10:14" x14ac:dyDescent="0.25">
      <c r="J1172" t="s">
        <v>87</v>
      </c>
      <c r="K1172" t="s">
        <v>56</v>
      </c>
      <c r="L1172">
        <v>1.97</v>
      </c>
      <c r="M1172">
        <v>1.83</v>
      </c>
      <c r="N1172" s="1" t="s">
        <v>10</v>
      </c>
    </row>
    <row r="1173" spans="10:14" x14ac:dyDescent="0.25">
      <c r="J1173" t="s">
        <v>87</v>
      </c>
      <c r="K1173" t="s">
        <v>56</v>
      </c>
      <c r="L1173">
        <v>2</v>
      </c>
      <c r="M1173">
        <v>1.83</v>
      </c>
      <c r="N1173" s="1" t="s">
        <v>10</v>
      </c>
    </row>
    <row r="1174" spans="10:14" x14ac:dyDescent="0.25">
      <c r="J1174" t="s">
        <v>87</v>
      </c>
      <c r="K1174" t="s">
        <v>56</v>
      </c>
      <c r="L1174">
        <v>1.96</v>
      </c>
      <c r="M1174">
        <v>1.87</v>
      </c>
      <c r="N1174" s="1" t="s">
        <v>10</v>
      </c>
    </row>
    <row r="1175" spans="10:14" x14ac:dyDescent="0.25">
      <c r="J1175" t="s">
        <v>42</v>
      </c>
      <c r="K1175" t="s">
        <v>262</v>
      </c>
      <c r="L1175">
        <v>1.8</v>
      </c>
      <c r="M1175">
        <v>2.0499999999999998</v>
      </c>
      <c r="N1175" s="1" t="s">
        <v>10</v>
      </c>
    </row>
    <row r="1176" spans="10:14" x14ac:dyDescent="0.25">
      <c r="J1176" t="s">
        <v>42</v>
      </c>
      <c r="K1176" t="s">
        <v>262</v>
      </c>
      <c r="L1176">
        <v>1.8</v>
      </c>
      <c r="M1176">
        <v>2.0499999999999998</v>
      </c>
      <c r="N1176" s="1" t="s">
        <v>10</v>
      </c>
    </row>
    <row r="1177" spans="10:14" x14ac:dyDescent="0.25">
      <c r="J1177" t="s">
        <v>42</v>
      </c>
      <c r="K1177" t="s">
        <v>262</v>
      </c>
      <c r="L1177">
        <v>1.78</v>
      </c>
      <c r="M1177">
        <v>2</v>
      </c>
      <c r="N1177" s="1" t="s">
        <v>10</v>
      </c>
    </row>
    <row r="1178" spans="10:14" x14ac:dyDescent="0.25">
      <c r="J1178" t="s">
        <v>42</v>
      </c>
      <c r="K1178" t="s">
        <v>262</v>
      </c>
      <c r="L1178">
        <v>1.8</v>
      </c>
      <c r="M1178">
        <v>2.0499999999999998</v>
      </c>
      <c r="N1178" s="1" t="s">
        <v>10</v>
      </c>
    </row>
    <row r="1179" spans="10:14" x14ac:dyDescent="0.25">
      <c r="J1179" t="s">
        <v>42</v>
      </c>
      <c r="K1179" t="s">
        <v>262</v>
      </c>
      <c r="L1179">
        <v>1.8</v>
      </c>
      <c r="M1179">
        <v>2.0499999999999998</v>
      </c>
      <c r="N1179" s="1" t="s">
        <v>10</v>
      </c>
    </row>
    <row r="1180" spans="10:14" x14ac:dyDescent="0.25">
      <c r="J1180" t="s">
        <v>42</v>
      </c>
      <c r="K1180" t="s">
        <v>262</v>
      </c>
      <c r="L1180">
        <v>1.82</v>
      </c>
      <c r="M1180">
        <v>1.97</v>
      </c>
      <c r="N1180" s="1" t="s">
        <v>10</v>
      </c>
    </row>
    <row r="1181" spans="10:14" x14ac:dyDescent="0.25">
      <c r="J1181" t="s">
        <v>42</v>
      </c>
      <c r="K1181" t="s">
        <v>262</v>
      </c>
      <c r="L1181">
        <v>1.82</v>
      </c>
      <c r="M1181">
        <v>1.97</v>
      </c>
      <c r="N1181" s="1" t="s">
        <v>10</v>
      </c>
    </row>
    <row r="1182" spans="10:14" x14ac:dyDescent="0.25">
      <c r="J1182" t="s">
        <v>42</v>
      </c>
      <c r="K1182" t="s">
        <v>262</v>
      </c>
      <c r="L1182">
        <v>1.8</v>
      </c>
      <c r="M1182">
        <v>2.0499999999999998</v>
      </c>
      <c r="N1182" s="1" t="s">
        <v>10</v>
      </c>
    </row>
    <row r="1183" spans="10:14" x14ac:dyDescent="0.25">
      <c r="J1183" t="s">
        <v>42</v>
      </c>
      <c r="K1183" t="s">
        <v>262</v>
      </c>
      <c r="L1183">
        <v>1.8</v>
      </c>
      <c r="M1183">
        <v>2.0499999999999998</v>
      </c>
      <c r="N1183" s="1" t="s">
        <v>10</v>
      </c>
    </row>
    <row r="1184" spans="10:14" x14ac:dyDescent="0.25">
      <c r="J1184" t="s">
        <v>42</v>
      </c>
      <c r="K1184" t="s">
        <v>262</v>
      </c>
      <c r="L1184">
        <v>1.83</v>
      </c>
      <c r="M1184">
        <v>2</v>
      </c>
      <c r="N1184" s="1" t="s">
        <v>10</v>
      </c>
    </row>
    <row r="1185" spans="10:14" x14ac:dyDescent="0.25">
      <c r="J1185" t="s">
        <v>42</v>
      </c>
      <c r="K1185" t="s">
        <v>262</v>
      </c>
      <c r="L1185">
        <v>1.91</v>
      </c>
      <c r="M1185">
        <v>1.91</v>
      </c>
      <c r="N1185" s="1" t="s">
        <v>10</v>
      </c>
    </row>
    <row r="1186" spans="10:14" x14ac:dyDescent="0.25">
      <c r="J1186" t="s">
        <v>263</v>
      </c>
      <c r="K1186" t="s">
        <v>264</v>
      </c>
      <c r="L1186">
        <v>2.16</v>
      </c>
      <c r="M1186">
        <v>1.7</v>
      </c>
      <c r="N1186" s="1" t="s">
        <v>10</v>
      </c>
    </row>
    <row r="1187" spans="10:14" x14ac:dyDescent="0.25">
      <c r="J1187" t="s">
        <v>263</v>
      </c>
      <c r="K1187" t="s">
        <v>264</v>
      </c>
      <c r="L1187">
        <v>2.16</v>
      </c>
      <c r="M1187">
        <v>1.7</v>
      </c>
      <c r="N1187" s="1" t="s">
        <v>10</v>
      </c>
    </row>
    <row r="1188" spans="10:14" x14ac:dyDescent="0.25">
      <c r="J1188" t="s">
        <v>263</v>
      </c>
      <c r="K1188" t="s">
        <v>264</v>
      </c>
      <c r="L1188">
        <v>2.0499999999999998</v>
      </c>
      <c r="M1188">
        <v>1.74</v>
      </c>
      <c r="N1188" s="1" t="s">
        <v>10</v>
      </c>
    </row>
    <row r="1189" spans="10:14" x14ac:dyDescent="0.25">
      <c r="J1189" t="s">
        <v>263</v>
      </c>
      <c r="K1189" t="s">
        <v>264</v>
      </c>
      <c r="L1189">
        <v>2.0499999999999998</v>
      </c>
      <c r="M1189">
        <v>1.75</v>
      </c>
      <c r="N1189" s="1" t="s">
        <v>10</v>
      </c>
    </row>
    <row r="1190" spans="10:14" x14ac:dyDescent="0.25">
      <c r="J1190" t="s">
        <v>263</v>
      </c>
      <c r="K1190" t="s">
        <v>264</v>
      </c>
      <c r="L1190">
        <v>2.1</v>
      </c>
      <c r="M1190">
        <v>1.77</v>
      </c>
      <c r="N1190" s="1" t="s">
        <v>10</v>
      </c>
    </row>
    <row r="1191" spans="10:14" x14ac:dyDescent="0.25">
      <c r="J1191" t="s">
        <v>263</v>
      </c>
      <c r="K1191" t="s">
        <v>264</v>
      </c>
      <c r="L1191">
        <v>2.13</v>
      </c>
      <c r="M1191">
        <v>1.75</v>
      </c>
      <c r="N1191" s="1" t="s">
        <v>10</v>
      </c>
    </row>
    <row r="1192" spans="10:14" x14ac:dyDescent="0.25">
      <c r="J1192" t="s">
        <v>263</v>
      </c>
      <c r="K1192" t="s">
        <v>264</v>
      </c>
      <c r="L1192">
        <v>2.13</v>
      </c>
      <c r="M1192">
        <v>1.75</v>
      </c>
      <c r="N1192" s="1" t="s">
        <v>10</v>
      </c>
    </row>
    <row r="1193" spans="10:14" x14ac:dyDescent="0.25">
      <c r="J1193" t="s">
        <v>263</v>
      </c>
      <c r="K1193" t="s">
        <v>264</v>
      </c>
      <c r="L1193">
        <v>2.1800000000000002</v>
      </c>
      <c r="M1193">
        <v>1.67</v>
      </c>
      <c r="N1193" s="1" t="s">
        <v>10</v>
      </c>
    </row>
    <row r="1194" spans="10:14" x14ac:dyDescent="0.25">
      <c r="J1194" t="s">
        <v>263</v>
      </c>
      <c r="K1194" t="s">
        <v>264</v>
      </c>
      <c r="L1194">
        <v>2.15</v>
      </c>
      <c r="M1194">
        <v>1.74</v>
      </c>
      <c r="N1194" s="1" t="s">
        <v>10</v>
      </c>
    </row>
    <row r="1195" spans="10:14" x14ac:dyDescent="0.25">
      <c r="J1195" t="s">
        <v>265</v>
      </c>
      <c r="K1195" t="s">
        <v>266</v>
      </c>
      <c r="L1195">
        <v>1.71</v>
      </c>
      <c r="M1195">
        <v>2.2000000000000002</v>
      </c>
      <c r="N1195" s="1" t="s">
        <v>10</v>
      </c>
    </row>
    <row r="1196" spans="10:14" x14ac:dyDescent="0.25">
      <c r="J1196" t="s">
        <v>265</v>
      </c>
      <c r="K1196" t="s">
        <v>266</v>
      </c>
      <c r="L1196">
        <v>1.69</v>
      </c>
      <c r="M1196">
        <v>2.19</v>
      </c>
      <c r="N1196" s="1" t="s">
        <v>10</v>
      </c>
    </row>
    <row r="1197" spans="10:14" x14ac:dyDescent="0.25">
      <c r="J1197" t="s">
        <v>265</v>
      </c>
      <c r="K1197" t="s">
        <v>266</v>
      </c>
      <c r="L1197">
        <v>1.71</v>
      </c>
      <c r="M1197">
        <v>2.2000000000000002</v>
      </c>
      <c r="N1197" s="1" t="s">
        <v>10</v>
      </c>
    </row>
    <row r="1198" spans="10:14" x14ac:dyDescent="0.25">
      <c r="J1198" t="s">
        <v>265</v>
      </c>
      <c r="K1198" t="s">
        <v>266</v>
      </c>
      <c r="L1198">
        <v>1.7</v>
      </c>
      <c r="M1198">
        <v>2.2000000000000002</v>
      </c>
      <c r="N1198" s="1" t="s">
        <v>10</v>
      </c>
    </row>
    <row r="1199" spans="10:14" x14ac:dyDescent="0.25">
      <c r="J1199" t="s">
        <v>265</v>
      </c>
      <c r="K1199" t="s">
        <v>266</v>
      </c>
      <c r="L1199">
        <v>1.71</v>
      </c>
      <c r="M1199">
        <v>2.1</v>
      </c>
      <c r="N1199" s="1" t="s">
        <v>10</v>
      </c>
    </row>
    <row r="1200" spans="10:14" x14ac:dyDescent="0.25">
      <c r="J1200" t="s">
        <v>265</v>
      </c>
      <c r="K1200" t="s">
        <v>266</v>
      </c>
      <c r="L1200">
        <v>1.67</v>
      </c>
      <c r="M1200">
        <v>2.1800000000000002</v>
      </c>
      <c r="N1200" s="1" t="s">
        <v>10</v>
      </c>
    </row>
    <row r="1201" spans="10:14" x14ac:dyDescent="0.25">
      <c r="J1201" t="s">
        <v>265</v>
      </c>
      <c r="K1201" t="s">
        <v>266</v>
      </c>
      <c r="L1201">
        <v>1.67</v>
      </c>
      <c r="M1201">
        <v>2.2000000000000002</v>
      </c>
      <c r="N1201" s="1" t="s">
        <v>10</v>
      </c>
    </row>
    <row r="1202" spans="10:14" x14ac:dyDescent="0.25">
      <c r="J1202" t="s">
        <v>265</v>
      </c>
      <c r="K1202" t="s">
        <v>266</v>
      </c>
      <c r="L1202">
        <v>1.67</v>
      </c>
      <c r="M1202">
        <v>2.2000000000000002</v>
      </c>
      <c r="N1202" s="1" t="s">
        <v>10</v>
      </c>
    </row>
    <row r="1203" spans="10:14" x14ac:dyDescent="0.25">
      <c r="J1203" t="s">
        <v>265</v>
      </c>
      <c r="K1203" t="s">
        <v>266</v>
      </c>
      <c r="L1203">
        <v>1.69</v>
      </c>
      <c r="M1203">
        <v>2.2200000000000002</v>
      </c>
      <c r="N1203" s="1" t="s">
        <v>10</v>
      </c>
    </row>
    <row r="1204" spans="10:14" x14ac:dyDescent="0.25">
      <c r="J1204" t="s">
        <v>267</v>
      </c>
      <c r="K1204" t="s">
        <v>266</v>
      </c>
      <c r="L1204">
        <v>1.86</v>
      </c>
      <c r="M1204">
        <v>1.97</v>
      </c>
      <c r="N1204" s="1" t="s">
        <v>10</v>
      </c>
    </row>
    <row r="1205" spans="10:14" x14ac:dyDescent="0.25">
      <c r="J1205" t="s">
        <v>267</v>
      </c>
      <c r="K1205" t="s">
        <v>266</v>
      </c>
      <c r="L1205">
        <v>2</v>
      </c>
      <c r="M1205">
        <v>1.83</v>
      </c>
      <c r="N1205" s="1" t="s">
        <v>10</v>
      </c>
    </row>
    <row r="1206" spans="10:14" x14ac:dyDescent="0.25">
      <c r="J1206" t="s">
        <v>267</v>
      </c>
      <c r="K1206" t="s">
        <v>266</v>
      </c>
      <c r="L1206">
        <v>1.85</v>
      </c>
      <c r="M1206">
        <v>1.97</v>
      </c>
      <c r="N1206" s="1" t="s">
        <v>10</v>
      </c>
    </row>
    <row r="1207" spans="10:14" x14ac:dyDescent="0.25">
      <c r="J1207" t="s">
        <v>267</v>
      </c>
      <c r="K1207" t="s">
        <v>266</v>
      </c>
      <c r="L1207">
        <v>1.98</v>
      </c>
      <c r="M1207">
        <v>1.85</v>
      </c>
      <c r="N1207" s="1" t="s">
        <v>10</v>
      </c>
    </row>
    <row r="1208" spans="10:14" x14ac:dyDescent="0.25">
      <c r="J1208" t="s">
        <v>267</v>
      </c>
      <c r="K1208" t="s">
        <v>266</v>
      </c>
      <c r="L1208">
        <v>1.83</v>
      </c>
      <c r="M1208">
        <v>1.91</v>
      </c>
      <c r="N1208" s="1" t="s">
        <v>10</v>
      </c>
    </row>
    <row r="1209" spans="10:14" x14ac:dyDescent="0.25">
      <c r="J1209" t="s">
        <v>267</v>
      </c>
      <c r="K1209" t="s">
        <v>266</v>
      </c>
      <c r="L1209">
        <v>1.94</v>
      </c>
      <c r="M1209">
        <v>1.83</v>
      </c>
      <c r="N1209" s="1" t="s">
        <v>10</v>
      </c>
    </row>
    <row r="1210" spans="10:14" x14ac:dyDescent="0.25">
      <c r="J1210" t="s">
        <v>267</v>
      </c>
      <c r="K1210" t="s">
        <v>266</v>
      </c>
      <c r="L1210">
        <v>1.83</v>
      </c>
      <c r="M1210">
        <v>1.97</v>
      </c>
      <c r="N1210" s="1" t="s">
        <v>10</v>
      </c>
    </row>
    <row r="1211" spans="10:14" x14ac:dyDescent="0.25">
      <c r="J1211" t="s">
        <v>267</v>
      </c>
      <c r="K1211" t="s">
        <v>266</v>
      </c>
      <c r="L1211">
        <v>1.83</v>
      </c>
      <c r="M1211">
        <v>1.97</v>
      </c>
      <c r="N1211" s="1" t="s">
        <v>10</v>
      </c>
    </row>
    <row r="1212" spans="10:14" x14ac:dyDescent="0.25">
      <c r="J1212" t="s">
        <v>267</v>
      </c>
      <c r="K1212" t="s">
        <v>266</v>
      </c>
      <c r="L1212">
        <v>1.95</v>
      </c>
      <c r="M1212">
        <v>1.87</v>
      </c>
      <c r="N1212" s="1" t="s">
        <v>10</v>
      </c>
    </row>
    <row r="1213" spans="10:14" x14ac:dyDescent="0.25">
      <c r="J1213" t="s">
        <v>268</v>
      </c>
      <c r="K1213" t="s">
        <v>266</v>
      </c>
      <c r="L1213">
        <v>3.51</v>
      </c>
      <c r="M1213">
        <v>1.33</v>
      </c>
      <c r="N1213" s="1" t="s">
        <v>10</v>
      </c>
    </row>
    <row r="1214" spans="10:14" x14ac:dyDescent="0.25">
      <c r="J1214" t="s">
        <v>268</v>
      </c>
      <c r="K1214" t="s">
        <v>266</v>
      </c>
      <c r="L1214">
        <v>3.51</v>
      </c>
      <c r="M1214">
        <v>1.33</v>
      </c>
      <c r="N1214" s="1" t="s">
        <v>10</v>
      </c>
    </row>
    <row r="1215" spans="10:14" x14ac:dyDescent="0.25">
      <c r="J1215" t="s">
        <v>268</v>
      </c>
      <c r="K1215" t="s">
        <v>266</v>
      </c>
      <c r="L1215">
        <v>3.5</v>
      </c>
      <c r="M1215">
        <v>1.32</v>
      </c>
      <c r="N1215" s="1" t="s">
        <v>10</v>
      </c>
    </row>
    <row r="1216" spans="10:14" x14ac:dyDescent="0.25">
      <c r="J1216" t="s">
        <v>268</v>
      </c>
      <c r="K1216" t="s">
        <v>266</v>
      </c>
      <c r="L1216">
        <v>3.35</v>
      </c>
      <c r="M1216">
        <v>1.32</v>
      </c>
      <c r="N1216" s="1" t="s">
        <v>10</v>
      </c>
    </row>
    <row r="1217" spans="10:14" x14ac:dyDescent="0.25">
      <c r="J1217" t="s">
        <v>268</v>
      </c>
      <c r="K1217" t="s">
        <v>266</v>
      </c>
      <c r="L1217">
        <v>3.4</v>
      </c>
      <c r="M1217">
        <v>1.3</v>
      </c>
      <c r="N1217" s="1" t="s">
        <v>10</v>
      </c>
    </row>
    <row r="1218" spans="10:14" x14ac:dyDescent="0.25">
      <c r="J1218" t="s">
        <v>268</v>
      </c>
      <c r="K1218" t="s">
        <v>266</v>
      </c>
      <c r="L1218">
        <v>3.4</v>
      </c>
      <c r="M1218">
        <v>1.33</v>
      </c>
      <c r="N1218" s="1" t="s">
        <v>10</v>
      </c>
    </row>
    <row r="1219" spans="10:14" x14ac:dyDescent="0.25">
      <c r="J1219" t="s">
        <v>268</v>
      </c>
      <c r="K1219" t="s">
        <v>266</v>
      </c>
      <c r="L1219">
        <v>3.4</v>
      </c>
      <c r="M1219">
        <v>1.33</v>
      </c>
      <c r="N1219" s="1" t="s">
        <v>10</v>
      </c>
    </row>
    <row r="1220" spans="10:14" x14ac:dyDescent="0.25">
      <c r="J1220" t="s">
        <v>268</v>
      </c>
      <c r="K1220" t="s">
        <v>266</v>
      </c>
      <c r="L1220">
        <v>3.5</v>
      </c>
      <c r="M1220">
        <v>1.31</v>
      </c>
      <c r="N1220" s="1" t="s">
        <v>10</v>
      </c>
    </row>
    <row r="1221" spans="10:14" x14ac:dyDescent="0.25">
      <c r="J1221" t="s">
        <v>269</v>
      </c>
      <c r="K1221" t="s">
        <v>266</v>
      </c>
      <c r="L1221">
        <v>2.2999999999999998</v>
      </c>
      <c r="M1221">
        <v>1.67</v>
      </c>
      <c r="N1221" s="1" t="s">
        <v>10</v>
      </c>
    </row>
    <row r="1222" spans="10:14" x14ac:dyDescent="0.25">
      <c r="J1222" t="s">
        <v>269</v>
      </c>
      <c r="K1222" t="s">
        <v>266</v>
      </c>
      <c r="L1222">
        <v>2.25</v>
      </c>
      <c r="M1222">
        <v>1.67</v>
      </c>
      <c r="N1222" s="1" t="s">
        <v>10</v>
      </c>
    </row>
    <row r="1223" spans="10:14" x14ac:dyDescent="0.25">
      <c r="J1223" t="s">
        <v>269</v>
      </c>
      <c r="K1223" t="s">
        <v>266</v>
      </c>
      <c r="L1223">
        <v>2.2999999999999998</v>
      </c>
      <c r="M1223">
        <v>1.67</v>
      </c>
      <c r="N1223" s="1" t="s">
        <v>10</v>
      </c>
    </row>
    <row r="1224" spans="10:14" x14ac:dyDescent="0.25">
      <c r="J1224" t="s">
        <v>269</v>
      </c>
      <c r="K1224" t="s">
        <v>266</v>
      </c>
      <c r="L1224">
        <v>2.2400000000000002</v>
      </c>
      <c r="M1224">
        <v>1.68</v>
      </c>
      <c r="N1224" s="1" t="s">
        <v>10</v>
      </c>
    </row>
    <row r="1225" spans="10:14" x14ac:dyDescent="0.25">
      <c r="J1225" t="s">
        <v>269</v>
      </c>
      <c r="K1225" t="s">
        <v>266</v>
      </c>
      <c r="L1225">
        <v>2.2000000000000002</v>
      </c>
      <c r="M1225">
        <v>1.67</v>
      </c>
      <c r="N1225" s="1" t="s">
        <v>10</v>
      </c>
    </row>
    <row r="1226" spans="10:14" x14ac:dyDescent="0.25">
      <c r="J1226" t="s">
        <v>269</v>
      </c>
      <c r="K1226" t="s">
        <v>266</v>
      </c>
      <c r="L1226">
        <v>2.2400000000000002</v>
      </c>
      <c r="M1226">
        <v>1.63</v>
      </c>
      <c r="N1226" s="1" t="s">
        <v>10</v>
      </c>
    </row>
    <row r="1227" spans="10:14" x14ac:dyDescent="0.25">
      <c r="J1227" t="s">
        <v>269</v>
      </c>
      <c r="K1227" t="s">
        <v>266</v>
      </c>
      <c r="L1227">
        <v>2.23</v>
      </c>
      <c r="M1227">
        <v>1.65</v>
      </c>
      <c r="N1227" s="1" t="s">
        <v>10</v>
      </c>
    </row>
    <row r="1228" spans="10:14" x14ac:dyDescent="0.25">
      <c r="J1228" t="s">
        <v>269</v>
      </c>
      <c r="K1228" t="s">
        <v>266</v>
      </c>
      <c r="L1228">
        <v>2.23</v>
      </c>
      <c r="M1228">
        <v>1.65</v>
      </c>
      <c r="N1228" s="1" t="s">
        <v>10</v>
      </c>
    </row>
    <row r="1229" spans="10:14" x14ac:dyDescent="0.25">
      <c r="J1229" t="s">
        <v>269</v>
      </c>
      <c r="K1229" t="s">
        <v>266</v>
      </c>
      <c r="L1229">
        <v>2.25</v>
      </c>
      <c r="M1229">
        <v>1.67</v>
      </c>
      <c r="N1229" s="1" t="s">
        <v>10</v>
      </c>
    </row>
    <row r="1230" spans="10:14" x14ac:dyDescent="0.25">
      <c r="J1230" t="s">
        <v>270</v>
      </c>
      <c r="K1230" t="s">
        <v>266</v>
      </c>
      <c r="L1230">
        <v>1.67</v>
      </c>
      <c r="M1230">
        <v>2.2999999999999998</v>
      </c>
      <c r="N1230" s="1" t="s">
        <v>10</v>
      </c>
    </row>
    <row r="1231" spans="10:14" x14ac:dyDescent="0.25">
      <c r="J1231" t="s">
        <v>270</v>
      </c>
      <c r="K1231" t="s">
        <v>266</v>
      </c>
      <c r="L1231">
        <v>1.69</v>
      </c>
      <c r="M1231">
        <v>2.2000000000000002</v>
      </c>
      <c r="N1231" s="1" t="s">
        <v>10</v>
      </c>
    </row>
    <row r="1232" spans="10:14" x14ac:dyDescent="0.25">
      <c r="J1232" t="s">
        <v>270</v>
      </c>
      <c r="K1232" t="s">
        <v>266</v>
      </c>
      <c r="L1232">
        <v>1.67</v>
      </c>
      <c r="M1232">
        <v>2.2999999999999998</v>
      </c>
      <c r="N1232" s="1" t="s">
        <v>10</v>
      </c>
    </row>
    <row r="1233" spans="10:14" x14ac:dyDescent="0.25">
      <c r="J1233" t="s">
        <v>270</v>
      </c>
      <c r="K1233" t="s">
        <v>266</v>
      </c>
      <c r="L1233">
        <v>1.65</v>
      </c>
      <c r="M1233">
        <v>2.2999999999999998</v>
      </c>
      <c r="N1233" s="1" t="s">
        <v>10</v>
      </c>
    </row>
    <row r="1234" spans="10:14" x14ac:dyDescent="0.25">
      <c r="J1234" t="s">
        <v>270</v>
      </c>
      <c r="K1234" t="s">
        <v>266</v>
      </c>
      <c r="L1234">
        <v>1.67</v>
      </c>
      <c r="M1234">
        <v>2.2000000000000002</v>
      </c>
      <c r="N1234" s="1" t="s">
        <v>10</v>
      </c>
    </row>
    <row r="1235" spans="10:14" x14ac:dyDescent="0.25">
      <c r="J1235" t="s">
        <v>270</v>
      </c>
      <c r="K1235" t="s">
        <v>266</v>
      </c>
      <c r="L1235">
        <v>1.62</v>
      </c>
      <c r="M1235">
        <v>2.2599999999999998</v>
      </c>
      <c r="N1235" s="1" t="s">
        <v>10</v>
      </c>
    </row>
    <row r="1236" spans="10:14" x14ac:dyDescent="0.25">
      <c r="J1236" t="s">
        <v>270</v>
      </c>
      <c r="K1236" t="s">
        <v>266</v>
      </c>
      <c r="L1236">
        <v>1.67</v>
      </c>
      <c r="M1236">
        <v>2.2000000000000002</v>
      </c>
      <c r="N1236" s="1" t="s">
        <v>10</v>
      </c>
    </row>
    <row r="1237" spans="10:14" x14ac:dyDescent="0.25">
      <c r="J1237" t="s">
        <v>270</v>
      </c>
      <c r="K1237" t="s">
        <v>266</v>
      </c>
      <c r="L1237">
        <v>1.67</v>
      </c>
      <c r="M1237">
        <v>2.2000000000000002</v>
      </c>
      <c r="N1237" s="1" t="s">
        <v>10</v>
      </c>
    </row>
    <row r="1238" spans="10:14" x14ac:dyDescent="0.25">
      <c r="J1238" t="s">
        <v>270</v>
      </c>
      <c r="K1238" t="s">
        <v>266</v>
      </c>
      <c r="L1238">
        <v>1.67</v>
      </c>
      <c r="M1238">
        <v>2.25</v>
      </c>
      <c r="N1238" s="1" t="s">
        <v>10</v>
      </c>
    </row>
    <row r="1239" spans="10:14" x14ac:dyDescent="0.25">
      <c r="J1239" t="s">
        <v>271</v>
      </c>
      <c r="K1239" t="s">
        <v>266</v>
      </c>
      <c r="L1239">
        <v>2.68</v>
      </c>
      <c r="M1239">
        <v>1.52</v>
      </c>
      <c r="N1239" s="1" t="s">
        <v>10</v>
      </c>
    </row>
    <row r="1240" spans="10:14" x14ac:dyDescent="0.25">
      <c r="J1240" t="s">
        <v>271</v>
      </c>
      <c r="K1240" t="s">
        <v>266</v>
      </c>
      <c r="L1240">
        <v>2.6</v>
      </c>
      <c r="M1240">
        <v>1.51</v>
      </c>
      <c r="N1240" s="1" t="s">
        <v>10</v>
      </c>
    </row>
    <row r="1241" spans="10:14" x14ac:dyDescent="0.25">
      <c r="J1241" t="s">
        <v>271</v>
      </c>
      <c r="K1241" t="s">
        <v>266</v>
      </c>
      <c r="L1241">
        <v>2.68</v>
      </c>
      <c r="M1241">
        <v>1.52</v>
      </c>
      <c r="N1241" s="1" t="s">
        <v>10</v>
      </c>
    </row>
    <row r="1242" spans="10:14" x14ac:dyDescent="0.25">
      <c r="J1242" t="s">
        <v>271</v>
      </c>
      <c r="K1242" t="s">
        <v>266</v>
      </c>
      <c r="L1242">
        <v>2.7</v>
      </c>
      <c r="M1242">
        <v>1.49</v>
      </c>
      <c r="N1242" s="1" t="s">
        <v>10</v>
      </c>
    </row>
    <row r="1243" spans="10:14" x14ac:dyDescent="0.25">
      <c r="J1243" t="s">
        <v>271</v>
      </c>
      <c r="K1243" t="s">
        <v>266</v>
      </c>
      <c r="L1243">
        <v>2.65</v>
      </c>
      <c r="M1243">
        <v>1.51</v>
      </c>
      <c r="N1243" s="1" t="s">
        <v>10</v>
      </c>
    </row>
    <row r="1244" spans="10:14" x14ac:dyDescent="0.25">
      <c r="J1244" t="s">
        <v>271</v>
      </c>
      <c r="K1244" t="s">
        <v>266</v>
      </c>
      <c r="L1244">
        <v>2.5</v>
      </c>
      <c r="M1244">
        <v>1.52</v>
      </c>
      <c r="N1244" s="1" t="s">
        <v>10</v>
      </c>
    </row>
    <row r="1245" spans="10:14" x14ac:dyDescent="0.25">
      <c r="J1245" t="s">
        <v>271</v>
      </c>
      <c r="K1245" t="s">
        <v>266</v>
      </c>
      <c r="L1245">
        <v>2.5499999999999998</v>
      </c>
      <c r="M1245">
        <v>1.51</v>
      </c>
      <c r="N1245" s="1" t="s">
        <v>10</v>
      </c>
    </row>
    <row r="1246" spans="10:14" x14ac:dyDescent="0.25">
      <c r="J1246" t="s">
        <v>271</v>
      </c>
      <c r="K1246" t="s">
        <v>266</v>
      </c>
      <c r="L1246">
        <v>2.5499999999999998</v>
      </c>
      <c r="M1246">
        <v>1.51</v>
      </c>
      <c r="N1246" s="1" t="s">
        <v>10</v>
      </c>
    </row>
    <row r="1247" spans="10:14" x14ac:dyDescent="0.25">
      <c r="J1247" t="s">
        <v>271</v>
      </c>
      <c r="K1247" t="s">
        <v>266</v>
      </c>
      <c r="L1247">
        <v>2.65</v>
      </c>
      <c r="M1247">
        <v>1.51</v>
      </c>
      <c r="N1247" s="1" t="s">
        <v>10</v>
      </c>
    </row>
    <row r="1248" spans="10:14" x14ac:dyDescent="0.25">
      <c r="J1248" t="s">
        <v>272</v>
      </c>
      <c r="K1248" t="s">
        <v>266</v>
      </c>
      <c r="L1248">
        <v>3.7</v>
      </c>
      <c r="M1248">
        <v>1.3</v>
      </c>
      <c r="N1248" s="1" t="s">
        <v>10</v>
      </c>
    </row>
    <row r="1249" spans="10:14" x14ac:dyDescent="0.25">
      <c r="J1249" t="s">
        <v>272</v>
      </c>
      <c r="K1249" t="s">
        <v>266</v>
      </c>
      <c r="L1249">
        <v>3.7</v>
      </c>
      <c r="M1249">
        <v>1.3</v>
      </c>
      <c r="N1249" s="1" t="s">
        <v>10</v>
      </c>
    </row>
    <row r="1250" spans="10:14" x14ac:dyDescent="0.25">
      <c r="J1250" t="s">
        <v>272</v>
      </c>
      <c r="K1250" t="s">
        <v>266</v>
      </c>
      <c r="L1250">
        <v>3.75</v>
      </c>
      <c r="M1250">
        <v>1.29</v>
      </c>
      <c r="N1250" s="1" t="s">
        <v>10</v>
      </c>
    </row>
    <row r="1251" spans="10:14" x14ac:dyDescent="0.25">
      <c r="J1251" t="s">
        <v>272</v>
      </c>
      <c r="K1251" t="s">
        <v>266</v>
      </c>
      <c r="L1251">
        <v>3.6</v>
      </c>
      <c r="M1251">
        <v>1.29</v>
      </c>
      <c r="N1251" s="1" t="s">
        <v>10</v>
      </c>
    </row>
    <row r="1252" spans="10:14" x14ac:dyDescent="0.25">
      <c r="J1252" t="s">
        <v>272</v>
      </c>
      <c r="K1252" t="s">
        <v>266</v>
      </c>
      <c r="L1252">
        <v>3.4</v>
      </c>
      <c r="M1252">
        <v>1.3</v>
      </c>
      <c r="N1252" s="1" t="s">
        <v>10</v>
      </c>
    </row>
    <row r="1253" spans="10:14" x14ac:dyDescent="0.25">
      <c r="J1253" t="s">
        <v>272</v>
      </c>
      <c r="K1253" t="s">
        <v>266</v>
      </c>
      <c r="L1253">
        <v>3.65</v>
      </c>
      <c r="M1253">
        <v>1.27</v>
      </c>
      <c r="N1253" s="1" t="s">
        <v>10</v>
      </c>
    </row>
    <row r="1254" spans="10:14" x14ac:dyDescent="0.25">
      <c r="J1254" t="s">
        <v>272</v>
      </c>
      <c r="K1254" t="s">
        <v>266</v>
      </c>
      <c r="L1254">
        <v>3.55</v>
      </c>
      <c r="M1254">
        <v>1.3</v>
      </c>
      <c r="N1254" s="1" t="s">
        <v>10</v>
      </c>
    </row>
    <row r="1255" spans="10:14" x14ac:dyDescent="0.25">
      <c r="J1255" t="s">
        <v>272</v>
      </c>
      <c r="K1255" t="s">
        <v>266</v>
      </c>
      <c r="L1255">
        <v>3.55</v>
      </c>
      <c r="M1255">
        <v>1.3</v>
      </c>
      <c r="N1255" s="1" t="s">
        <v>10</v>
      </c>
    </row>
    <row r="1256" spans="10:14" x14ac:dyDescent="0.25">
      <c r="J1256" t="s">
        <v>272</v>
      </c>
      <c r="K1256" t="s">
        <v>266</v>
      </c>
      <c r="L1256">
        <v>3.65</v>
      </c>
      <c r="M1256">
        <v>1.29</v>
      </c>
      <c r="N1256" s="1" t="s">
        <v>10</v>
      </c>
    </row>
    <row r="1257" spans="10:14" x14ac:dyDescent="0.25">
      <c r="J1257" t="s">
        <v>96</v>
      </c>
      <c r="K1257" t="s">
        <v>97</v>
      </c>
      <c r="L1257">
        <v>3.15</v>
      </c>
      <c r="M1257">
        <v>1.39</v>
      </c>
      <c r="N1257" s="1" t="s">
        <v>10</v>
      </c>
    </row>
    <row r="1258" spans="10:14" x14ac:dyDescent="0.25">
      <c r="J1258" t="s">
        <v>96</v>
      </c>
      <c r="K1258" t="s">
        <v>97</v>
      </c>
      <c r="L1258">
        <v>3.15</v>
      </c>
      <c r="M1258">
        <v>1.39</v>
      </c>
      <c r="N1258" s="1" t="s">
        <v>10</v>
      </c>
    </row>
    <row r="1259" spans="10:14" x14ac:dyDescent="0.25">
      <c r="J1259" t="s">
        <v>96</v>
      </c>
      <c r="K1259" t="s">
        <v>97</v>
      </c>
      <c r="L1259">
        <v>3.1</v>
      </c>
      <c r="M1259">
        <v>1.39</v>
      </c>
      <c r="N1259" s="1" t="s">
        <v>10</v>
      </c>
    </row>
    <row r="1260" spans="10:14" x14ac:dyDescent="0.25">
      <c r="J1260" t="s">
        <v>96</v>
      </c>
      <c r="K1260" t="s">
        <v>97</v>
      </c>
      <c r="L1260">
        <v>3</v>
      </c>
      <c r="M1260">
        <v>1.38</v>
      </c>
      <c r="N1260" s="1" t="s">
        <v>10</v>
      </c>
    </row>
    <row r="1261" spans="10:14" x14ac:dyDescent="0.25">
      <c r="J1261" t="s">
        <v>96</v>
      </c>
      <c r="K1261" t="s">
        <v>97</v>
      </c>
      <c r="L1261">
        <v>3.05</v>
      </c>
      <c r="M1261">
        <v>1.4</v>
      </c>
      <c r="N1261" s="1" t="s">
        <v>10</v>
      </c>
    </row>
    <row r="1262" spans="10:14" x14ac:dyDescent="0.25">
      <c r="J1262" t="s">
        <v>96</v>
      </c>
      <c r="K1262" t="s">
        <v>97</v>
      </c>
      <c r="L1262">
        <v>3.05</v>
      </c>
      <c r="M1262">
        <v>1.39</v>
      </c>
      <c r="N1262" s="1" t="s">
        <v>10</v>
      </c>
    </row>
    <row r="1263" spans="10:14" x14ac:dyDescent="0.25">
      <c r="J1263" t="s">
        <v>96</v>
      </c>
      <c r="K1263" t="s">
        <v>97</v>
      </c>
      <c r="L1263">
        <v>3</v>
      </c>
      <c r="M1263">
        <v>1.38</v>
      </c>
      <c r="N1263" s="1" t="s">
        <v>10</v>
      </c>
    </row>
    <row r="1264" spans="10:14" x14ac:dyDescent="0.25">
      <c r="J1264" t="s">
        <v>96</v>
      </c>
      <c r="K1264" t="s">
        <v>97</v>
      </c>
      <c r="L1264">
        <v>3</v>
      </c>
      <c r="M1264">
        <v>1.4</v>
      </c>
      <c r="N1264" s="1" t="s">
        <v>10</v>
      </c>
    </row>
    <row r="1265" spans="10:14" x14ac:dyDescent="0.25">
      <c r="J1265" t="s">
        <v>96</v>
      </c>
      <c r="K1265" t="s">
        <v>97</v>
      </c>
      <c r="L1265">
        <v>3</v>
      </c>
      <c r="M1265">
        <v>1.4</v>
      </c>
      <c r="N1265" s="1" t="s">
        <v>10</v>
      </c>
    </row>
    <row r="1266" spans="10:14" x14ac:dyDescent="0.25">
      <c r="J1266" t="s">
        <v>98</v>
      </c>
      <c r="K1266" t="s">
        <v>97</v>
      </c>
      <c r="L1266">
        <v>1.4</v>
      </c>
      <c r="M1266">
        <v>3.1</v>
      </c>
      <c r="N1266" s="1" t="s">
        <v>10</v>
      </c>
    </row>
    <row r="1267" spans="10:14" x14ac:dyDescent="0.25">
      <c r="J1267" t="s">
        <v>98</v>
      </c>
      <c r="K1267" t="s">
        <v>97</v>
      </c>
      <c r="L1267">
        <v>1.4</v>
      </c>
      <c r="M1267">
        <v>3.1</v>
      </c>
      <c r="N1267" s="1" t="s">
        <v>10</v>
      </c>
    </row>
    <row r="1268" spans="10:14" x14ac:dyDescent="0.25">
      <c r="J1268" t="s">
        <v>98</v>
      </c>
      <c r="K1268" t="s">
        <v>97</v>
      </c>
      <c r="L1268">
        <v>1.41</v>
      </c>
      <c r="M1268">
        <v>3</v>
      </c>
      <c r="N1268" s="1" t="s">
        <v>10</v>
      </c>
    </row>
    <row r="1269" spans="10:14" x14ac:dyDescent="0.25">
      <c r="J1269" t="s">
        <v>98</v>
      </c>
      <c r="K1269" t="s">
        <v>97</v>
      </c>
      <c r="L1269">
        <v>1.42</v>
      </c>
      <c r="M1269">
        <v>2.95</v>
      </c>
      <c r="N1269" s="1" t="s">
        <v>10</v>
      </c>
    </row>
    <row r="1270" spans="10:14" x14ac:dyDescent="0.25">
      <c r="J1270" t="s">
        <v>98</v>
      </c>
      <c r="K1270" t="s">
        <v>97</v>
      </c>
      <c r="L1270">
        <v>1.4</v>
      </c>
      <c r="M1270">
        <v>3.05</v>
      </c>
      <c r="N1270" s="1" t="s">
        <v>10</v>
      </c>
    </row>
    <row r="1271" spans="10:14" x14ac:dyDescent="0.25">
      <c r="J1271" t="s">
        <v>98</v>
      </c>
      <c r="K1271" t="s">
        <v>97</v>
      </c>
      <c r="L1271">
        <v>1.4</v>
      </c>
      <c r="M1271">
        <v>3</v>
      </c>
      <c r="N1271" s="1" t="s">
        <v>10</v>
      </c>
    </row>
    <row r="1272" spans="10:14" x14ac:dyDescent="0.25">
      <c r="J1272" t="s">
        <v>98</v>
      </c>
      <c r="K1272" t="s">
        <v>97</v>
      </c>
      <c r="L1272">
        <v>1.38</v>
      </c>
      <c r="M1272">
        <v>3</v>
      </c>
      <c r="N1272" s="1" t="s">
        <v>10</v>
      </c>
    </row>
    <row r="1273" spans="10:14" x14ac:dyDescent="0.25">
      <c r="J1273" t="s">
        <v>98</v>
      </c>
      <c r="K1273" t="s">
        <v>97</v>
      </c>
      <c r="L1273">
        <v>1.4</v>
      </c>
      <c r="M1273">
        <v>2.95</v>
      </c>
      <c r="N1273" s="1" t="s">
        <v>10</v>
      </c>
    </row>
    <row r="1274" spans="10:14" x14ac:dyDescent="0.25">
      <c r="J1274" t="s">
        <v>98</v>
      </c>
      <c r="K1274" t="s">
        <v>97</v>
      </c>
      <c r="L1274">
        <v>1.4</v>
      </c>
      <c r="M1274">
        <v>2.95</v>
      </c>
      <c r="N1274" s="1" t="s">
        <v>10</v>
      </c>
    </row>
    <row r="1275" spans="10:14" x14ac:dyDescent="0.25">
      <c r="J1275" t="s">
        <v>99</v>
      </c>
      <c r="K1275" t="s">
        <v>97</v>
      </c>
      <c r="L1275">
        <v>1.36</v>
      </c>
      <c r="M1275">
        <v>3.35</v>
      </c>
      <c r="N1275" s="1" t="s">
        <v>10</v>
      </c>
    </row>
    <row r="1276" spans="10:14" x14ac:dyDescent="0.25">
      <c r="J1276" t="s">
        <v>99</v>
      </c>
      <c r="K1276" t="s">
        <v>97</v>
      </c>
      <c r="L1276">
        <v>1.36</v>
      </c>
      <c r="M1276">
        <v>3.35</v>
      </c>
      <c r="N1276" s="1" t="s">
        <v>10</v>
      </c>
    </row>
    <row r="1277" spans="10:14" x14ac:dyDescent="0.25">
      <c r="J1277" t="s">
        <v>99</v>
      </c>
      <c r="K1277" t="s">
        <v>97</v>
      </c>
      <c r="L1277">
        <v>1.34</v>
      </c>
      <c r="M1277">
        <v>3.4</v>
      </c>
      <c r="N1277" s="1" t="s">
        <v>10</v>
      </c>
    </row>
    <row r="1278" spans="10:14" x14ac:dyDescent="0.25">
      <c r="J1278" t="s">
        <v>99</v>
      </c>
      <c r="K1278" t="s">
        <v>97</v>
      </c>
      <c r="L1278">
        <v>1.35</v>
      </c>
      <c r="M1278">
        <v>3.25</v>
      </c>
      <c r="N1278" s="1" t="s">
        <v>10</v>
      </c>
    </row>
    <row r="1279" spans="10:14" x14ac:dyDescent="0.25">
      <c r="J1279" t="s">
        <v>99</v>
      </c>
      <c r="K1279" t="s">
        <v>97</v>
      </c>
      <c r="L1279">
        <v>1.36</v>
      </c>
      <c r="M1279">
        <v>3.3</v>
      </c>
      <c r="N1279" s="1" t="s">
        <v>10</v>
      </c>
    </row>
    <row r="1280" spans="10:14" x14ac:dyDescent="0.25">
      <c r="J1280" t="s">
        <v>99</v>
      </c>
      <c r="K1280" t="s">
        <v>97</v>
      </c>
      <c r="L1280">
        <v>1.36</v>
      </c>
      <c r="M1280">
        <v>3.15</v>
      </c>
      <c r="N1280" s="1" t="s">
        <v>10</v>
      </c>
    </row>
    <row r="1281" spans="10:14" x14ac:dyDescent="0.25">
      <c r="J1281" t="s">
        <v>99</v>
      </c>
      <c r="K1281" t="s">
        <v>97</v>
      </c>
      <c r="L1281">
        <v>1.36</v>
      </c>
      <c r="M1281">
        <v>3.15</v>
      </c>
      <c r="N1281" s="1" t="s">
        <v>10</v>
      </c>
    </row>
    <row r="1282" spans="10:14" x14ac:dyDescent="0.25">
      <c r="J1282" t="s">
        <v>99</v>
      </c>
      <c r="K1282" t="s">
        <v>97</v>
      </c>
      <c r="L1282">
        <v>1.36</v>
      </c>
      <c r="M1282">
        <v>3.2</v>
      </c>
      <c r="N1282" s="1" t="s">
        <v>10</v>
      </c>
    </row>
    <row r="1283" spans="10:14" x14ac:dyDescent="0.25">
      <c r="J1283" t="s">
        <v>99</v>
      </c>
      <c r="K1283" t="s">
        <v>97</v>
      </c>
      <c r="L1283">
        <v>1.32</v>
      </c>
      <c r="M1283">
        <v>3.3</v>
      </c>
      <c r="N1283" s="1" t="s">
        <v>10</v>
      </c>
    </row>
    <row r="1284" spans="10:14" x14ac:dyDescent="0.25">
      <c r="J1284" t="s">
        <v>122</v>
      </c>
      <c r="K1284" t="s">
        <v>97</v>
      </c>
      <c r="L1284">
        <v>1.32</v>
      </c>
      <c r="M1284">
        <v>3.6</v>
      </c>
      <c r="N1284" s="1" t="s">
        <v>10</v>
      </c>
    </row>
    <row r="1285" spans="10:14" x14ac:dyDescent="0.25">
      <c r="J1285" t="s">
        <v>122</v>
      </c>
      <c r="K1285" t="s">
        <v>97</v>
      </c>
      <c r="L1285">
        <v>1.32</v>
      </c>
      <c r="M1285">
        <v>3.4</v>
      </c>
      <c r="N1285" s="1" t="s">
        <v>10</v>
      </c>
    </row>
    <row r="1286" spans="10:14" x14ac:dyDescent="0.25">
      <c r="J1286" t="s">
        <v>122</v>
      </c>
      <c r="K1286" t="s">
        <v>97</v>
      </c>
      <c r="L1286">
        <v>1.32</v>
      </c>
      <c r="M1286">
        <v>3.6</v>
      </c>
      <c r="N1286" s="1" t="s">
        <v>10</v>
      </c>
    </row>
    <row r="1287" spans="10:14" x14ac:dyDescent="0.25">
      <c r="J1287" t="s">
        <v>122</v>
      </c>
      <c r="K1287" t="s">
        <v>97</v>
      </c>
      <c r="L1287">
        <v>1.34</v>
      </c>
      <c r="M1287">
        <v>3.4</v>
      </c>
      <c r="N1287" s="1" t="s">
        <v>10</v>
      </c>
    </row>
    <row r="1288" spans="10:14" x14ac:dyDescent="0.25">
      <c r="J1288" t="s">
        <v>122</v>
      </c>
      <c r="K1288" t="s">
        <v>97</v>
      </c>
      <c r="L1288">
        <v>1.33</v>
      </c>
      <c r="M1288">
        <v>3.4</v>
      </c>
      <c r="N1288" s="1" t="s">
        <v>10</v>
      </c>
    </row>
    <row r="1289" spans="10:14" x14ac:dyDescent="0.25">
      <c r="J1289" t="s">
        <v>122</v>
      </c>
      <c r="K1289" t="s">
        <v>97</v>
      </c>
      <c r="L1289">
        <v>1.32</v>
      </c>
      <c r="M1289">
        <v>3.35</v>
      </c>
      <c r="N1289" s="1" t="s">
        <v>10</v>
      </c>
    </row>
    <row r="1290" spans="10:14" x14ac:dyDescent="0.25">
      <c r="J1290" t="s">
        <v>122</v>
      </c>
      <c r="K1290" t="s">
        <v>97</v>
      </c>
      <c r="L1290">
        <v>1.29</v>
      </c>
      <c r="M1290">
        <v>3.5</v>
      </c>
      <c r="N1290" s="1" t="s">
        <v>10</v>
      </c>
    </row>
    <row r="1291" spans="10:14" x14ac:dyDescent="0.25">
      <c r="J1291" t="s">
        <v>122</v>
      </c>
      <c r="K1291" t="s">
        <v>97</v>
      </c>
      <c r="L1291">
        <v>1.33</v>
      </c>
      <c r="M1291">
        <v>3.3</v>
      </c>
      <c r="N1291" s="1" t="s">
        <v>10</v>
      </c>
    </row>
    <row r="1292" spans="10:14" x14ac:dyDescent="0.25">
      <c r="J1292" t="s">
        <v>122</v>
      </c>
      <c r="K1292" t="s">
        <v>97</v>
      </c>
      <c r="L1292">
        <v>1.33</v>
      </c>
      <c r="M1292">
        <v>3.3</v>
      </c>
      <c r="N1292" s="1" t="s">
        <v>10</v>
      </c>
    </row>
    <row r="1293" spans="10:14" x14ac:dyDescent="0.25">
      <c r="J1293" t="s">
        <v>123</v>
      </c>
      <c r="K1293" t="s">
        <v>97</v>
      </c>
      <c r="L1293">
        <v>3.06</v>
      </c>
      <c r="M1293">
        <v>1.42</v>
      </c>
      <c r="N1293" s="1" t="s">
        <v>10</v>
      </c>
    </row>
    <row r="1294" spans="10:14" x14ac:dyDescent="0.25">
      <c r="J1294" t="s">
        <v>123</v>
      </c>
      <c r="K1294" t="s">
        <v>97</v>
      </c>
      <c r="L1294">
        <v>2.95</v>
      </c>
      <c r="M1294">
        <v>1.42</v>
      </c>
      <c r="N1294" s="1" t="s">
        <v>10</v>
      </c>
    </row>
    <row r="1295" spans="10:14" x14ac:dyDescent="0.25">
      <c r="J1295" t="s">
        <v>123</v>
      </c>
      <c r="K1295" t="s">
        <v>97</v>
      </c>
      <c r="L1295">
        <v>3.06</v>
      </c>
      <c r="M1295">
        <v>1.42</v>
      </c>
      <c r="N1295" s="1" t="s">
        <v>10</v>
      </c>
    </row>
    <row r="1296" spans="10:14" x14ac:dyDescent="0.25">
      <c r="J1296" t="s">
        <v>123</v>
      </c>
      <c r="K1296" t="s">
        <v>97</v>
      </c>
      <c r="L1296">
        <v>3</v>
      </c>
      <c r="M1296">
        <v>1.41</v>
      </c>
      <c r="N1296" s="1" t="s">
        <v>10</v>
      </c>
    </row>
    <row r="1297" spans="10:14" x14ac:dyDescent="0.25">
      <c r="J1297" t="s">
        <v>123</v>
      </c>
      <c r="K1297" t="s">
        <v>97</v>
      </c>
      <c r="L1297">
        <v>3.05</v>
      </c>
      <c r="M1297">
        <v>1.4</v>
      </c>
      <c r="N1297" s="1" t="s">
        <v>10</v>
      </c>
    </row>
    <row r="1298" spans="10:14" x14ac:dyDescent="0.25">
      <c r="J1298" t="s">
        <v>123</v>
      </c>
      <c r="K1298" t="s">
        <v>97</v>
      </c>
      <c r="L1298">
        <v>3</v>
      </c>
      <c r="M1298">
        <v>1.4</v>
      </c>
      <c r="N1298" s="1" t="s">
        <v>10</v>
      </c>
    </row>
    <row r="1299" spans="10:14" x14ac:dyDescent="0.25">
      <c r="J1299" t="s">
        <v>123</v>
      </c>
      <c r="K1299" t="s">
        <v>97</v>
      </c>
      <c r="L1299">
        <v>3</v>
      </c>
      <c r="M1299">
        <v>1.38</v>
      </c>
      <c r="N1299" s="1" t="s">
        <v>10</v>
      </c>
    </row>
    <row r="1300" spans="10:14" x14ac:dyDescent="0.25">
      <c r="J1300" t="s">
        <v>123</v>
      </c>
      <c r="K1300" t="s">
        <v>97</v>
      </c>
      <c r="L1300">
        <v>3</v>
      </c>
      <c r="M1300">
        <v>1.4</v>
      </c>
      <c r="N1300" s="1" t="s">
        <v>10</v>
      </c>
    </row>
    <row r="1301" spans="10:14" x14ac:dyDescent="0.25">
      <c r="J1301" t="s">
        <v>123</v>
      </c>
      <c r="K1301" t="s">
        <v>97</v>
      </c>
      <c r="L1301">
        <v>3</v>
      </c>
      <c r="M1301">
        <v>1.4</v>
      </c>
      <c r="N1301" s="1" t="s">
        <v>10</v>
      </c>
    </row>
    <row r="1302" spans="10:14" x14ac:dyDescent="0.25">
      <c r="J1302" t="s">
        <v>273</v>
      </c>
      <c r="K1302" t="s">
        <v>274</v>
      </c>
      <c r="L1302">
        <v>4.75</v>
      </c>
      <c r="M1302">
        <v>1.18</v>
      </c>
      <c r="N1302" s="1" t="s">
        <v>10</v>
      </c>
    </row>
    <row r="1303" spans="10:14" x14ac:dyDescent="0.25">
      <c r="J1303" t="s">
        <v>273</v>
      </c>
      <c r="K1303" t="s">
        <v>274</v>
      </c>
      <c r="L1303">
        <v>5</v>
      </c>
      <c r="M1303">
        <v>1.19</v>
      </c>
      <c r="N1303" s="1" t="s">
        <v>10</v>
      </c>
    </row>
    <row r="1304" spans="10:14" x14ac:dyDescent="0.25">
      <c r="J1304" t="s">
        <v>273</v>
      </c>
      <c r="K1304" t="s">
        <v>274</v>
      </c>
      <c r="L1304">
        <v>4.8499999999999996</v>
      </c>
      <c r="M1304">
        <v>1.18</v>
      </c>
      <c r="N1304" s="1" t="s">
        <v>10</v>
      </c>
    </row>
    <row r="1305" spans="10:14" x14ac:dyDescent="0.25">
      <c r="J1305" t="s">
        <v>273</v>
      </c>
      <c r="K1305" t="s">
        <v>274</v>
      </c>
      <c r="L1305">
        <v>5</v>
      </c>
      <c r="M1305">
        <v>1.1599999999999999</v>
      </c>
      <c r="N1305" s="1" t="s">
        <v>10</v>
      </c>
    </row>
    <row r="1306" spans="10:14" x14ac:dyDescent="0.25">
      <c r="J1306" t="s">
        <v>273</v>
      </c>
      <c r="K1306" t="s">
        <v>274</v>
      </c>
      <c r="L1306">
        <v>5.01</v>
      </c>
      <c r="M1306">
        <v>1.18</v>
      </c>
      <c r="N1306" s="1" t="s">
        <v>10</v>
      </c>
    </row>
    <row r="1307" spans="10:14" x14ac:dyDescent="0.25">
      <c r="J1307" t="s">
        <v>273</v>
      </c>
      <c r="K1307" t="s">
        <v>274</v>
      </c>
      <c r="L1307">
        <v>5.01</v>
      </c>
      <c r="M1307">
        <v>1.18</v>
      </c>
      <c r="N1307" s="1" t="s">
        <v>10</v>
      </c>
    </row>
    <row r="1308" spans="10:14" x14ac:dyDescent="0.25">
      <c r="J1308" t="s">
        <v>273</v>
      </c>
      <c r="K1308" t="s">
        <v>274</v>
      </c>
      <c r="L1308">
        <v>5</v>
      </c>
      <c r="M1308">
        <v>1.18</v>
      </c>
      <c r="N1308" s="1" t="s">
        <v>10</v>
      </c>
    </row>
    <row r="1309" spans="10:14" x14ac:dyDescent="0.25">
      <c r="J1309" t="s">
        <v>273</v>
      </c>
      <c r="K1309" t="s">
        <v>274</v>
      </c>
      <c r="L1309">
        <v>5</v>
      </c>
      <c r="M1309">
        <v>1.18</v>
      </c>
      <c r="N1309" s="1" t="s">
        <v>10</v>
      </c>
    </row>
    <row r="1310" spans="10:14" x14ac:dyDescent="0.25">
      <c r="J1310" t="s">
        <v>273</v>
      </c>
      <c r="K1310" t="s">
        <v>274</v>
      </c>
      <c r="L1310">
        <v>5</v>
      </c>
      <c r="M1310">
        <v>1.18</v>
      </c>
      <c r="N1310" s="1" t="s">
        <v>10</v>
      </c>
    </row>
    <row r="1311" spans="10:14" x14ac:dyDescent="0.25">
      <c r="J1311" t="s">
        <v>420</v>
      </c>
      <c r="K1311" t="s">
        <v>421</v>
      </c>
      <c r="L1311">
        <v>1.68</v>
      </c>
      <c r="M1311">
        <v>2.27</v>
      </c>
      <c r="N1311" s="1" t="s">
        <v>10</v>
      </c>
    </row>
    <row r="1312" spans="10:14" x14ac:dyDescent="0.25">
      <c r="J1312" t="s">
        <v>420</v>
      </c>
      <c r="K1312" t="s">
        <v>421</v>
      </c>
      <c r="L1312">
        <v>1.68</v>
      </c>
      <c r="M1312">
        <v>2.27</v>
      </c>
      <c r="N1312" s="1" t="s">
        <v>10</v>
      </c>
    </row>
    <row r="1313" spans="10:14" x14ac:dyDescent="0.25">
      <c r="J1313" t="s">
        <v>420</v>
      </c>
      <c r="K1313" t="s">
        <v>421</v>
      </c>
      <c r="L1313">
        <v>1.7</v>
      </c>
      <c r="M1313">
        <v>2.2000000000000002</v>
      </c>
      <c r="N1313" s="1" t="s">
        <v>10</v>
      </c>
    </row>
    <row r="1314" spans="10:14" x14ac:dyDescent="0.25">
      <c r="J1314" t="s">
        <v>420</v>
      </c>
      <c r="K1314" t="s">
        <v>421</v>
      </c>
      <c r="L1314">
        <v>1.68</v>
      </c>
      <c r="M1314">
        <v>2.14</v>
      </c>
      <c r="N1314" s="1" t="s">
        <v>10</v>
      </c>
    </row>
    <row r="1315" spans="10:14" x14ac:dyDescent="0.25">
      <c r="J1315" t="s">
        <v>420</v>
      </c>
      <c r="K1315" t="s">
        <v>421</v>
      </c>
      <c r="L1315">
        <v>1.69</v>
      </c>
      <c r="M1315">
        <v>2.15</v>
      </c>
      <c r="N1315" s="1" t="s">
        <v>10</v>
      </c>
    </row>
    <row r="1316" spans="10:14" x14ac:dyDescent="0.25">
      <c r="J1316" t="s">
        <v>420</v>
      </c>
      <c r="K1316" t="s">
        <v>421</v>
      </c>
      <c r="L1316">
        <v>1.69</v>
      </c>
      <c r="M1316">
        <v>2.1</v>
      </c>
      <c r="N1316" s="1" t="s">
        <v>10</v>
      </c>
    </row>
    <row r="1317" spans="10:14" x14ac:dyDescent="0.25">
      <c r="J1317" t="s">
        <v>420</v>
      </c>
      <c r="K1317" t="s">
        <v>421</v>
      </c>
      <c r="L1317">
        <v>1.69</v>
      </c>
      <c r="M1317">
        <v>2.2200000000000002</v>
      </c>
      <c r="N1317" s="1" t="s">
        <v>10</v>
      </c>
    </row>
    <row r="1318" spans="10:14" x14ac:dyDescent="0.25">
      <c r="J1318" t="s">
        <v>422</v>
      </c>
      <c r="K1318" t="s">
        <v>421</v>
      </c>
      <c r="L1318">
        <v>3.4</v>
      </c>
      <c r="M1318">
        <v>1.36</v>
      </c>
      <c r="N1318" s="1" t="s">
        <v>10</v>
      </c>
    </row>
    <row r="1319" spans="10:14" x14ac:dyDescent="0.25">
      <c r="J1319" t="s">
        <v>422</v>
      </c>
      <c r="K1319" t="s">
        <v>421</v>
      </c>
      <c r="L1319">
        <v>3.2</v>
      </c>
      <c r="M1319">
        <v>1.36</v>
      </c>
      <c r="N1319" s="1" t="s">
        <v>10</v>
      </c>
    </row>
    <row r="1320" spans="10:14" x14ac:dyDescent="0.25">
      <c r="J1320" t="s">
        <v>422</v>
      </c>
      <c r="K1320" t="s">
        <v>421</v>
      </c>
      <c r="L1320">
        <v>3.4</v>
      </c>
      <c r="M1320">
        <v>1.36</v>
      </c>
      <c r="N1320" s="1" t="s">
        <v>10</v>
      </c>
    </row>
    <row r="1321" spans="10:14" x14ac:dyDescent="0.25">
      <c r="J1321" t="s">
        <v>422</v>
      </c>
      <c r="K1321" t="s">
        <v>421</v>
      </c>
      <c r="L1321">
        <v>3.2</v>
      </c>
      <c r="M1321">
        <v>1.36</v>
      </c>
      <c r="N1321" s="1" t="s">
        <v>10</v>
      </c>
    </row>
    <row r="1322" spans="10:14" x14ac:dyDescent="0.25">
      <c r="J1322" t="s">
        <v>422</v>
      </c>
      <c r="K1322" t="s">
        <v>421</v>
      </c>
      <c r="L1322">
        <v>3.3</v>
      </c>
      <c r="M1322">
        <v>1.35</v>
      </c>
      <c r="N1322" s="1" t="s">
        <v>10</v>
      </c>
    </row>
    <row r="1323" spans="10:14" x14ac:dyDescent="0.25">
      <c r="J1323" t="s">
        <v>422</v>
      </c>
      <c r="K1323" t="s">
        <v>421</v>
      </c>
      <c r="L1323">
        <v>3.3</v>
      </c>
      <c r="M1323">
        <v>1.36</v>
      </c>
      <c r="N1323" s="1" t="s">
        <v>10</v>
      </c>
    </row>
    <row r="1324" spans="10:14" x14ac:dyDescent="0.25">
      <c r="J1324" t="s">
        <v>423</v>
      </c>
      <c r="K1324" t="s">
        <v>424</v>
      </c>
      <c r="L1324">
        <v>2.0499999999999998</v>
      </c>
      <c r="M1324">
        <v>1.8</v>
      </c>
      <c r="N1324" s="1" t="s">
        <v>10</v>
      </c>
    </row>
    <row r="1325" spans="10:14" x14ac:dyDescent="0.25">
      <c r="J1325" t="s">
        <v>423</v>
      </c>
      <c r="K1325" t="s">
        <v>424</v>
      </c>
      <c r="L1325">
        <v>2.0499999999999998</v>
      </c>
      <c r="M1325">
        <v>1.8</v>
      </c>
      <c r="N1325" s="1" t="s">
        <v>10</v>
      </c>
    </row>
    <row r="1326" spans="10:14" x14ac:dyDescent="0.25">
      <c r="J1326" t="s">
        <v>423</v>
      </c>
      <c r="K1326" t="s">
        <v>424</v>
      </c>
      <c r="L1326">
        <v>2.02</v>
      </c>
      <c r="M1326">
        <v>1.82</v>
      </c>
      <c r="N1326" s="1" t="s">
        <v>10</v>
      </c>
    </row>
    <row r="1327" spans="10:14" x14ac:dyDescent="0.25">
      <c r="J1327" t="s">
        <v>423</v>
      </c>
      <c r="K1327" t="s">
        <v>424</v>
      </c>
      <c r="L1327">
        <v>1.95</v>
      </c>
      <c r="M1327">
        <v>1.8</v>
      </c>
      <c r="N1327" s="1" t="s">
        <v>10</v>
      </c>
    </row>
    <row r="1328" spans="10:14" x14ac:dyDescent="0.25">
      <c r="J1328" t="s">
        <v>423</v>
      </c>
      <c r="K1328" t="s">
        <v>424</v>
      </c>
      <c r="L1328">
        <v>2</v>
      </c>
      <c r="M1328">
        <v>1.78</v>
      </c>
      <c r="N1328" s="1" t="s">
        <v>10</v>
      </c>
    </row>
    <row r="1329" spans="10:14" x14ac:dyDescent="0.25">
      <c r="J1329" t="s">
        <v>423</v>
      </c>
      <c r="K1329" t="s">
        <v>424</v>
      </c>
      <c r="L1329">
        <v>2.0499999999999998</v>
      </c>
      <c r="M1329">
        <v>1.8</v>
      </c>
      <c r="N1329" s="1" t="s">
        <v>10</v>
      </c>
    </row>
    <row r="1330" spans="10:14" x14ac:dyDescent="0.25">
      <c r="J1330" t="s">
        <v>425</v>
      </c>
      <c r="K1330" t="s">
        <v>426</v>
      </c>
      <c r="L1330">
        <v>2.4</v>
      </c>
      <c r="M1330">
        <v>1.54</v>
      </c>
      <c r="N1330" s="1" t="s">
        <v>10</v>
      </c>
    </row>
    <row r="1331" spans="10:14" x14ac:dyDescent="0.25">
      <c r="J1331" t="s">
        <v>425</v>
      </c>
      <c r="K1331" t="s">
        <v>426</v>
      </c>
      <c r="L1331">
        <v>2.5</v>
      </c>
      <c r="M1331">
        <v>1.56</v>
      </c>
      <c r="N1331" s="1" t="s">
        <v>10</v>
      </c>
    </row>
    <row r="1332" spans="10:14" x14ac:dyDescent="0.25">
      <c r="J1332" t="s">
        <v>425</v>
      </c>
      <c r="K1332" t="s">
        <v>426</v>
      </c>
      <c r="L1332">
        <v>2.65</v>
      </c>
      <c r="M1332">
        <v>1.53</v>
      </c>
      <c r="N1332" s="1" t="s">
        <v>10</v>
      </c>
    </row>
    <row r="1333" spans="10:14" x14ac:dyDescent="0.25">
      <c r="J1333" t="s">
        <v>425</v>
      </c>
      <c r="K1333" t="s">
        <v>426</v>
      </c>
      <c r="L1333">
        <v>2.65</v>
      </c>
      <c r="M1333">
        <v>1.53</v>
      </c>
      <c r="N1333" s="1" t="s">
        <v>10</v>
      </c>
    </row>
    <row r="1334" spans="10:14" x14ac:dyDescent="0.25">
      <c r="J1334" t="s">
        <v>425</v>
      </c>
      <c r="K1334" t="s">
        <v>426</v>
      </c>
      <c r="L1334">
        <v>2.42</v>
      </c>
      <c r="M1334">
        <v>1.54</v>
      </c>
      <c r="N1334" s="1" t="s">
        <v>10</v>
      </c>
    </row>
    <row r="1335" spans="10:14" x14ac:dyDescent="0.25">
      <c r="J1335" t="s">
        <v>425</v>
      </c>
      <c r="K1335" t="s">
        <v>426</v>
      </c>
      <c r="L1335">
        <v>2.6</v>
      </c>
      <c r="M1335">
        <v>1.53</v>
      </c>
      <c r="N1335" s="1" t="s">
        <v>10</v>
      </c>
    </row>
    <row r="1336" spans="10:14" x14ac:dyDescent="0.25">
      <c r="J1336" t="s">
        <v>425</v>
      </c>
      <c r="K1336" t="s">
        <v>426</v>
      </c>
      <c r="L1336">
        <v>2.6</v>
      </c>
      <c r="M1336">
        <v>1.53</v>
      </c>
      <c r="N1336" s="1" t="s">
        <v>10</v>
      </c>
    </row>
    <row r="1337" spans="10:14" x14ac:dyDescent="0.25">
      <c r="J1337" t="s">
        <v>427</v>
      </c>
      <c r="K1337" t="s">
        <v>428</v>
      </c>
      <c r="L1337">
        <v>2.2599999999999998</v>
      </c>
      <c r="M1337">
        <v>1.68</v>
      </c>
      <c r="N1337" s="1" t="s">
        <v>10</v>
      </c>
    </row>
    <row r="1338" spans="10:14" x14ac:dyDescent="0.25">
      <c r="J1338" t="s">
        <v>427</v>
      </c>
      <c r="K1338" t="s">
        <v>428</v>
      </c>
      <c r="L1338">
        <v>2.2599999999999998</v>
      </c>
      <c r="M1338">
        <v>1.69</v>
      </c>
      <c r="N1338" s="1" t="s">
        <v>10</v>
      </c>
    </row>
    <row r="1339" spans="10:14" x14ac:dyDescent="0.25">
      <c r="J1339" t="s">
        <v>427</v>
      </c>
      <c r="K1339" t="s">
        <v>428</v>
      </c>
      <c r="L1339">
        <v>2.2999999999999998</v>
      </c>
      <c r="M1339">
        <v>1.65</v>
      </c>
      <c r="N1339" s="1" t="s">
        <v>10</v>
      </c>
    </row>
    <row r="1340" spans="10:14" x14ac:dyDescent="0.25">
      <c r="J1340" t="s">
        <v>427</v>
      </c>
      <c r="K1340" t="s">
        <v>428</v>
      </c>
      <c r="L1340">
        <v>2.2400000000000002</v>
      </c>
      <c r="M1340">
        <v>1.65</v>
      </c>
      <c r="N1340" s="1" t="s">
        <v>10</v>
      </c>
    </row>
    <row r="1341" spans="10:14" x14ac:dyDescent="0.25">
      <c r="J1341" t="s">
        <v>427</v>
      </c>
      <c r="K1341" t="s">
        <v>428</v>
      </c>
      <c r="L1341">
        <v>2.2400000000000002</v>
      </c>
      <c r="M1341">
        <v>1.63</v>
      </c>
      <c r="N1341" s="1" t="s">
        <v>10</v>
      </c>
    </row>
    <row r="1342" spans="10:14" x14ac:dyDescent="0.25">
      <c r="J1342" t="s">
        <v>427</v>
      </c>
      <c r="K1342" t="s">
        <v>428</v>
      </c>
      <c r="L1342">
        <v>2.15</v>
      </c>
      <c r="M1342">
        <v>1.69</v>
      </c>
      <c r="N1342" s="1" t="s">
        <v>10</v>
      </c>
    </row>
    <row r="1343" spans="10:14" x14ac:dyDescent="0.25">
      <c r="J1343" t="s">
        <v>427</v>
      </c>
      <c r="K1343" t="s">
        <v>428</v>
      </c>
      <c r="L1343">
        <v>2.2200000000000002</v>
      </c>
      <c r="M1343">
        <v>1.69</v>
      </c>
      <c r="N1343" s="1" t="s">
        <v>10</v>
      </c>
    </row>
    <row r="1344" spans="10:14" x14ac:dyDescent="0.25">
      <c r="J1344" t="s">
        <v>429</v>
      </c>
      <c r="K1344" t="s">
        <v>430</v>
      </c>
      <c r="L1344">
        <v>1.57</v>
      </c>
      <c r="M1344">
        <v>2.5099999999999998</v>
      </c>
      <c r="N1344" s="1" t="s">
        <v>10</v>
      </c>
    </row>
    <row r="1345" spans="10:14" x14ac:dyDescent="0.25">
      <c r="J1345" t="s">
        <v>429</v>
      </c>
      <c r="K1345" t="s">
        <v>430</v>
      </c>
      <c r="L1345">
        <v>1.57</v>
      </c>
      <c r="M1345">
        <v>2.5099999999999998</v>
      </c>
      <c r="N1345" s="1" t="s">
        <v>10</v>
      </c>
    </row>
    <row r="1346" spans="10:14" x14ac:dyDescent="0.25">
      <c r="J1346" t="s">
        <v>429</v>
      </c>
      <c r="K1346" t="s">
        <v>430</v>
      </c>
      <c r="L1346">
        <v>1.56</v>
      </c>
      <c r="M1346">
        <v>2.5</v>
      </c>
      <c r="N1346" s="1" t="s">
        <v>10</v>
      </c>
    </row>
    <row r="1347" spans="10:14" x14ac:dyDescent="0.25">
      <c r="J1347" t="s">
        <v>429</v>
      </c>
      <c r="K1347" t="s">
        <v>430</v>
      </c>
      <c r="L1347">
        <v>1.57</v>
      </c>
      <c r="M1347">
        <v>2.42</v>
      </c>
      <c r="N1347" s="1" t="s">
        <v>10</v>
      </c>
    </row>
    <row r="1348" spans="10:14" x14ac:dyDescent="0.25">
      <c r="J1348" t="s">
        <v>429</v>
      </c>
      <c r="K1348" t="s">
        <v>430</v>
      </c>
      <c r="L1348">
        <v>1.53</v>
      </c>
      <c r="M1348">
        <v>2.46</v>
      </c>
      <c r="N1348" s="1" t="s">
        <v>10</v>
      </c>
    </row>
    <row r="1349" spans="10:14" x14ac:dyDescent="0.25">
      <c r="J1349" t="s">
        <v>429</v>
      </c>
      <c r="K1349" t="s">
        <v>430</v>
      </c>
      <c r="L1349">
        <v>1.57</v>
      </c>
      <c r="M1349">
        <v>2.4500000000000002</v>
      </c>
      <c r="N1349" s="1" t="s">
        <v>10</v>
      </c>
    </row>
    <row r="1350" spans="10:14" x14ac:dyDescent="0.25">
      <c r="J1350" t="s">
        <v>429</v>
      </c>
      <c r="K1350" t="s">
        <v>430</v>
      </c>
      <c r="L1350">
        <v>1.57</v>
      </c>
      <c r="M1350">
        <v>2.5</v>
      </c>
      <c r="N1350" s="1" t="s">
        <v>10</v>
      </c>
    </row>
    <row r="1351" spans="10:14" x14ac:dyDescent="0.25">
      <c r="J1351" t="s">
        <v>39</v>
      </c>
      <c r="K1351" t="s">
        <v>37</v>
      </c>
      <c r="L1351">
        <v>1.18</v>
      </c>
      <c r="M1351">
        <v>4.8499999999999996</v>
      </c>
      <c r="N1351" s="1" t="s">
        <v>10</v>
      </c>
    </row>
    <row r="1352" spans="10:14" x14ac:dyDescent="0.25">
      <c r="J1352" t="s">
        <v>39</v>
      </c>
      <c r="K1352" t="s">
        <v>37</v>
      </c>
      <c r="L1352">
        <v>1.18</v>
      </c>
      <c r="M1352">
        <v>4.8499999999999996</v>
      </c>
      <c r="N1352" s="1" t="s">
        <v>10</v>
      </c>
    </row>
    <row r="1353" spans="10:14" x14ac:dyDescent="0.25">
      <c r="J1353" t="s">
        <v>39</v>
      </c>
      <c r="K1353" t="s">
        <v>37</v>
      </c>
      <c r="L1353">
        <v>1.19</v>
      </c>
      <c r="M1353">
        <v>4.5</v>
      </c>
      <c r="N1353" s="1" t="s">
        <v>10</v>
      </c>
    </row>
    <row r="1354" spans="10:14" x14ac:dyDescent="0.25">
      <c r="J1354" t="s">
        <v>39</v>
      </c>
      <c r="K1354" t="s">
        <v>37</v>
      </c>
      <c r="L1354">
        <v>1.2</v>
      </c>
      <c r="M1354">
        <v>4.8</v>
      </c>
      <c r="N1354" s="1" t="s">
        <v>10</v>
      </c>
    </row>
    <row r="1355" spans="10:14" x14ac:dyDescent="0.25">
      <c r="J1355" t="s">
        <v>39</v>
      </c>
      <c r="K1355" t="s">
        <v>37</v>
      </c>
      <c r="L1355">
        <v>1.22</v>
      </c>
      <c r="M1355">
        <v>4.5</v>
      </c>
      <c r="N1355" s="1" t="s">
        <v>10</v>
      </c>
    </row>
    <row r="1356" spans="10:14" x14ac:dyDescent="0.25">
      <c r="J1356" t="s">
        <v>39</v>
      </c>
      <c r="K1356" t="s">
        <v>37</v>
      </c>
      <c r="L1356">
        <v>1.19</v>
      </c>
      <c r="M1356">
        <v>4.8</v>
      </c>
      <c r="N1356" s="1" t="s">
        <v>10</v>
      </c>
    </row>
    <row r="1357" spans="10:14" x14ac:dyDescent="0.25">
      <c r="J1357" t="s">
        <v>39</v>
      </c>
      <c r="K1357" t="s">
        <v>37</v>
      </c>
      <c r="L1357">
        <v>1.19</v>
      </c>
      <c r="M1357">
        <v>4.8</v>
      </c>
      <c r="N1357" s="1" t="s">
        <v>10</v>
      </c>
    </row>
    <row r="1358" spans="10:14" x14ac:dyDescent="0.25">
      <c r="J1358" t="s">
        <v>38</v>
      </c>
      <c r="K1358" t="s">
        <v>37</v>
      </c>
      <c r="L1358">
        <v>1.34</v>
      </c>
      <c r="M1358">
        <v>3.55</v>
      </c>
      <c r="N1358" s="1" t="s">
        <v>10</v>
      </c>
    </row>
    <row r="1359" spans="10:14" x14ac:dyDescent="0.25">
      <c r="J1359" t="s">
        <v>38</v>
      </c>
      <c r="K1359" t="s">
        <v>37</v>
      </c>
      <c r="L1359">
        <v>1.34</v>
      </c>
      <c r="M1359">
        <v>3.55</v>
      </c>
      <c r="N1359" s="1" t="s">
        <v>10</v>
      </c>
    </row>
    <row r="1360" spans="10:14" x14ac:dyDescent="0.25">
      <c r="J1360" t="s">
        <v>38</v>
      </c>
      <c r="K1360" t="s">
        <v>37</v>
      </c>
      <c r="L1360">
        <v>1.29</v>
      </c>
      <c r="M1360">
        <v>3.5</v>
      </c>
      <c r="N1360" s="1" t="s">
        <v>10</v>
      </c>
    </row>
    <row r="1361" spans="10:14" x14ac:dyDescent="0.25">
      <c r="J1361" t="s">
        <v>38</v>
      </c>
      <c r="K1361" t="s">
        <v>37</v>
      </c>
      <c r="L1361">
        <v>1.31</v>
      </c>
      <c r="M1361">
        <v>3.6</v>
      </c>
      <c r="N1361" s="1" t="s">
        <v>10</v>
      </c>
    </row>
    <row r="1362" spans="10:14" x14ac:dyDescent="0.25">
      <c r="J1362" t="s">
        <v>38</v>
      </c>
      <c r="K1362" t="s">
        <v>37</v>
      </c>
      <c r="L1362">
        <v>1.31</v>
      </c>
      <c r="M1362">
        <v>3.6</v>
      </c>
      <c r="N1362" s="1" t="s">
        <v>10</v>
      </c>
    </row>
    <row r="1363" spans="10:14" x14ac:dyDescent="0.25">
      <c r="J1363" t="s">
        <v>38</v>
      </c>
      <c r="K1363" t="s">
        <v>37</v>
      </c>
      <c r="L1363">
        <v>1.3</v>
      </c>
      <c r="M1363">
        <v>3.5</v>
      </c>
      <c r="N1363" s="1" t="s">
        <v>10</v>
      </c>
    </row>
    <row r="1364" spans="10:14" x14ac:dyDescent="0.25">
      <c r="J1364" t="s">
        <v>38</v>
      </c>
      <c r="K1364" t="s">
        <v>37</v>
      </c>
      <c r="L1364">
        <v>1.3</v>
      </c>
      <c r="M1364">
        <v>3.5</v>
      </c>
      <c r="N1364" s="1" t="s">
        <v>10</v>
      </c>
    </row>
    <row r="1365" spans="10:14" x14ac:dyDescent="0.25">
      <c r="J1365" t="s">
        <v>41</v>
      </c>
      <c r="K1365" t="s">
        <v>57</v>
      </c>
      <c r="L1365">
        <v>1.95</v>
      </c>
      <c r="M1365">
        <v>1.87</v>
      </c>
      <c r="N1365" s="1" t="s">
        <v>10</v>
      </c>
    </row>
    <row r="1366" spans="10:14" x14ac:dyDescent="0.25">
      <c r="J1366" t="s">
        <v>41</v>
      </c>
      <c r="K1366" t="s">
        <v>57</v>
      </c>
      <c r="L1366">
        <v>2.0499999999999998</v>
      </c>
      <c r="M1366">
        <v>1.8</v>
      </c>
      <c r="N1366" s="1" t="s">
        <v>10</v>
      </c>
    </row>
    <row r="1367" spans="10:14" x14ac:dyDescent="0.25">
      <c r="J1367" t="s">
        <v>41</v>
      </c>
      <c r="K1367" t="s">
        <v>57</v>
      </c>
      <c r="L1367">
        <v>1.95</v>
      </c>
      <c r="M1367">
        <v>1.87</v>
      </c>
      <c r="N1367" s="1" t="s">
        <v>10</v>
      </c>
    </row>
    <row r="1368" spans="10:14" x14ac:dyDescent="0.25">
      <c r="J1368" t="s">
        <v>41</v>
      </c>
      <c r="K1368" t="s">
        <v>57</v>
      </c>
      <c r="L1368">
        <v>2</v>
      </c>
      <c r="M1368">
        <v>1.83</v>
      </c>
      <c r="N1368" s="1" t="s">
        <v>10</v>
      </c>
    </row>
    <row r="1369" spans="10:14" x14ac:dyDescent="0.25">
      <c r="J1369" t="s">
        <v>41</v>
      </c>
      <c r="K1369" t="s">
        <v>57</v>
      </c>
      <c r="L1369">
        <v>2.02</v>
      </c>
      <c r="M1369">
        <v>1.77</v>
      </c>
      <c r="N1369" s="1" t="s">
        <v>10</v>
      </c>
    </row>
    <row r="1370" spans="10:14" x14ac:dyDescent="0.25">
      <c r="J1370" t="s">
        <v>41</v>
      </c>
      <c r="K1370" t="s">
        <v>57</v>
      </c>
      <c r="L1370">
        <v>2.0699999999999998</v>
      </c>
      <c r="M1370">
        <v>1.76</v>
      </c>
      <c r="N1370" s="1" t="s">
        <v>10</v>
      </c>
    </row>
    <row r="1371" spans="10:14" x14ac:dyDescent="0.25">
      <c r="J1371" t="s">
        <v>41</v>
      </c>
      <c r="K1371" t="s">
        <v>57</v>
      </c>
      <c r="L1371">
        <v>2.0699999999999998</v>
      </c>
      <c r="M1371">
        <v>1.76</v>
      </c>
      <c r="N1371" s="1" t="s">
        <v>10</v>
      </c>
    </row>
    <row r="1372" spans="10:14" x14ac:dyDescent="0.25">
      <c r="J1372" t="s">
        <v>40</v>
      </c>
      <c r="K1372" t="s">
        <v>57</v>
      </c>
      <c r="L1372">
        <v>1.42</v>
      </c>
      <c r="M1372">
        <v>2.88</v>
      </c>
      <c r="N1372" s="1" t="s">
        <v>10</v>
      </c>
    </row>
    <row r="1373" spans="10:14" x14ac:dyDescent="0.25">
      <c r="J1373" t="s">
        <v>40</v>
      </c>
      <c r="K1373" t="s">
        <v>57</v>
      </c>
      <c r="L1373">
        <v>1.46</v>
      </c>
      <c r="M1373">
        <v>2.7</v>
      </c>
      <c r="N1373" s="1" t="s">
        <v>10</v>
      </c>
    </row>
    <row r="1374" spans="10:14" x14ac:dyDescent="0.25">
      <c r="J1374" t="s">
        <v>40</v>
      </c>
      <c r="K1374" t="s">
        <v>57</v>
      </c>
      <c r="L1374">
        <v>1.42</v>
      </c>
      <c r="M1374">
        <v>2.95</v>
      </c>
      <c r="N1374" s="1" t="s">
        <v>10</v>
      </c>
    </row>
    <row r="1375" spans="10:14" x14ac:dyDescent="0.25">
      <c r="J1375" t="s">
        <v>40</v>
      </c>
      <c r="K1375" t="s">
        <v>57</v>
      </c>
      <c r="L1375">
        <v>1.42</v>
      </c>
      <c r="M1375">
        <v>2.88</v>
      </c>
      <c r="N1375" s="1" t="s">
        <v>10</v>
      </c>
    </row>
    <row r="1376" spans="10:14" x14ac:dyDescent="0.25">
      <c r="J1376" t="s">
        <v>40</v>
      </c>
      <c r="K1376" t="s">
        <v>57</v>
      </c>
      <c r="L1376">
        <v>1.46</v>
      </c>
      <c r="M1376">
        <v>2.7</v>
      </c>
      <c r="N1376" s="1" t="s">
        <v>10</v>
      </c>
    </row>
    <row r="1377" spans="10:14" x14ac:dyDescent="0.25">
      <c r="J1377" t="s">
        <v>40</v>
      </c>
      <c r="K1377" t="s">
        <v>57</v>
      </c>
      <c r="L1377">
        <v>1.41</v>
      </c>
      <c r="M1377">
        <v>2.86</v>
      </c>
      <c r="N1377" s="1" t="s">
        <v>10</v>
      </c>
    </row>
    <row r="1378" spans="10:14" x14ac:dyDescent="0.25">
      <c r="J1378" t="s">
        <v>40</v>
      </c>
      <c r="K1378" t="s">
        <v>57</v>
      </c>
      <c r="L1378">
        <v>1.44</v>
      </c>
      <c r="M1378">
        <v>2.85</v>
      </c>
      <c r="N1378" s="1" t="s">
        <v>10</v>
      </c>
    </row>
    <row r="1379" spans="10:14" x14ac:dyDescent="0.25">
      <c r="J1379" t="s">
        <v>431</v>
      </c>
      <c r="K1379" t="s">
        <v>432</v>
      </c>
      <c r="L1379">
        <v>2.25</v>
      </c>
      <c r="M1379">
        <v>1.69</v>
      </c>
      <c r="N1379" s="1" t="s">
        <v>10</v>
      </c>
    </row>
    <row r="1380" spans="10:14" x14ac:dyDescent="0.25">
      <c r="J1380" t="s">
        <v>431</v>
      </c>
      <c r="K1380" t="s">
        <v>432</v>
      </c>
      <c r="L1380">
        <v>2.25</v>
      </c>
      <c r="M1380">
        <v>1.69</v>
      </c>
      <c r="N1380" s="1" t="s">
        <v>10</v>
      </c>
    </row>
    <row r="1381" spans="10:14" x14ac:dyDescent="0.25">
      <c r="J1381" t="s">
        <v>431</v>
      </c>
      <c r="K1381" t="s">
        <v>432</v>
      </c>
      <c r="L1381">
        <v>2.15</v>
      </c>
      <c r="M1381">
        <v>1.71</v>
      </c>
      <c r="N1381" s="1" t="s">
        <v>10</v>
      </c>
    </row>
    <row r="1382" spans="10:14" x14ac:dyDescent="0.25">
      <c r="J1382" t="s">
        <v>431</v>
      </c>
      <c r="K1382" t="s">
        <v>432</v>
      </c>
      <c r="L1382">
        <v>2.3199999999999998</v>
      </c>
      <c r="M1382">
        <v>1.59</v>
      </c>
      <c r="N1382" s="1" t="s">
        <v>10</v>
      </c>
    </row>
    <row r="1383" spans="10:14" x14ac:dyDescent="0.25">
      <c r="J1383" t="s">
        <v>431</v>
      </c>
      <c r="K1383" t="s">
        <v>432</v>
      </c>
      <c r="L1383">
        <v>2.3199999999999998</v>
      </c>
      <c r="M1383">
        <v>1.61</v>
      </c>
      <c r="N1383" s="1" t="s">
        <v>10</v>
      </c>
    </row>
    <row r="1384" spans="10:14" x14ac:dyDescent="0.25">
      <c r="J1384" t="s">
        <v>431</v>
      </c>
      <c r="K1384" t="s">
        <v>432</v>
      </c>
      <c r="L1384">
        <v>2.3199999999999998</v>
      </c>
      <c r="M1384">
        <v>1.61</v>
      </c>
      <c r="N1384" s="1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J1395"/>
  <sheetViews>
    <sheetView zoomScale="75" zoomScaleNormal="75" workbookViewId="0">
      <pane ySplit="4275" topLeftCell="A1368"/>
      <selection activeCell="C8" sqref="C8"/>
      <selection pane="bottomLeft" activeCell="C1372" sqref="C1372"/>
    </sheetView>
  </sheetViews>
  <sheetFormatPr defaultRowHeight="15" x14ac:dyDescent="0.25"/>
  <cols>
    <col min="2" max="2" width="57.28515625" style="10" customWidth="1"/>
    <col min="3" max="3" width="25.28515625" customWidth="1"/>
    <col min="5" max="5" width="17.5703125" customWidth="1"/>
    <col min="8" max="9" width="14" customWidth="1"/>
    <col min="10" max="10" width="19.28515625" customWidth="1"/>
    <col min="11" max="11" width="15.42578125" customWidth="1"/>
  </cols>
  <sheetData>
    <row r="2" spans="2:10" x14ac:dyDescent="0.25">
      <c r="B2" s="1" t="s">
        <v>11</v>
      </c>
      <c r="C2" s="1" t="s">
        <v>436</v>
      </c>
      <c r="D2" s="1" t="s">
        <v>32</v>
      </c>
      <c r="E2" s="1" t="s">
        <v>31</v>
      </c>
      <c r="F2" s="1" t="s">
        <v>12</v>
      </c>
    </row>
    <row r="3" spans="2:10" x14ac:dyDescent="0.25">
      <c r="B3" t="s">
        <v>192</v>
      </c>
      <c r="C3" t="s">
        <v>191</v>
      </c>
      <c r="D3">
        <v>1.41</v>
      </c>
      <c r="E3">
        <v>2.85</v>
      </c>
      <c r="F3" t="s">
        <v>8</v>
      </c>
      <c r="I3" t="s">
        <v>439</v>
      </c>
      <c r="J3" t="s">
        <v>51</v>
      </c>
    </row>
    <row r="4" spans="2:10" x14ac:dyDescent="0.25">
      <c r="B4" t="s">
        <v>192</v>
      </c>
      <c r="C4" t="s">
        <v>191</v>
      </c>
      <c r="D4">
        <v>1.34</v>
      </c>
      <c r="E4">
        <v>3.15</v>
      </c>
      <c r="F4" t="s">
        <v>8</v>
      </c>
      <c r="I4" t="s">
        <v>440</v>
      </c>
      <c r="J4" t="s">
        <v>50</v>
      </c>
    </row>
    <row r="5" spans="2:10" x14ac:dyDescent="0.25">
      <c r="B5" t="s">
        <v>192</v>
      </c>
      <c r="C5" t="s">
        <v>191</v>
      </c>
      <c r="D5">
        <v>1.38</v>
      </c>
      <c r="E5">
        <v>2.9</v>
      </c>
      <c r="F5" t="s">
        <v>8</v>
      </c>
      <c r="I5" t="s">
        <v>441</v>
      </c>
      <c r="J5" t="s">
        <v>49</v>
      </c>
    </row>
    <row r="6" spans="2:10" x14ac:dyDescent="0.25">
      <c r="B6" t="s">
        <v>192</v>
      </c>
      <c r="C6" t="s">
        <v>191</v>
      </c>
      <c r="D6">
        <v>1</v>
      </c>
      <c r="E6">
        <v>1</v>
      </c>
      <c r="F6" t="s">
        <v>8</v>
      </c>
      <c r="I6" t="s">
        <v>48</v>
      </c>
      <c r="J6" t="s">
        <v>48</v>
      </c>
    </row>
    <row r="7" spans="2:10" x14ac:dyDescent="0.25">
      <c r="B7" t="s">
        <v>192</v>
      </c>
      <c r="C7" t="s">
        <v>191</v>
      </c>
      <c r="D7">
        <v>1.43</v>
      </c>
      <c r="E7">
        <v>2.8</v>
      </c>
      <c r="F7" t="s">
        <v>8</v>
      </c>
      <c r="I7" t="s">
        <v>47</v>
      </c>
      <c r="J7" t="s">
        <v>47</v>
      </c>
    </row>
    <row r="8" spans="2:10" x14ac:dyDescent="0.25">
      <c r="B8" t="s">
        <v>192</v>
      </c>
      <c r="C8" t="s">
        <v>191</v>
      </c>
      <c r="D8">
        <v>1.36</v>
      </c>
      <c r="E8">
        <v>3</v>
      </c>
      <c r="F8" t="s">
        <v>8</v>
      </c>
      <c r="I8" t="s">
        <v>46</v>
      </c>
      <c r="J8" t="s">
        <v>46</v>
      </c>
    </row>
    <row r="9" spans="2:10" x14ac:dyDescent="0.25">
      <c r="B9" t="s">
        <v>192</v>
      </c>
      <c r="C9" t="s">
        <v>191</v>
      </c>
      <c r="D9">
        <v>1.36</v>
      </c>
      <c r="E9">
        <v>3</v>
      </c>
      <c r="F9" t="s">
        <v>8</v>
      </c>
      <c r="I9" t="s">
        <v>45</v>
      </c>
      <c r="J9" t="s">
        <v>45</v>
      </c>
    </row>
    <row r="10" spans="2:10" x14ac:dyDescent="0.25">
      <c r="B10" t="s">
        <v>192</v>
      </c>
      <c r="C10" t="s">
        <v>191</v>
      </c>
      <c r="D10">
        <v>1.48</v>
      </c>
      <c r="E10">
        <v>2.65</v>
      </c>
      <c r="F10" t="s">
        <v>8</v>
      </c>
      <c r="I10" t="s">
        <v>442</v>
      </c>
      <c r="J10" t="s">
        <v>44</v>
      </c>
    </row>
    <row r="11" spans="2:10" x14ac:dyDescent="0.25">
      <c r="B11" t="s">
        <v>192</v>
      </c>
      <c r="C11" t="s">
        <v>191</v>
      </c>
      <c r="D11">
        <v>1.28</v>
      </c>
      <c r="E11">
        <v>3.7</v>
      </c>
      <c r="F11" t="s">
        <v>8</v>
      </c>
      <c r="I11" t="s">
        <v>443</v>
      </c>
      <c r="J11" t="s">
        <v>58</v>
      </c>
    </row>
    <row r="12" spans="2:10" x14ac:dyDescent="0.25">
      <c r="B12" t="s">
        <v>192</v>
      </c>
      <c r="C12" t="s">
        <v>191</v>
      </c>
      <c r="D12">
        <v>1.33</v>
      </c>
      <c r="E12">
        <v>3.5</v>
      </c>
      <c r="F12" t="s">
        <v>8</v>
      </c>
      <c r="I12" t="s">
        <v>444</v>
      </c>
      <c r="J12" t="s">
        <v>43</v>
      </c>
    </row>
    <row r="13" spans="2:10" x14ac:dyDescent="0.25">
      <c r="B13" t="s">
        <v>192</v>
      </c>
      <c r="C13" t="s">
        <v>191</v>
      </c>
      <c r="D13">
        <v>1.32</v>
      </c>
      <c r="E13">
        <v>3.5</v>
      </c>
      <c r="F13" t="s">
        <v>8</v>
      </c>
      <c r="I13" t="s">
        <v>90</v>
      </c>
      <c r="J13" t="s">
        <v>90</v>
      </c>
    </row>
    <row r="14" spans="2:10" x14ac:dyDescent="0.25">
      <c r="B14" t="s">
        <v>192</v>
      </c>
      <c r="C14" t="s">
        <v>191</v>
      </c>
      <c r="D14">
        <v>1.33</v>
      </c>
      <c r="E14">
        <v>3.5</v>
      </c>
      <c r="F14" t="s">
        <v>8</v>
      </c>
      <c r="I14" t="s">
        <v>374</v>
      </c>
      <c r="J14" t="s">
        <v>374</v>
      </c>
    </row>
    <row r="15" spans="2:10" x14ac:dyDescent="0.25">
      <c r="B15" t="s">
        <v>192</v>
      </c>
      <c r="C15" t="s">
        <v>191</v>
      </c>
      <c r="D15">
        <v>1.36</v>
      </c>
      <c r="E15">
        <v>3.1</v>
      </c>
      <c r="F15" t="s">
        <v>8</v>
      </c>
      <c r="I15" t="s">
        <v>375</v>
      </c>
      <c r="J15" t="s">
        <v>375</v>
      </c>
    </row>
    <row r="16" spans="2:10" x14ac:dyDescent="0.25">
      <c r="B16" t="s">
        <v>192</v>
      </c>
      <c r="C16" t="s">
        <v>191</v>
      </c>
      <c r="D16">
        <v>1.38</v>
      </c>
      <c r="E16">
        <v>2.75</v>
      </c>
      <c r="F16" t="s">
        <v>8</v>
      </c>
    </row>
    <row r="17" spans="2:6" x14ac:dyDescent="0.25">
      <c r="B17" t="s">
        <v>190</v>
      </c>
      <c r="C17" t="s">
        <v>398</v>
      </c>
      <c r="D17">
        <v>1.0900000000000001</v>
      </c>
      <c r="E17">
        <v>7.5</v>
      </c>
      <c r="F17" t="s">
        <v>8</v>
      </c>
    </row>
    <row r="18" spans="2:6" x14ac:dyDescent="0.25">
      <c r="B18" t="s">
        <v>190</v>
      </c>
      <c r="C18" t="s">
        <v>398</v>
      </c>
      <c r="D18">
        <v>1.03</v>
      </c>
      <c r="E18">
        <v>11</v>
      </c>
      <c r="F18" t="s">
        <v>8</v>
      </c>
    </row>
    <row r="19" spans="2:6" x14ac:dyDescent="0.25">
      <c r="B19" t="s">
        <v>190</v>
      </c>
      <c r="C19" t="s">
        <v>398</v>
      </c>
      <c r="D19">
        <v>1.08</v>
      </c>
      <c r="E19">
        <v>7.5</v>
      </c>
      <c r="F19" t="s">
        <v>8</v>
      </c>
    </row>
    <row r="20" spans="2:6" x14ac:dyDescent="0.25">
      <c r="B20" t="s">
        <v>190</v>
      </c>
      <c r="C20" t="s">
        <v>398</v>
      </c>
      <c r="D20">
        <v>1</v>
      </c>
      <c r="E20">
        <v>1</v>
      </c>
      <c r="F20" t="s">
        <v>8</v>
      </c>
    </row>
    <row r="21" spans="2:6" x14ac:dyDescent="0.25">
      <c r="B21" t="s">
        <v>190</v>
      </c>
      <c r="C21" t="s">
        <v>398</v>
      </c>
      <c r="D21">
        <v>1.06</v>
      </c>
      <c r="E21">
        <v>9</v>
      </c>
      <c r="F21" t="s">
        <v>8</v>
      </c>
    </row>
    <row r="22" spans="2:6" x14ac:dyDescent="0.25">
      <c r="B22" t="s">
        <v>190</v>
      </c>
      <c r="C22" t="s">
        <v>398</v>
      </c>
      <c r="D22">
        <v>1.06</v>
      </c>
      <c r="E22">
        <v>8.5</v>
      </c>
      <c r="F22" t="s">
        <v>8</v>
      </c>
    </row>
    <row r="23" spans="2:6" x14ac:dyDescent="0.25">
      <c r="B23" t="s">
        <v>190</v>
      </c>
      <c r="C23" t="s">
        <v>398</v>
      </c>
      <c r="D23">
        <v>1.06</v>
      </c>
      <c r="E23">
        <v>8.5</v>
      </c>
      <c r="F23" t="s">
        <v>8</v>
      </c>
    </row>
    <row r="24" spans="2:6" x14ac:dyDescent="0.25">
      <c r="B24" t="s">
        <v>190</v>
      </c>
      <c r="C24" t="s">
        <v>398</v>
      </c>
      <c r="D24">
        <v>1.06</v>
      </c>
      <c r="E24">
        <v>9</v>
      </c>
      <c r="F24" t="s">
        <v>8</v>
      </c>
    </row>
    <row r="25" spans="2:6" x14ac:dyDescent="0.25">
      <c r="B25" t="s">
        <v>190</v>
      </c>
      <c r="C25" t="s">
        <v>398</v>
      </c>
      <c r="D25">
        <v>1.08</v>
      </c>
      <c r="E25">
        <v>8.9</v>
      </c>
      <c r="F25" t="s">
        <v>8</v>
      </c>
    </row>
    <row r="26" spans="2:6" x14ac:dyDescent="0.25">
      <c r="B26" t="s">
        <v>190</v>
      </c>
      <c r="C26" t="s">
        <v>398</v>
      </c>
      <c r="D26">
        <v>1.07</v>
      </c>
      <c r="E26">
        <v>8.5</v>
      </c>
      <c r="F26" t="s">
        <v>8</v>
      </c>
    </row>
    <row r="27" spans="2:6" x14ac:dyDescent="0.25">
      <c r="B27" t="s">
        <v>190</v>
      </c>
      <c r="C27" t="s">
        <v>398</v>
      </c>
      <c r="D27">
        <v>1.07</v>
      </c>
      <c r="E27">
        <v>9.1999999999999993</v>
      </c>
      <c r="F27" t="s">
        <v>8</v>
      </c>
    </row>
    <row r="28" spans="2:6" x14ac:dyDescent="0.25">
      <c r="B28" t="s">
        <v>190</v>
      </c>
      <c r="C28" t="s">
        <v>398</v>
      </c>
      <c r="D28">
        <v>1.08</v>
      </c>
      <c r="E28">
        <v>8.9</v>
      </c>
      <c r="F28" t="s">
        <v>8</v>
      </c>
    </row>
    <row r="29" spans="2:6" x14ac:dyDescent="0.25">
      <c r="B29" t="s">
        <v>190</v>
      </c>
      <c r="C29" t="s">
        <v>398</v>
      </c>
      <c r="D29">
        <v>1.05</v>
      </c>
      <c r="E29">
        <v>7</v>
      </c>
      <c r="F29" t="s">
        <v>8</v>
      </c>
    </row>
    <row r="30" spans="2:6" x14ac:dyDescent="0.25">
      <c r="B30" t="s">
        <v>296</v>
      </c>
      <c r="C30" t="s">
        <v>194</v>
      </c>
      <c r="D30">
        <v>7</v>
      </c>
      <c r="E30">
        <v>1.1100000000000001</v>
      </c>
      <c r="F30" t="s">
        <v>8</v>
      </c>
    </row>
    <row r="31" spans="2:6" x14ac:dyDescent="0.25">
      <c r="B31" t="s">
        <v>296</v>
      </c>
      <c r="C31" t="s">
        <v>194</v>
      </c>
      <c r="D31">
        <v>6.9</v>
      </c>
      <c r="E31">
        <v>1.1100000000000001</v>
      </c>
      <c r="F31" t="s">
        <v>8</v>
      </c>
    </row>
    <row r="32" spans="2:6" x14ac:dyDescent="0.25">
      <c r="B32" t="s">
        <v>296</v>
      </c>
      <c r="C32" t="s">
        <v>194</v>
      </c>
      <c r="D32">
        <v>6.75</v>
      </c>
      <c r="E32">
        <v>1.1100000000000001</v>
      </c>
      <c r="F32" t="s">
        <v>8</v>
      </c>
    </row>
    <row r="33" spans="2:6" x14ac:dyDescent="0.25">
      <c r="B33" t="s">
        <v>296</v>
      </c>
      <c r="C33" t="s">
        <v>194</v>
      </c>
      <c r="D33">
        <v>6.75</v>
      </c>
      <c r="E33">
        <v>1.1100000000000001</v>
      </c>
      <c r="F33" t="s">
        <v>8</v>
      </c>
    </row>
    <row r="34" spans="2:6" x14ac:dyDescent="0.25">
      <c r="B34" t="s">
        <v>296</v>
      </c>
      <c r="C34" t="s">
        <v>194</v>
      </c>
      <c r="D34">
        <v>6.5</v>
      </c>
      <c r="E34">
        <v>1.1200000000000001</v>
      </c>
      <c r="F34" t="s">
        <v>8</v>
      </c>
    </row>
    <row r="35" spans="2:6" x14ac:dyDescent="0.25">
      <c r="B35" t="s">
        <v>296</v>
      </c>
      <c r="C35" t="s">
        <v>194</v>
      </c>
      <c r="D35">
        <v>6.75</v>
      </c>
      <c r="E35">
        <v>1.1100000000000001</v>
      </c>
      <c r="F35" t="s">
        <v>8</v>
      </c>
    </row>
    <row r="36" spans="2:6" x14ac:dyDescent="0.25">
      <c r="B36" t="s">
        <v>296</v>
      </c>
      <c r="C36" t="s">
        <v>194</v>
      </c>
      <c r="D36">
        <v>6.5</v>
      </c>
      <c r="E36">
        <v>1.1200000000000001</v>
      </c>
      <c r="F36" t="s">
        <v>8</v>
      </c>
    </row>
    <row r="37" spans="2:6" x14ac:dyDescent="0.25">
      <c r="B37" t="s">
        <v>296</v>
      </c>
      <c r="C37" t="s">
        <v>194</v>
      </c>
      <c r="D37">
        <v>6.5</v>
      </c>
      <c r="E37">
        <v>1.1200000000000001</v>
      </c>
      <c r="F37" t="s">
        <v>8</v>
      </c>
    </row>
    <row r="38" spans="2:6" x14ac:dyDescent="0.25">
      <c r="B38" t="s">
        <v>296</v>
      </c>
      <c r="C38" t="s">
        <v>194</v>
      </c>
      <c r="D38">
        <v>6.85</v>
      </c>
      <c r="E38">
        <v>1.1200000000000001</v>
      </c>
      <c r="F38" t="s">
        <v>8</v>
      </c>
    </row>
    <row r="39" spans="2:6" x14ac:dyDescent="0.25">
      <c r="B39" t="s">
        <v>296</v>
      </c>
      <c r="C39" t="s">
        <v>194</v>
      </c>
      <c r="D39">
        <v>6.5</v>
      </c>
      <c r="E39">
        <v>1.1200000000000001</v>
      </c>
      <c r="F39" t="s">
        <v>8</v>
      </c>
    </row>
    <row r="40" spans="2:6" x14ac:dyDescent="0.25">
      <c r="B40" t="s">
        <v>296</v>
      </c>
      <c r="C40" t="s">
        <v>194</v>
      </c>
      <c r="D40">
        <v>6.55</v>
      </c>
      <c r="E40">
        <v>1.1200000000000001</v>
      </c>
      <c r="F40" t="s">
        <v>8</v>
      </c>
    </row>
    <row r="41" spans="2:6" x14ac:dyDescent="0.25">
      <c r="B41" t="s">
        <v>296</v>
      </c>
      <c r="C41" t="s">
        <v>194</v>
      </c>
      <c r="D41">
        <v>6.85</v>
      </c>
      <c r="E41">
        <v>1.1200000000000001</v>
      </c>
      <c r="F41" t="s">
        <v>8</v>
      </c>
    </row>
    <row r="42" spans="2:6" x14ac:dyDescent="0.25">
      <c r="B42" t="s">
        <v>296</v>
      </c>
      <c r="C42" t="s">
        <v>194</v>
      </c>
      <c r="D42">
        <v>6.5</v>
      </c>
      <c r="E42">
        <v>1.1200000000000001</v>
      </c>
      <c r="F42" t="s">
        <v>8</v>
      </c>
    </row>
    <row r="43" spans="2:6" x14ac:dyDescent="0.25">
      <c r="B43" t="s">
        <v>296</v>
      </c>
      <c r="C43" t="s">
        <v>194</v>
      </c>
      <c r="D43">
        <v>7</v>
      </c>
      <c r="E43">
        <v>1.1200000000000001</v>
      </c>
      <c r="F43" t="s">
        <v>8</v>
      </c>
    </row>
    <row r="44" spans="2:6" x14ac:dyDescent="0.25">
      <c r="B44" t="s">
        <v>195</v>
      </c>
      <c r="C44" t="s">
        <v>196</v>
      </c>
      <c r="D44">
        <v>1.46</v>
      </c>
      <c r="E44">
        <v>2.8</v>
      </c>
      <c r="F44" t="s">
        <v>8</v>
      </c>
    </row>
    <row r="45" spans="2:6" x14ac:dyDescent="0.25">
      <c r="B45" t="s">
        <v>195</v>
      </c>
      <c r="C45" t="s">
        <v>196</v>
      </c>
      <c r="D45">
        <v>1.47</v>
      </c>
      <c r="E45">
        <v>2.76</v>
      </c>
      <c r="F45" t="s">
        <v>8</v>
      </c>
    </row>
    <row r="46" spans="2:6" x14ac:dyDescent="0.25">
      <c r="B46" t="s">
        <v>195</v>
      </c>
      <c r="C46" t="s">
        <v>196</v>
      </c>
      <c r="D46">
        <v>1.44</v>
      </c>
      <c r="E46">
        <v>2.85</v>
      </c>
      <c r="F46" t="s">
        <v>8</v>
      </c>
    </row>
    <row r="47" spans="2:6" x14ac:dyDescent="0.25">
      <c r="B47" t="s">
        <v>195</v>
      </c>
      <c r="C47" t="s">
        <v>196</v>
      </c>
      <c r="D47">
        <v>1.45</v>
      </c>
      <c r="E47">
        <v>2.8</v>
      </c>
      <c r="F47" t="s">
        <v>8</v>
      </c>
    </row>
    <row r="48" spans="2:6" x14ac:dyDescent="0.25">
      <c r="B48" t="s">
        <v>195</v>
      </c>
      <c r="C48" t="s">
        <v>196</v>
      </c>
      <c r="D48">
        <v>1.45</v>
      </c>
      <c r="E48">
        <v>2.8</v>
      </c>
      <c r="F48" t="s">
        <v>8</v>
      </c>
    </row>
    <row r="49" spans="2:6" x14ac:dyDescent="0.25">
      <c r="B49" t="s">
        <v>195</v>
      </c>
      <c r="C49" t="s">
        <v>196</v>
      </c>
      <c r="D49">
        <v>1.44</v>
      </c>
      <c r="E49">
        <v>2.8</v>
      </c>
      <c r="F49" t="s">
        <v>8</v>
      </c>
    </row>
    <row r="50" spans="2:6" x14ac:dyDescent="0.25">
      <c r="B50" t="s">
        <v>195</v>
      </c>
      <c r="C50" t="s">
        <v>196</v>
      </c>
      <c r="D50">
        <v>1.48</v>
      </c>
      <c r="E50">
        <v>2.7</v>
      </c>
      <c r="F50" t="s">
        <v>8</v>
      </c>
    </row>
    <row r="51" spans="2:6" x14ac:dyDescent="0.25">
      <c r="B51" t="s">
        <v>195</v>
      </c>
      <c r="C51" t="s">
        <v>196</v>
      </c>
      <c r="D51">
        <v>1.48</v>
      </c>
      <c r="E51">
        <v>2.7</v>
      </c>
      <c r="F51" t="s">
        <v>8</v>
      </c>
    </row>
    <row r="52" spans="2:6" x14ac:dyDescent="0.25">
      <c r="B52" t="s">
        <v>195</v>
      </c>
      <c r="C52" t="s">
        <v>196</v>
      </c>
      <c r="D52">
        <v>1.48</v>
      </c>
      <c r="E52">
        <v>2.8</v>
      </c>
      <c r="F52" t="s">
        <v>8</v>
      </c>
    </row>
    <row r="53" spans="2:6" x14ac:dyDescent="0.25">
      <c r="B53" t="s">
        <v>195</v>
      </c>
      <c r="C53" t="s">
        <v>196</v>
      </c>
      <c r="D53">
        <v>1.45</v>
      </c>
      <c r="E53">
        <v>2.8</v>
      </c>
      <c r="F53" t="s">
        <v>8</v>
      </c>
    </row>
    <row r="54" spans="2:6" x14ac:dyDescent="0.25">
      <c r="B54" t="s">
        <v>195</v>
      </c>
      <c r="C54" t="s">
        <v>196</v>
      </c>
      <c r="D54">
        <v>1.48</v>
      </c>
      <c r="E54">
        <v>2.75</v>
      </c>
      <c r="F54" t="s">
        <v>8</v>
      </c>
    </row>
    <row r="55" spans="2:6" x14ac:dyDescent="0.25">
      <c r="B55" t="s">
        <v>195</v>
      </c>
      <c r="C55" t="s">
        <v>196</v>
      </c>
      <c r="D55">
        <v>1.48</v>
      </c>
      <c r="E55">
        <v>2.8</v>
      </c>
      <c r="F55" t="s">
        <v>8</v>
      </c>
    </row>
    <row r="56" spans="2:6" x14ac:dyDescent="0.25">
      <c r="B56" t="s">
        <v>195</v>
      </c>
      <c r="C56" t="s">
        <v>196</v>
      </c>
      <c r="D56">
        <v>1.44</v>
      </c>
      <c r="E56">
        <v>2.9</v>
      </c>
      <c r="F56" t="s">
        <v>8</v>
      </c>
    </row>
    <row r="57" spans="2:6" x14ac:dyDescent="0.25">
      <c r="B57" t="s">
        <v>195</v>
      </c>
      <c r="C57" t="s">
        <v>196</v>
      </c>
      <c r="D57">
        <v>1.48</v>
      </c>
      <c r="E57">
        <v>2.78</v>
      </c>
      <c r="F57" t="s">
        <v>8</v>
      </c>
    </row>
    <row r="58" spans="2:6" x14ac:dyDescent="0.25">
      <c r="B58" t="s">
        <v>118</v>
      </c>
      <c r="C58" t="s">
        <v>113</v>
      </c>
      <c r="D58">
        <v>1.48</v>
      </c>
      <c r="E58">
        <v>2.65</v>
      </c>
      <c r="F58" t="s">
        <v>8</v>
      </c>
    </row>
    <row r="59" spans="2:6" x14ac:dyDescent="0.25">
      <c r="B59" t="s">
        <v>118</v>
      </c>
      <c r="C59" t="s">
        <v>113</v>
      </c>
      <c r="D59">
        <v>1.48</v>
      </c>
      <c r="E59">
        <v>2.65</v>
      </c>
      <c r="F59" t="s">
        <v>8</v>
      </c>
    </row>
    <row r="60" spans="2:6" x14ac:dyDescent="0.25">
      <c r="B60" t="s">
        <v>118</v>
      </c>
      <c r="C60" t="s">
        <v>113</v>
      </c>
      <c r="D60">
        <v>1.47</v>
      </c>
      <c r="E60">
        <v>2.76</v>
      </c>
      <c r="F60" t="s">
        <v>8</v>
      </c>
    </row>
    <row r="61" spans="2:6" x14ac:dyDescent="0.25">
      <c r="B61" t="s">
        <v>118</v>
      </c>
      <c r="C61" t="s">
        <v>113</v>
      </c>
      <c r="D61">
        <v>1.51</v>
      </c>
      <c r="E61">
        <v>2.64</v>
      </c>
      <c r="F61" t="s">
        <v>8</v>
      </c>
    </row>
    <row r="62" spans="2:6" x14ac:dyDescent="0.25">
      <c r="B62" t="s">
        <v>118</v>
      </c>
      <c r="C62" t="s">
        <v>113</v>
      </c>
      <c r="D62">
        <v>1.53</v>
      </c>
      <c r="E62">
        <v>2.65</v>
      </c>
      <c r="F62" t="s">
        <v>8</v>
      </c>
    </row>
    <row r="63" spans="2:6" x14ac:dyDescent="0.25">
      <c r="B63" t="s">
        <v>118</v>
      </c>
      <c r="C63" t="s">
        <v>113</v>
      </c>
      <c r="D63">
        <v>1.53</v>
      </c>
      <c r="E63">
        <v>2.65</v>
      </c>
      <c r="F63" t="s">
        <v>8</v>
      </c>
    </row>
    <row r="64" spans="2:6" x14ac:dyDescent="0.25">
      <c r="B64" t="s">
        <v>118</v>
      </c>
      <c r="C64" t="s">
        <v>113</v>
      </c>
      <c r="D64">
        <v>1.5</v>
      </c>
      <c r="E64">
        <v>2.7</v>
      </c>
      <c r="F64" t="s">
        <v>8</v>
      </c>
    </row>
    <row r="65" spans="2:6" x14ac:dyDescent="0.25">
      <c r="B65" t="s">
        <v>118</v>
      </c>
      <c r="C65" t="s">
        <v>113</v>
      </c>
      <c r="D65">
        <v>1.49</v>
      </c>
      <c r="E65">
        <v>2.7</v>
      </c>
      <c r="F65" t="s">
        <v>8</v>
      </c>
    </row>
    <row r="66" spans="2:6" x14ac:dyDescent="0.25">
      <c r="B66" t="s">
        <v>118</v>
      </c>
      <c r="C66" t="s">
        <v>113</v>
      </c>
      <c r="D66">
        <v>1.47</v>
      </c>
      <c r="E66">
        <v>2.78</v>
      </c>
      <c r="F66" t="s">
        <v>8</v>
      </c>
    </row>
    <row r="67" spans="2:6" x14ac:dyDescent="0.25">
      <c r="B67" t="s">
        <v>118</v>
      </c>
      <c r="C67" t="s">
        <v>113</v>
      </c>
      <c r="D67">
        <v>1.48</v>
      </c>
      <c r="E67">
        <v>2.7</v>
      </c>
      <c r="F67" t="s">
        <v>8</v>
      </c>
    </row>
    <row r="68" spans="2:6" x14ac:dyDescent="0.25">
      <c r="B68" t="s">
        <v>118</v>
      </c>
      <c r="C68" t="s">
        <v>113</v>
      </c>
      <c r="D68">
        <v>1.51</v>
      </c>
      <c r="E68">
        <v>2.68</v>
      </c>
      <c r="F68" t="s">
        <v>8</v>
      </c>
    </row>
    <row r="69" spans="2:6" x14ac:dyDescent="0.25">
      <c r="B69" t="s">
        <v>118</v>
      </c>
      <c r="C69" t="s">
        <v>113</v>
      </c>
      <c r="D69">
        <v>1.48</v>
      </c>
      <c r="E69">
        <v>2.75</v>
      </c>
      <c r="F69" t="s">
        <v>8</v>
      </c>
    </row>
    <row r="70" spans="2:6" x14ac:dyDescent="0.25">
      <c r="B70" t="s">
        <v>118</v>
      </c>
      <c r="C70" t="s">
        <v>113</v>
      </c>
      <c r="D70">
        <v>1.48</v>
      </c>
      <c r="E70">
        <v>2.75</v>
      </c>
      <c r="F70" t="s">
        <v>8</v>
      </c>
    </row>
    <row r="71" spans="2:6" x14ac:dyDescent="0.25">
      <c r="B71" t="s">
        <v>118</v>
      </c>
      <c r="C71" t="s">
        <v>113</v>
      </c>
      <c r="D71">
        <v>1.5</v>
      </c>
      <c r="E71">
        <v>2.7</v>
      </c>
      <c r="F71" t="s">
        <v>8</v>
      </c>
    </row>
    <row r="72" spans="2:6" x14ac:dyDescent="0.25">
      <c r="B72" t="s">
        <v>119</v>
      </c>
      <c r="C72" t="s">
        <v>113</v>
      </c>
      <c r="D72">
        <v>1.24</v>
      </c>
      <c r="E72">
        <v>4.3</v>
      </c>
      <c r="F72" t="s">
        <v>8</v>
      </c>
    </row>
    <row r="73" spans="2:6" x14ac:dyDescent="0.25">
      <c r="B73" t="s">
        <v>119</v>
      </c>
      <c r="C73" t="s">
        <v>113</v>
      </c>
      <c r="D73">
        <v>1.22</v>
      </c>
      <c r="E73">
        <v>4.5</v>
      </c>
      <c r="F73" t="s">
        <v>8</v>
      </c>
    </row>
    <row r="74" spans="2:6" x14ac:dyDescent="0.25">
      <c r="B74" t="s">
        <v>119</v>
      </c>
      <c r="C74" t="s">
        <v>113</v>
      </c>
      <c r="D74">
        <v>1.21</v>
      </c>
      <c r="E74">
        <v>4.5</v>
      </c>
      <c r="F74" t="s">
        <v>8</v>
      </c>
    </row>
    <row r="75" spans="2:6" x14ac:dyDescent="0.25">
      <c r="B75" t="s">
        <v>119</v>
      </c>
      <c r="C75" t="s">
        <v>113</v>
      </c>
      <c r="D75">
        <v>1.21</v>
      </c>
      <c r="E75">
        <v>4.5</v>
      </c>
      <c r="F75" t="s">
        <v>8</v>
      </c>
    </row>
    <row r="76" spans="2:6" x14ac:dyDescent="0.25">
      <c r="B76" t="s">
        <v>119</v>
      </c>
      <c r="C76" t="s">
        <v>113</v>
      </c>
      <c r="D76">
        <v>1.2</v>
      </c>
      <c r="E76">
        <v>4.55</v>
      </c>
      <c r="F76" t="s">
        <v>8</v>
      </c>
    </row>
    <row r="77" spans="2:6" x14ac:dyDescent="0.25">
      <c r="B77" t="s">
        <v>119</v>
      </c>
      <c r="C77" t="s">
        <v>113</v>
      </c>
      <c r="D77">
        <v>1.22</v>
      </c>
      <c r="E77">
        <v>4.3499999999999996</v>
      </c>
      <c r="F77" t="s">
        <v>8</v>
      </c>
    </row>
    <row r="78" spans="2:6" x14ac:dyDescent="0.25">
      <c r="B78" t="s">
        <v>119</v>
      </c>
      <c r="C78" t="s">
        <v>113</v>
      </c>
      <c r="D78">
        <v>1.23</v>
      </c>
      <c r="E78">
        <v>4.3499999999999996</v>
      </c>
      <c r="F78" t="s">
        <v>8</v>
      </c>
    </row>
    <row r="79" spans="2:6" x14ac:dyDescent="0.25">
      <c r="B79" t="s">
        <v>119</v>
      </c>
      <c r="C79" t="s">
        <v>113</v>
      </c>
      <c r="D79">
        <v>1.22</v>
      </c>
      <c r="E79">
        <v>4.4000000000000004</v>
      </c>
      <c r="F79" t="s">
        <v>8</v>
      </c>
    </row>
    <row r="80" spans="2:6" x14ac:dyDescent="0.25">
      <c r="B80" t="s">
        <v>119</v>
      </c>
      <c r="C80" t="s">
        <v>113</v>
      </c>
      <c r="D80">
        <v>1.25</v>
      </c>
      <c r="E80">
        <v>4.2</v>
      </c>
      <c r="F80" t="s">
        <v>8</v>
      </c>
    </row>
    <row r="81" spans="2:6" x14ac:dyDescent="0.25">
      <c r="B81" t="s">
        <v>119</v>
      </c>
      <c r="C81" t="s">
        <v>113</v>
      </c>
      <c r="D81">
        <v>1.21</v>
      </c>
      <c r="E81">
        <v>4.5999999999999996</v>
      </c>
      <c r="F81" t="s">
        <v>8</v>
      </c>
    </row>
    <row r="82" spans="2:6" x14ac:dyDescent="0.25">
      <c r="B82" t="s">
        <v>119</v>
      </c>
      <c r="C82" t="s">
        <v>113</v>
      </c>
      <c r="D82">
        <v>1.25</v>
      </c>
      <c r="E82">
        <v>4.2</v>
      </c>
      <c r="F82" t="s">
        <v>8</v>
      </c>
    </row>
    <row r="83" spans="2:6" x14ac:dyDescent="0.25">
      <c r="B83" t="s">
        <v>119</v>
      </c>
      <c r="C83" t="s">
        <v>113</v>
      </c>
      <c r="D83">
        <v>1.22</v>
      </c>
      <c r="E83">
        <v>4.4000000000000004</v>
      </c>
      <c r="F83" t="s">
        <v>8</v>
      </c>
    </row>
    <row r="84" spans="2:6" x14ac:dyDescent="0.25">
      <c r="B84" t="s">
        <v>119</v>
      </c>
      <c r="C84" t="s">
        <v>113</v>
      </c>
      <c r="D84">
        <v>1.22</v>
      </c>
      <c r="E84">
        <v>4.5999999999999996</v>
      </c>
      <c r="F84" t="s">
        <v>8</v>
      </c>
    </row>
    <row r="85" spans="2:6" x14ac:dyDescent="0.25">
      <c r="B85" t="s">
        <v>119</v>
      </c>
      <c r="C85" t="s">
        <v>113</v>
      </c>
      <c r="D85">
        <v>1.22</v>
      </c>
      <c r="E85">
        <v>4.5</v>
      </c>
      <c r="F85" t="s">
        <v>8</v>
      </c>
    </row>
    <row r="86" spans="2:6" x14ac:dyDescent="0.25">
      <c r="B86" t="s">
        <v>198</v>
      </c>
      <c r="C86" t="s">
        <v>113</v>
      </c>
      <c r="D86">
        <v>1.1599999999999999</v>
      </c>
      <c r="E86">
        <v>5.55</v>
      </c>
      <c r="F86" t="s">
        <v>8</v>
      </c>
    </row>
    <row r="87" spans="2:6" x14ac:dyDescent="0.25">
      <c r="B87" t="s">
        <v>198</v>
      </c>
      <c r="C87" t="s">
        <v>113</v>
      </c>
      <c r="D87">
        <v>1.1399999999999999</v>
      </c>
      <c r="E87">
        <v>5.9</v>
      </c>
      <c r="F87" t="s">
        <v>8</v>
      </c>
    </row>
    <row r="88" spans="2:6" x14ac:dyDescent="0.25">
      <c r="B88" t="s">
        <v>198</v>
      </c>
      <c r="C88" t="s">
        <v>113</v>
      </c>
      <c r="D88">
        <v>1.1499999999999999</v>
      </c>
      <c r="E88">
        <v>5.5</v>
      </c>
      <c r="F88" t="s">
        <v>8</v>
      </c>
    </row>
    <row r="89" spans="2:6" x14ac:dyDescent="0.25">
      <c r="B89" t="s">
        <v>198</v>
      </c>
      <c r="C89" t="s">
        <v>113</v>
      </c>
      <c r="D89">
        <v>1.1399999999999999</v>
      </c>
      <c r="E89">
        <v>5.8</v>
      </c>
      <c r="F89" t="s">
        <v>8</v>
      </c>
    </row>
    <row r="90" spans="2:6" x14ac:dyDescent="0.25">
      <c r="B90" t="s">
        <v>198</v>
      </c>
      <c r="C90" t="s">
        <v>113</v>
      </c>
      <c r="D90">
        <v>1.1499999999999999</v>
      </c>
      <c r="E90">
        <v>5.6</v>
      </c>
      <c r="F90" t="s">
        <v>8</v>
      </c>
    </row>
    <row r="91" spans="2:6" x14ac:dyDescent="0.25">
      <c r="B91" t="s">
        <v>198</v>
      </c>
      <c r="C91" t="s">
        <v>113</v>
      </c>
      <c r="D91">
        <v>1.1599999999999999</v>
      </c>
      <c r="E91">
        <v>5.3</v>
      </c>
      <c r="F91" t="s">
        <v>8</v>
      </c>
    </row>
    <row r="92" spans="2:6" x14ac:dyDescent="0.25">
      <c r="B92" t="s">
        <v>198</v>
      </c>
      <c r="C92" t="s">
        <v>113</v>
      </c>
      <c r="D92">
        <v>1.1499999999999999</v>
      </c>
      <c r="E92">
        <v>5.5</v>
      </c>
      <c r="F92" t="s">
        <v>8</v>
      </c>
    </row>
    <row r="93" spans="2:6" x14ac:dyDescent="0.25">
      <c r="B93" t="s">
        <v>198</v>
      </c>
      <c r="C93" t="s">
        <v>113</v>
      </c>
      <c r="D93">
        <v>1.1599999999999999</v>
      </c>
      <c r="E93">
        <v>5.3</v>
      </c>
      <c r="F93" t="s">
        <v>8</v>
      </c>
    </row>
    <row r="94" spans="2:6" x14ac:dyDescent="0.25">
      <c r="B94" t="s">
        <v>198</v>
      </c>
      <c r="C94" t="s">
        <v>113</v>
      </c>
      <c r="D94">
        <v>1.1599999999999999</v>
      </c>
      <c r="E94">
        <v>5.8</v>
      </c>
      <c r="F94" t="s">
        <v>8</v>
      </c>
    </row>
    <row r="95" spans="2:6" x14ac:dyDescent="0.25">
      <c r="B95" t="s">
        <v>198</v>
      </c>
      <c r="C95" t="s">
        <v>113</v>
      </c>
      <c r="D95">
        <v>1.1399999999999999</v>
      </c>
      <c r="E95">
        <v>5.75</v>
      </c>
      <c r="F95" t="s">
        <v>8</v>
      </c>
    </row>
    <row r="96" spans="2:6" x14ac:dyDescent="0.25">
      <c r="B96" t="s">
        <v>198</v>
      </c>
      <c r="C96" t="s">
        <v>113</v>
      </c>
      <c r="D96">
        <v>1.1399999999999999</v>
      </c>
      <c r="E96">
        <v>5.9</v>
      </c>
      <c r="F96" t="s">
        <v>8</v>
      </c>
    </row>
    <row r="97" spans="2:6" x14ac:dyDescent="0.25">
      <c r="B97" t="s">
        <v>198</v>
      </c>
      <c r="C97" t="s">
        <v>113</v>
      </c>
      <c r="D97">
        <v>1.1599999999999999</v>
      </c>
      <c r="E97">
        <v>5.8</v>
      </c>
      <c r="F97" t="s">
        <v>8</v>
      </c>
    </row>
    <row r="98" spans="2:6" x14ac:dyDescent="0.25">
      <c r="B98" t="s">
        <v>198</v>
      </c>
      <c r="C98" t="s">
        <v>113</v>
      </c>
      <c r="D98">
        <v>1.17</v>
      </c>
      <c r="E98">
        <v>5.5</v>
      </c>
      <c r="F98" t="s">
        <v>8</v>
      </c>
    </row>
    <row r="99" spans="2:6" x14ac:dyDescent="0.25">
      <c r="B99" t="s">
        <v>198</v>
      </c>
      <c r="C99" t="s">
        <v>113</v>
      </c>
      <c r="D99">
        <v>1.1499999999999999</v>
      </c>
      <c r="E99">
        <v>5.9</v>
      </c>
      <c r="F99" t="s">
        <v>8</v>
      </c>
    </row>
    <row r="100" spans="2:6" x14ac:dyDescent="0.25">
      <c r="B100" t="s">
        <v>298</v>
      </c>
      <c r="C100" t="s">
        <v>113</v>
      </c>
      <c r="D100">
        <v>1.52</v>
      </c>
      <c r="E100">
        <v>2.6</v>
      </c>
      <c r="F100" t="s">
        <v>8</v>
      </c>
    </row>
    <row r="101" spans="2:6" x14ac:dyDescent="0.25">
      <c r="B101" t="s">
        <v>298</v>
      </c>
      <c r="C101" t="s">
        <v>113</v>
      </c>
      <c r="D101">
        <v>1.53</v>
      </c>
      <c r="E101">
        <v>2.5499999999999998</v>
      </c>
      <c r="F101" t="s">
        <v>8</v>
      </c>
    </row>
    <row r="102" spans="2:6" x14ac:dyDescent="0.25">
      <c r="B102" t="s">
        <v>298</v>
      </c>
      <c r="C102" t="s">
        <v>113</v>
      </c>
      <c r="D102">
        <v>1.51</v>
      </c>
      <c r="E102">
        <v>2.65</v>
      </c>
      <c r="F102" t="s">
        <v>8</v>
      </c>
    </row>
    <row r="103" spans="2:6" x14ac:dyDescent="0.25">
      <c r="B103" t="s">
        <v>298</v>
      </c>
      <c r="C103" t="s">
        <v>113</v>
      </c>
      <c r="D103">
        <v>1.51</v>
      </c>
      <c r="E103">
        <v>2.6</v>
      </c>
      <c r="F103" t="s">
        <v>8</v>
      </c>
    </row>
    <row r="104" spans="2:6" x14ac:dyDescent="0.25">
      <c r="B104" t="s">
        <v>298</v>
      </c>
      <c r="C104" t="s">
        <v>113</v>
      </c>
      <c r="D104">
        <v>1.51</v>
      </c>
      <c r="E104">
        <v>2.62</v>
      </c>
      <c r="F104" t="s">
        <v>8</v>
      </c>
    </row>
    <row r="105" spans="2:6" x14ac:dyDescent="0.25">
      <c r="B105" t="s">
        <v>298</v>
      </c>
      <c r="C105" t="s">
        <v>113</v>
      </c>
      <c r="D105">
        <v>1.53</v>
      </c>
      <c r="E105">
        <v>2.5499999999999998</v>
      </c>
      <c r="F105" t="s">
        <v>8</v>
      </c>
    </row>
    <row r="106" spans="2:6" x14ac:dyDescent="0.25">
      <c r="B106" t="s">
        <v>298</v>
      </c>
      <c r="C106" t="s">
        <v>113</v>
      </c>
      <c r="D106">
        <v>1.54</v>
      </c>
      <c r="E106">
        <v>2.5</v>
      </c>
      <c r="F106" t="s">
        <v>8</v>
      </c>
    </row>
    <row r="107" spans="2:6" x14ac:dyDescent="0.25">
      <c r="B107" t="s">
        <v>298</v>
      </c>
      <c r="C107" t="s">
        <v>113</v>
      </c>
      <c r="D107">
        <v>1.53</v>
      </c>
      <c r="E107">
        <v>2.5499999999999998</v>
      </c>
      <c r="F107" t="s">
        <v>8</v>
      </c>
    </row>
    <row r="108" spans="2:6" x14ac:dyDescent="0.25">
      <c r="B108" t="s">
        <v>298</v>
      </c>
      <c r="C108" t="s">
        <v>113</v>
      </c>
      <c r="D108">
        <v>1.56</v>
      </c>
      <c r="E108">
        <v>2.6</v>
      </c>
      <c r="F108" t="s">
        <v>8</v>
      </c>
    </row>
    <row r="109" spans="2:6" x14ac:dyDescent="0.25">
      <c r="B109" t="s">
        <v>298</v>
      </c>
      <c r="C109" t="s">
        <v>113</v>
      </c>
      <c r="D109">
        <v>1.56</v>
      </c>
      <c r="E109">
        <v>2.5</v>
      </c>
      <c r="F109" t="s">
        <v>8</v>
      </c>
    </row>
    <row r="110" spans="2:6" x14ac:dyDescent="0.25">
      <c r="B110" t="s">
        <v>298</v>
      </c>
      <c r="C110" t="s">
        <v>113</v>
      </c>
      <c r="D110">
        <v>1.56</v>
      </c>
      <c r="E110">
        <v>2.5499999999999998</v>
      </c>
      <c r="F110" t="s">
        <v>8</v>
      </c>
    </row>
    <row r="111" spans="2:6" x14ac:dyDescent="0.25">
      <c r="B111" t="s">
        <v>298</v>
      </c>
      <c r="C111" t="s">
        <v>113</v>
      </c>
      <c r="D111">
        <v>1.56</v>
      </c>
      <c r="E111">
        <v>2.6</v>
      </c>
      <c r="F111" t="s">
        <v>8</v>
      </c>
    </row>
    <row r="112" spans="2:6" x14ac:dyDescent="0.25">
      <c r="B112" t="s">
        <v>298</v>
      </c>
      <c r="C112" t="s">
        <v>113</v>
      </c>
      <c r="D112">
        <v>1.54</v>
      </c>
      <c r="E112">
        <v>2.5499999999999998</v>
      </c>
      <c r="F112" t="s">
        <v>8</v>
      </c>
    </row>
    <row r="113" spans="2:6" x14ac:dyDescent="0.25">
      <c r="B113" t="s">
        <v>298</v>
      </c>
      <c r="C113" t="s">
        <v>113</v>
      </c>
      <c r="D113">
        <v>1.54</v>
      </c>
      <c r="E113">
        <v>2.58</v>
      </c>
      <c r="F113" t="s">
        <v>8</v>
      </c>
    </row>
    <row r="114" spans="2:6" x14ac:dyDescent="0.25">
      <c r="B114" t="s">
        <v>200</v>
      </c>
      <c r="C114" t="s">
        <v>113</v>
      </c>
      <c r="D114">
        <v>1.98</v>
      </c>
      <c r="E114">
        <v>1.85</v>
      </c>
      <c r="F114" t="s">
        <v>8</v>
      </c>
    </row>
    <row r="115" spans="2:6" x14ac:dyDescent="0.25">
      <c r="B115" t="s">
        <v>200</v>
      </c>
      <c r="C115" t="s">
        <v>113</v>
      </c>
      <c r="D115">
        <v>1.98</v>
      </c>
      <c r="E115">
        <v>1.85</v>
      </c>
      <c r="F115" t="s">
        <v>8</v>
      </c>
    </row>
    <row r="116" spans="2:6" x14ac:dyDescent="0.25">
      <c r="B116" t="s">
        <v>200</v>
      </c>
      <c r="C116" t="s">
        <v>113</v>
      </c>
      <c r="D116">
        <v>2</v>
      </c>
      <c r="E116">
        <v>1.83</v>
      </c>
      <c r="F116" t="s">
        <v>8</v>
      </c>
    </row>
    <row r="117" spans="2:6" x14ac:dyDescent="0.25">
      <c r="B117" t="s">
        <v>200</v>
      </c>
      <c r="C117" t="s">
        <v>113</v>
      </c>
      <c r="D117">
        <v>2.0499999999999998</v>
      </c>
      <c r="E117">
        <v>1.8</v>
      </c>
      <c r="F117" t="s">
        <v>8</v>
      </c>
    </row>
    <row r="118" spans="2:6" x14ac:dyDescent="0.25">
      <c r="B118" t="s">
        <v>200</v>
      </c>
      <c r="C118" t="s">
        <v>113</v>
      </c>
      <c r="D118">
        <v>2</v>
      </c>
      <c r="E118">
        <v>1.83</v>
      </c>
      <c r="F118" t="s">
        <v>8</v>
      </c>
    </row>
    <row r="119" spans="2:6" x14ac:dyDescent="0.25">
      <c r="B119" t="s">
        <v>200</v>
      </c>
      <c r="C119" t="s">
        <v>113</v>
      </c>
      <c r="D119">
        <v>2.0499999999999998</v>
      </c>
      <c r="E119">
        <v>1.8</v>
      </c>
      <c r="F119" t="s">
        <v>8</v>
      </c>
    </row>
    <row r="120" spans="2:6" x14ac:dyDescent="0.25">
      <c r="B120" t="s">
        <v>200</v>
      </c>
      <c r="C120" t="s">
        <v>113</v>
      </c>
      <c r="D120">
        <v>1.97</v>
      </c>
      <c r="E120">
        <v>1.83</v>
      </c>
      <c r="F120" t="s">
        <v>8</v>
      </c>
    </row>
    <row r="121" spans="2:6" x14ac:dyDescent="0.25">
      <c r="B121" t="s">
        <v>200</v>
      </c>
      <c r="C121" t="s">
        <v>113</v>
      </c>
      <c r="D121">
        <v>1.97</v>
      </c>
      <c r="E121">
        <v>1.83</v>
      </c>
      <c r="F121" t="s">
        <v>8</v>
      </c>
    </row>
    <row r="122" spans="2:6" x14ac:dyDescent="0.25">
      <c r="B122" t="s">
        <v>200</v>
      </c>
      <c r="C122" t="s">
        <v>113</v>
      </c>
      <c r="D122">
        <v>2.0499999999999998</v>
      </c>
      <c r="E122">
        <v>1.8</v>
      </c>
      <c r="F122" t="s">
        <v>8</v>
      </c>
    </row>
    <row r="123" spans="2:6" x14ac:dyDescent="0.25">
      <c r="B123" t="s">
        <v>200</v>
      </c>
      <c r="C123" t="s">
        <v>113</v>
      </c>
      <c r="D123">
        <v>2.0499999999999998</v>
      </c>
      <c r="E123">
        <v>1.8</v>
      </c>
      <c r="F123" t="s">
        <v>8</v>
      </c>
    </row>
    <row r="124" spans="2:6" x14ac:dyDescent="0.25">
      <c r="B124" t="s">
        <v>200</v>
      </c>
      <c r="C124" t="s">
        <v>113</v>
      </c>
      <c r="D124">
        <v>2.0499999999999998</v>
      </c>
      <c r="E124">
        <v>1.8</v>
      </c>
      <c r="F124" t="s">
        <v>8</v>
      </c>
    </row>
    <row r="125" spans="2:6" x14ac:dyDescent="0.25">
      <c r="B125" t="s">
        <v>200</v>
      </c>
      <c r="C125" t="s">
        <v>113</v>
      </c>
      <c r="D125">
        <v>2.0499999999999998</v>
      </c>
      <c r="E125">
        <v>1.8</v>
      </c>
      <c r="F125" t="s">
        <v>8</v>
      </c>
    </row>
    <row r="126" spans="2:6" x14ac:dyDescent="0.25">
      <c r="B126" t="s">
        <v>200</v>
      </c>
      <c r="C126" t="s">
        <v>113</v>
      </c>
      <c r="D126">
        <v>2.0499999999999998</v>
      </c>
      <c r="E126">
        <v>1.8</v>
      </c>
      <c r="F126" t="s">
        <v>8</v>
      </c>
    </row>
    <row r="127" spans="2:6" x14ac:dyDescent="0.25">
      <c r="B127" t="s">
        <v>200</v>
      </c>
      <c r="C127" t="s">
        <v>113</v>
      </c>
      <c r="D127">
        <v>2.08</v>
      </c>
      <c r="E127">
        <v>1.8</v>
      </c>
      <c r="F127" t="s">
        <v>8</v>
      </c>
    </row>
    <row r="128" spans="2:6" x14ac:dyDescent="0.25">
      <c r="B128" t="s">
        <v>201</v>
      </c>
      <c r="C128" t="s">
        <v>113</v>
      </c>
      <c r="D128">
        <v>1.82</v>
      </c>
      <c r="E128">
        <v>2.02</v>
      </c>
      <c r="F128" t="s">
        <v>8</v>
      </c>
    </row>
    <row r="129" spans="2:6" x14ac:dyDescent="0.25">
      <c r="B129" t="s">
        <v>201</v>
      </c>
      <c r="C129" t="s">
        <v>113</v>
      </c>
      <c r="D129">
        <v>1.75</v>
      </c>
      <c r="E129">
        <v>2.12</v>
      </c>
      <c r="F129" t="s">
        <v>8</v>
      </c>
    </row>
    <row r="130" spans="2:6" x14ac:dyDescent="0.25">
      <c r="B130" t="s">
        <v>201</v>
      </c>
      <c r="C130" t="s">
        <v>113</v>
      </c>
      <c r="D130">
        <v>1.8</v>
      </c>
      <c r="E130">
        <v>2.0499999999999998</v>
      </c>
      <c r="F130" t="s">
        <v>8</v>
      </c>
    </row>
    <row r="131" spans="2:6" x14ac:dyDescent="0.25">
      <c r="B131" t="s">
        <v>201</v>
      </c>
      <c r="C131" t="s">
        <v>113</v>
      </c>
      <c r="D131">
        <v>1.8</v>
      </c>
      <c r="E131">
        <v>2.0499999999999998</v>
      </c>
      <c r="F131" t="s">
        <v>8</v>
      </c>
    </row>
    <row r="132" spans="2:6" x14ac:dyDescent="0.25">
      <c r="B132" t="s">
        <v>201</v>
      </c>
      <c r="C132" t="s">
        <v>113</v>
      </c>
      <c r="D132">
        <v>1.74</v>
      </c>
      <c r="E132">
        <v>2.1</v>
      </c>
      <c r="F132" t="s">
        <v>8</v>
      </c>
    </row>
    <row r="133" spans="2:6" x14ac:dyDescent="0.25">
      <c r="B133" t="s">
        <v>201</v>
      </c>
      <c r="C133" t="s">
        <v>113</v>
      </c>
      <c r="D133">
        <v>1.78</v>
      </c>
      <c r="E133">
        <v>2.0499999999999998</v>
      </c>
      <c r="F133" t="s">
        <v>8</v>
      </c>
    </row>
    <row r="134" spans="2:6" x14ac:dyDescent="0.25">
      <c r="B134" t="s">
        <v>201</v>
      </c>
      <c r="C134" t="s">
        <v>113</v>
      </c>
      <c r="D134">
        <v>1.76</v>
      </c>
      <c r="E134">
        <v>2.1</v>
      </c>
      <c r="F134" t="s">
        <v>8</v>
      </c>
    </row>
    <row r="135" spans="2:6" x14ac:dyDescent="0.25">
      <c r="B135" t="s">
        <v>201</v>
      </c>
      <c r="C135" t="s">
        <v>113</v>
      </c>
      <c r="D135">
        <v>1.78</v>
      </c>
      <c r="E135">
        <v>2.0499999999999998</v>
      </c>
      <c r="F135" t="s">
        <v>8</v>
      </c>
    </row>
    <row r="136" spans="2:6" x14ac:dyDescent="0.25">
      <c r="B136" t="s">
        <v>201</v>
      </c>
      <c r="C136" t="s">
        <v>113</v>
      </c>
      <c r="D136">
        <v>1.8</v>
      </c>
      <c r="E136">
        <v>2.0499999999999998</v>
      </c>
      <c r="F136" t="s">
        <v>8</v>
      </c>
    </row>
    <row r="137" spans="2:6" x14ac:dyDescent="0.25">
      <c r="B137" t="s">
        <v>201</v>
      </c>
      <c r="C137" t="s">
        <v>113</v>
      </c>
      <c r="D137">
        <v>1.77</v>
      </c>
      <c r="E137">
        <v>2.1</v>
      </c>
      <c r="F137" t="s">
        <v>8</v>
      </c>
    </row>
    <row r="138" spans="2:6" x14ac:dyDescent="0.25">
      <c r="B138" t="s">
        <v>201</v>
      </c>
      <c r="C138" t="s">
        <v>113</v>
      </c>
      <c r="D138">
        <v>1.8</v>
      </c>
      <c r="E138">
        <v>2.0499999999999998</v>
      </c>
      <c r="F138" t="s">
        <v>8</v>
      </c>
    </row>
    <row r="139" spans="2:6" x14ac:dyDescent="0.25">
      <c r="B139" t="s">
        <v>201</v>
      </c>
      <c r="C139" t="s">
        <v>113</v>
      </c>
      <c r="D139">
        <v>1.8</v>
      </c>
      <c r="E139">
        <v>2.0499999999999998</v>
      </c>
      <c r="F139" t="s">
        <v>8</v>
      </c>
    </row>
    <row r="140" spans="2:6" x14ac:dyDescent="0.25">
      <c r="B140" t="s">
        <v>201</v>
      </c>
      <c r="C140" t="s">
        <v>113</v>
      </c>
      <c r="D140">
        <v>1.8</v>
      </c>
      <c r="E140">
        <v>2.0499999999999998</v>
      </c>
      <c r="F140" t="s">
        <v>8</v>
      </c>
    </row>
    <row r="141" spans="2:6" x14ac:dyDescent="0.25">
      <c r="B141" t="s">
        <v>201</v>
      </c>
      <c r="C141" t="s">
        <v>113</v>
      </c>
      <c r="D141">
        <v>1.8</v>
      </c>
      <c r="E141">
        <v>2.08</v>
      </c>
      <c r="F141" t="s">
        <v>8</v>
      </c>
    </row>
    <row r="142" spans="2:6" x14ac:dyDescent="0.25">
      <c r="B142" t="s">
        <v>202</v>
      </c>
      <c r="C142" t="s">
        <v>113</v>
      </c>
      <c r="D142">
        <v>1.41</v>
      </c>
      <c r="E142">
        <v>3</v>
      </c>
      <c r="F142" t="s">
        <v>8</v>
      </c>
    </row>
    <row r="143" spans="2:6" x14ac:dyDescent="0.25">
      <c r="B143" t="s">
        <v>202</v>
      </c>
      <c r="C143" t="s">
        <v>113</v>
      </c>
      <c r="D143">
        <v>1.41</v>
      </c>
      <c r="E143">
        <v>2.98</v>
      </c>
      <c r="F143" t="s">
        <v>8</v>
      </c>
    </row>
    <row r="144" spans="2:6" x14ac:dyDescent="0.25">
      <c r="B144" t="s">
        <v>202</v>
      </c>
      <c r="C144" t="s">
        <v>113</v>
      </c>
      <c r="D144">
        <v>1.43</v>
      </c>
      <c r="E144">
        <v>2.9</v>
      </c>
      <c r="F144" t="s">
        <v>8</v>
      </c>
    </row>
    <row r="145" spans="2:6" x14ac:dyDescent="0.25">
      <c r="B145" t="s">
        <v>202</v>
      </c>
      <c r="C145" t="s">
        <v>113</v>
      </c>
      <c r="D145">
        <v>1.43</v>
      </c>
      <c r="E145">
        <v>2.92</v>
      </c>
      <c r="F145" t="s">
        <v>8</v>
      </c>
    </row>
    <row r="146" spans="2:6" x14ac:dyDescent="0.25">
      <c r="B146" t="s">
        <v>202</v>
      </c>
      <c r="C146" t="s">
        <v>113</v>
      </c>
      <c r="D146">
        <v>1.41</v>
      </c>
      <c r="E146">
        <v>2.95</v>
      </c>
      <c r="F146" t="s">
        <v>8</v>
      </c>
    </row>
    <row r="147" spans="2:6" x14ac:dyDescent="0.25">
      <c r="B147" t="s">
        <v>202</v>
      </c>
      <c r="C147" t="s">
        <v>113</v>
      </c>
      <c r="D147">
        <v>1.39</v>
      </c>
      <c r="E147">
        <v>3.05</v>
      </c>
      <c r="F147" t="s">
        <v>8</v>
      </c>
    </row>
    <row r="148" spans="2:6" x14ac:dyDescent="0.25">
      <c r="B148" t="s">
        <v>202</v>
      </c>
      <c r="C148" t="s">
        <v>113</v>
      </c>
      <c r="D148">
        <v>1.4</v>
      </c>
      <c r="E148">
        <v>3</v>
      </c>
      <c r="F148" t="s">
        <v>8</v>
      </c>
    </row>
    <row r="149" spans="2:6" x14ac:dyDescent="0.25">
      <c r="B149" t="s">
        <v>202</v>
      </c>
      <c r="C149" t="s">
        <v>113</v>
      </c>
      <c r="D149">
        <v>1.41</v>
      </c>
      <c r="E149">
        <v>2.95</v>
      </c>
      <c r="F149" t="s">
        <v>8</v>
      </c>
    </row>
    <row r="150" spans="2:6" x14ac:dyDescent="0.25">
      <c r="B150" t="s">
        <v>202</v>
      </c>
      <c r="C150" t="s">
        <v>113</v>
      </c>
      <c r="D150">
        <v>1.4</v>
      </c>
      <c r="E150">
        <v>3.1</v>
      </c>
      <c r="F150" t="s">
        <v>8</v>
      </c>
    </row>
    <row r="151" spans="2:6" x14ac:dyDescent="0.25">
      <c r="B151" t="s">
        <v>202</v>
      </c>
      <c r="C151" t="s">
        <v>113</v>
      </c>
      <c r="D151">
        <v>1.38</v>
      </c>
      <c r="E151">
        <v>3.1</v>
      </c>
      <c r="F151" t="s">
        <v>8</v>
      </c>
    </row>
    <row r="152" spans="2:6" x14ac:dyDescent="0.25">
      <c r="B152" t="s">
        <v>202</v>
      </c>
      <c r="C152" t="s">
        <v>113</v>
      </c>
      <c r="D152">
        <v>1.4</v>
      </c>
      <c r="E152">
        <v>3.05</v>
      </c>
      <c r="F152" t="s">
        <v>8</v>
      </c>
    </row>
    <row r="153" spans="2:6" x14ac:dyDescent="0.25">
      <c r="B153" t="s">
        <v>202</v>
      </c>
      <c r="C153" t="s">
        <v>113</v>
      </c>
      <c r="D153">
        <v>1.4</v>
      </c>
      <c r="E153">
        <v>3.1</v>
      </c>
      <c r="F153" t="s">
        <v>8</v>
      </c>
    </row>
    <row r="154" spans="2:6" x14ac:dyDescent="0.25">
      <c r="B154" t="s">
        <v>202</v>
      </c>
      <c r="C154" t="s">
        <v>113</v>
      </c>
      <c r="D154">
        <v>1.4</v>
      </c>
      <c r="E154">
        <v>3.1</v>
      </c>
      <c r="F154" t="s">
        <v>8</v>
      </c>
    </row>
    <row r="155" spans="2:6" x14ac:dyDescent="0.25">
      <c r="B155" t="s">
        <v>202</v>
      </c>
      <c r="C155" t="s">
        <v>113</v>
      </c>
      <c r="D155">
        <v>1.4</v>
      </c>
      <c r="E155">
        <v>3.1</v>
      </c>
      <c r="F155" t="s">
        <v>8</v>
      </c>
    </row>
    <row r="156" spans="2:6" x14ac:dyDescent="0.25">
      <c r="B156" t="s">
        <v>293</v>
      </c>
      <c r="C156" t="s">
        <v>113</v>
      </c>
      <c r="D156">
        <v>1.1599999999999999</v>
      </c>
      <c r="E156">
        <v>5.55</v>
      </c>
      <c r="F156" t="s">
        <v>8</v>
      </c>
    </row>
    <row r="157" spans="2:6" x14ac:dyDescent="0.25">
      <c r="B157" t="s">
        <v>293</v>
      </c>
      <c r="C157" t="s">
        <v>113</v>
      </c>
      <c r="D157">
        <v>1.1599999999999999</v>
      </c>
      <c r="E157">
        <v>5.5</v>
      </c>
      <c r="F157" t="s">
        <v>8</v>
      </c>
    </row>
    <row r="158" spans="2:6" x14ac:dyDescent="0.25">
      <c r="B158" t="s">
        <v>293</v>
      </c>
      <c r="C158" t="s">
        <v>113</v>
      </c>
      <c r="D158">
        <v>1.17</v>
      </c>
      <c r="E158">
        <v>5.25</v>
      </c>
      <c r="F158" t="s">
        <v>8</v>
      </c>
    </row>
    <row r="159" spans="2:6" x14ac:dyDescent="0.25">
      <c r="B159" t="s">
        <v>293</v>
      </c>
      <c r="C159" t="s">
        <v>113</v>
      </c>
      <c r="D159">
        <v>1.1599999999999999</v>
      </c>
      <c r="E159">
        <v>5.3</v>
      </c>
      <c r="F159" t="s">
        <v>8</v>
      </c>
    </row>
    <row r="160" spans="2:6" x14ac:dyDescent="0.25">
      <c r="B160" t="s">
        <v>293</v>
      </c>
      <c r="C160" t="s">
        <v>113</v>
      </c>
      <c r="D160">
        <v>1.17</v>
      </c>
      <c r="E160">
        <v>5.3</v>
      </c>
      <c r="F160" t="s">
        <v>8</v>
      </c>
    </row>
    <row r="161" spans="2:6" x14ac:dyDescent="0.25">
      <c r="B161" t="s">
        <v>293</v>
      </c>
      <c r="C161" t="s">
        <v>113</v>
      </c>
      <c r="D161">
        <v>1.1499999999999999</v>
      </c>
      <c r="E161">
        <v>5.5</v>
      </c>
      <c r="F161" t="s">
        <v>8</v>
      </c>
    </row>
    <row r="162" spans="2:6" x14ac:dyDescent="0.25">
      <c r="B162" t="s">
        <v>293</v>
      </c>
      <c r="C162" t="s">
        <v>113</v>
      </c>
      <c r="D162">
        <v>1.1599999999999999</v>
      </c>
      <c r="E162">
        <v>5.3</v>
      </c>
      <c r="F162" t="s">
        <v>8</v>
      </c>
    </row>
    <row r="163" spans="2:6" x14ac:dyDescent="0.25">
      <c r="B163" t="s">
        <v>293</v>
      </c>
      <c r="C163" t="s">
        <v>113</v>
      </c>
      <c r="D163">
        <v>1.1599999999999999</v>
      </c>
      <c r="E163">
        <v>5.3</v>
      </c>
      <c r="F163" t="s">
        <v>8</v>
      </c>
    </row>
    <row r="164" spans="2:6" x14ac:dyDescent="0.25">
      <c r="B164" t="s">
        <v>293</v>
      </c>
      <c r="C164" t="s">
        <v>113</v>
      </c>
      <c r="D164">
        <v>1.17</v>
      </c>
      <c r="E164">
        <v>5.55</v>
      </c>
      <c r="F164" t="s">
        <v>8</v>
      </c>
    </row>
    <row r="165" spans="2:6" x14ac:dyDescent="0.25">
      <c r="B165" t="s">
        <v>293</v>
      </c>
      <c r="C165" t="s">
        <v>113</v>
      </c>
      <c r="D165">
        <v>1.17</v>
      </c>
      <c r="E165">
        <v>5.25</v>
      </c>
      <c r="F165" t="s">
        <v>8</v>
      </c>
    </row>
    <row r="166" spans="2:6" x14ac:dyDescent="0.25">
      <c r="B166" t="s">
        <v>293</v>
      </c>
      <c r="C166" t="s">
        <v>113</v>
      </c>
      <c r="D166">
        <v>1.17</v>
      </c>
      <c r="E166">
        <v>5.3</v>
      </c>
      <c r="F166" t="s">
        <v>8</v>
      </c>
    </row>
    <row r="167" spans="2:6" x14ac:dyDescent="0.25">
      <c r="B167" t="s">
        <v>293</v>
      </c>
      <c r="C167" t="s">
        <v>113</v>
      </c>
      <c r="D167">
        <v>1.17</v>
      </c>
      <c r="E167">
        <v>5.55</v>
      </c>
      <c r="F167" t="s">
        <v>8</v>
      </c>
    </row>
    <row r="168" spans="2:6" x14ac:dyDescent="0.25">
      <c r="B168" t="s">
        <v>293</v>
      </c>
      <c r="C168" t="s">
        <v>113</v>
      </c>
      <c r="D168">
        <v>1.17</v>
      </c>
      <c r="E168">
        <v>5.25</v>
      </c>
      <c r="F168" t="s">
        <v>8</v>
      </c>
    </row>
    <row r="169" spans="2:6" x14ac:dyDescent="0.25">
      <c r="B169" t="s">
        <v>293</v>
      </c>
      <c r="C169" t="s">
        <v>113</v>
      </c>
      <c r="D169">
        <v>1.17</v>
      </c>
      <c r="E169">
        <v>5.4</v>
      </c>
      <c r="F169" t="s">
        <v>8</v>
      </c>
    </row>
    <row r="170" spans="2:6" x14ac:dyDescent="0.25">
      <c r="B170" t="s">
        <v>294</v>
      </c>
      <c r="C170" t="s">
        <v>113</v>
      </c>
      <c r="D170">
        <v>1.33</v>
      </c>
      <c r="E170">
        <v>3.45</v>
      </c>
      <c r="F170" t="s">
        <v>8</v>
      </c>
    </row>
    <row r="171" spans="2:6" x14ac:dyDescent="0.25">
      <c r="B171" t="s">
        <v>294</v>
      </c>
      <c r="C171" t="s">
        <v>113</v>
      </c>
      <c r="D171">
        <v>1.32</v>
      </c>
      <c r="E171">
        <v>3.5</v>
      </c>
      <c r="F171" t="s">
        <v>8</v>
      </c>
    </row>
    <row r="172" spans="2:6" x14ac:dyDescent="0.25">
      <c r="B172" t="s">
        <v>294</v>
      </c>
      <c r="C172" t="s">
        <v>113</v>
      </c>
      <c r="D172">
        <v>1.33</v>
      </c>
      <c r="E172">
        <v>3.5</v>
      </c>
      <c r="F172" t="s">
        <v>8</v>
      </c>
    </row>
    <row r="173" spans="2:6" x14ac:dyDescent="0.25">
      <c r="B173" t="s">
        <v>294</v>
      </c>
      <c r="C173" t="s">
        <v>113</v>
      </c>
      <c r="D173">
        <v>1.34</v>
      </c>
      <c r="E173">
        <v>3.3</v>
      </c>
      <c r="F173" t="s">
        <v>8</v>
      </c>
    </row>
    <row r="174" spans="2:6" x14ac:dyDescent="0.25">
      <c r="B174" t="s">
        <v>294</v>
      </c>
      <c r="C174" t="s">
        <v>113</v>
      </c>
      <c r="D174">
        <v>1.35</v>
      </c>
      <c r="E174">
        <v>3.28</v>
      </c>
      <c r="F174" t="s">
        <v>8</v>
      </c>
    </row>
    <row r="175" spans="2:6" x14ac:dyDescent="0.25">
      <c r="B175" t="s">
        <v>294</v>
      </c>
      <c r="C175" t="s">
        <v>113</v>
      </c>
      <c r="D175">
        <v>1.34</v>
      </c>
      <c r="E175">
        <v>3.32</v>
      </c>
      <c r="F175" t="s">
        <v>8</v>
      </c>
    </row>
    <row r="176" spans="2:6" x14ac:dyDescent="0.25">
      <c r="B176" t="s">
        <v>294</v>
      </c>
      <c r="C176" t="s">
        <v>113</v>
      </c>
      <c r="D176">
        <v>1.36</v>
      </c>
      <c r="E176">
        <v>3.25</v>
      </c>
      <c r="F176" t="s">
        <v>8</v>
      </c>
    </row>
    <row r="177" spans="2:6" x14ac:dyDescent="0.25">
      <c r="B177" t="s">
        <v>294</v>
      </c>
      <c r="C177" t="s">
        <v>113</v>
      </c>
      <c r="D177">
        <v>1.34</v>
      </c>
      <c r="E177">
        <v>3.32</v>
      </c>
      <c r="F177" t="s">
        <v>8</v>
      </c>
    </row>
    <row r="178" spans="2:6" x14ac:dyDescent="0.25">
      <c r="B178" t="s">
        <v>294</v>
      </c>
      <c r="C178" t="s">
        <v>113</v>
      </c>
      <c r="D178">
        <v>1.35</v>
      </c>
      <c r="E178">
        <v>3.4</v>
      </c>
      <c r="F178" t="s">
        <v>8</v>
      </c>
    </row>
    <row r="179" spans="2:6" x14ac:dyDescent="0.25">
      <c r="B179" t="s">
        <v>294</v>
      </c>
      <c r="C179" t="s">
        <v>113</v>
      </c>
      <c r="D179">
        <v>1.36</v>
      </c>
      <c r="E179">
        <v>3.25</v>
      </c>
      <c r="F179" t="s">
        <v>8</v>
      </c>
    </row>
    <row r="180" spans="2:6" x14ac:dyDescent="0.25">
      <c r="B180" t="s">
        <v>294</v>
      </c>
      <c r="C180" t="s">
        <v>113</v>
      </c>
      <c r="D180">
        <v>1.35</v>
      </c>
      <c r="E180">
        <v>3.35</v>
      </c>
      <c r="F180" t="s">
        <v>8</v>
      </c>
    </row>
    <row r="181" spans="2:6" x14ac:dyDescent="0.25">
      <c r="B181" t="s">
        <v>294</v>
      </c>
      <c r="C181" t="s">
        <v>113</v>
      </c>
      <c r="D181">
        <v>1.35</v>
      </c>
      <c r="E181">
        <v>3.4</v>
      </c>
      <c r="F181" t="s">
        <v>8</v>
      </c>
    </row>
    <row r="182" spans="2:6" x14ac:dyDescent="0.25">
      <c r="B182" t="s">
        <v>294</v>
      </c>
      <c r="C182" t="s">
        <v>113</v>
      </c>
      <c r="D182">
        <v>1.37</v>
      </c>
      <c r="E182">
        <v>3.2</v>
      </c>
      <c r="F182" t="s">
        <v>8</v>
      </c>
    </row>
    <row r="183" spans="2:6" x14ac:dyDescent="0.25">
      <c r="B183" t="s">
        <v>294</v>
      </c>
      <c r="C183" t="s">
        <v>113</v>
      </c>
      <c r="D183">
        <v>1.36</v>
      </c>
      <c r="E183">
        <v>3.38</v>
      </c>
      <c r="F183" t="s">
        <v>8</v>
      </c>
    </row>
    <row r="184" spans="2:6" x14ac:dyDescent="0.25">
      <c r="B184" t="s">
        <v>197</v>
      </c>
      <c r="C184" t="s">
        <v>113</v>
      </c>
      <c r="D184">
        <v>1.06</v>
      </c>
      <c r="E184">
        <v>11</v>
      </c>
      <c r="F184" t="s">
        <v>8</v>
      </c>
    </row>
    <row r="185" spans="2:6" x14ac:dyDescent="0.25">
      <c r="B185" t="s">
        <v>197</v>
      </c>
      <c r="C185" t="s">
        <v>113</v>
      </c>
      <c r="D185">
        <v>1.04</v>
      </c>
      <c r="E185">
        <v>12.6</v>
      </c>
      <c r="F185" t="s">
        <v>8</v>
      </c>
    </row>
    <row r="186" spans="2:6" x14ac:dyDescent="0.25">
      <c r="B186" t="s">
        <v>197</v>
      </c>
      <c r="C186" t="s">
        <v>113</v>
      </c>
      <c r="D186">
        <v>1.04</v>
      </c>
      <c r="E186">
        <v>11</v>
      </c>
      <c r="F186" t="s">
        <v>8</v>
      </c>
    </row>
    <row r="187" spans="2:6" x14ac:dyDescent="0.25">
      <c r="B187" t="s">
        <v>197</v>
      </c>
      <c r="C187" t="s">
        <v>113</v>
      </c>
      <c r="D187">
        <v>1.04</v>
      </c>
      <c r="E187">
        <v>12.5</v>
      </c>
      <c r="F187" t="s">
        <v>8</v>
      </c>
    </row>
    <row r="188" spans="2:6" x14ac:dyDescent="0.25">
      <c r="B188" t="s">
        <v>197</v>
      </c>
      <c r="C188" t="s">
        <v>113</v>
      </c>
      <c r="D188">
        <v>1.04</v>
      </c>
      <c r="E188">
        <v>12</v>
      </c>
      <c r="F188" t="s">
        <v>8</v>
      </c>
    </row>
    <row r="189" spans="2:6" x14ac:dyDescent="0.25">
      <c r="B189" t="s">
        <v>197</v>
      </c>
      <c r="C189" t="s">
        <v>113</v>
      </c>
      <c r="D189">
        <v>1.03</v>
      </c>
      <c r="E189">
        <v>13.1</v>
      </c>
      <c r="F189" t="s">
        <v>8</v>
      </c>
    </row>
    <row r="190" spans="2:6" x14ac:dyDescent="0.25">
      <c r="B190" t="s">
        <v>197</v>
      </c>
      <c r="C190" t="s">
        <v>113</v>
      </c>
      <c r="D190">
        <v>1.03</v>
      </c>
      <c r="E190">
        <v>12.5</v>
      </c>
      <c r="F190" t="s">
        <v>8</v>
      </c>
    </row>
    <row r="191" spans="2:6" x14ac:dyDescent="0.25">
      <c r="B191" t="s">
        <v>197</v>
      </c>
      <c r="C191" t="s">
        <v>113</v>
      </c>
      <c r="D191">
        <v>1.03</v>
      </c>
      <c r="E191">
        <v>12.5</v>
      </c>
      <c r="F191" t="s">
        <v>8</v>
      </c>
    </row>
    <row r="192" spans="2:6" x14ac:dyDescent="0.25">
      <c r="B192" t="s">
        <v>197</v>
      </c>
      <c r="C192" t="s">
        <v>113</v>
      </c>
      <c r="D192">
        <v>1.03</v>
      </c>
      <c r="E192">
        <v>13</v>
      </c>
      <c r="F192" t="s">
        <v>8</v>
      </c>
    </row>
    <row r="193" spans="2:6" x14ac:dyDescent="0.25">
      <c r="B193" t="s">
        <v>197</v>
      </c>
      <c r="C193" t="s">
        <v>113</v>
      </c>
      <c r="D193">
        <v>1.03</v>
      </c>
      <c r="E193">
        <v>13</v>
      </c>
      <c r="F193" t="s">
        <v>8</v>
      </c>
    </row>
    <row r="194" spans="2:6" x14ac:dyDescent="0.25">
      <c r="B194" t="s">
        <v>197</v>
      </c>
      <c r="C194" t="s">
        <v>113</v>
      </c>
      <c r="D194">
        <v>1.04</v>
      </c>
      <c r="E194">
        <v>13.25</v>
      </c>
      <c r="F194" t="s">
        <v>8</v>
      </c>
    </row>
    <row r="195" spans="2:6" x14ac:dyDescent="0.25">
      <c r="B195" t="s">
        <v>197</v>
      </c>
      <c r="C195" t="s">
        <v>113</v>
      </c>
      <c r="D195">
        <v>1.03</v>
      </c>
      <c r="E195">
        <v>13</v>
      </c>
      <c r="F195" t="s">
        <v>8</v>
      </c>
    </row>
    <row r="196" spans="2:6" x14ac:dyDescent="0.25">
      <c r="B196" t="s">
        <v>197</v>
      </c>
      <c r="C196" t="s">
        <v>113</v>
      </c>
      <c r="D196">
        <v>1.05</v>
      </c>
      <c r="E196">
        <v>12</v>
      </c>
      <c r="F196" t="s">
        <v>8</v>
      </c>
    </row>
    <row r="197" spans="2:6" x14ac:dyDescent="0.25">
      <c r="B197" t="s">
        <v>197</v>
      </c>
      <c r="C197" t="s">
        <v>113</v>
      </c>
      <c r="D197">
        <v>1.04</v>
      </c>
      <c r="E197">
        <v>13.5</v>
      </c>
      <c r="F197" t="s">
        <v>8</v>
      </c>
    </row>
    <row r="198" spans="2:6" x14ac:dyDescent="0.25">
      <c r="B198" t="s">
        <v>205</v>
      </c>
      <c r="C198" t="s">
        <v>206</v>
      </c>
      <c r="D198">
        <v>1.18</v>
      </c>
      <c r="E198">
        <v>5.0999999999999996</v>
      </c>
      <c r="F198" t="s">
        <v>8</v>
      </c>
    </row>
    <row r="199" spans="2:6" x14ac:dyDescent="0.25">
      <c r="B199" t="s">
        <v>205</v>
      </c>
      <c r="C199" t="s">
        <v>206</v>
      </c>
      <c r="D199">
        <v>1.19</v>
      </c>
      <c r="E199">
        <v>4.9000000000000004</v>
      </c>
      <c r="F199" t="s">
        <v>8</v>
      </c>
    </row>
    <row r="200" spans="2:6" x14ac:dyDescent="0.25">
      <c r="B200" t="s">
        <v>205</v>
      </c>
      <c r="C200" t="s">
        <v>206</v>
      </c>
      <c r="D200">
        <v>1.17</v>
      </c>
      <c r="E200">
        <v>5.25</v>
      </c>
      <c r="F200" t="s">
        <v>8</v>
      </c>
    </row>
    <row r="201" spans="2:6" x14ac:dyDescent="0.25">
      <c r="B201" t="s">
        <v>205</v>
      </c>
      <c r="C201" t="s">
        <v>206</v>
      </c>
      <c r="D201">
        <v>1.18</v>
      </c>
      <c r="E201">
        <v>5.0999999999999996</v>
      </c>
      <c r="F201" t="s">
        <v>8</v>
      </c>
    </row>
    <row r="202" spans="2:6" x14ac:dyDescent="0.25">
      <c r="B202" t="s">
        <v>205</v>
      </c>
      <c r="C202" t="s">
        <v>206</v>
      </c>
      <c r="D202">
        <v>1.17</v>
      </c>
      <c r="E202">
        <v>5.3</v>
      </c>
      <c r="F202" t="s">
        <v>8</v>
      </c>
    </row>
    <row r="203" spans="2:6" x14ac:dyDescent="0.25">
      <c r="B203" t="s">
        <v>205</v>
      </c>
      <c r="C203" t="s">
        <v>206</v>
      </c>
      <c r="D203">
        <v>1.1599999999999999</v>
      </c>
      <c r="E203">
        <v>5.3</v>
      </c>
      <c r="F203" t="s">
        <v>8</v>
      </c>
    </row>
    <row r="204" spans="2:6" x14ac:dyDescent="0.25">
      <c r="B204" t="s">
        <v>205</v>
      </c>
      <c r="C204" t="s">
        <v>206</v>
      </c>
      <c r="D204">
        <v>1.18</v>
      </c>
      <c r="E204">
        <v>5</v>
      </c>
      <c r="F204" t="s">
        <v>8</v>
      </c>
    </row>
    <row r="205" spans="2:6" x14ac:dyDescent="0.25">
      <c r="B205" t="s">
        <v>205</v>
      </c>
      <c r="C205" t="s">
        <v>206</v>
      </c>
      <c r="D205">
        <v>1.1599999999999999</v>
      </c>
      <c r="E205">
        <v>5.3</v>
      </c>
      <c r="F205" t="s">
        <v>8</v>
      </c>
    </row>
    <row r="206" spans="2:6" x14ac:dyDescent="0.25">
      <c r="B206" t="s">
        <v>205</v>
      </c>
      <c r="C206" t="s">
        <v>206</v>
      </c>
      <c r="D206">
        <v>1.18</v>
      </c>
      <c r="E206">
        <v>5.3</v>
      </c>
      <c r="F206" t="s">
        <v>8</v>
      </c>
    </row>
    <row r="207" spans="2:6" x14ac:dyDescent="0.25">
      <c r="B207" t="s">
        <v>205</v>
      </c>
      <c r="C207" t="s">
        <v>206</v>
      </c>
      <c r="D207">
        <v>1.18</v>
      </c>
      <c r="E207">
        <v>5</v>
      </c>
      <c r="F207" t="s">
        <v>8</v>
      </c>
    </row>
    <row r="208" spans="2:6" x14ac:dyDescent="0.25">
      <c r="B208" t="s">
        <v>205</v>
      </c>
      <c r="C208" t="s">
        <v>206</v>
      </c>
      <c r="D208">
        <v>1.18</v>
      </c>
      <c r="E208">
        <v>5.15</v>
      </c>
      <c r="F208" t="s">
        <v>8</v>
      </c>
    </row>
    <row r="209" spans="2:6" x14ac:dyDescent="0.25">
      <c r="B209" t="s">
        <v>205</v>
      </c>
      <c r="C209" t="s">
        <v>206</v>
      </c>
      <c r="D209">
        <v>1.18</v>
      </c>
      <c r="E209">
        <v>5.3</v>
      </c>
      <c r="F209" t="s">
        <v>8</v>
      </c>
    </row>
    <row r="210" spans="2:6" x14ac:dyDescent="0.25">
      <c r="B210" t="s">
        <v>205</v>
      </c>
      <c r="C210" t="s">
        <v>206</v>
      </c>
      <c r="D210">
        <v>1.19</v>
      </c>
      <c r="E210">
        <v>5</v>
      </c>
      <c r="F210" t="s">
        <v>8</v>
      </c>
    </row>
    <row r="211" spans="2:6" x14ac:dyDescent="0.25">
      <c r="B211" t="s">
        <v>205</v>
      </c>
      <c r="C211" t="s">
        <v>206</v>
      </c>
      <c r="D211">
        <v>1.19</v>
      </c>
      <c r="E211">
        <v>5.0999999999999996</v>
      </c>
      <c r="F211" t="s">
        <v>8</v>
      </c>
    </row>
    <row r="212" spans="2:6" x14ac:dyDescent="0.25">
      <c r="B212" t="s">
        <v>207</v>
      </c>
      <c r="C212" t="s">
        <v>208</v>
      </c>
      <c r="D212">
        <v>1.25</v>
      </c>
      <c r="E212">
        <v>4.0999999999999996</v>
      </c>
      <c r="F212" t="s">
        <v>8</v>
      </c>
    </row>
    <row r="213" spans="2:6" x14ac:dyDescent="0.25">
      <c r="B213" t="s">
        <v>207</v>
      </c>
      <c r="C213" t="s">
        <v>208</v>
      </c>
      <c r="D213">
        <v>1.26</v>
      </c>
      <c r="E213">
        <v>4</v>
      </c>
      <c r="F213" t="s">
        <v>8</v>
      </c>
    </row>
    <row r="214" spans="2:6" x14ac:dyDescent="0.25">
      <c r="B214" t="s">
        <v>207</v>
      </c>
      <c r="C214" t="s">
        <v>208</v>
      </c>
      <c r="D214">
        <v>1.24</v>
      </c>
      <c r="E214">
        <v>4.1500000000000004</v>
      </c>
      <c r="F214" t="s">
        <v>8</v>
      </c>
    </row>
    <row r="215" spans="2:6" x14ac:dyDescent="0.25">
      <c r="B215" t="s">
        <v>207</v>
      </c>
      <c r="C215" t="s">
        <v>208</v>
      </c>
      <c r="D215">
        <v>1.25</v>
      </c>
      <c r="E215">
        <v>4.0999999999999996</v>
      </c>
      <c r="F215" t="s">
        <v>8</v>
      </c>
    </row>
    <row r="216" spans="2:6" x14ac:dyDescent="0.25">
      <c r="B216" t="s">
        <v>207</v>
      </c>
      <c r="C216" t="s">
        <v>208</v>
      </c>
      <c r="D216">
        <v>1.25</v>
      </c>
      <c r="E216">
        <v>4.0999999999999996</v>
      </c>
      <c r="F216" t="s">
        <v>8</v>
      </c>
    </row>
    <row r="217" spans="2:6" x14ac:dyDescent="0.25">
      <c r="B217" t="s">
        <v>207</v>
      </c>
      <c r="C217" t="s">
        <v>208</v>
      </c>
      <c r="D217">
        <v>1.25</v>
      </c>
      <c r="E217">
        <v>4.0999999999999996</v>
      </c>
      <c r="F217" t="s">
        <v>8</v>
      </c>
    </row>
    <row r="218" spans="2:6" x14ac:dyDescent="0.25">
      <c r="B218" t="s">
        <v>207</v>
      </c>
      <c r="C218" t="s">
        <v>208</v>
      </c>
      <c r="D218">
        <v>1.25</v>
      </c>
      <c r="E218">
        <v>4.0999999999999996</v>
      </c>
      <c r="F218" t="s">
        <v>8</v>
      </c>
    </row>
    <row r="219" spans="2:6" x14ac:dyDescent="0.25">
      <c r="B219" t="s">
        <v>207</v>
      </c>
      <c r="C219" t="s">
        <v>208</v>
      </c>
      <c r="D219">
        <v>1.26</v>
      </c>
      <c r="E219">
        <v>4.1500000000000004</v>
      </c>
      <c r="F219" t="s">
        <v>8</v>
      </c>
    </row>
    <row r="220" spans="2:6" x14ac:dyDescent="0.25">
      <c r="B220" t="s">
        <v>207</v>
      </c>
      <c r="C220" t="s">
        <v>208</v>
      </c>
      <c r="D220">
        <v>1.25</v>
      </c>
      <c r="E220">
        <v>4</v>
      </c>
      <c r="F220" t="s">
        <v>8</v>
      </c>
    </row>
    <row r="221" spans="2:6" x14ac:dyDescent="0.25">
      <c r="B221" t="s">
        <v>207</v>
      </c>
      <c r="C221" t="s">
        <v>208</v>
      </c>
      <c r="D221">
        <v>1.26</v>
      </c>
      <c r="E221">
        <v>4.05</v>
      </c>
      <c r="F221" t="s">
        <v>8</v>
      </c>
    </row>
    <row r="222" spans="2:6" x14ac:dyDescent="0.25">
      <c r="B222" t="s">
        <v>207</v>
      </c>
      <c r="C222" t="s">
        <v>208</v>
      </c>
      <c r="D222">
        <v>1.26</v>
      </c>
      <c r="E222">
        <v>4.1500000000000004</v>
      </c>
      <c r="F222" t="s">
        <v>8</v>
      </c>
    </row>
    <row r="223" spans="2:6" x14ac:dyDescent="0.25">
      <c r="B223" t="s">
        <v>207</v>
      </c>
      <c r="C223" t="s">
        <v>208</v>
      </c>
      <c r="D223">
        <v>1.25</v>
      </c>
      <c r="E223">
        <v>4.2</v>
      </c>
      <c r="F223" t="s">
        <v>8</v>
      </c>
    </row>
    <row r="224" spans="2:6" x14ac:dyDescent="0.25">
      <c r="B224" t="s">
        <v>207</v>
      </c>
      <c r="C224" t="s">
        <v>208</v>
      </c>
      <c r="D224">
        <v>1.25</v>
      </c>
      <c r="E224">
        <v>4.0999999999999996</v>
      </c>
      <c r="F224" t="s">
        <v>8</v>
      </c>
    </row>
    <row r="225" spans="2:6" x14ac:dyDescent="0.25">
      <c r="B225" t="s">
        <v>207</v>
      </c>
      <c r="C225" t="s">
        <v>208</v>
      </c>
      <c r="D225">
        <v>1.28</v>
      </c>
      <c r="E225">
        <v>3.95</v>
      </c>
      <c r="F225" t="s">
        <v>8</v>
      </c>
    </row>
    <row r="226" spans="2:6" x14ac:dyDescent="0.25">
      <c r="B226" t="s">
        <v>300</v>
      </c>
      <c r="C226" t="s">
        <v>208</v>
      </c>
      <c r="D226">
        <v>1.77</v>
      </c>
      <c r="E226">
        <v>2.1</v>
      </c>
      <c r="F226" t="s">
        <v>8</v>
      </c>
    </row>
    <row r="227" spans="2:6" x14ac:dyDescent="0.25">
      <c r="B227" t="s">
        <v>300</v>
      </c>
      <c r="C227" t="s">
        <v>208</v>
      </c>
      <c r="D227">
        <v>1.73</v>
      </c>
      <c r="E227">
        <v>2.14</v>
      </c>
      <c r="F227" t="s">
        <v>8</v>
      </c>
    </row>
    <row r="228" spans="2:6" x14ac:dyDescent="0.25">
      <c r="B228" t="s">
        <v>300</v>
      </c>
      <c r="C228" t="s">
        <v>208</v>
      </c>
      <c r="D228">
        <v>1.8</v>
      </c>
      <c r="E228">
        <v>2.0499999999999998</v>
      </c>
      <c r="F228" t="s">
        <v>8</v>
      </c>
    </row>
    <row r="229" spans="2:6" x14ac:dyDescent="0.25">
      <c r="B229" t="s">
        <v>300</v>
      </c>
      <c r="C229" t="s">
        <v>208</v>
      </c>
      <c r="D229">
        <v>1.76</v>
      </c>
      <c r="E229">
        <v>2.1</v>
      </c>
      <c r="F229" t="s">
        <v>8</v>
      </c>
    </row>
    <row r="230" spans="2:6" x14ac:dyDescent="0.25">
      <c r="B230" t="s">
        <v>300</v>
      </c>
      <c r="C230" t="s">
        <v>208</v>
      </c>
      <c r="D230">
        <v>1.77</v>
      </c>
      <c r="E230">
        <v>2.1</v>
      </c>
      <c r="F230" t="s">
        <v>8</v>
      </c>
    </row>
    <row r="231" spans="2:6" x14ac:dyDescent="0.25">
      <c r="B231" t="s">
        <v>300</v>
      </c>
      <c r="C231" t="s">
        <v>208</v>
      </c>
      <c r="D231">
        <v>1.74</v>
      </c>
      <c r="E231">
        <v>2.12</v>
      </c>
      <c r="F231" t="s">
        <v>8</v>
      </c>
    </row>
    <row r="232" spans="2:6" x14ac:dyDescent="0.25">
      <c r="B232" t="s">
        <v>300</v>
      </c>
      <c r="C232" t="s">
        <v>208</v>
      </c>
      <c r="D232">
        <v>1.74</v>
      </c>
      <c r="E232">
        <v>2.12</v>
      </c>
      <c r="F232" t="s">
        <v>8</v>
      </c>
    </row>
    <row r="233" spans="2:6" x14ac:dyDescent="0.25">
      <c r="B233" t="s">
        <v>300</v>
      </c>
      <c r="C233" t="s">
        <v>208</v>
      </c>
      <c r="D233">
        <v>1.77</v>
      </c>
      <c r="E233">
        <v>2.1</v>
      </c>
      <c r="F233" t="s">
        <v>8</v>
      </c>
    </row>
    <row r="234" spans="2:6" x14ac:dyDescent="0.25">
      <c r="B234" t="s">
        <v>300</v>
      </c>
      <c r="C234" t="s">
        <v>208</v>
      </c>
      <c r="D234">
        <v>1.77</v>
      </c>
      <c r="E234">
        <v>2.1</v>
      </c>
      <c r="F234" t="s">
        <v>8</v>
      </c>
    </row>
    <row r="235" spans="2:6" x14ac:dyDescent="0.25">
      <c r="B235" t="s">
        <v>300</v>
      </c>
      <c r="C235" t="s">
        <v>208</v>
      </c>
      <c r="D235">
        <v>1.77</v>
      </c>
      <c r="E235">
        <v>2.1</v>
      </c>
      <c r="F235" t="s">
        <v>8</v>
      </c>
    </row>
    <row r="236" spans="2:6" x14ac:dyDescent="0.25">
      <c r="B236" t="s">
        <v>300</v>
      </c>
      <c r="C236" t="s">
        <v>208</v>
      </c>
      <c r="D236">
        <v>1.77</v>
      </c>
      <c r="E236">
        <v>2.1</v>
      </c>
      <c r="F236" t="s">
        <v>8</v>
      </c>
    </row>
    <row r="237" spans="2:6" x14ac:dyDescent="0.25">
      <c r="B237" t="s">
        <v>300</v>
      </c>
      <c r="C237" t="s">
        <v>208</v>
      </c>
      <c r="D237">
        <v>1.77</v>
      </c>
      <c r="E237">
        <v>2.1</v>
      </c>
      <c r="F237" t="s">
        <v>8</v>
      </c>
    </row>
    <row r="238" spans="2:6" x14ac:dyDescent="0.25">
      <c r="B238" t="s">
        <v>300</v>
      </c>
      <c r="C238" t="s">
        <v>208</v>
      </c>
      <c r="D238">
        <v>1.74</v>
      </c>
      <c r="E238">
        <v>2.1</v>
      </c>
      <c r="F238" t="s">
        <v>8</v>
      </c>
    </row>
    <row r="239" spans="2:6" x14ac:dyDescent="0.25">
      <c r="B239" t="s">
        <v>300</v>
      </c>
      <c r="C239" t="s">
        <v>208</v>
      </c>
      <c r="D239">
        <v>1.71</v>
      </c>
      <c r="E239">
        <v>2.2000000000000002</v>
      </c>
      <c r="F239" t="s">
        <v>8</v>
      </c>
    </row>
    <row r="240" spans="2:6" x14ac:dyDescent="0.25">
      <c r="B240" t="s">
        <v>210</v>
      </c>
      <c r="C240" t="s">
        <v>208</v>
      </c>
      <c r="D240">
        <v>1.05</v>
      </c>
      <c r="E240">
        <v>12</v>
      </c>
      <c r="F240" t="s">
        <v>8</v>
      </c>
    </row>
    <row r="241" spans="2:6" x14ac:dyDescent="0.25">
      <c r="B241" t="s">
        <v>210</v>
      </c>
      <c r="C241" t="s">
        <v>208</v>
      </c>
      <c r="D241">
        <v>1.02</v>
      </c>
      <c r="E241">
        <v>14</v>
      </c>
      <c r="F241" t="s">
        <v>8</v>
      </c>
    </row>
    <row r="242" spans="2:6" x14ac:dyDescent="0.25">
      <c r="B242" t="s">
        <v>210</v>
      </c>
      <c r="C242" t="s">
        <v>208</v>
      </c>
      <c r="D242">
        <v>1.02</v>
      </c>
      <c r="E242">
        <v>15.1</v>
      </c>
      <c r="F242" t="s">
        <v>8</v>
      </c>
    </row>
    <row r="243" spans="2:6" x14ac:dyDescent="0.25">
      <c r="B243" t="s">
        <v>210</v>
      </c>
      <c r="C243" t="s">
        <v>208</v>
      </c>
      <c r="D243">
        <v>1.03</v>
      </c>
      <c r="E243">
        <v>14.5</v>
      </c>
      <c r="F243" t="s">
        <v>8</v>
      </c>
    </row>
    <row r="244" spans="2:6" x14ac:dyDescent="0.25">
      <c r="B244" t="s">
        <v>210</v>
      </c>
      <c r="C244" t="s">
        <v>208</v>
      </c>
      <c r="D244">
        <v>1.02</v>
      </c>
      <c r="E244">
        <v>15</v>
      </c>
      <c r="F244" t="s">
        <v>8</v>
      </c>
    </row>
    <row r="245" spans="2:6" x14ac:dyDescent="0.25">
      <c r="B245" t="s">
        <v>210</v>
      </c>
      <c r="C245" t="s">
        <v>208</v>
      </c>
      <c r="D245">
        <v>1.02</v>
      </c>
      <c r="E245">
        <v>16</v>
      </c>
      <c r="F245" t="s">
        <v>8</v>
      </c>
    </row>
    <row r="246" spans="2:6" x14ac:dyDescent="0.25">
      <c r="B246" t="s">
        <v>210</v>
      </c>
      <c r="C246" t="s">
        <v>208</v>
      </c>
      <c r="D246">
        <v>1.02</v>
      </c>
      <c r="E246">
        <v>15</v>
      </c>
      <c r="F246" t="s">
        <v>8</v>
      </c>
    </row>
    <row r="247" spans="2:6" x14ac:dyDescent="0.25">
      <c r="B247" t="s">
        <v>210</v>
      </c>
      <c r="C247" t="s">
        <v>208</v>
      </c>
      <c r="D247">
        <v>1.02</v>
      </c>
      <c r="E247">
        <v>15</v>
      </c>
      <c r="F247" t="s">
        <v>8</v>
      </c>
    </row>
    <row r="248" spans="2:6" x14ac:dyDescent="0.25">
      <c r="B248" t="s">
        <v>210</v>
      </c>
      <c r="C248" t="s">
        <v>208</v>
      </c>
      <c r="D248">
        <v>1.02</v>
      </c>
      <c r="E248">
        <v>15</v>
      </c>
      <c r="F248" t="s">
        <v>8</v>
      </c>
    </row>
    <row r="249" spans="2:6" x14ac:dyDescent="0.25">
      <c r="B249" t="s">
        <v>210</v>
      </c>
      <c r="C249" t="s">
        <v>208</v>
      </c>
      <c r="D249">
        <v>1.02</v>
      </c>
      <c r="E249">
        <v>15</v>
      </c>
      <c r="F249" t="s">
        <v>8</v>
      </c>
    </row>
    <row r="250" spans="2:6" x14ac:dyDescent="0.25">
      <c r="B250" t="s">
        <v>210</v>
      </c>
      <c r="C250" t="s">
        <v>208</v>
      </c>
      <c r="D250">
        <v>1.02</v>
      </c>
      <c r="E250">
        <v>15.5</v>
      </c>
      <c r="F250" t="s">
        <v>8</v>
      </c>
    </row>
    <row r="251" spans="2:6" x14ac:dyDescent="0.25">
      <c r="B251" t="s">
        <v>210</v>
      </c>
      <c r="C251" t="s">
        <v>208</v>
      </c>
      <c r="D251">
        <v>1.02</v>
      </c>
      <c r="E251">
        <v>15</v>
      </c>
      <c r="F251" t="s">
        <v>8</v>
      </c>
    </row>
    <row r="252" spans="2:6" x14ac:dyDescent="0.25">
      <c r="B252" t="s">
        <v>210</v>
      </c>
      <c r="C252" t="s">
        <v>208</v>
      </c>
      <c r="D252">
        <v>1.04</v>
      </c>
      <c r="E252">
        <v>14</v>
      </c>
      <c r="F252" t="s">
        <v>8</v>
      </c>
    </row>
    <row r="253" spans="2:6" x14ac:dyDescent="0.25">
      <c r="B253" t="s">
        <v>210</v>
      </c>
      <c r="C253" t="s">
        <v>208</v>
      </c>
      <c r="D253">
        <v>1.03</v>
      </c>
      <c r="E253">
        <v>16</v>
      </c>
      <c r="F253" t="s">
        <v>8</v>
      </c>
    </row>
    <row r="254" spans="2:6" x14ac:dyDescent="0.25">
      <c r="B254" t="s">
        <v>211</v>
      </c>
      <c r="C254" t="s">
        <v>208</v>
      </c>
      <c r="D254">
        <v>3.85</v>
      </c>
      <c r="E254">
        <v>1.28</v>
      </c>
      <c r="F254" t="s">
        <v>8</v>
      </c>
    </row>
    <row r="255" spans="2:6" x14ac:dyDescent="0.25">
      <c r="B255" t="s">
        <v>211</v>
      </c>
      <c r="C255" t="s">
        <v>208</v>
      </c>
      <c r="D255">
        <v>3.85</v>
      </c>
      <c r="E255">
        <v>1.27</v>
      </c>
      <c r="F255" t="s">
        <v>8</v>
      </c>
    </row>
    <row r="256" spans="2:6" x14ac:dyDescent="0.25">
      <c r="B256" t="s">
        <v>211</v>
      </c>
      <c r="C256" t="s">
        <v>208</v>
      </c>
      <c r="D256">
        <v>3.8</v>
      </c>
      <c r="E256">
        <v>1.28</v>
      </c>
      <c r="F256" t="s">
        <v>8</v>
      </c>
    </row>
    <row r="257" spans="2:6" x14ac:dyDescent="0.25">
      <c r="B257" t="s">
        <v>211</v>
      </c>
      <c r="C257" t="s">
        <v>208</v>
      </c>
      <c r="D257">
        <v>3.78</v>
      </c>
      <c r="E257">
        <v>1.28</v>
      </c>
      <c r="F257" t="s">
        <v>8</v>
      </c>
    </row>
    <row r="258" spans="2:6" x14ac:dyDescent="0.25">
      <c r="B258" t="s">
        <v>211</v>
      </c>
      <c r="C258" t="s">
        <v>208</v>
      </c>
      <c r="D258">
        <v>4</v>
      </c>
      <c r="E258">
        <v>1.26</v>
      </c>
      <c r="F258" t="s">
        <v>8</v>
      </c>
    </row>
    <row r="259" spans="2:6" x14ac:dyDescent="0.25">
      <c r="B259" t="s">
        <v>211</v>
      </c>
      <c r="C259" t="s">
        <v>208</v>
      </c>
      <c r="D259">
        <v>3.55</v>
      </c>
      <c r="E259">
        <v>1.3</v>
      </c>
      <c r="F259" t="s">
        <v>8</v>
      </c>
    </row>
    <row r="260" spans="2:6" x14ac:dyDescent="0.25">
      <c r="B260" t="s">
        <v>211</v>
      </c>
      <c r="C260" t="s">
        <v>208</v>
      </c>
      <c r="D260">
        <v>3.9</v>
      </c>
      <c r="E260">
        <v>1.27</v>
      </c>
      <c r="F260" t="s">
        <v>8</v>
      </c>
    </row>
    <row r="261" spans="2:6" x14ac:dyDescent="0.25">
      <c r="B261" t="s">
        <v>211</v>
      </c>
      <c r="C261" t="s">
        <v>208</v>
      </c>
      <c r="D261">
        <v>3.55</v>
      </c>
      <c r="E261">
        <v>1.3</v>
      </c>
      <c r="F261" t="s">
        <v>8</v>
      </c>
    </row>
    <row r="262" spans="2:6" x14ac:dyDescent="0.25">
      <c r="B262" t="s">
        <v>211</v>
      </c>
      <c r="C262" t="s">
        <v>208</v>
      </c>
      <c r="D262">
        <v>3.8</v>
      </c>
      <c r="E262">
        <v>1.29</v>
      </c>
      <c r="F262" t="s">
        <v>8</v>
      </c>
    </row>
    <row r="263" spans="2:6" x14ac:dyDescent="0.25">
      <c r="B263" t="s">
        <v>211</v>
      </c>
      <c r="C263" t="s">
        <v>208</v>
      </c>
      <c r="D263">
        <v>3.75</v>
      </c>
      <c r="E263">
        <v>1.29</v>
      </c>
      <c r="F263" t="s">
        <v>8</v>
      </c>
    </row>
    <row r="264" spans="2:6" x14ac:dyDescent="0.25">
      <c r="B264" t="s">
        <v>211</v>
      </c>
      <c r="C264" t="s">
        <v>208</v>
      </c>
      <c r="D264">
        <v>3.8</v>
      </c>
      <c r="E264">
        <v>1.29</v>
      </c>
      <c r="F264" t="s">
        <v>8</v>
      </c>
    </row>
    <row r="265" spans="2:6" x14ac:dyDescent="0.25">
      <c r="B265" t="s">
        <v>211</v>
      </c>
      <c r="C265" t="s">
        <v>208</v>
      </c>
      <c r="D265">
        <v>3.8</v>
      </c>
      <c r="E265">
        <v>1.29</v>
      </c>
      <c r="F265" t="s">
        <v>8</v>
      </c>
    </row>
    <row r="266" spans="2:6" x14ac:dyDescent="0.25">
      <c r="B266" t="s">
        <v>211</v>
      </c>
      <c r="C266" t="s">
        <v>208</v>
      </c>
      <c r="D266">
        <v>3.8</v>
      </c>
      <c r="E266">
        <v>1.29</v>
      </c>
      <c r="F266" t="s">
        <v>8</v>
      </c>
    </row>
    <row r="267" spans="2:6" x14ac:dyDescent="0.25">
      <c r="B267" t="s">
        <v>211</v>
      </c>
      <c r="C267" t="s">
        <v>208</v>
      </c>
      <c r="D267">
        <v>3.85</v>
      </c>
      <c r="E267">
        <v>1.28</v>
      </c>
      <c r="F267" t="s">
        <v>8</v>
      </c>
    </row>
    <row r="268" spans="2:6" x14ac:dyDescent="0.25">
      <c r="B268" t="s">
        <v>279</v>
      </c>
      <c r="C268" t="s">
        <v>208</v>
      </c>
      <c r="D268">
        <v>2.14</v>
      </c>
      <c r="E268">
        <v>1.74</v>
      </c>
      <c r="F268" t="s">
        <v>8</v>
      </c>
    </row>
    <row r="269" spans="2:6" x14ac:dyDescent="0.25">
      <c r="B269" t="s">
        <v>279</v>
      </c>
      <c r="C269" t="s">
        <v>208</v>
      </c>
      <c r="D269">
        <v>2.1</v>
      </c>
      <c r="E269">
        <v>1.77</v>
      </c>
      <c r="F269" t="s">
        <v>8</v>
      </c>
    </row>
    <row r="270" spans="2:6" x14ac:dyDescent="0.25">
      <c r="B270" t="s">
        <v>279</v>
      </c>
      <c r="C270" t="s">
        <v>208</v>
      </c>
      <c r="D270">
        <v>2.1</v>
      </c>
      <c r="E270">
        <v>1.76</v>
      </c>
      <c r="F270" t="s">
        <v>8</v>
      </c>
    </row>
    <row r="271" spans="2:6" x14ac:dyDescent="0.25">
      <c r="B271" t="s">
        <v>279</v>
      </c>
      <c r="C271" t="s">
        <v>208</v>
      </c>
      <c r="D271">
        <v>2.1</v>
      </c>
      <c r="E271">
        <v>1.77</v>
      </c>
      <c r="F271" t="s">
        <v>8</v>
      </c>
    </row>
    <row r="272" spans="2:6" x14ac:dyDescent="0.25">
      <c r="B272" t="s">
        <v>279</v>
      </c>
      <c r="C272" t="s">
        <v>208</v>
      </c>
      <c r="D272">
        <v>2.14</v>
      </c>
      <c r="E272">
        <v>1.73</v>
      </c>
      <c r="F272" t="s">
        <v>8</v>
      </c>
    </row>
    <row r="273" spans="2:6" x14ac:dyDescent="0.25">
      <c r="B273" t="s">
        <v>279</v>
      </c>
      <c r="C273" t="s">
        <v>208</v>
      </c>
      <c r="D273">
        <v>2.1</v>
      </c>
      <c r="E273">
        <v>1.75</v>
      </c>
      <c r="F273" t="s">
        <v>8</v>
      </c>
    </row>
    <row r="274" spans="2:6" x14ac:dyDescent="0.25">
      <c r="B274" t="s">
        <v>279</v>
      </c>
      <c r="C274" t="s">
        <v>208</v>
      </c>
      <c r="D274">
        <v>2.1</v>
      </c>
      <c r="E274">
        <v>1.74</v>
      </c>
      <c r="F274" t="s">
        <v>8</v>
      </c>
    </row>
    <row r="275" spans="2:6" x14ac:dyDescent="0.25">
      <c r="B275" t="s">
        <v>279</v>
      </c>
      <c r="C275" t="s">
        <v>208</v>
      </c>
      <c r="D275">
        <v>2.1</v>
      </c>
      <c r="E275">
        <v>1.75</v>
      </c>
      <c r="F275" t="s">
        <v>8</v>
      </c>
    </row>
    <row r="276" spans="2:6" x14ac:dyDescent="0.25">
      <c r="B276" t="s">
        <v>279</v>
      </c>
      <c r="C276" t="s">
        <v>208</v>
      </c>
      <c r="D276">
        <v>2.1</v>
      </c>
      <c r="E276">
        <v>1.77</v>
      </c>
      <c r="F276" t="s">
        <v>8</v>
      </c>
    </row>
    <row r="277" spans="2:6" x14ac:dyDescent="0.25">
      <c r="B277" t="s">
        <v>279</v>
      </c>
      <c r="C277" t="s">
        <v>208</v>
      </c>
      <c r="D277">
        <v>2.1</v>
      </c>
      <c r="E277">
        <v>1.77</v>
      </c>
      <c r="F277" t="s">
        <v>8</v>
      </c>
    </row>
    <row r="278" spans="2:6" x14ac:dyDescent="0.25">
      <c r="B278" t="s">
        <v>279</v>
      </c>
      <c r="C278" t="s">
        <v>208</v>
      </c>
      <c r="D278">
        <v>2.1</v>
      </c>
      <c r="E278">
        <v>1.77</v>
      </c>
      <c r="F278" t="s">
        <v>8</v>
      </c>
    </row>
    <row r="279" spans="2:6" x14ac:dyDescent="0.25">
      <c r="B279" t="s">
        <v>279</v>
      </c>
      <c r="C279" t="s">
        <v>208</v>
      </c>
      <c r="D279">
        <v>2.1</v>
      </c>
      <c r="E279">
        <v>1.77</v>
      </c>
      <c r="F279" t="s">
        <v>8</v>
      </c>
    </row>
    <row r="280" spans="2:6" x14ac:dyDescent="0.25">
      <c r="B280" t="s">
        <v>279</v>
      </c>
      <c r="C280" t="s">
        <v>208</v>
      </c>
      <c r="D280">
        <v>2.1</v>
      </c>
      <c r="E280">
        <v>1.77</v>
      </c>
      <c r="F280" t="s">
        <v>8</v>
      </c>
    </row>
    <row r="281" spans="2:6" x14ac:dyDescent="0.25">
      <c r="B281" t="s">
        <v>213</v>
      </c>
      <c r="C281" t="s">
        <v>208</v>
      </c>
      <c r="D281">
        <v>1.06</v>
      </c>
      <c r="E281">
        <v>10</v>
      </c>
      <c r="F281" t="s">
        <v>8</v>
      </c>
    </row>
    <row r="282" spans="2:6" x14ac:dyDescent="0.25">
      <c r="B282" t="s">
        <v>213</v>
      </c>
      <c r="C282" t="s">
        <v>208</v>
      </c>
      <c r="D282">
        <v>1.06</v>
      </c>
      <c r="E282">
        <v>9.5</v>
      </c>
      <c r="F282" t="s">
        <v>8</v>
      </c>
    </row>
    <row r="283" spans="2:6" x14ac:dyDescent="0.25">
      <c r="B283" t="s">
        <v>213</v>
      </c>
      <c r="C283" t="s">
        <v>208</v>
      </c>
      <c r="D283">
        <v>1.06</v>
      </c>
      <c r="E283">
        <v>10.5</v>
      </c>
      <c r="F283" t="s">
        <v>8</v>
      </c>
    </row>
    <row r="284" spans="2:6" x14ac:dyDescent="0.25">
      <c r="B284" t="s">
        <v>213</v>
      </c>
      <c r="C284" t="s">
        <v>208</v>
      </c>
      <c r="D284">
        <v>1.06</v>
      </c>
      <c r="E284">
        <v>10.199999999999999</v>
      </c>
      <c r="F284" t="s">
        <v>8</v>
      </c>
    </row>
    <row r="285" spans="2:6" x14ac:dyDescent="0.25">
      <c r="B285" t="s">
        <v>213</v>
      </c>
      <c r="C285" t="s">
        <v>208</v>
      </c>
      <c r="D285">
        <v>1.05</v>
      </c>
      <c r="E285">
        <v>11</v>
      </c>
      <c r="F285" t="s">
        <v>8</v>
      </c>
    </row>
    <row r="286" spans="2:6" x14ac:dyDescent="0.25">
      <c r="B286" t="s">
        <v>213</v>
      </c>
      <c r="C286" t="s">
        <v>208</v>
      </c>
      <c r="D286">
        <v>1.05</v>
      </c>
      <c r="E286">
        <v>11</v>
      </c>
      <c r="F286" t="s">
        <v>8</v>
      </c>
    </row>
    <row r="287" spans="2:6" x14ac:dyDescent="0.25">
      <c r="B287" t="s">
        <v>213</v>
      </c>
      <c r="C287" t="s">
        <v>208</v>
      </c>
      <c r="D287">
        <v>1.02</v>
      </c>
      <c r="E287">
        <v>14</v>
      </c>
      <c r="F287" t="s">
        <v>8</v>
      </c>
    </row>
    <row r="288" spans="2:6" x14ac:dyDescent="0.25">
      <c r="B288" t="s">
        <v>213</v>
      </c>
      <c r="C288" t="s">
        <v>208</v>
      </c>
      <c r="D288">
        <v>1.02</v>
      </c>
      <c r="E288">
        <v>14</v>
      </c>
      <c r="F288" t="s">
        <v>8</v>
      </c>
    </row>
    <row r="289" spans="2:6" x14ac:dyDescent="0.25">
      <c r="B289" t="s">
        <v>213</v>
      </c>
      <c r="C289" t="s">
        <v>208</v>
      </c>
      <c r="D289">
        <v>1.05</v>
      </c>
      <c r="E289">
        <v>11</v>
      </c>
      <c r="F289" t="s">
        <v>8</v>
      </c>
    </row>
    <row r="290" spans="2:6" x14ac:dyDescent="0.25">
      <c r="B290" t="s">
        <v>213</v>
      </c>
      <c r="C290" t="s">
        <v>208</v>
      </c>
      <c r="D290">
        <v>1.05</v>
      </c>
      <c r="E290">
        <v>11</v>
      </c>
      <c r="F290" t="s">
        <v>8</v>
      </c>
    </row>
    <row r="291" spans="2:6" x14ac:dyDescent="0.25">
      <c r="B291" t="s">
        <v>213</v>
      </c>
      <c r="C291" t="s">
        <v>208</v>
      </c>
      <c r="D291">
        <v>1.06</v>
      </c>
      <c r="E291">
        <v>10.199999999999999</v>
      </c>
      <c r="F291" t="s">
        <v>8</v>
      </c>
    </row>
    <row r="292" spans="2:6" x14ac:dyDescent="0.25">
      <c r="B292" t="s">
        <v>213</v>
      </c>
      <c r="C292" t="s">
        <v>208</v>
      </c>
      <c r="D292">
        <v>1.05</v>
      </c>
      <c r="E292">
        <v>11</v>
      </c>
      <c r="F292" t="s">
        <v>8</v>
      </c>
    </row>
    <row r="293" spans="2:6" x14ac:dyDescent="0.25">
      <c r="B293" t="s">
        <v>213</v>
      </c>
      <c r="C293" t="s">
        <v>208</v>
      </c>
      <c r="D293">
        <v>1.05</v>
      </c>
      <c r="E293">
        <v>12</v>
      </c>
      <c r="F293" t="s">
        <v>8</v>
      </c>
    </row>
    <row r="294" spans="2:6" x14ac:dyDescent="0.25">
      <c r="B294" t="s">
        <v>213</v>
      </c>
      <c r="C294" t="s">
        <v>208</v>
      </c>
      <c r="D294">
        <v>1.07</v>
      </c>
      <c r="E294">
        <v>10</v>
      </c>
      <c r="F294" t="s">
        <v>8</v>
      </c>
    </row>
    <row r="295" spans="2:6" x14ac:dyDescent="0.25">
      <c r="B295" t="s">
        <v>284</v>
      </c>
      <c r="C295" t="s">
        <v>215</v>
      </c>
      <c r="D295">
        <v>9.5</v>
      </c>
      <c r="E295">
        <v>1.07</v>
      </c>
      <c r="F295" t="s">
        <v>8</v>
      </c>
    </row>
    <row r="296" spans="2:6" x14ac:dyDescent="0.25">
      <c r="B296" t="s">
        <v>284</v>
      </c>
      <c r="C296" t="s">
        <v>215</v>
      </c>
      <c r="D296">
        <v>10.199999999999999</v>
      </c>
      <c r="E296">
        <v>1.06</v>
      </c>
      <c r="F296" t="s">
        <v>8</v>
      </c>
    </row>
    <row r="297" spans="2:6" x14ac:dyDescent="0.25">
      <c r="B297" t="s">
        <v>284</v>
      </c>
      <c r="C297" t="s">
        <v>215</v>
      </c>
      <c r="D297">
        <v>9</v>
      </c>
      <c r="E297">
        <v>1.06</v>
      </c>
      <c r="F297" t="s">
        <v>8</v>
      </c>
    </row>
    <row r="298" spans="2:6" x14ac:dyDescent="0.25">
      <c r="B298" t="s">
        <v>284</v>
      </c>
      <c r="C298" t="s">
        <v>215</v>
      </c>
      <c r="D298">
        <v>10</v>
      </c>
      <c r="E298">
        <v>1.06</v>
      </c>
      <c r="F298" t="s">
        <v>8</v>
      </c>
    </row>
    <row r="299" spans="2:6" x14ac:dyDescent="0.25">
      <c r="B299" t="s">
        <v>284</v>
      </c>
      <c r="C299" t="s">
        <v>215</v>
      </c>
      <c r="D299">
        <v>10</v>
      </c>
      <c r="E299">
        <v>1.06</v>
      </c>
      <c r="F299" t="s">
        <v>8</v>
      </c>
    </row>
    <row r="300" spans="2:6" x14ac:dyDescent="0.25">
      <c r="B300" t="s">
        <v>284</v>
      </c>
      <c r="C300" t="s">
        <v>215</v>
      </c>
      <c r="D300">
        <v>9.5</v>
      </c>
      <c r="E300">
        <v>1.06</v>
      </c>
      <c r="F300" t="s">
        <v>8</v>
      </c>
    </row>
    <row r="301" spans="2:6" x14ac:dyDescent="0.25">
      <c r="B301" t="s">
        <v>284</v>
      </c>
      <c r="C301" t="s">
        <v>215</v>
      </c>
      <c r="D301">
        <v>9.5</v>
      </c>
      <c r="E301">
        <v>1.06</v>
      </c>
      <c r="F301" t="s">
        <v>8</v>
      </c>
    </row>
    <row r="302" spans="2:6" x14ac:dyDescent="0.25">
      <c r="B302" t="s">
        <v>284</v>
      </c>
      <c r="C302" t="s">
        <v>215</v>
      </c>
      <c r="D302">
        <v>9.6999999999999993</v>
      </c>
      <c r="E302">
        <v>1.07</v>
      </c>
      <c r="F302" t="s">
        <v>8</v>
      </c>
    </row>
    <row r="303" spans="2:6" x14ac:dyDescent="0.25">
      <c r="B303" t="s">
        <v>284</v>
      </c>
      <c r="C303" t="s">
        <v>215</v>
      </c>
      <c r="D303">
        <v>10.25</v>
      </c>
      <c r="E303">
        <v>1.06</v>
      </c>
      <c r="F303" t="s">
        <v>8</v>
      </c>
    </row>
    <row r="304" spans="2:6" x14ac:dyDescent="0.25">
      <c r="B304" t="s">
        <v>284</v>
      </c>
      <c r="C304" t="s">
        <v>215</v>
      </c>
      <c r="D304">
        <v>11</v>
      </c>
      <c r="E304">
        <v>1.05</v>
      </c>
      <c r="F304" t="s">
        <v>8</v>
      </c>
    </row>
    <row r="305" spans="2:6" x14ac:dyDescent="0.25">
      <c r="B305" t="s">
        <v>284</v>
      </c>
      <c r="C305" t="s">
        <v>215</v>
      </c>
      <c r="D305">
        <v>9.6999999999999993</v>
      </c>
      <c r="E305">
        <v>1.07</v>
      </c>
      <c r="F305" t="s">
        <v>8</v>
      </c>
    </row>
    <row r="306" spans="2:6" x14ac:dyDescent="0.25">
      <c r="B306" t="s">
        <v>284</v>
      </c>
      <c r="C306" t="s">
        <v>215</v>
      </c>
      <c r="D306">
        <v>9</v>
      </c>
      <c r="E306">
        <v>1.07</v>
      </c>
      <c r="F306" t="s">
        <v>8</v>
      </c>
    </row>
    <row r="307" spans="2:6" x14ac:dyDescent="0.25">
      <c r="B307" t="s">
        <v>284</v>
      </c>
      <c r="C307" t="s">
        <v>215</v>
      </c>
      <c r="D307">
        <v>10</v>
      </c>
      <c r="E307">
        <v>1.06</v>
      </c>
      <c r="F307" t="s">
        <v>8</v>
      </c>
    </row>
    <row r="308" spans="2:6" x14ac:dyDescent="0.25">
      <c r="B308" t="s">
        <v>280</v>
      </c>
      <c r="C308" t="s">
        <v>215</v>
      </c>
      <c r="D308">
        <v>6.25</v>
      </c>
      <c r="E308">
        <v>1.1299999999999999</v>
      </c>
      <c r="F308" t="s">
        <v>8</v>
      </c>
    </row>
    <row r="309" spans="2:6" x14ac:dyDescent="0.25">
      <c r="B309" t="s">
        <v>280</v>
      </c>
      <c r="C309" t="s">
        <v>215</v>
      </c>
      <c r="D309">
        <v>6.5</v>
      </c>
      <c r="E309">
        <v>1.1200000000000001</v>
      </c>
      <c r="F309" t="s">
        <v>8</v>
      </c>
    </row>
    <row r="310" spans="2:6" x14ac:dyDescent="0.25">
      <c r="B310" t="s">
        <v>280</v>
      </c>
      <c r="C310" t="s">
        <v>215</v>
      </c>
      <c r="D310">
        <v>6.5</v>
      </c>
      <c r="E310">
        <v>1.1200000000000001</v>
      </c>
      <c r="F310" t="s">
        <v>8</v>
      </c>
    </row>
    <row r="311" spans="2:6" x14ac:dyDescent="0.25">
      <c r="B311" t="s">
        <v>280</v>
      </c>
      <c r="C311" t="s">
        <v>215</v>
      </c>
      <c r="D311">
        <v>6.4</v>
      </c>
      <c r="E311">
        <v>1.1200000000000001</v>
      </c>
      <c r="F311" t="s">
        <v>8</v>
      </c>
    </row>
    <row r="312" spans="2:6" x14ac:dyDescent="0.25">
      <c r="B312" t="s">
        <v>280</v>
      </c>
      <c r="C312" t="s">
        <v>215</v>
      </c>
      <c r="D312">
        <v>6.3</v>
      </c>
      <c r="E312">
        <v>1.1200000000000001</v>
      </c>
      <c r="F312" t="s">
        <v>8</v>
      </c>
    </row>
    <row r="313" spans="2:6" x14ac:dyDescent="0.25">
      <c r="B313" t="s">
        <v>280</v>
      </c>
      <c r="C313" t="s">
        <v>215</v>
      </c>
      <c r="D313">
        <v>6.5</v>
      </c>
      <c r="E313">
        <v>1.1200000000000001</v>
      </c>
      <c r="F313" t="s">
        <v>8</v>
      </c>
    </row>
    <row r="314" spans="2:6" x14ac:dyDescent="0.25">
      <c r="B314" t="s">
        <v>280</v>
      </c>
      <c r="C314" t="s">
        <v>215</v>
      </c>
      <c r="D314">
        <v>6.5</v>
      </c>
      <c r="E314">
        <v>1.1200000000000001</v>
      </c>
      <c r="F314" t="s">
        <v>8</v>
      </c>
    </row>
    <row r="315" spans="2:6" x14ac:dyDescent="0.25">
      <c r="B315" t="s">
        <v>280</v>
      </c>
      <c r="C315" t="s">
        <v>215</v>
      </c>
      <c r="D315">
        <v>6.5</v>
      </c>
      <c r="E315">
        <v>1.1200000000000001</v>
      </c>
      <c r="F315" t="s">
        <v>8</v>
      </c>
    </row>
    <row r="316" spans="2:6" x14ac:dyDescent="0.25">
      <c r="B316" t="s">
        <v>280</v>
      </c>
      <c r="C316" t="s">
        <v>215</v>
      </c>
      <c r="D316">
        <v>6.8</v>
      </c>
      <c r="E316">
        <v>1.1200000000000001</v>
      </c>
      <c r="F316" t="s">
        <v>8</v>
      </c>
    </row>
    <row r="317" spans="2:6" x14ac:dyDescent="0.25">
      <c r="B317" t="s">
        <v>280</v>
      </c>
      <c r="C317" t="s">
        <v>215</v>
      </c>
      <c r="D317">
        <v>6.25</v>
      </c>
      <c r="E317">
        <v>1.1200000000000001</v>
      </c>
      <c r="F317" t="s">
        <v>8</v>
      </c>
    </row>
    <row r="318" spans="2:6" x14ac:dyDescent="0.25">
      <c r="B318" t="s">
        <v>280</v>
      </c>
      <c r="C318" t="s">
        <v>215</v>
      </c>
      <c r="D318">
        <v>5.85</v>
      </c>
      <c r="E318">
        <v>1.1499999999999999</v>
      </c>
      <c r="F318" t="s">
        <v>8</v>
      </c>
    </row>
    <row r="319" spans="2:6" x14ac:dyDescent="0.25">
      <c r="B319" t="s">
        <v>280</v>
      </c>
      <c r="C319" t="s">
        <v>215</v>
      </c>
      <c r="D319">
        <v>6.8</v>
      </c>
      <c r="E319">
        <v>1.1200000000000001</v>
      </c>
      <c r="F319" t="s">
        <v>8</v>
      </c>
    </row>
    <row r="320" spans="2:6" x14ac:dyDescent="0.25">
      <c r="B320" t="s">
        <v>280</v>
      </c>
      <c r="C320" t="s">
        <v>215</v>
      </c>
      <c r="D320">
        <v>6</v>
      </c>
      <c r="E320">
        <v>1.1399999999999999</v>
      </c>
      <c r="F320" t="s">
        <v>8</v>
      </c>
    </row>
    <row r="321" spans="2:6" x14ac:dyDescent="0.25">
      <c r="B321" t="s">
        <v>281</v>
      </c>
      <c r="C321" t="s">
        <v>215</v>
      </c>
      <c r="D321">
        <v>1.34</v>
      </c>
      <c r="E321">
        <v>3.4</v>
      </c>
      <c r="F321" t="s">
        <v>8</v>
      </c>
    </row>
    <row r="322" spans="2:6" x14ac:dyDescent="0.25">
      <c r="B322" t="s">
        <v>281</v>
      </c>
      <c r="C322" t="s">
        <v>215</v>
      </c>
      <c r="D322">
        <v>1.32</v>
      </c>
      <c r="E322">
        <v>3.55</v>
      </c>
      <c r="F322" t="s">
        <v>8</v>
      </c>
    </row>
    <row r="323" spans="2:6" x14ac:dyDescent="0.25">
      <c r="B323" t="s">
        <v>281</v>
      </c>
      <c r="C323" t="s">
        <v>215</v>
      </c>
      <c r="D323">
        <v>1.33</v>
      </c>
      <c r="E323">
        <v>3.4</v>
      </c>
      <c r="F323" t="s">
        <v>8</v>
      </c>
    </row>
    <row r="324" spans="2:6" x14ac:dyDescent="0.25">
      <c r="B324" t="s">
        <v>281</v>
      </c>
      <c r="C324" t="s">
        <v>215</v>
      </c>
      <c r="D324">
        <v>1.33</v>
      </c>
      <c r="E324">
        <v>3.4</v>
      </c>
      <c r="F324" t="s">
        <v>8</v>
      </c>
    </row>
    <row r="325" spans="2:6" x14ac:dyDescent="0.25">
      <c r="B325" t="s">
        <v>281</v>
      </c>
      <c r="C325" t="s">
        <v>215</v>
      </c>
      <c r="D325">
        <v>1.31</v>
      </c>
      <c r="E325">
        <v>3.55</v>
      </c>
      <c r="F325" t="s">
        <v>8</v>
      </c>
    </row>
    <row r="326" spans="2:6" x14ac:dyDescent="0.25">
      <c r="B326" t="s">
        <v>281</v>
      </c>
      <c r="C326" t="s">
        <v>215</v>
      </c>
      <c r="D326">
        <v>1.32</v>
      </c>
      <c r="E326">
        <v>3.45</v>
      </c>
      <c r="F326" t="s">
        <v>8</v>
      </c>
    </row>
    <row r="327" spans="2:6" x14ac:dyDescent="0.25">
      <c r="B327" t="s">
        <v>281</v>
      </c>
      <c r="C327" t="s">
        <v>215</v>
      </c>
      <c r="D327">
        <v>1.33</v>
      </c>
      <c r="E327">
        <v>3.4</v>
      </c>
      <c r="F327" t="s">
        <v>8</v>
      </c>
    </row>
    <row r="328" spans="2:6" x14ac:dyDescent="0.25">
      <c r="B328" t="s">
        <v>281</v>
      </c>
      <c r="C328" t="s">
        <v>215</v>
      </c>
      <c r="D328">
        <v>1.32</v>
      </c>
      <c r="E328">
        <v>3.45</v>
      </c>
      <c r="F328" t="s">
        <v>8</v>
      </c>
    </row>
    <row r="329" spans="2:6" x14ac:dyDescent="0.25">
      <c r="B329" t="s">
        <v>281</v>
      </c>
      <c r="C329" t="s">
        <v>215</v>
      </c>
      <c r="D329">
        <v>1.34</v>
      </c>
      <c r="E329">
        <v>3.45</v>
      </c>
      <c r="F329" t="s">
        <v>8</v>
      </c>
    </row>
    <row r="330" spans="2:6" x14ac:dyDescent="0.25">
      <c r="B330" t="s">
        <v>281</v>
      </c>
      <c r="C330" t="s">
        <v>215</v>
      </c>
      <c r="D330">
        <v>1.33</v>
      </c>
      <c r="E330">
        <v>3.4</v>
      </c>
      <c r="F330" t="s">
        <v>8</v>
      </c>
    </row>
    <row r="331" spans="2:6" x14ac:dyDescent="0.25">
      <c r="B331" t="s">
        <v>281</v>
      </c>
      <c r="C331" t="s">
        <v>215</v>
      </c>
      <c r="D331">
        <v>1.34</v>
      </c>
      <c r="E331">
        <v>3.4</v>
      </c>
      <c r="F331" t="s">
        <v>8</v>
      </c>
    </row>
    <row r="332" spans="2:6" x14ac:dyDescent="0.25">
      <c r="B332" t="s">
        <v>281</v>
      </c>
      <c r="C332" t="s">
        <v>215</v>
      </c>
      <c r="D332">
        <v>1.34</v>
      </c>
      <c r="E332">
        <v>3.45</v>
      </c>
      <c r="F332" t="s">
        <v>8</v>
      </c>
    </row>
    <row r="333" spans="2:6" x14ac:dyDescent="0.25">
      <c r="B333" t="s">
        <v>281</v>
      </c>
      <c r="C333" t="s">
        <v>215</v>
      </c>
      <c r="D333">
        <v>1.33</v>
      </c>
      <c r="E333">
        <v>3.5</v>
      </c>
      <c r="F333" t="s">
        <v>8</v>
      </c>
    </row>
    <row r="334" spans="2:6" x14ac:dyDescent="0.25">
      <c r="B334" t="s">
        <v>282</v>
      </c>
      <c r="C334" t="s">
        <v>218</v>
      </c>
      <c r="D334">
        <v>1.17</v>
      </c>
      <c r="E334">
        <v>5.4</v>
      </c>
      <c r="F334" t="s">
        <v>8</v>
      </c>
    </row>
    <row r="335" spans="2:6" x14ac:dyDescent="0.25">
      <c r="B335" t="s">
        <v>282</v>
      </c>
      <c r="C335" t="s">
        <v>218</v>
      </c>
      <c r="D335">
        <v>1.17</v>
      </c>
      <c r="E335">
        <v>5.6</v>
      </c>
      <c r="F335" t="s">
        <v>8</v>
      </c>
    </row>
    <row r="336" spans="2:6" x14ac:dyDescent="0.25">
      <c r="B336" t="s">
        <v>282</v>
      </c>
      <c r="C336" t="s">
        <v>218</v>
      </c>
      <c r="D336">
        <v>1.17</v>
      </c>
      <c r="E336">
        <v>5.6</v>
      </c>
      <c r="F336" t="s">
        <v>8</v>
      </c>
    </row>
    <row r="337" spans="2:6" x14ac:dyDescent="0.25">
      <c r="B337" t="s">
        <v>282</v>
      </c>
      <c r="C337" t="s">
        <v>218</v>
      </c>
      <c r="D337">
        <v>1.1599999999999999</v>
      </c>
      <c r="E337">
        <v>5.5</v>
      </c>
      <c r="F337" t="s">
        <v>8</v>
      </c>
    </row>
    <row r="338" spans="2:6" x14ac:dyDescent="0.25">
      <c r="B338" t="s">
        <v>282</v>
      </c>
      <c r="C338" t="s">
        <v>218</v>
      </c>
      <c r="D338">
        <v>1.1499999999999999</v>
      </c>
      <c r="E338">
        <v>5.5</v>
      </c>
      <c r="F338" t="s">
        <v>8</v>
      </c>
    </row>
    <row r="339" spans="2:6" x14ac:dyDescent="0.25">
      <c r="B339" t="s">
        <v>282</v>
      </c>
      <c r="C339" t="s">
        <v>218</v>
      </c>
      <c r="D339">
        <v>1.1599999999999999</v>
      </c>
      <c r="E339">
        <v>5.5</v>
      </c>
      <c r="F339" t="s">
        <v>8</v>
      </c>
    </row>
    <row r="340" spans="2:6" x14ac:dyDescent="0.25">
      <c r="B340" t="s">
        <v>282</v>
      </c>
      <c r="C340" t="s">
        <v>218</v>
      </c>
      <c r="D340">
        <v>1.1599999999999999</v>
      </c>
      <c r="E340">
        <v>5.45</v>
      </c>
      <c r="F340" t="s">
        <v>8</v>
      </c>
    </row>
    <row r="341" spans="2:6" x14ac:dyDescent="0.25">
      <c r="B341" t="s">
        <v>282</v>
      </c>
      <c r="C341" t="s">
        <v>218</v>
      </c>
      <c r="D341">
        <v>1.17</v>
      </c>
      <c r="E341">
        <v>5.3</v>
      </c>
      <c r="F341" t="s">
        <v>8</v>
      </c>
    </row>
    <row r="342" spans="2:6" x14ac:dyDescent="0.25">
      <c r="B342" t="s">
        <v>282</v>
      </c>
      <c r="C342" t="s">
        <v>218</v>
      </c>
      <c r="D342">
        <v>1.1599999999999999</v>
      </c>
      <c r="E342">
        <v>5.5</v>
      </c>
      <c r="F342" t="s">
        <v>8</v>
      </c>
    </row>
    <row r="343" spans="2:6" x14ac:dyDescent="0.25">
      <c r="B343" t="s">
        <v>282</v>
      </c>
      <c r="C343" t="s">
        <v>218</v>
      </c>
      <c r="D343">
        <v>1.17</v>
      </c>
      <c r="E343">
        <v>5.25</v>
      </c>
      <c r="F343" t="s">
        <v>8</v>
      </c>
    </row>
    <row r="344" spans="2:6" x14ac:dyDescent="0.25">
      <c r="B344" t="s">
        <v>282</v>
      </c>
      <c r="C344" t="s">
        <v>218</v>
      </c>
      <c r="D344">
        <v>1.1499999999999999</v>
      </c>
      <c r="E344">
        <v>5.8</v>
      </c>
      <c r="F344" t="s">
        <v>8</v>
      </c>
    </row>
    <row r="345" spans="2:6" x14ac:dyDescent="0.25">
      <c r="B345" t="s">
        <v>282</v>
      </c>
      <c r="C345" t="s">
        <v>218</v>
      </c>
      <c r="D345">
        <v>1.17</v>
      </c>
      <c r="E345">
        <v>5.5</v>
      </c>
      <c r="F345" t="s">
        <v>8</v>
      </c>
    </row>
    <row r="346" spans="2:6" x14ac:dyDescent="0.25">
      <c r="B346" t="s">
        <v>282</v>
      </c>
      <c r="C346" t="s">
        <v>218</v>
      </c>
      <c r="D346">
        <v>1.1499999999999999</v>
      </c>
      <c r="E346">
        <v>5.75</v>
      </c>
      <c r="F346" t="s">
        <v>8</v>
      </c>
    </row>
    <row r="347" spans="2:6" x14ac:dyDescent="0.25">
      <c r="B347" t="s">
        <v>219</v>
      </c>
      <c r="C347" t="s">
        <v>218</v>
      </c>
      <c r="D347">
        <v>3.7</v>
      </c>
      <c r="E347">
        <v>1.29</v>
      </c>
      <c r="F347" t="s">
        <v>8</v>
      </c>
    </row>
    <row r="348" spans="2:6" x14ac:dyDescent="0.25">
      <c r="B348" t="s">
        <v>219</v>
      </c>
      <c r="C348" t="s">
        <v>218</v>
      </c>
      <c r="D348">
        <v>3.7</v>
      </c>
      <c r="E348">
        <v>1.29</v>
      </c>
      <c r="F348" t="s">
        <v>8</v>
      </c>
    </row>
    <row r="349" spans="2:6" x14ac:dyDescent="0.25">
      <c r="B349" t="s">
        <v>219</v>
      </c>
      <c r="C349" t="s">
        <v>218</v>
      </c>
      <c r="D349">
        <v>3.75</v>
      </c>
      <c r="E349">
        <v>1.29</v>
      </c>
      <c r="F349" t="s">
        <v>8</v>
      </c>
    </row>
    <row r="350" spans="2:6" x14ac:dyDescent="0.25">
      <c r="B350" t="s">
        <v>219</v>
      </c>
      <c r="C350" t="s">
        <v>218</v>
      </c>
      <c r="D350">
        <v>3.85</v>
      </c>
      <c r="E350">
        <v>1.27</v>
      </c>
      <c r="F350" t="s">
        <v>8</v>
      </c>
    </row>
    <row r="351" spans="2:6" x14ac:dyDescent="0.25">
      <c r="B351" t="s">
        <v>219</v>
      </c>
      <c r="C351" t="s">
        <v>218</v>
      </c>
      <c r="D351">
        <v>3.7</v>
      </c>
      <c r="E351">
        <v>1.29</v>
      </c>
      <c r="F351" t="s">
        <v>8</v>
      </c>
    </row>
    <row r="352" spans="2:6" x14ac:dyDescent="0.25">
      <c r="B352" t="s">
        <v>219</v>
      </c>
      <c r="C352" t="s">
        <v>218</v>
      </c>
      <c r="D352">
        <v>3.75</v>
      </c>
      <c r="E352">
        <v>1.28</v>
      </c>
      <c r="F352" t="s">
        <v>8</v>
      </c>
    </row>
    <row r="353" spans="2:6" x14ac:dyDescent="0.25">
      <c r="B353" t="s">
        <v>219</v>
      </c>
      <c r="C353" t="s">
        <v>218</v>
      </c>
      <c r="D353">
        <v>3.85</v>
      </c>
      <c r="E353">
        <v>1.27</v>
      </c>
      <c r="F353" t="s">
        <v>8</v>
      </c>
    </row>
    <row r="354" spans="2:6" x14ac:dyDescent="0.25">
      <c r="B354" t="s">
        <v>219</v>
      </c>
      <c r="C354" t="s">
        <v>218</v>
      </c>
      <c r="D354">
        <v>3.8</v>
      </c>
      <c r="E354">
        <v>1.29</v>
      </c>
      <c r="F354" t="s">
        <v>8</v>
      </c>
    </row>
    <row r="355" spans="2:6" x14ac:dyDescent="0.25">
      <c r="B355" t="s">
        <v>219</v>
      </c>
      <c r="C355" t="s">
        <v>218</v>
      </c>
      <c r="D355">
        <v>3.7</v>
      </c>
      <c r="E355">
        <v>1.29</v>
      </c>
      <c r="F355" t="s">
        <v>8</v>
      </c>
    </row>
    <row r="356" spans="2:6" x14ac:dyDescent="0.25">
      <c r="B356" t="s">
        <v>219</v>
      </c>
      <c r="C356" t="s">
        <v>218</v>
      </c>
      <c r="D356">
        <v>3.8</v>
      </c>
      <c r="E356">
        <v>1.29</v>
      </c>
      <c r="F356" t="s">
        <v>8</v>
      </c>
    </row>
    <row r="357" spans="2:6" x14ac:dyDescent="0.25">
      <c r="B357" t="s">
        <v>219</v>
      </c>
      <c r="C357" t="s">
        <v>218</v>
      </c>
      <c r="D357">
        <v>3.9</v>
      </c>
      <c r="E357">
        <v>1.28</v>
      </c>
      <c r="F357" t="s">
        <v>8</v>
      </c>
    </row>
    <row r="358" spans="2:6" x14ac:dyDescent="0.25">
      <c r="B358" t="s">
        <v>219</v>
      </c>
      <c r="C358" t="s">
        <v>218</v>
      </c>
      <c r="D358">
        <v>3.75</v>
      </c>
      <c r="E358">
        <v>1.29</v>
      </c>
      <c r="F358" t="s">
        <v>8</v>
      </c>
    </row>
    <row r="359" spans="2:6" x14ac:dyDescent="0.25">
      <c r="B359" t="s">
        <v>220</v>
      </c>
      <c r="C359" t="s">
        <v>218</v>
      </c>
      <c r="D359">
        <v>1.98</v>
      </c>
      <c r="E359">
        <v>1.85</v>
      </c>
      <c r="F359" t="s">
        <v>8</v>
      </c>
    </row>
    <row r="360" spans="2:6" x14ac:dyDescent="0.25">
      <c r="B360" t="s">
        <v>220</v>
      </c>
      <c r="C360" t="s">
        <v>218</v>
      </c>
      <c r="D360">
        <v>2.04</v>
      </c>
      <c r="E360">
        <v>1.8</v>
      </c>
      <c r="F360" t="s">
        <v>8</v>
      </c>
    </row>
    <row r="361" spans="2:6" x14ac:dyDescent="0.25">
      <c r="B361" t="s">
        <v>220</v>
      </c>
      <c r="C361" t="s">
        <v>218</v>
      </c>
      <c r="D361">
        <v>2.0499999999999998</v>
      </c>
      <c r="E361">
        <v>1.8</v>
      </c>
      <c r="F361" t="s">
        <v>8</v>
      </c>
    </row>
    <row r="362" spans="2:6" x14ac:dyDescent="0.25">
      <c r="B362" t="s">
        <v>220</v>
      </c>
      <c r="C362" t="s">
        <v>218</v>
      </c>
      <c r="D362">
        <v>1.97</v>
      </c>
      <c r="E362">
        <v>1.83</v>
      </c>
      <c r="F362" t="s">
        <v>8</v>
      </c>
    </row>
    <row r="363" spans="2:6" x14ac:dyDescent="0.25">
      <c r="B363" t="s">
        <v>220</v>
      </c>
      <c r="C363" t="s">
        <v>218</v>
      </c>
      <c r="D363">
        <v>2.1</v>
      </c>
      <c r="E363">
        <v>1.77</v>
      </c>
      <c r="F363" t="s">
        <v>8</v>
      </c>
    </row>
    <row r="364" spans="2:6" x14ac:dyDescent="0.25">
      <c r="B364" t="s">
        <v>220</v>
      </c>
      <c r="C364" t="s">
        <v>218</v>
      </c>
      <c r="D364">
        <v>2.0499999999999998</v>
      </c>
      <c r="E364">
        <v>1.8</v>
      </c>
      <c r="F364" t="s">
        <v>8</v>
      </c>
    </row>
    <row r="365" spans="2:6" x14ac:dyDescent="0.25">
      <c r="B365" t="s">
        <v>220</v>
      </c>
      <c r="C365" t="s">
        <v>218</v>
      </c>
      <c r="D365">
        <v>1.97</v>
      </c>
      <c r="E365">
        <v>1.83</v>
      </c>
      <c r="F365" t="s">
        <v>8</v>
      </c>
    </row>
    <row r="366" spans="2:6" x14ac:dyDescent="0.25">
      <c r="B366" t="s">
        <v>220</v>
      </c>
      <c r="C366" t="s">
        <v>218</v>
      </c>
      <c r="D366">
        <v>2.08</v>
      </c>
      <c r="E366">
        <v>1.78</v>
      </c>
      <c r="F366" t="s">
        <v>8</v>
      </c>
    </row>
    <row r="367" spans="2:6" x14ac:dyDescent="0.25">
      <c r="B367" t="s">
        <v>220</v>
      </c>
      <c r="C367" t="s">
        <v>218</v>
      </c>
      <c r="D367">
        <v>2.0499999999999998</v>
      </c>
      <c r="E367">
        <v>1.8</v>
      </c>
      <c r="F367" t="s">
        <v>8</v>
      </c>
    </row>
    <row r="368" spans="2:6" x14ac:dyDescent="0.25">
      <c r="B368" t="s">
        <v>220</v>
      </c>
      <c r="C368" t="s">
        <v>218</v>
      </c>
      <c r="D368">
        <v>2.1</v>
      </c>
      <c r="E368">
        <v>1.77</v>
      </c>
      <c r="F368" t="s">
        <v>8</v>
      </c>
    </row>
    <row r="369" spans="2:6" x14ac:dyDescent="0.25">
      <c r="B369" t="s">
        <v>220</v>
      </c>
      <c r="C369" t="s">
        <v>218</v>
      </c>
      <c r="D369">
        <v>2.08</v>
      </c>
      <c r="E369">
        <v>1.78</v>
      </c>
      <c r="F369" t="s">
        <v>8</v>
      </c>
    </row>
    <row r="370" spans="2:6" x14ac:dyDescent="0.25">
      <c r="B370" t="s">
        <v>220</v>
      </c>
      <c r="C370" t="s">
        <v>218</v>
      </c>
      <c r="D370">
        <v>2.1</v>
      </c>
      <c r="E370">
        <v>1.77</v>
      </c>
      <c r="F370" t="s">
        <v>8</v>
      </c>
    </row>
    <row r="371" spans="2:6" x14ac:dyDescent="0.25">
      <c r="B371" t="s">
        <v>220</v>
      </c>
      <c r="C371" t="s">
        <v>218</v>
      </c>
      <c r="D371">
        <v>2.0499999999999998</v>
      </c>
      <c r="E371">
        <v>1.8</v>
      </c>
      <c r="F371" t="s">
        <v>8</v>
      </c>
    </row>
    <row r="372" spans="2:6" x14ac:dyDescent="0.25">
      <c r="B372" t="s">
        <v>283</v>
      </c>
      <c r="C372" t="s">
        <v>218</v>
      </c>
      <c r="D372">
        <v>1.74</v>
      </c>
      <c r="E372">
        <v>2.14</v>
      </c>
      <c r="F372" t="s">
        <v>8</v>
      </c>
    </row>
    <row r="373" spans="2:6" x14ac:dyDescent="0.25">
      <c r="B373" t="s">
        <v>283</v>
      </c>
      <c r="C373" t="s">
        <v>218</v>
      </c>
      <c r="D373">
        <v>1.75</v>
      </c>
      <c r="E373">
        <v>2.12</v>
      </c>
      <c r="F373" t="s">
        <v>8</v>
      </c>
    </row>
    <row r="374" spans="2:6" x14ac:dyDescent="0.25">
      <c r="B374" t="s">
        <v>283</v>
      </c>
      <c r="C374" t="s">
        <v>218</v>
      </c>
      <c r="D374">
        <v>1.74</v>
      </c>
      <c r="E374">
        <v>2.15</v>
      </c>
      <c r="F374" t="s">
        <v>8</v>
      </c>
    </row>
    <row r="375" spans="2:6" x14ac:dyDescent="0.25">
      <c r="B375" t="s">
        <v>283</v>
      </c>
      <c r="C375" t="s">
        <v>218</v>
      </c>
      <c r="D375">
        <v>1.71</v>
      </c>
      <c r="E375">
        <v>2.15</v>
      </c>
      <c r="F375" t="s">
        <v>8</v>
      </c>
    </row>
    <row r="376" spans="2:6" x14ac:dyDescent="0.25">
      <c r="B376" t="s">
        <v>283</v>
      </c>
      <c r="C376" t="s">
        <v>218</v>
      </c>
      <c r="D376">
        <v>1.74</v>
      </c>
      <c r="E376">
        <v>2.15</v>
      </c>
      <c r="F376" t="s">
        <v>8</v>
      </c>
    </row>
    <row r="377" spans="2:6" x14ac:dyDescent="0.25">
      <c r="B377" t="s">
        <v>283</v>
      </c>
      <c r="C377" t="s">
        <v>218</v>
      </c>
      <c r="D377">
        <v>1.71</v>
      </c>
      <c r="E377">
        <v>2.1800000000000002</v>
      </c>
      <c r="F377" t="s">
        <v>8</v>
      </c>
    </row>
    <row r="378" spans="2:6" x14ac:dyDescent="0.25">
      <c r="B378" t="s">
        <v>283</v>
      </c>
      <c r="C378" t="s">
        <v>218</v>
      </c>
      <c r="D378">
        <v>1.71</v>
      </c>
      <c r="E378">
        <v>2.15</v>
      </c>
      <c r="F378" t="s">
        <v>8</v>
      </c>
    </row>
    <row r="379" spans="2:6" x14ac:dyDescent="0.25">
      <c r="B379" t="s">
        <v>283</v>
      </c>
      <c r="C379" t="s">
        <v>218</v>
      </c>
      <c r="D379">
        <v>1.74</v>
      </c>
      <c r="E379">
        <v>2.15</v>
      </c>
      <c r="F379" t="s">
        <v>8</v>
      </c>
    </row>
    <row r="380" spans="2:6" x14ac:dyDescent="0.25">
      <c r="B380" t="s">
        <v>283</v>
      </c>
      <c r="C380" t="s">
        <v>218</v>
      </c>
      <c r="D380">
        <v>1.71</v>
      </c>
      <c r="E380">
        <v>2.2000000000000002</v>
      </c>
      <c r="F380" t="s">
        <v>8</v>
      </c>
    </row>
    <row r="381" spans="2:6" x14ac:dyDescent="0.25">
      <c r="B381" t="s">
        <v>283</v>
      </c>
      <c r="C381" t="s">
        <v>218</v>
      </c>
      <c r="D381">
        <v>1.71</v>
      </c>
      <c r="E381">
        <v>2.2000000000000002</v>
      </c>
      <c r="F381" t="s">
        <v>8</v>
      </c>
    </row>
    <row r="382" spans="2:6" x14ac:dyDescent="0.25">
      <c r="B382" t="s">
        <v>283</v>
      </c>
      <c r="C382" t="s">
        <v>218</v>
      </c>
      <c r="D382">
        <v>1.74</v>
      </c>
      <c r="E382">
        <v>2.15</v>
      </c>
      <c r="F382" t="s">
        <v>8</v>
      </c>
    </row>
    <row r="383" spans="2:6" x14ac:dyDescent="0.25">
      <c r="B383" t="s">
        <v>283</v>
      </c>
      <c r="C383" t="s">
        <v>218</v>
      </c>
      <c r="D383">
        <v>1.74</v>
      </c>
      <c r="E383">
        <v>2.15</v>
      </c>
      <c r="F383" t="s">
        <v>8</v>
      </c>
    </row>
    <row r="384" spans="2:6" x14ac:dyDescent="0.25">
      <c r="B384" t="s">
        <v>283</v>
      </c>
      <c r="C384" t="s">
        <v>218</v>
      </c>
      <c r="D384">
        <v>1.71</v>
      </c>
      <c r="E384">
        <v>2.15</v>
      </c>
      <c r="F384" t="s">
        <v>8</v>
      </c>
    </row>
    <row r="385" spans="2:6" x14ac:dyDescent="0.25">
      <c r="B385" t="s">
        <v>222</v>
      </c>
      <c r="C385" t="s">
        <v>218</v>
      </c>
      <c r="D385">
        <v>4.0999999999999996</v>
      </c>
      <c r="E385">
        <v>1.25</v>
      </c>
      <c r="F385" t="s">
        <v>8</v>
      </c>
    </row>
    <row r="386" spans="2:6" x14ac:dyDescent="0.25">
      <c r="B386" t="s">
        <v>222</v>
      </c>
      <c r="C386" t="s">
        <v>218</v>
      </c>
      <c r="D386">
        <v>4</v>
      </c>
      <c r="E386">
        <v>1.26</v>
      </c>
      <c r="F386" t="s">
        <v>8</v>
      </c>
    </row>
    <row r="387" spans="2:6" x14ac:dyDescent="0.25">
      <c r="B387" t="s">
        <v>222</v>
      </c>
      <c r="C387" t="s">
        <v>218</v>
      </c>
      <c r="D387">
        <v>4.1500000000000004</v>
      </c>
      <c r="E387">
        <v>1.24</v>
      </c>
      <c r="F387" t="s">
        <v>8</v>
      </c>
    </row>
    <row r="388" spans="2:6" x14ac:dyDescent="0.25">
      <c r="B388" t="s">
        <v>222</v>
      </c>
      <c r="C388" t="s">
        <v>218</v>
      </c>
      <c r="D388">
        <v>3.9</v>
      </c>
      <c r="E388">
        <v>1.26</v>
      </c>
      <c r="F388" t="s">
        <v>8</v>
      </c>
    </row>
    <row r="389" spans="2:6" x14ac:dyDescent="0.25">
      <c r="B389" t="s">
        <v>222</v>
      </c>
      <c r="C389" t="s">
        <v>218</v>
      </c>
      <c r="D389">
        <v>4</v>
      </c>
      <c r="E389">
        <v>1.26</v>
      </c>
      <c r="F389" t="s">
        <v>8</v>
      </c>
    </row>
    <row r="390" spans="2:6" x14ac:dyDescent="0.25">
      <c r="B390" t="s">
        <v>222</v>
      </c>
      <c r="C390" t="s">
        <v>218</v>
      </c>
      <c r="D390">
        <v>4</v>
      </c>
      <c r="E390">
        <v>1.26</v>
      </c>
      <c r="F390" t="s">
        <v>8</v>
      </c>
    </row>
    <row r="391" spans="2:6" x14ac:dyDescent="0.25">
      <c r="B391" t="s">
        <v>222</v>
      </c>
      <c r="C391" t="s">
        <v>218</v>
      </c>
      <c r="D391">
        <v>3.9</v>
      </c>
      <c r="E391">
        <v>1.26</v>
      </c>
      <c r="F391" t="s">
        <v>8</v>
      </c>
    </row>
    <row r="392" spans="2:6" x14ac:dyDescent="0.25">
      <c r="B392" t="s">
        <v>222</v>
      </c>
      <c r="C392" t="s">
        <v>218</v>
      </c>
      <c r="D392">
        <v>4.05</v>
      </c>
      <c r="E392">
        <v>1.27</v>
      </c>
      <c r="F392" t="s">
        <v>8</v>
      </c>
    </row>
    <row r="393" spans="2:6" x14ac:dyDescent="0.25">
      <c r="B393" t="s">
        <v>222</v>
      </c>
      <c r="C393" t="s">
        <v>218</v>
      </c>
      <c r="D393">
        <v>4</v>
      </c>
      <c r="E393">
        <v>1.25</v>
      </c>
      <c r="F393" t="s">
        <v>8</v>
      </c>
    </row>
    <row r="394" spans="2:6" x14ac:dyDescent="0.25">
      <c r="B394" t="s">
        <v>222</v>
      </c>
      <c r="C394" t="s">
        <v>218</v>
      </c>
      <c r="D394">
        <v>3.95</v>
      </c>
      <c r="E394">
        <v>1.27</v>
      </c>
      <c r="F394" t="s">
        <v>8</v>
      </c>
    </row>
    <row r="395" spans="2:6" x14ac:dyDescent="0.25">
      <c r="B395" t="s">
        <v>222</v>
      </c>
      <c r="C395" t="s">
        <v>218</v>
      </c>
      <c r="D395">
        <v>4.05</v>
      </c>
      <c r="E395">
        <v>1.27</v>
      </c>
      <c r="F395" t="s">
        <v>8</v>
      </c>
    </row>
    <row r="396" spans="2:6" x14ac:dyDescent="0.25">
      <c r="B396" t="s">
        <v>222</v>
      </c>
      <c r="C396" t="s">
        <v>218</v>
      </c>
      <c r="D396">
        <v>4.2</v>
      </c>
      <c r="E396">
        <v>1.25</v>
      </c>
      <c r="F396" t="s">
        <v>8</v>
      </c>
    </row>
    <row r="397" spans="2:6" x14ac:dyDescent="0.25">
      <c r="B397" t="s">
        <v>222</v>
      </c>
      <c r="C397" t="s">
        <v>218</v>
      </c>
      <c r="D397">
        <v>3.8</v>
      </c>
      <c r="E397">
        <v>1.27</v>
      </c>
      <c r="F397" t="s">
        <v>8</v>
      </c>
    </row>
    <row r="398" spans="2:6" x14ac:dyDescent="0.25">
      <c r="B398" t="s">
        <v>224</v>
      </c>
      <c r="C398" t="s">
        <v>218</v>
      </c>
      <c r="D398">
        <v>1.68</v>
      </c>
      <c r="E398">
        <v>2.2400000000000002</v>
      </c>
      <c r="F398" t="s">
        <v>8</v>
      </c>
    </row>
    <row r="399" spans="2:6" x14ac:dyDescent="0.25">
      <c r="B399" t="s">
        <v>224</v>
      </c>
      <c r="C399" t="s">
        <v>218</v>
      </c>
      <c r="D399">
        <v>1.67</v>
      </c>
      <c r="E399">
        <v>2.25</v>
      </c>
      <c r="F399" t="s">
        <v>8</v>
      </c>
    </row>
    <row r="400" spans="2:6" x14ac:dyDescent="0.25">
      <c r="B400" t="s">
        <v>224</v>
      </c>
      <c r="C400" t="s">
        <v>218</v>
      </c>
      <c r="D400">
        <v>1.67</v>
      </c>
      <c r="E400">
        <v>2.2999999999999998</v>
      </c>
      <c r="F400" t="s">
        <v>8</v>
      </c>
    </row>
    <row r="401" spans="2:6" x14ac:dyDescent="0.25">
      <c r="B401" t="s">
        <v>224</v>
      </c>
      <c r="C401" t="s">
        <v>218</v>
      </c>
      <c r="D401">
        <v>1.65</v>
      </c>
      <c r="E401">
        <v>2.25</v>
      </c>
      <c r="F401" t="s">
        <v>8</v>
      </c>
    </row>
    <row r="402" spans="2:6" x14ac:dyDescent="0.25">
      <c r="B402" t="s">
        <v>224</v>
      </c>
      <c r="C402" t="s">
        <v>218</v>
      </c>
      <c r="D402">
        <v>1.65</v>
      </c>
      <c r="E402">
        <v>2.2999999999999998</v>
      </c>
      <c r="F402" t="s">
        <v>8</v>
      </c>
    </row>
    <row r="403" spans="2:6" x14ac:dyDescent="0.25">
      <c r="B403" t="s">
        <v>224</v>
      </c>
      <c r="C403" t="s">
        <v>218</v>
      </c>
      <c r="D403">
        <v>1.67</v>
      </c>
      <c r="E403">
        <v>2.25</v>
      </c>
      <c r="F403" t="s">
        <v>8</v>
      </c>
    </row>
    <row r="404" spans="2:6" x14ac:dyDescent="0.25">
      <c r="B404" t="s">
        <v>224</v>
      </c>
      <c r="C404" t="s">
        <v>218</v>
      </c>
      <c r="D404">
        <v>1.65</v>
      </c>
      <c r="E404">
        <v>2.2999999999999998</v>
      </c>
      <c r="F404" t="s">
        <v>8</v>
      </c>
    </row>
    <row r="405" spans="2:6" x14ac:dyDescent="0.25">
      <c r="B405" t="s">
        <v>224</v>
      </c>
      <c r="C405" t="s">
        <v>218</v>
      </c>
      <c r="D405">
        <v>1.65</v>
      </c>
      <c r="E405">
        <v>2.25</v>
      </c>
      <c r="F405" t="s">
        <v>8</v>
      </c>
    </row>
    <row r="406" spans="2:6" x14ac:dyDescent="0.25">
      <c r="B406" t="s">
        <v>224</v>
      </c>
      <c r="C406" t="s">
        <v>218</v>
      </c>
      <c r="D406">
        <v>1.67</v>
      </c>
      <c r="E406">
        <v>2.2999999999999998</v>
      </c>
      <c r="F406" t="s">
        <v>8</v>
      </c>
    </row>
    <row r="407" spans="2:6" x14ac:dyDescent="0.25">
      <c r="B407" t="s">
        <v>224</v>
      </c>
      <c r="C407" t="s">
        <v>218</v>
      </c>
      <c r="D407">
        <v>1.67</v>
      </c>
      <c r="E407">
        <v>2.2999999999999998</v>
      </c>
      <c r="F407" t="s">
        <v>8</v>
      </c>
    </row>
    <row r="408" spans="2:6" x14ac:dyDescent="0.25">
      <c r="B408" t="s">
        <v>224</v>
      </c>
      <c r="C408" t="s">
        <v>218</v>
      </c>
      <c r="D408">
        <v>1.67</v>
      </c>
      <c r="E408">
        <v>2.2999999999999998</v>
      </c>
      <c r="F408" t="s">
        <v>8</v>
      </c>
    </row>
    <row r="409" spans="2:6" x14ac:dyDescent="0.25">
      <c r="B409" t="s">
        <v>224</v>
      </c>
      <c r="C409" t="s">
        <v>218</v>
      </c>
      <c r="D409">
        <v>1.67</v>
      </c>
      <c r="E409">
        <v>2.2999999999999998</v>
      </c>
      <c r="F409" t="s">
        <v>8</v>
      </c>
    </row>
    <row r="410" spans="2:6" x14ac:dyDescent="0.25">
      <c r="B410" t="s">
        <v>224</v>
      </c>
      <c r="C410" t="s">
        <v>218</v>
      </c>
      <c r="D410">
        <v>1.65</v>
      </c>
      <c r="E410">
        <v>2.35</v>
      </c>
      <c r="F410" t="s">
        <v>8</v>
      </c>
    </row>
    <row r="411" spans="2:6" x14ac:dyDescent="0.25">
      <c r="B411" t="s">
        <v>225</v>
      </c>
      <c r="C411" t="s">
        <v>218</v>
      </c>
      <c r="D411">
        <v>1.95</v>
      </c>
      <c r="E411">
        <v>1.87</v>
      </c>
      <c r="F411" t="s">
        <v>8</v>
      </c>
    </row>
    <row r="412" spans="2:6" x14ac:dyDescent="0.25">
      <c r="B412" t="s">
        <v>225</v>
      </c>
      <c r="C412" t="s">
        <v>218</v>
      </c>
      <c r="D412">
        <v>1.95</v>
      </c>
      <c r="E412">
        <v>1.88</v>
      </c>
      <c r="F412" t="s">
        <v>8</v>
      </c>
    </row>
    <row r="413" spans="2:6" x14ac:dyDescent="0.25">
      <c r="B413" t="s">
        <v>225</v>
      </c>
      <c r="C413" t="s">
        <v>218</v>
      </c>
      <c r="D413">
        <v>1.95</v>
      </c>
      <c r="E413">
        <v>1.87</v>
      </c>
      <c r="F413" t="s">
        <v>8</v>
      </c>
    </row>
    <row r="414" spans="2:6" x14ac:dyDescent="0.25">
      <c r="B414" t="s">
        <v>225</v>
      </c>
      <c r="C414" t="s">
        <v>218</v>
      </c>
      <c r="D414">
        <v>1.94</v>
      </c>
      <c r="E414">
        <v>1.87</v>
      </c>
      <c r="F414" t="s">
        <v>8</v>
      </c>
    </row>
    <row r="415" spans="2:6" x14ac:dyDescent="0.25">
      <c r="B415" t="s">
        <v>225</v>
      </c>
      <c r="C415" t="s">
        <v>218</v>
      </c>
      <c r="D415">
        <v>1.91</v>
      </c>
      <c r="E415">
        <v>1.91</v>
      </c>
      <c r="F415" t="s">
        <v>8</v>
      </c>
    </row>
    <row r="416" spans="2:6" x14ac:dyDescent="0.25">
      <c r="B416" t="s">
        <v>225</v>
      </c>
      <c r="C416" t="s">
        <v>218</v>
      </c>
      <c r="D416">
        <v>1.95</v>
      </c>
      <c r="E416">
        <v>1.87</v>
      </c>
      <c r="F416" t="s">
        <v>8</v>
      </c>
    </row>
    <row r="417" spans="2:6" x14ac:dyDescent="0.25">
      <c r="B417" t="s">
        <v>225</v>
      </c>
      <c r="C417" t="s">
        <v>218</v>
      </c>
      <c r="D417">
        <v>1.94</v>
      </c>
      <c r="E417">
        <v>1.87</v>
      </c>
      <c r="F417" t="s">
        <v>8</v>
      </c>
    </row>
    <row r="418" spans="2:6" x14ac:dyDescent="0.25">
      <c r="B418" t="s">
        <v>225</v>
      </c>
      <c r="C418" t="s">
        <v>218</v>
      </c>
      <c r="D418">
        <v>1.95</v>
      </c>
      <c r="E418">
        <v>1.87</v>
      </c>
      <c r="F418" t="s">
        <v>8</v>
      </c>
    </row>
    <row r="419" spans="2:6" x14ac:dyDescent="0.25">
      <c r="B419" t="s">
        <v>225</v>
      </c>
      <c r="C419" t="s">
        <v>218</v>
      </c>
      <c r="D419">
        <v>1.95</v>
      </c>
      <c r="E419">
        <v>1.87</v>
      </c>
      <c r="F419" t="s">
        <v>8</v>
      </c>
    </row>
    <row r="420" spans="2:6" x14ac:dyDescent="0.25">
      <c r="B420" t="s">
        <v>225</v>
      </c>
      <c r="C420" t="s">
        <v>218</v>
      </c>
      <c r="D420">
        <v>1.95</v>
      </c>
      <c r="E420">
        <v>1.87</v>
      </c>
      <c r="F420" t="s">
        <v>8</v>
      </c>
    </row>
    <row r="421" spans="2:6" x14ac:dyDescent="0.25">
      <c r="B421" t="s">
        <v>225</v>
      </c>
      <c r="C421" t="s">
        <v>218</v>
      </c>
      <c r="D421">
        <v>1.95</v>
      </c>
      <c r="E421">
        <v>1.87</v>
      </c>
      <c r="F421" t="s">
        <v>8</v>
      </c>
    </row>
    <row r="422" spans="2:6" x14ac:dyDescent="0.25">
      <c r="B422" t="s">
        <v>226</v>
      </c>
      <c r="C422" t="s">
        <v>218</v>
      </c>
      <c r="D422">
        <v>4.3</v>
      </c>
      <c r="E422">
        <v>1.24</v>
      </c>
      <c r="F422" t="s">
        <v>8</v>
      </c>
    </row>
    <row r="423" spans="2:6" x14ac:dyDescent="0.25">
      <c r="B423" t="s">
        <v>226</v>
      </c>
      <c r="C423" t="s">
        <v>218</v>
      </c>
      <c r="D423">
        <v>4.25</v>
      </c>
      <c r="E423">
        <v>1.23</v>
      </c>
      <c r="F423" t="s">
        <v>8</v>
      </c>
    </row>
    <row r="424" spans="2:6" x14ac:dyDescent="0.25">
      <c r="B424" t="s">
        <v>226</v>
      </c>
      <c r="C424" t="s">
        <v>218</v>
      </c>
      <c r="D424">
        <v>4.2</v>
      </c>
      <c r="E424">
        <v>1.23</v>
      </c>
      <c r="F424" t="s">
        <v>8</v>
      </c>
    </row>
    <row r="425" spans="2:6" x14ac:dyDescent="0.25">
      <c r="B425" t="s">
        <v>226</v>
      </c>
      <c r="C425" t="s">
        <v>218</v>
      </c>
      <c r="D425">
        <v>4.2</v>
      </c>
      <c r="E425">
        <v>1.24</v>
      </c>
      <c r="F425" t="s">
        <v>8</v>
      </c>
    </row>
    <row r="426" spans="2:6" x14ac:dyDescent="0.25">
      <c r="B426" t="s">
        <v>226</v>
      </c>
      <c r="C426" t="s">
        <v>218</v>
      </c>
      <c r="D426">
        <v>4.25</v>
      </c>
      <c r="E426">
        <v>1.22</v>
      </c>
      <c r="F426" t="s">
        <v>8</v>
      </c>
    </row>
    <row r="427" spans="2:6" x14ac:dyDescent="0.25">
      <c r="B427" t="s">
        <v>226</v>
      </c>
      <c r="C427" t="s">
        <v>218</v>
      </c>
      <c r="D427">
        <v>4.4000000000000004</v>
      </c>
      <c r="E427">
        <v>1.22</v>
      </c>
      <c r="F427" t="s">
        <v>8</v>
      </c>
    </row>
    <row r="428" spans="2:6" x14ac:dyDescent="0.25">
      <c r="B428" t="s">
        <v>226</v>
      </c>
      <c r="C428" t="s">
        <v>218</v>
      </c>
      <c r="D428">
        <v>4.1500000000000004</v>
      </c>
      <c r="E428">
        <v>1.24</v>
      </c>
      <c r="F428" t="s">
        <v>8</v>
      </c>
    </row>
    <row r="429" spans="2:6" x14ac:dyDescent="0.25">
      <c r="B429" t="s">
        <v>226</v>
      </c>
      <c r="C429" t="s">
        <v>218</v>
      </c>
      <c r="D429">
        <v>4.2</v>
      </c>
      <c r="E429">
        <v>1.23</v>
      </c>
      <c r="F429" t="s">
        <v>8</v>
      </c>
    </row>
    <row r="430" spans="2:6" x14ac:dyDescent="0.25">
      <c r="B430" t="s">
        <v>226</v>
      </c>
      <c r="C430" t="s">
        <v>218</v>
      </c>
      <c r="D430">
        <v>4.0999999999999996</v>
      </c>
      <c r="E430">
        <v>1.26</v>
      </c>
      <c r="F430" t="s">
        <v>8</v>
      </c>
    </row>
    <row r="431" spans="2:6" x14ac:dyDescent="0.25">
      <c r="B431" t="s">
        <v>226</v>
      </c>
      <c r="C431" t="s">
        <v>218</v>
      </c>
      <c r="D431">
        <v>4</v>
      </c>
      <c r="E431">
        <v>1.25</v>
      </c>
      <c r="F431" t="s">
        <v>8</v>
      </c>
    </row>
    <row r="432" spans="2:6" x14ac:dyDescent="0.25">
      <c r="B432" t="s">
        <v>226</v>
      </c>
      <c r="C432" t="s">
        <v>218</v>
      </c>
      <c r="D432">
        <v>4</v>
      </c>
      <c r="E432">
        <v>1.26</v>
      </c>
      <c r="F432" t="s">
        <v>8</v>
      </c>
    </row>
    <row r="433" spans="2:6" x14ac:dyDescent="0.25">
      <c r="B433" t="s">
        <v>226</v>
      </c>
      <c r="C433" t="s">
        <v>218</v>
      </c>
      <c r="D433">
        <v>4.0999999999999996</v>
      </c>
      <c r="E433">
        <v>1.26</v>
      </c>
      <c r="F433" t="s">
        <v>8</v>
      </c>
    </row>
    <row r="434" spans="2:6" x14ac:dyDescent="0.25">
      <c r="B434" t="s">
        <v>226</v>
      </c>
      <c r="C434" t="s">
        <v>218</v>
      </c>
      <c r="D434">
        <v>4.4000000000000004</v>
      </c>
      <c r="E434">
        <v>1.24</v>
      </c>
      <c r="F434" t="s">
        <v>8</v>
      </c>
    </row>
    <row r="435" spans="2:6" x14ac:dyDescent="0.25">
      <c r="B435" t="s">
        <v>285</v>
      </c>
      <c r="C435" t="s">
        <v>218</v>
      </c>
      <c r="D435">
        <v>2.7</v>
      </c>
      <c r="E435">
        <v>1.49</v>
      </c>
      <c r="F435" t="s">
        <v>8</v>
      </c>
    </row>
    <row r="436" spans="2:6" x14ac:dyDescent="0.25">
      <c r="B436" t="s">
        <v>285</v>
      </c>
      <c r="C436" t="s">
        <v>218</v>
      </c>
      <c r="D436">
        <v>2.7</v>
      </c>
      <c r="E436">
        <v>1.5</v>
      </c>
      <c r="F436" t="s">
        <v>8</v>
      </c>
    </row>
    <row r="437" spans="2:6" x14ac:dyDescent="0.25">
      <c r="B437" t="s">
        <v>285</v>
      </c>
      <c r="C437" t="s">
        <v>218</v>
      </c>
      <c r="D437">
        <v>2.48</v>
      </c>
      <c r="E437">
        <v>1.55</v>
      </c>
      <c r="F437" t="s">
        <v>8</v>
      </c>
    </row>
    <row r="438" spans="2:6" x14ac:dyDescent="0.25">
      <c r="B438" t="s">
        <v>285</v>
      </c>
      <c r="C438" t="s">
        <v>218</v>
      </c>
      <c r="D438">
        <v>2.62</v>
      </c>
      <c r="E438">
        <v>1.51</v>
      </c>
      <c r="F438" t="s">
        <v>8</v>
      </c>
    </row>
    <row r="439" spans="2:6" x14ac:dyDescent="0.25">
      <c r="B439" t="s">
        <v>285</v>
      </c>
      <c r="C439" t="s">
        <v>218</v>
      </c>
      <c r="D439">
        <v>2.65</v>
      </c>
      <c r="E439">
        <v>1.5</v>
      </c>
      <c r="F439" t="s">
        <v>8</v>
      </c>
    </row>
    <row r="440" spans="2:6" x14ac:dyDescent="0.25">
      <c r="B440" t="s">
        <v>285</v>
      </c>
      <c r="C440" t="s">
        <v>218</v>
      </c>
      <c r="D440">
        <v>2.8</v>
      </c>
      <c r="E440">
        <v>1.45</v>
      </c>
      <c r="F440" t="s">
        <v>8</v>
      </c>
    </row>
    <row r="441" spans="2:6" x14ac:dyDescent="0.25">
      <c r="B441" t="s">
        <v>285</v>
      </c>
      <c r="C441" t="s">
        <v>218</v>
      </c>
      <c r="D441">
        <v>2.65</v>
      </c>
      <c r="E441">
        <v>1.5</v>
      </c>
      <c r="F441" t="s">
        <v>8</v>
      </c>
    </row>
    <row r="442" spans="2:6" x14ac:dyDescent="0.25">
      <c r="B442" t="s">
        <v>285</v>
      </c>
      <c r="C442" t="s">
        <v>218</v>
      </c>
      <c r="D442">
        <v>2.48</v>
      </c>
      <c r="E442">
        <v>1.55</v>
      </c>
      <c r="F442" t="s">
        <v>8</v>
      </c>
    </row>
    <row r="443" spans="2:6" x14ac:dyDescent="0.25">
      <c r="B443" t="s">
        <v>285</v>
      </c>
      <c r="C443" t="s">
        <v>218</v>
      </c>
      <c r="D443">
        <v>2.65</v>
      </c>
      <c r="E443">
        <v>1.53</v>
      </c>
      <c r="F443" t="s">
        <v>8</v>
      </c>
    </row>
    <row r="444" spans="2:6" x14ac:dyDescent="0.25">
      <c r="B444" t="s">
        <v>285</v>
      </c>
      <c r="C444" t="s">
        <v>218</v>
      </c>
      <c r="D444">
        <v>2.6</v>
      </c>
      <c r="E444">
        <v>1.53</v>
      </c>
      <c r="F444" t="s">
        <v>8</v>
      </c>
    </row>
    <row r="445" spans="2:6" x14ac:dyDescent="0.25">
      <c r="B445" t="s">
        <v>285</v>
      </c>
      <c r="C445" t="s">
        <v>218</v>
      </c>
      <c r="D445">
        <v>2.65</v>
      </c>
      <c r="E445">
        <v>1.51</v>
      </c>
      <c r="F445" t="s">
        <v>8</v>
      </c>
    </row>
    <row r="446" spans="2:6" x14ac:dyDescent="0.25">
      <c r="B446" t="s">
        <v>285</v>
      </c>
      <c r="C446" t="s">
        <v>218</v>
      </c>
      <c r="D446">
        <v>2.65</v>
      </c>
      <c r="E446">
        <v>1.53</v>
      </c>
      <c r="F446" t="s">
        <v>8</v>
      </c>
    </row>
    <row r="447" spans="2:6" x14ac:dyDescent="0.25">
      <c r="B447" t="s">
        <v>285</v>
      </c>
      <c r="C447" t="s">
        <v>218</v>
      </c>
      <c r="D447">
        <v>2.7</v>
      </c>
      <c r="E447">
        <v>1.5</v>
      </c>
      <c r="F447" t="s">
        <v>8</v>
      </c>
    </row>
    <row r="448" spans="2:6" x14ac:dyDescent="0.25">
      <c r="B448" t="s">
        <v>228</v>
      </c>
      <c r="C448" t="s">
        <v>218</v>
      </c>
      <c r="D448">
        <v>2.14</v>
      </c>
      <c r="E448">
        <v>1.74</v>
      </c>
      <c r="F448" t="s">
        <v>8</v>
      </c>
    </row>
    <row r="449" spans="2:6" x14ac:dyDescent="0.25">
      <c r="B449" t="s">
        <v>228</v>
      </c>
      <c r="C449" t="s">
        <v>218</v>
      </c>
      <c r="D449">
        <v>2.15</v>
      </c>
      <c r="E449">
        <v>1.74</v>
      </c>
      <c r="F449" t="s">
        <v>8</v>
      </c>
    </row>
    <row r="450" spans="2:6" x14ac:dyDescent="0.25">
      <c r="B450" t="s">
        <v>228</v>
      </c>
      <c r="C450" t="s">
        <v>218</v>
      </c>
      <c r="D450">
        <v>2.12</v>
      </c>
      <c r="E450">
        <v>1.71</v>
      </c>
      <c r="F450" t="s">
        <v>8</v>
      </c>
    </row>
    <row r="451" spans="2:6" x14ac:dyDescent="0.25">
      <c r="B451" t="s">
        <v>228</v>
      </c>
      <c r="C451" t="s">
        <v>218</v>
      </c>
      <c r="D451">
        <v>2.1800000000000002</v>
      </c>
      <c r="E451">
        <v>1.71</v>
      </c>
      <c r="F451" t="s">
        <v>8</v>
      </c>
    </row>
    <row r="452" spans="2:6" x14ac:dyDescent="0.25">
      <c r="B452" t="s">
        <v>228</v>
      </c>
      <c r="C452" t="s">
        <v>218</v>
      </c>
      <c r="D452">
        <v>2.1</v>
      </c>
      <c r="E452">
        <v>1.74</v>
      </c>
      <c r="F452" t="s">
        <v>8</v>
      </c>
    </row>
    <row r="453" spans="2:6" x14ac:dyDescent="0.25">
      <c r="B453" t="s">
        <v>228</v>
      </c>
      <c r="C453" t="s">
        <v>218</v>
      </c>
      <c r="D453">
        <v>2.14</v>
      </c>
      <c r="E453">
        <v>1.73</v>
      </c>
      <c r="F453" t="s">
        <v>8</v>
      </c>
    </row>
    <row r="454" spans="2:6" x14ac:dyDescent="0.25">
      <c r="B454" t="s">
        <v>228</v>
      </c>
      <c r="C454" t="s">
        <v>218</v>
      </c>
      <c r="D454">
        <v>2.15</v>
      </c>
      <c r="E454">
        <v>1.74</v>
      </c>
      <c r="F454" t="s">
        <v>8</v>
      </c>
    </row>
    <row r="455" spans="2:6" x14ac:dyDescent="0.25">
      <c r="B455" t="s">
        <v>228</v>
      </c>
      <c r="C455" t="s">
        <v>218</v>
      </c>
      <c r="D455">
        <v>2.12</v>
      </c>
      <c r="E455">
        <v>1.71</v>
      </c>
      <c r="F455" t="s">
        <v>8</v>
      </c>
    </row>
    <row r="456" spans="2:6" x14ac:dyDescent="0.25">
      <c r="B456" t="s">
        <v>228</v>
      </c>
      <c r="C456" t="s">
        <v>218</v>
      </c>
      <c r="D456">
        <v>2.15</v>
      </c>
      <c r="E456">
        <v>1.74</v>
      </c>
      <c r="F456" t="s">
        <v>8</v>
      </c>
    </row>
    <row r="457" spans="2:6" x14ac:dyDescent="0.25">
      <c r="B457" t="s">
        <v>228</v>
      </c>
      <c r="C457" t="s">
        <v>218</v>
      </c>
      <c r="D457">
        <v>2.2000000000000002</v>
      </c>
      <c r="E457">
        <v>1.71</v>
      </c>
      <c r="F457" t="s">
        <v>8</v>
      </c>
    </row>
    <row r="458" spans="2:6" x14ac:dyDescent="0.25">
      <c r="B458" t="s">
        <v>228</v>
      </c>
      <c r="C458" t="s">
        <v>218</v>
      </c>
      <c r="D458">
        <v>2.15</v>
      </c>
      <c r="E458">
        <v>1.74</v>
      </c>
      <c r="F458" t="s">
        <v>8</v>
      </c>
    </row>
    <row r="459" spans="2:6" x14ac:dyDescent="0.25">
      <c r="B459" t="s">
        <v>228</v>
      </c>
      <c r="C459" t="s">
        <v>218</v>
      </c>
      <c r="D459">
        <v>2.15</v>
      </c>
      <c r="E459">
        <v>1.74</v>
      </c>
      <c r="F459" t="s">
        <v>8</v>
      </c>
    </row>
    <row r="460" spans="2:6" x14ac:dyDescent="0.25">
      <c r="B460" t="s">
        <v>228</v>
      </c>
      <c r="C460" t="s">
        <v>218</v>
      </c>
      <c r="D460">
        <v>2.15</v>
      </c>
      <c r="E460">
        <v>1.74</v>
      </c>
      <c r="F460" t="s">
        <v>8</v>
      </c>
    </row>
    <row r="461" spans="2:6" x14ac:dyDescent="0.25">
      <c r="B461" t="s">
        <v>286</v>
      </c>
      <c r="C461" t="s">
        <v>218</v>
      </c>
      <c r="D461">
        <v>2.14</v>
      </c>
      <c r="E461">
        <v>1.74</v>
      </c>
      <c r="F461" t="s">
        <v>8</v>
      </c>
    </row>
    <row r="462" spans="2:6" x14ac:dyDescent="0.25">
      <c r="B462" t="s">
        <v>286</v>
      </c>
      <c r="C462" t="s">
        <v>218</v>
      </c>
      <c r="D462">
        <v>2.1</v>
      </c>
      <c r="E462">
        <v>1.77</v>
      </c>
      <c r="F462" t="s">
        <v>8</v>
      </c>
    </row>
    <row r="463" spans="2:6" x14ac:dyDescent="0.25">
      <c r="B463" t="s">
        <v>286</v>
      </c>
      <c r="C463" t="s">
        <v>218</v>
      </c>
      <c r="D463">
        <v>2.1</v>
      </c>
      <c r="E463">
        <v>1.76</v>
      </c>
      <c r="F463" t="s">
        <v>8</v>
      </c>
    </row>
    <row r="464" spans="2:6" x14ac:dyDescent="0.25">
      <c r="B464" t="s">
        <v>286</v>
      </c>
      <c r="C464" t="s">
        <v>218</v>
      </c>
      <c r="D464">
        <v>2.1</v>
      </c>
      <c r="E464">
        <v>1.77</v>
      </c>
      <c r="F464" t="s">
        <v>8</v>
      </c>
    </row>
    <row r="465" spans="2:6" x14ac:dyDescent="0.25">
      <c r="B465" t="s">
        <v>286</v>
      </c>
      <c r="C465" t="s">
        <v>218</v>
      </c>
      <c r="D465">
        <v>2.0499999999999998</v>
      </c>
      <c r="E465">
        <v>1.79</v>
      </c>
      <c r="F465" t="s">
        <v>8</v>
      </c>
    </row>
    <row r="466" spans="2:6" x14ac:dyDescent="0.25">
      <c r="B466" t="s">
        <v>286</v>
      </c>
      <c r="C466" t="s">
        <v>218</v>
      </c>
      <c r="D466">
        <v>2.0499999999999998</v>
      </c>
      <c r="E466">
        <v>1.77</v>
      </c>
      <c r="F466" t="s">
        <v>8</v>
      </c>
    </row>
    <row r="467" spans="2:6" x14ac:dyDescent="0.25">
      <c r="B467" t="s">
        <v>286</v>
      </c>
      <c r="C467" t="s">
        <v>218</v>
      </c>
      <c r="D467">
        <v>2.15</v>
      </c>
      <c r="E467">
        <v>1.71</v>
      </c>
      <c r="F467" t="s">
        <v>8</v>
      </c>
    </row>
    <row r="468" spans="2:6" x14ac:dyDescent="0.25">
      <c r="B468" t="s">
        <v>286</v>
      </c>
      <c r="C468" t="s">
        <v>218</v>
      </c>
      <c r="D468">
        <v>2.0499999999999998</v>
      </c>
      <c r="E468">
        <v>1.77</v>
      </c>
      <c r="F468" t="s">
        <v>8</v>
      </c>
    </row>
    <row r="469" spans="2:6" x14ac:dyDescent="0.25">
      <c r="B469" t="s">
        <v>286</v>
      </c>
      <c r="C469" t="s">
        <v>218</v>
      </c>
      <c r="D469">
        <v>2.0499999999999998</v>
      </c>
      <c r="E469">
        <v>1.8</v>
      </c>
      <c r="F469" t="s">
        <v>8</v>
      </c>
    </row>
    <row r="470" spans="2:6" x14ac:dyDescent="0.25">
      <c r="B470" t="s">
        <v>286</v>
      </c>
      <c r="C470" t="s">
        <v>218</v>
      </c>
      <c r="D470">
        <v>2.1</v>
      </c>
      <c r="E470">
        <v>1.77</v>
      </c>
      <c r="F470" t="s">
        <v>8</v>
      </c>
    </row>
    <row r="471" spans="2:6" x14ac:dyDescent="0.25">
      <c r="B471" t="s">
        <v>286</v>
      </c>
      <c r="C471" t="s">
        <v>218</v>
      </c>
      <c r="D471">
        <v>2.0499999999999998</v>
      </c>
      <c r="E471">
        <v>1.8</v>
      </c>
      <c r="F471" t="s">
        <v>8</v>
      </c>
    </row>
    <row r="472" spans="2:6" x14ac:dyDescent="0.25">
      <c r="B472" t="s">
        <v>286</v>
      </c>
      <c r="C472" t="s">
        <v>218</v>
      </c>
      <c r="D472">
        <v>2.0499999999999998</v>
      </c>
      <c r="E472">
        <v>1.8</v>
      </c>
      <c r="F472" t="s">
        <v>8</v>
      </c>
    </row>
    <row r="473" spans="2:6" x14ac:dyDescent="0.25">
      <c r="B473" t="s">
        <v>286</v>
      </c>
      <c r="C473" t="s">
        <v>218</v>
      </c>
      <c r="D473">
        <v>2.1</v>
      </c>
      <c r="E473">
        <v>1.77</v>
      </c>
      <c r="F473" t="s">
        <v>8</v>
      </c>
    </row>
    <row r="474" spans="2:6" x14ac:dyDescent="0.25">
      <c r="B474" t="s">
        <v>230</v>
      </c>
      <c r="C474" t="s">
        <v>218</v>
      </c>
      <c r="D474">
        <v>1.85</v>
      </c>
      <c r="E474">
        <v>1.98</v>
      </c>
      <c r="F474" t="s">
        <v>8</v>
      </c>
    </row>
    <row r="475" spans="2:6" x14ac:dyDescent="0.25">
      <c r="B475" t="s">
        <v>230</v>
      </c>
      <c r="C475" t="s">
        <v>218</v>
      </c>
      <c r="D475">
        <v>1.87</v>
      </c>
      <c r="E475">
        <v>1.94</v>
      </c>
      <c r="F475" t="s">
        <v>8</v>
      </c>
    </row>
    <row r="476" spans="2:6" x14ac:dyDescent="0.25">
      <c r="B476" t="s">
        <v>230</v>
      </c>
      <c r="C476" t="s">
        <v>218</v>
      </c>
      <c r="D476">
        <v>1.83</v>
      </c>
      <c r="E476">
        <v>2</v>
      </c>
      <c r="F476" t="s">
        <v>8</v>
      </c>
    </row>
    <row r="477" spans="2:6" x14ac:dyDescent="0.25">
      <c r="B477" t="s">
        <v>230</v>
      </c>
      <c r="C477" t="s">
        <v>218</v>
      </c>
      <c r="D477">
        <v>1.91</v>
      </c>
      <c r="E477">
        <v>1.91</v>
      </c>
      <c r="F477" t="s">
        <v>8</v>
      </c>
    </row>
    <row r="478" spans="2:6" x14ac:dyDescent="0.25">
      <c r="B478" t="s">
        <v>230</v>
      </c>
      <c r="C478" t="s">
        <v>218</v>
      </c>
      <c r="D478">
        <v>1.83</v>
      </c>
      <c r="E478">
        <v>2</v>
      </c>
      <c r="F478" t="s">
        <v>8</v>
      </c>
    </row>
    <row r="479" spans="2:6" x14ac:dyDescent="0.25">
      <c r="B479" t="s">
        <v>230</v>
      </c>
      <c r="C479" t="s">
        <v>218</v>
      </c>
      <c r="D479">
        <v>1.87</v>
      </c>
      <c r="E479">
        <v>1.94</v>
      </c>
      <c r="F479" t="s">
        <v>8</v>
      </c>
    </row>
    <row r="480" spans="2:6" x14ac:dyDescent="0.25">
      <c r="B480" t="s">
        <v>230</v>
      </c>
      <c r="C480" t="s">
        <v>218</v>
      </c>
      <c r="D480">
        <v>1.87</v>
      </c>
      <c r="E480">
        <v>1.95</v>
      </c>
      <c r="F480" t="s">
        <v>8</v>
      </c>
    </row>
    <row r="481" spans="2:6" x14ac:dyDescent="0.25">
      <c r="B481" t="s">
        <v>230</v>
      </c>
      <c r="C481" t="s">
        <v>218</v>
      </c>
      <c r="D481">
        <v>1.83</v>
      </c>
      <c r="E481">
        <v>2</v>
      </c>
      <c r="F481" t="s">
        <v>8</v>
      </c>
    </row>
    <row r="482" spans="2:6" x14ac:dyDescent="0.25">
      <c r="B482" t="s">
        <v>230</v>
      </c>
      <c r="C482" t="s">
        <v>218</v>
      </c>
      <c r="D482">
        <v>1.87</v>
      </c>
      <c r="E482">
        <v>1.95</v>
      </c>
      <c r="F482" t="s">
        <v>8</v>
      </c>
    </row>
    <row r="483" spans="2:6" x14ac:dyDescent="0.25">
      <c r="B483" t="s">
        <v>230</v>
      </c>
      <c r="C483" t="s">
        <v>218</v>
      </c>
      <c r="D483">
        <v>1.87</v>
      </c>
      <c r="E483">
        <v>1.95</v>
      </c>
      <c r="F483" t="s">
        <v>8</v>
      </c>
    </row>
    <row r="484" spans="2:6" x14ac:dyDescent="0.25">
      <c r="B484" t="s">
        <v>230</v>
      </c>
      <c r="C484" t="s">
        <v>218</v>
      </c>
      <c r="D484">
        <v>1.83</v>
      </c>
      <c r="E484">
        <v>2</v>
      </c>
      <c r="F484" t="s">
        <v>8</v>
      </c>
    </row>
    <row r="485" spans="2:6" x14ac:dyDescent="0.25">
      <c r="B485" t="s">
        <v>230</v>
      </c>
      <c r="C485" t="s">
        <v>218</v>
      </c>
      <c r="D485">
        <v>1.87</v>
      </c>
      <c r="E485">
        <v>1.95</v>
      </c>
      <c r="F485" t="s">
        <v>8</v>
      </c>
    </row>
    <row r="486" spans="2:6" x14ac:dyDescent="0.25">
      <c r="B486" t="s">
        <v>231</v>
      </c>
      <c r="C486" t="s">
        <v>232</v>
      </c>
      <c r="D486">
        <v>1.74</v>
      </c>
      <c r="E486">
        <v>2.14</v>
      </c>
      <c r="F486" t="s">
        <v>8</v>
      </c>
    </row>
    <row r="487" spans="2:6" x14ac:dyDescent="0.25">
      <c r="B487" t="s">
        <v>231</v>
      </c>
      <c r="C487" t="s">
        <v>232</v>
      </c>
      <c r="D487">
        <v>1.7</v>
      </c>
      <c r="E487">
        <v>2.1800000000000002</v>
      </c>
      <c r="F487" t="s">
        <v>8</v>
      </c>
    </row>
    <row r="488" spans="2:6" x14ac:dyDescent="0.25">
      <c r="B488" t="s">
        <v>231</v>
      </c>
      <c r="C488" t="s">
        <v>232</v>
      </c>
      <c r="D488">
        <v>1.8</v>
      </c>
      <c r="E488">
        <v>2.0499999999999998</v>
      </c>
      <c r="F488" t="s">
        <v>8</v>
      </c>
    </row>
    <row r="489" spans="2:6" x14ac:dyDescent="0.25">
      <c r="B489" t="s">
        <v>231</v>
      </c>
      <c r="C489" t="s">
        <v>232</v>
      </c>
      <c r="D489">
        <v>1.74</v>
      </c>
      <c r="E489">
        <v>2.12</v>
      </c>
      <c r="F489" t="s">
        <v>8</v>
      </c>
    </row>
    <row r="490" spans="2:6" x14ac:dyDescent="0.25">
      <c r="B490" t="s">
        <v>231</v>
      </c>
      <c r="C490" t="s">
        <v>232</v>
      </c>
      <c r="D490">
        <v>1.71</v>
      </c>
      <c r="E490">
        <v>2.1800000000000002</v>
      </c>
      <c r="F490" t="s">
        <v>8</v>
      </c>
    </row>
    <row r="491" spans="2:6" x14ac:dyDescent="0.25">
      <c r="B491" t="s">
        <v>231</v>
      </c>
      <c r="C491" t="s">
        <v>232</v>
      </c>
      <c r="D491">
        <v>1.74</v>
      </c>
      <c r="E491">
        <v>2.15</v>
      </c>
      <c r="F491" t="s">
        <v>8</v>
      </c>
    </row>
    <row r="492" spans="2:6" x14ac:dyDescent="0.25">
      <c r="B492" t="s">
        <v>231</v>
      </c>
      <c r="C492" t="s">
        <v>232</v>
      </c>
      <c r="D492">
        <v>1.74</v>
      </c>
      <c r="E492">
        <v>2.1</v>
      </c>
      <c r="F492" t="s">
        <v>8</v>
      </c>
    </row>
    <row r="493" spans="2:6" x14ac:dyDescent="0.25">
      <c r="B493" t="s">
        <v>231</v>
      </c>
      <c r="C493" t="s">
        <v>232</v>
      </c>
      <c r="D493">
        <v>1.74</v>
      </c>
      <c r="E493">
        <v>2.12</v>
      </c>
      <c r="F493" t="s">
        <v>8</v>
      </c>
    </row>
    <row r="494" spans="2:6" x14ac:dyDescent="0.25">
      <c r="B494" t="s">
        <v>231</v>
      </c>
      <c r="C494" t="s">
        <v>232</v>
      </c>
      <c r="D494">
        <v>1.77</v>
      </c>
      <c r="E494">
        <v>2.1</v>
      </c>
      <c r="F494" t="s">
        <v>8</v>
      </c>
    </row>
    <row r="495" spans="2:6" x14ac:dyDescent="0.25">
      <c r="B495" t="s">
        <v>231</v>
      </c>
      <c r="C495" t="s">
        <v>232</v>
      </c>
      <c r="D495">
        <v>1.74</v>
      </c>
      <c r="E495">
        <v>2.15</v>
      </c>
      <c r="F495" t="s">
        <v>8</v>
      </c>
    </row>
    <row r="496" spans="2:6" x14ac:dyDescent="0.25">
      <c r="B496" t="s">
        <v>231</v>
      </c>
      <c r="C496" t="s">
        <v>232</v>
      </c>
      <c r="D496">
        <v>1.77</v>
      </c>
      <c r="E496">
        <v>2.1</v>
      </c>
      <c r="F496" t="s">
        <v>8</v>
      </c>
    </row>
    <row r="497" spans="2:6" x14ac:dyDescent="0.25">
      <c r="B497" t="s">
        <v>231</v>
      </c>
      <c r="C497" t="s">
        <v>232</v>
      </c>
      <c r="D497">
        <v>1.77</v>
      </c>
      <c r="E497">
        <v>2.1</v>
      </c>
      <c r="F497" t="s">
        <v>8</v>
      </c>
    </row>
    <row r="498" spans="2:6" x14ac:dyDescent="0.25">
      <c r="B498" t="s">
        <v>231</v>
      </c>
      <c r="C498" t="s">
        <v>232</v>
      </c>
      <c r="D498">
        <v>1.77</v>
      </c>
      <c r="E498">
        <v>2.1</v>
      </c>
      <c r="F498" t="s">
        <v>8</v>
      </c>
    </row>
    <row r="499" spans="2:6" x14ac:dyDescent="0.25">
      <c r="B499" t="s">
        <v>287</v>
      </c>
      <c r="C499" t="s">
        <v>232</v>
      </c>
      <c r="D499">
        <v>1.85</v>
      </c>
      <c r="E499">
        <v>1.98</v>
      </c>
      <c r="F499" t="s">
        <v>8</v>
      </c>
    </row>
    <row r="500" spans="2:6" x14ac:dyDescent="0.25">
      <c r="B500" t="s">
        <v>287</v>
      </c>
      <c r="C500" t="s">
        <v>232</v>
      </c>
      <c r="D500">
        <v>1.87</v>
      </c>
      <c r="E500">
        <v>1.96</v>
      </c>
      <c r="F500" t="s">
        <v>8</v>
      </c>
    </row>
    <row r="501" spans="2:6" x14ac:dyDescent="0.25">
      <c r="B501" t="s">
        <v>287</v>
      </c>
      <c r="C501" t="s">
        <v>232</v>
      </c>
      <c r="D501">
        <v>1.91</v>
      </c>
      <c r="E501">
        <v>1.91</v>
      </c>
      <c r="F501" t="s">
        <v>8</v>
      </c>
    </row>
    <row r="502" spans="2:6" x14ac:dyDescent="0.25">
      <c r="B502" t="s">
        <v>287</v>
      </c>
      <c r="C502" t="s">
        <v>232</v>
      </c>
      <c r="D502">
        <v>1.85</v>
      </c>
      <c r="E502">
        <v>1.97</v>
      </c>
      <c r="F502" t="s">
        <v>8</v>
      </c>
    </row>
    <row r="503" spans="2:6" x14ac:dyDescent="0.25">
      <c r="B503" t="s">
        <v>287</v>
      </c>
      <c r="C503" t="s">
        <v>232</v>
      </c>
      <c r="D503">
        <v>1.83</v>
      </c>
      <c r="E503">
        <v>2</v>
      </c>
      <c r="F503" t="s">
        <v>8</v>
      </c>
    </row>
    <row r="504" spans="2:6" x14ac:dyDescent="0.25">
      <c r="B504" t="s">
        <v>287</v>
      </c>
      <c r="C504" t="s">
        <v>232</v>
      </c>
      <c r="D504">
        <v>1.87</v>
      </c>
      <c r="E504">
        <v>1.95</v>
      </c>
      <c r="F504" t="s">
        <v>8</v>
      </c>
    </row>
    <row r="505" spans="2:6" x14ac:dyDescent="0.25">
      <c r="B505" t="s">
        <v>287</v>
      </c>
      <c r="C505" t="s">
        <v>232</v>
      </c>
      <c r="D505">
        <v>1.83</v>
      </c>
      <c r="E505">
        <v>2</v>
      </c>
      <c r="F505" t="s">
        <v>8</v>
      </c>
    </row>
    <row r="506" spans="2:6" x14ac:dyDescent="0.25">
      <c r="B506" t="s">
        <v>287</v>
      </c>
      <c r="C506" t="s">
        <v>232</v>
      </c>
      <c r="D506">
        <v>1.85</v>
      </c>
      <c r="E506">
        <v>1.97</v>
      </c>
      <c r="F506" t="s">
        <v>8</v>
      </c>
    </row>
    <row r="507" spans="2:6" x14ac:dyDescent="0.25">
      <c r="B507" t="s">
        <v>287</v>
      </c>
      <c r="C507" t="s">
        <v>232</v>
      </c>
      <c r="D507">
        <v>1.87</v>
      </c>
      <c r="E507">
        <v>1.95</v>
      </c>
      <c r="F507" t="s">
        <v>8</v>
      </c>
    </row>
    <row r="508" spans="2:6" x14ac:dyDescent="0.25">
      <c r="B508" t="s">
        <v>287</v>
      </c>
      <c r="C508" t="s">
        <v>232</v>
      </c>
      <c r="D508">
        <v>1.87</v>
      </c>
      <c r="E508">
        <v>1.95</v>
      </c>
      <c r="F508" t="s">
        <v>8</v>
      </c>
    </row>
    <row r="509" spans="2:6" x14ac:dyDescent="0.25">
      <c r="B509" t="s">
        <v>234</v>
      </c>
      <c r="C509" t="s">
        <v>232</v>
      </c>
      <c r="D509">
        <v>3.35</v>
      </c>
      <c r="E509">
        <v>1.34</v>
      </c>
      <c r="F509" t="s">
        <v>8</v>
      </c>
    </row>
    <row r="510" spans="2:6" x14ac:dyDescent="0.25">
      <c r="B510" t="s">
        <v>234</v>
      </c>
      <c r="C510" t="s">
        <v>232</v>
      </c>
      <c r="D510">
        <v>3.55</v>
      </c>
      <c r="E510">
        <v>1.32</v>
      </c>
      <c r="F510" t="s">
        <v>8</v>
      </c>
    </row>
    <row r="511" spans="2:6" x14ac:dyDescent="0.25">
      <c r="B511" t="s">
        <v>234</v>
      </c>
      <c r="C511" t="s">
        <v>232</v>
      </c>
      <c r="D511">
        <v>3.4</v>
      </c>
      <c r="E511">
        <v>1.32</v>
      </c>
      <c r="F511" t="s">
        <v>8</v>
      </c>
    </row>
    <row r="512" spans="2:6" x14ac:dyDescent="0.25">
      <c r="B512" t="s">
        <v>234</v>
      </c>
      <c r="C512" t="s">
        <v>232</v>
      </c>
      <c r="D512">
        <v>3.4</v>
      </c>
      <c r="E512">
        <v>1.33</v>
      </c>
      <c r="F512" t="s">
        <v>8</v>
      </c>
    </row>
    <row r="513" spans="2:6" x14ac:dyDescent="0.25">
      <c r="B513" t="s">
        <v>234</v>
      </c>
      <c r="C513" t="s">
        <v>232</v>
      </c>
      <c r="D513">
        <v>3.4</v>
      </c>
      <c r="E513">
        <v>1.33</v>
      </c>
      <c r="F513" t="s">
        <v>8</v>
      </c>
    </row>
    <row r="514" spans="2:6" x14ac:dyDescent="0.25">
      <c r="B514" t="s">
        <v>234</v>
      </c>
      <c r="C514" t="s">
        <v>232</v>
      </c>
      <c r="D514">
        <v>3.4</v>
      </c>
      <c r="E514">
        <v>1.33</v>
      </c>
      <c r="F514" t="s">
        <v>8</v>
      </c>
    </row>
    <row r="515" spans="2:6" x14ac:dyDescent="0.25">
      <c r="B515" t="s">
        <v>234</v>
      </c>
      <c r="C515" t="s">
        <v>232</v>
      </c>
      <c r="D515">
        <v>3.65</v>
      </c>
      <c r="E515">
        <v>1.3</v>
      </c>
      <c r="F515" t="s">
        <v>8</v>
      </c>
    </row>
    <row r="516" spans="2:6" x14ac:dyDescent="0.25">
      <c r="B516" t="s">
        <v>234</v>
      </c>
      <c r="C516" t="s">
        <v>232</v>
      </c>
      <c r="D516">
        <v>3.4</v>
      </c>
      <c r="E516">
        <v>1.32</v>
      </c>
      <c r="F516" t="s">
        <v>8</v>
      </c>
    </row>
    <row r="517" spans="2:6" x14ac:dyDescent="0.25">
      <c r="B517" t="s">
        <v>234</v>
      </c>
      <c r="C517" t="s">
        <v>232</v>
      </c>
      <c r="D517">
        <v>3.3</v>
      </c>
      <c r="E517">
        <v>1.36</v>
      </c>
      <c r="F517" t="s">
        <v>8</v>
      </c>
    </row>
    <row r="518" spans="2:6" x14ac:dyDescent="0.25">
      <c r="B518" t="s">
        <v>234</v>
      </c>
      <c r="C518" t="s">
        <v>232</v>
      </c>
      <c r="D518">
        <v>3.4</v>
      </c>
      <c r="E518">
        <v>1.33</v>
      </c>
      <c r="F518" t="s">
        <v>8</v>
      </c>
    </row>
    <row r="519" spans="2:6" x14ac:dyDescent="0.25">
      <c r="B519" t="s">
        <v>234</v>
      </c>
      <c r="C519" t="s">
        <v>232</v>
      </c>
      <c r="D519">
        <v>3.5</v>
      </c>
      <c r="E519">
        <v>1.33</v>
      </c>
      <c r="F519" t="s">
        <v>8</v>
      </c>
    </row>
    <row r="520" spans="2:6" x14ac:dyDescent="0.25">
      <c r="B520" t="s">
        <v>234</v>
      </c>
      <c r="C520" t="s">
        <v>232</v>
      </c>
      <c r="D520">
        <v>3.3</v>
      </c>
      <c r="E520">
        <v>1.36</v>
      </c>
      <c r="F520" t="s">
        <v>8</v>
      </c>
    </row>
    <row r="521" spans="2:6" x14ac:dyDescent="0.25">
      <c r="B521" t="s">
        <v>234</v>
      </c>
      <c r="C521" t="s">
        <v>232</v>
      </c>
      <c r="D521">
        <v>3.5</v>
      </c>
      <c r="E521">
        <v>1.33</v>
      </c>
      <c r="F521" t="s">
        <v>8</v>
      </c>
    </row>
    <row r="522" spans="2:6" x14ac:dyDescent="0.25">
      <c r="B522" t="s">
        <v>295</v>
      </c>
      <c r="C522" t="s">
        <v>236</v>
      </c>
      <c r="D522">
        <v>5.0999999999999996</v>
      </c>
      <c r="E522">
        <v>1.18</v>
      </c>
      <c r="F522" t="s">
        <v>8</v>
      </c>
    </row>
    <row r="523" spans="2:6" x14ac:dyDescent="0.25">
      <c r="B523" t="s">
        <v>295</v>
      </c>
      <c r="C523" t="s">
        <v>236</v>
      </c>
      <c r="D523">
        <v>4.9000000000000004</v>
      </c>
      <c r="E523">
        <v>1.18</v>
      </c>
      <c r="F523" t="s">
        <v>8</v>
      </c>
    </row>
    <row r="524" spans="2:6" x14ac:dyDescent="0.25">
      <c r="B524" t="s">
        <v>295</v>
      </c>
      <c r="C524" t="s">
        <v>236</v>
      </c>
      <c r="D524">
        <v>5.2</v>
      </c>
      <c r="E524">
        <v>1.17</v>
      </c>
      <c r="F524" t="s">
        <v>8</v>
      </c>
    </row>
    <row r="525" spans="2:6" x14ac:dyDescent="0.25">
      <c r="B525" t="s">
        <v>295</v>
      </c>
      <c r="C525" t="s">
        <v>236</v>
      </c>
      <c r="D525">
        <v>5</v>
      </c>
      <c r="E525">
        <v>1.18</v>
      </c>
      <c r="F525" t="s">
        <v>8</v>
      </c>
    </row>
    <row r="526" spans="2:6" x14ac:dyDescent="0.25">
      <c r="B526" t="s">
        <v>295</v>
      </c>
      <c r="C526" t="s">
        <v>236</v>
      </c>
      <c r="D526">
        <v>5</v>
      </c>
      <c r="E526">
        <v>1.18</v>
      </c>
      <c r="F526" t="s">
        <v>8</v>
      </c>
    </row>
    <row r="527" spans="2:6" x14ac:dyDescent="0.25">
      <c r="B527" t="s">
        <v>295</v>
      </c>
      <c r="C527" t="s">
        <v>236</v>
      </c>
      <c r="D527">
        <v>4.8499999999999996</v>
      </c>
      <c r="E527">
        <v>1.19</v>
      </c>
      <c r="F527" t="s">
        <v>8</v>
      </c>
    </row>
    <row r="528" spans="2:6" x14ac:dyDescent="0.25">
      <c r="B528" t="s">
        <v>295</v>
      </c>
      <c r="C528" t="s">
        <v>236</v>
      </c>
      <c r="D528">
        <v>5.0999999999999996</v>
      </c>
      <c r="E528">
        <v>1.18</v>
      </c>
      <c r="F528" t="s">
        <v>8</v>
      </c>
    </row>
    <row r="529" spans="2:6" x14ac:dyDescent="0.25">
      <c r="B529" t="s">
        <v>295</v>
      </c>
      <c r="C529" t="s">
        <v>236</v>
      </c>
      <c r="D529">
        <v>5.2</v>
      </c>
      <c r="E529">
        <v>1.17</v>
      </c>
      <c r="F529" t="s">
        <v>8</v>
      </c>
    </row>
    <row r="530" spans="2:6" x14ac:dyDescent="0.25">
      <c r="B530" t="s">
        <v>295</v>
      </c>
      <c r="C530" t="s">
        <v>236</v>
      </c>
      <c r="D530">
        <v>5.15</v>
      </c>
      <c r="E530">
        <v>1.19</v>
      </c>
      <c r="F530" t="s">
        <v>8</v>
      </c>
    </row>
    <row r="531" spans="2:6" x14ac:dyDescent="0.25">
      <c r="B531" t="s">
        <v>295</v>
      </c>
      <c r="C531" t="s">
        <v>236</v>
      </c>
      <c r="D531">
        <v>5</v>
      </c>
      <c r="E531">
        <v>1.18</v>
      </c>
      <c r="F531" t="s">
        <v>8</v>
      </c>
    </row>
    <row r="532" spans="2:6" x14ac:dyDescent="0.25">
      <c r="B532" t="s">
        <v>295</v>
      </c>
      <c r="C532" t="s">
        <v>236</v>
      </c>
      <c r="D532">
        <v>5.05</v>
      </c>
      <c r="E532">
        <v>1.19</v>
      </c>
      <c r="F532" t="s">
        <v>8</v>
      </c>
    </row>
    <row r="533" spans="2:6" x14ac:dyDescent="0.25">
      <c r="B533" t="s">
        <v>295</v>
      </c>
      <c r="C533" t="s">
        <v>236</v>
      </c>
      <c r="D533">
        <v>5.15</v>
      </c>
      <c r="E533">
        <v>1.19</v>
      </c>
      <c r="F533" t="s">
        <v>8</v>
      </c>
    </row>
    <row r="534" spans="2:6" x14ac:dyDescent="0.25">
      <c r="B534" t="s">
        <v>295</v>
      </c>
      <c r="C534" t="s">
        <v>236</v>
      </c>
      <c r="D534">
        <v>4.8</v>
      </c>
      <c r="E534">
        <v>1.2</v>
      </c>
      <c r="F534" t="s">
        <v>8</v>
      </c>
    </row>
    <row r="535" spans="2:6" x14ac:dyDescent="0.25">
      <c r="B535" t="s">
        <v>288</v>
      </c>
      <c r="C535" t="s">
        <v>238</v>
      </c>
      <c r="D535">
        <v>1.07</v>
      </c>
      <c r="E535">
        <v>9</v>
      </c>
      <c r="F535" t="s">
        <v>8</v>
      </c>
    </row>
    <row r="536" spans="2:6" x14ac:dyDescent="0.25">
      <c r="B536" t="s">
        <v>288</v>
      </c>
      <c r="C536" t="s">
        <v>238</v>
      </c>
      <c r="D536">
        <v>1.06</v>
      </c>
      <c r="E536">
        <v>9.6</v>
      </c>
      <c r="F536" t="s">
        <v>8</v>
      </c>
    </row>
    <row r="537" spans="2:6" x14ac:dyDescent="0.25">
      <c r="B537" t="s">
        <v>288</v>
      </c>
      <c r="C537" t="s">
        <v>238</v>
      </c>
      <c r="D537">
        <v>1.06</v>
      </c>
      <c r="E537">
        <v>9</v>
      </c>
      <c r="F537" t="s">
        <v>8</v>
      </c>
    </row>
    <row r="538" spans="2:6" x14ac:dyDescent="0.25">
      <c r="B538" t="s">
        <v>288</v>
      </c>
      <c r="C538" t="s">
        <v>238</v>
      </c>
      <c r="D538">
        <v>1.07</v>
      </c>
      <c r="E538">
        <v>8.5</v>
      </c>
      <c r="F538" t="s">
        <v>8</v>
      </c>
    </row>
    <row r="539" spans="2:6" x14ac:dyDescent="0.25">
      <c r="B539" t="s">
        <v>288</v>
      </c>
      <c r="C539" t="s">
        <v>238</v>
      </c>
      <c r="D539">
        <v>1.06</v>
      </c>
      <c r="E539">
        <v>10</v>
      </c>
      <c r="F539" t="s">
        <v>8</v>
      </c>
    </row>
    <row r="540" spans="2:6" x14ac:dyDescent="0.25">
      <c r="B540" t="s">
        <v>288</v>
      </c>
      <c r="C540" t="s">
        <v>238</v>
      </c>
      <c r="D540">
        <v>1.06</v>
      </c>
      <c r="E540">
        <v>9.5500000000000007</v>
      </c>
      <c r="F540" t="s">
        <v>8</v>
      </c>
    </row>
    <row r="541" spans="2:6" x14ac:dyDescent="0.25">
      <c r="B541" t="s">
        <v>288</v>
      </c>
      <c r="C541" t="s">
        <v>238</v>
      </c>
      <c r="D541">
        <v>1.07</v>
      </c>
      <c r="E541">
        <v>8.5</v>
      </c>
      <c r="F541" t="s">
        <v>8</v>
      </c>
    </row>
    <row r="542" spans="2:6" x14ac:dyDescent="0.25">
      <c r="B542" t="s">
        <v>288</v>
      </c>
      <c r="C542" t="s">
        <v>238</v>
      </c>
      <c r="D542">
        <v>1.06</v>
      </c>
      <c r="E542">
        <v>10.5</v>
      </c>
      <c r="F542" t="s">
        <v>8</v>
      </c>
    </row>
    <row r="543" spans="2:6" x14ac:dyDescent="0.25">
      <c r="B543" t="s">
        <v>288</v>
      </c>
      <c r="C543" t="s">
        <v>238</v>
      </c>
      <c r="D543">
        <v>1.06</v>
      </c>
      <c r="E543">
        <v>9.5</v>
      </c>
      <c r="F543" t="s">
        <v>8</v>
      </c>
    </row>
    <row r="544" spans="2:6" x14ac:dyDescent="0.25">
      <c r="B544" t="s">
        <v>288</v>
      </c>
      <c r="C544" t="s">
        <v>238</v>
      </c>
      <c r="D544">
        <v>1.06</v>
      </c>
      <c r="E544">
        <v>10</v>
      </c>
      <c r="F544" t="s">
        <v>8</v>
      </c>
    </row>
    <row r="545" spans="2:6" x14ac:dyDescent="0.25">
      <c r="B545" t="s">
        <v>288</v>
      </c>
      <c r="C545" t="s">
        <v>238</v>
      </c>
      <c r="D545">
        <v>1.06</v>
      </c>
      <c r="E545">
        <v>10.5</v>
      </c>
      <c r="F545" t="s">
        <v>8</v>
      </c>
    </row>
    <row r="546" spans="2:6" x14ac:dyDescent="0.25">
      <c r="B546" t="s">
        <v>288</v>
      </c>
      <c r="C546" t="s">
        <v>238</v>
      </c>
      <c r="D546">
        <v>1.06</v>
      </c>
      <c r="E546">
        <v>10</v>
      </c>
      <c r="F546" t="s">
        <v>8</v>
      </c>
    </row>
    <row r="547" spans="2:6" x14ac:dyDescent="0.25">
      <c r="B547" t="s">
        <v>288</v>
      </c>
      <c r="C547" t="s">
        <v>238</v>
      </c>
      <c r="D547">
        <v>1.05</v>
      </c>
      <c r="E547">
        <v>11</v>
      </c>
      <c r="F547" t="s">
        <v>8</v>
      </c>
    </row>
    <row r="548" spans="2:6" x14ac:dyDescent="0.25">
      <c r="B548" t="s">
        <v>275</v>
      </c>
      <c r="C548" t="s">
        <v>240</v>
      </c>
      <c r="D548">
        <v>1.23</v>
      </c>
      <c r="E548">
        <v>4.4000000000000004</v>
      </c>
      <c r="F548" t="s">
        <v>8</v>
      </c>
    </row>
    <row r="549" spans="2:6" x14ac:dyDescent="0.25">
      <c r="B549" t="s">
        <v>275</v>
      </c>
      <c r="C549" t="s">
        <v>240</v>
      </c>
      <c r="D549">
        <v>1.24</v>
      </c>
      <c r="E549">
        <v>4.3499999999999996</v>
      </c>
      <c r="F549" t="s">
        <v>8</v>
      </c>
    </row>
    <row r="550" spans="2:6" x14ac:dyDescent="0.25">
      <c r="B550" t="s">
        <v>275</v>
      </c>
      <c r="C550" t="s">
        <v>240</v>
      </c>
      <c r="D550">
        <v>1.22</v>
      </c>
      <c r="E550">
        <v>4.5</v>
      </c>
      <c r="F550" t="s">
        <v>8</v>
      </c>
    </row>
    <row r="551" spans="2:6" x14ac:dyDescent="0.25">
      <c r="B551" t="s">
        <v>275</v>
      </c>
      <c r="C551" t="s">
        <v>240</v>
      </c>
      <c r="D551">
        <v>1.22</v>
      </c>
      <c r="E551">
        <v>4.3499999999999996</v>
      </c>
      <c r="F551" t="s">
        <v>8</v>
      </c>
    </row>
    <row r="552" spans="2:6" x14ac:dyDescent="0.25">
      <c r="B552" t="s">
        <v>275</v>
      </c>
      <c r="C552" t="s">
        <v>240</v>
      </c>
      <c r="D552">
        <v>1.25</v>
      </c>
      <c r="E552">
        <v>4</v>
      </c>
      <c r="F552" t="s">
        <v>8</v>
      </c>
    </row>
    <row r="553" spans="2:6" x14ac:dyDescent="0.25">
      <c r="B553" t="s">
        <v>275</v>
      </c>
      <c r="C553" t="s">
        <v>240</v>
      </c>
      <c r="D553">
        <v>1.23</v>
      </c>
      <c r="E553">
        <v>4.25</v>
      </c>
      <c r="F553" t="s">
        <v>8</v>
      </c>
    </row>
    <row r="554" spans="2:6" x14ac:dyDescent="0.25">
      <c r="B554" t="s">
        <v>275</v>
      </c>
      <c r="C554" t="s">
        <v>240</v>
      </c>
      <c r="D554">
        <v>1.24</v>
      </c>
      <c r="E554">
        <v>4.2</v>
      </c>
      <c r="F554" t="s">
        <v>8</v>
      </c>
    </row>
    <row r="555" spans="2:6" x14ac:dyDescent="0.25">
      <c r="B555" t="s">
        <v>275</v>
      </c>
      <c r="C555" t="s">
        <v>240</v>
      </c>
      <c r="D555">
        <v>1.25</v>
      </c>
      <c r="E555">
        <v>4</v>
      </c>
      <c r="F555" t="s">
        <v>8</v>
      </c>
    </row>
    <row r="556" spans="2:6" x14ac:dyDescent="0.25">
      <c r="B556" t="s">
        <v>275</v>
      </c>
      <c r="C556" t="s">
        <v>240</v>
      </c>
      <c r="D556">
        <v>1.24</v>
      </c>
      <c r="E556">
        <v>4.25</v>
      </c>
      <c r="F556" t="s">
        <v>8</v>
      </c>
    </row>
    <row r="557" spans="2:6" x14ac:dyDescent="0.25">
      <c r="B557" t="s">
        <v>275</v>
      </c>
      <c r="C557" t="s">
        <v>240</v>
      </c>
      <c r="D557">
        <v>1.24</v>
      </c>
      <c r="E557">
        <v>4.3</v>
      </c>
      <c r="F557" t="s">
        <v>8</v>
      </c>
    </row>
    <row r="558" spans="2:6" x14ac:dyDescent="0.25">
      <c r="B558" t="s">
        <v>275</v>
      </c>
      <c r="C558" t="s">
        <v>240</v>
      </c>
      <c r="D558">
        <v>1.25</v>
      </c>
      <c r="E558">
        <v>4.2</v>
      </c>
      <c r="F558" t="s">
        <v>8</v>
      </c>
    </row>
    <row r="559" spans="2:6" x14ac:dyDescent="0.25">
      <c r="B559" t="s">
        <v>275</v>
      </c>
      <c r="C559" t="s">
        <v>240</v>
      </c>
      <c r="D559">
        <v>1.22</v>
      </c>
      <c r="E559">
        <v>4.4000000000000004</v>
      </c>
      <c r="F559" t="s">
        <v>8</v>
      </c>
    </row>
    <row r="560" spans="2:6" x14ac:dyDescent="0.25">
      <c r="B560" t="s">
        <v>301</v>
      </c>
      <c r="C560" t="s">
        <v>240</v>
      </c>
      <c r="D560">
        <v>1.19</v>
      </c>
      <c r="E560">
        <v>5</v>
      </c>
      <c r="F560" t="s">
        <v>8</v>
      </c>
    </row>
    <row r="561" spans="2:6" x14ac:dyDescent="0.25">
      <c r="B561" t="s">
        <v>301</v>
      </c>
      <c r="C561" t="s">
        <v>240</v>
      </c>
      <c r="D561">
        <v>1.2</v>
      </c>
      <c r="E561">
        <v>4.6500000000000004</v>
      </c>
      <c r="F561" t="s">
        <v>8</v>
      </c>
    </row>
    <row r="562" spans="2:6" x14ac:dyDescent="0.25">
      <c r="B562" t="s">
        <v>301</v>
      </c>
      <c r="C562" t="s">
        <v>240</v>
      </c>
      <c r="D562">
        <v>1.19</v>
      </c>
      <c r="E562">
        <v>4.75</v>
      </c>
      <c r="F562" t="s">
        <v>8</v>
      </c>
    </row>
    <row r="563" spans="2:6" x14ac:dyDescent="0.25">
      <c r="B563" t="s">
        <v>301</v>
      </c>
      <c r="C563" t="s">
        <v>240</v>
      </c>
      <c r="D563">
        <v>1.18</v>
      </c>
      <c r="E563">
        <v>5</v>
      </c>
      <c r="F563" t="s">
        <v>8</v>
      </c>
    </row>
    <row r="564" spans="2:6" x14ac:dyDescent="0.25">
      <c r="B564" t="s">
        <v>301</v>
      </c>
      <c r="C564" t="s">
        <v>240</v>
      </c>
      <c r="D564">
        <v>1.18</v>
      </c>
      <c r="E564">
        <v>5</v>
      </c>
      <c r="F564" t="s">
        <v>8</v>
      </c>
    </row>
    <row r="565" spans="2:6" x14ac:dyDescent="0.25">
      <c r="B565" t="s">
        <v>301</v>
      </c>
      <c r="C565" t="s">
        <v>240</v>
      </c>
      <c r="D565">
        <v>1.19</v>
      </c>
      <c r="E565">
        <v>4.8499999999999996</v>
      </c>
      <c r="F565" t="s">
        <v>8</v>
      </c>
    </row>
    <row r="566" spans="2:6" x14ac:dyDescent="0.25">
      <c r="B566" t="s">
        <v>301</v>
      </c>
      <c r="C566" t="s">
        <v>240</v>
      </c>
      <c r="D566">
        <v>1.18</v>
      </c>
      <c r="E566">
        <v>5</v>
      </c>
      <c r="F566" t="s">
        <v>8</v>
      </c>
    </row>
    <row r="567" spans="2:6" x14ac:dyDescent="0.25">
      <c r="B567" t="s">
        <v>301</v>
      </c>
      <c r="C567" t="s">
        <v>240</v>
      </c>
      <c r="D567">
        <v>1.21</v>
      </c>
      <c r="E567">
        <v>4.8499999999999996</v>
      </c>
      <c r="F567" t="s">
        <v>8</v>
      </c>
    </row>
    <row r="568" spans="2:6" x14ac:dyDescent="0.25">
      <c r="B568" t="s">
        <v>301</v>
      </c>
      <c r="C568" t="s">
        <v>240</v>
      </c>
      <c r="D568">
        <v>1.2</v>
      </c>
      <c r="E568">
        <v>4.75</v>
      </c>
      <c r="F568" t="s">
        <v>8</v>
      </c>
    </row>
    <row r="569" spans="2:6" x14ac:dyDescent="0.25">
      <c r="B569" t="s">
        <v>301</v>
      </c>
      <c r="C569" t="s">
        <v>240</v>
      </c>
      <c r="D569">
        <v>1.23</v>
      </c>
      <c r="E569">
        <v>4.4000000000000004</v>
      </c>
      <c r="F569" t="s">
        <v>8</v>
      </c>
    </row>
    <row r="570" spans="2:6" x14ac:dyDescent="0.25">
      <c r="B570" t="s">
        <v>301</v>
      </c>
      <c r="C570" t="s">
        <v>240</v>
      </c>
      <c r="D570">
        <v>1.21</v>
      </c>
      <c r="E570">
        <v>4.8499999999999996</v>
      </c>
      <c r="F570" t="s">
        <v>8</v>
      </c>
    </row>
    <row r="571" spans="2:6" x14ac:dyDescent="0.25">
      <c r="B571" t="s">
        <v>301</v>
      </c>
      <c r="C571" t="s">
        <v>240</v>
      </c>
      <c r="D571">
        <v>1.2</v>
      </c>
      <c r="E571">
        <v>4.75</v>
      </c>
      <c r="F571" t="s">
        <v>8</v>
      </c>
    </row>
    <row r="572" spans="2:6" x14ac:dyDescent="0.25">
      <c r="B572" t="s">
        <v>301</v>
      </c>
      <c r="C572" t="s">
        <v>240</v>
      </c>
      <c r="D572">
        <v>1.18</v>
      </c>
      <c r="E572">
        <v>5</v>
      </c>
      <c r="F572" t="s">
        <v>8</v>
      </c>
    </row>
    <row r="573" spans="2:6" x14ac:dyDescent="0.25">
      <c r="B573" t="s">
        <v>242</v>
      </c>
      <c r="C573" t="s">
        <v>240</v>
      </c>
      <c r="D573">
        <v>2.14</v>
      </c>
      <c r="E573">
        <v>1.74</v>
      </c>
      <c r="F573" t="s">
        <v>8</v>
      </c>
    </row>
    <row r="574" spans="2:6" x14ac:dyDescent="0.25">
      <c r="B574" t="s">
        <v>242</v>
      </c>
      <c r="C574" t="s">
        <v>240</v>
      </c>
      <c r="D574">
        <v>2.08</v>
      </c>
      <c r="E574">
        <v>1.77</v>
      </c>
      <c r="F574" t="s">
        <v>8</v>
      </c>
    </row>
    <row r="575" spans="2:6" x14ac:dyDescent="0.25">
      <c r="B575" t="s">
        <v>242</v>
      </c>
      <c r="C575" t="s">
        <v>240</v>
      </c>
      <c r="D575">
        <v>2.15</v>
      </c>
      <c r="E575">
        <v>1.74</v>
      </c>
      <c r="F575" t="s">
        <v>8</v>
      </c>
    </row>
    <row r="576" spans="2:6" x14ac:dyDescent="0.25">
      <c r="B576" t="s">
        <v>242</v>
      </c>
      <c r="C576" t="s">
        <v>240</v>
      </c>
      <c r="D576">
        <v>2.14</v>
      </c>
      <c r="E576">
        <v>1.73</v>
      </c>
      <c r="F576" t="s">
        <v>8</v>
      </c>
    </row>
    <row r="577" spans="2:6" x14ac:dyDescent="0.25">
      <c r="B577" t="s">
        <v>242</v>
      </c>
      <c r="C577" t="s">
        <v>240</v>
      </c>
      <c r="D577">
        <v>2.15</v>
      </c>
      <c r="E577">
        <v>1.74</v>
      </c>
      <c r="F577" t="s">
        <v>8</v>
      </c>
    </row>
    <row r="578" spans="2:6" x14ac:dyDescent="0.25">
      <c r="B578" t="s">
        <v>242</v>
      </c>
      <c r="C578" t="s">
        <v>240</v>
      </c>
      <c r="D578">
        <v>2.15</v>
      </c>
      <c r="E578">
        <v>1.74</v>
      </c>
      <c r="F578" t="s">
        <v>8</v>
      </c>
    </row>
    <row r="579" spans="2:6" x14ac:dyDescent="0.25">
      <c r="B579" t="s">
        <v>242</v>
      </c>
      <c r="C579" t="s">
        <v>240</v>
      </c>
      <c r="D579">
        <v>2.14</v>
      </c>
      <c r="E579">
        <v>1.73</v>
      </c>
      <c r="F579" t="s">
        <v>8</v>
      </c>
    </row>
    <row r="580" spans="2:6" x14ac:dyDescent="0.25">
      <c r="B580" t="s">
        <v>242</v>
      </c>
      <c r="C580" t="s">
        <v>240</v>
      </c>
      <c r="D580">
        <v>2.15</v>
      </c>
      <c r="E580">
        <v>1.74</v>
      </c>
      <c r="F580" t="s">
        <v>8</v>
      </c>
    </row>
    <row r="581" spans="2:6" x14ac:dyDescent="0.25">
      <c r="B581" t="s">
        <v>242</v>
      </c>
      <c r="C581" t="s">
        <v>240</v>
      </c>
      <c r="D581">
        <v>2.15</v>
      </c>
      <c r="E581">
        <v>1.74</v>
      </c>
      <c r="F581" t="s">
        <v>8</v>
      </c>
    </row>
    <row r="582" spans="2:6" x14ac:dyDescent="0.25">
      <c r="B582" t="s">
        <v>242</v>
      </c>
      <c r="C582" t="s">
        <v>240</v>
      </c>
      <c r="D582">
        <v>2.15</v>
      </c>
      <c r="E582">
        <v>1.74</v>
      </c>
      <c r="F582" t="s">
        <v>8</v>
      </c>
    </row>
    <row r="583" spans="2:6" x14ac:dyDescent="0.25">
      <c r="B583" t="s">
        <v>242</v>
      </c>
      <c r="C583" t="s">
        <v>240</v>
      </c>
      <c r="D583">
        <v>2.15</v>
      </c>
      <c r="E583">
        <v>1.74</v>
      </c>
      <c r="F583" t="s">
        <v>8</v>
      </c>
    </row>
    <row r="584" spans="2:6" x14ac:dyDescent="0.25">
      <c r="B584" t="s">
        <v>242</v>
      </c>
      <c r="C584" t="s">
        <v>240</v>
      </c>
      <c r="D584">
        <v>2.15</v>
      </c>
      <c r="E584">
        <v>1.74</v>
      </c>
      <c r="F584" t="s">
        <v>8</v>
      </c>
    </row>
    <row r="585" spans="2:6" x14ac:dyDescent="0.25">
      <c r="B585" t="s">
        <v>242</v>
      </c>
      <c r="C585" t="s">
        <v>240</v>
      </c>
      <c r="D585">
        <v>2.15</v>
      </c>
      <c r="E585">
        <v>1.71</v>
      </c>
      <c r="F585" t="s">
        <v>8</v>
      </c>
    </row>
    <row r="586" spans="2:6" x14ac:dyDescent="0.25">
      <c r="B586" t="s">
        <v>289</v>
      </c>
      <c r="C586" t="s">
        <v>240</v>
      </c>
      <c r="D586">
        <v>1.6</v>
      </c>
      <c r="E586">
        <v>2.4</v>
      </c>
      <c r="F586" t="s">
        <v>8</v>
      </c>
    </row>
    <row r="587" spans="2:6" x14ac:dyDescent="0.25">
      <c r="B587" t="s">
        <v>289</v>
      </c>
      <c r="C587" t="s">
        <v>240</v>
      </c>
      <c r="D587">
        <v>1.57</v>
      </c>
      <c r="E587">
        <v>2.5</v>
      </c>
      <c r="F587" t="s">
        <v>8</v>
      </c>
    </row>
    <row r="588" spans="2:6" x14ac:dyDescent="0.25">
      <c r="B588" t="s">
        <v>289</v>
      </c>
      <c r="C588" t="s">
        <v>240</v>
      </c>
      <c r="D588">
        <v>1.55</v>
      </c>
      <c r="E588">
        <v>2.5</v>
      </c>
      <c r="F588" t="s">
        <v>8</v>
      </c>
    </row>
    <row r="589" spans="2:6" x14ac:dyDescent="0.25">
      <c r="B589" t="s">
        <v>289</v>
      </c>
      <c r="C589" t="s">
        <v>240</v>
      </c>
      <c r="D589">
        <v>1.56</v>
      </c>
      <c r="E589">
        <v>2.5</v>
      </c>
      <c r="F589" t="s">
        <v>8</v>
      </c>
    </row>
    <row r="590" spans="2:6" x14ac:dyDescent="0.25">
      <c r="B590" t="s">
        <v>289</v>
      </c>
      <c r="C590" t="s">
        <v>240</v>
      </c>
      <c r="D590">
        <v>1.62</v>
      </c>
      <c r="E590">
        <v>2.35</v>
      </c>
      <c r="F590" t="s">
        <v>8</v>
      </c>
    </row>
    <row r="591" spans="2:6" x14ac:dyDescent="0.25">
      <c r="B591" t="s">
        <v>289</v>
      </c>
      <c r="C591" t="s">
        <v>240</v>
      </c>
      <c r="D591">
        <v>1.56</v>
      </c>
      <c r="E591">
        <v>2.46</v>
      </c>
      <c r="F591" t="s">
        <v>8</v>
      </c>
    </row>
    <row r="592" spans="2:6" x14ac:dyDescent="0.25">
      <c r="B592" t="s">
        <v>289</v>
      </c>
      <c r="C592" t="s">
        <v>240</v>
      </c>
      <c r="D592">
        <v>1.54</v>
      </c>
      <c r="E592">
        <v>2.5499999999999998</v>
      </c>
      <c r="F592" t="s">
        <v>8</v>
      </c>
    </row>
    <row r="593" spans="2:6" x14ac:dyDescent="0.25">
      <c r="B593" t="s">
        <v>289</v>
      </c>
      <c r="C593" t="s">
        <v>240</v>
      </c>
      <c r="D593">
        <v>1.55</v>
      </c>
      <c r="E593">
        <v>2.5</v>
      </c>
      <c r="F593" t="s">
        <v>8</v>
      </c>
    </row>
    <row r="594" spans="2:6" x14ac:dyDescent="0.25">
      <c r="B594" t="s">
        <v>289</v>
      </c>
      <c r="C594" t="s">
        <v>240</v>
      </c>
      <c r="D594">
        <v>1.59</v>
      </c>
      <c r="E594">
        <v>2.5</v>
      </c>
      <c r="F594" t="s">
        <v>8</v>
      </c>
    </row>
    <row r="595" spans="2:6" x14ac:dyDescent="0.25">
      <c r="B595" t="s">
        <v>289</v>
      </c>
      <c r="C595" t="s">
        <v>240</v>
      </c>
      <c r="D595">
        <v>1.56</v>
      </c>
      <c r="E595">
        <v>2.5</v>
      </c>
      <c r="F595" t="s">
        <v>8</v>
      </c>
    </row>
    <row r="596" spans="2:6" x14ac:dyDescent="0.25">
      <c r="B596" t="s">
        <v>289</v>
      </c>
      <c r="C596" t="s">
        <v>240</v>
      </c>
      <c r="D596">
        <v>1.59</v>
      </c>
      <c r="E596">
        <v>2.48</v>
      </c>
      <c r="F596" t="s">
        <v>8</v>
      </c>
    </row>
    <row r="597" spans="2:6" x14ac:dyDescent="0.25">
      <c r="B597" t="s">
        <v>289</v>
      </c>
      <c r="C597" t="s">
        <v>240</v>
      </c>
      <c r="D597">
        <v>1.59</v>
      </c>
      <c r="E597">
        <v>2.5</v>
      </c>
      <c r="F597" t="s">
        <v>8</v>
      </c>
    </row>
    <row r="598" spans="2:6" x14ac:dyDescent="0.25">
      <c r="B598" t="s">
        <v>289</v>
      </c>
      <c r="C598" t="s">
        <v>240</v>
      </c>
      <c r="D598">
        <v>1.59</v>
      </c>
      <c r="E598">
        <v>2.4500000000000002</v>
      </c>
      <c r="F598" t="s">
        <v>8</v>
      </c>
    </row>
    <row r="599" spans="2:6" x14ac:dyDescent="0.25">
      <c r="B599" t="s">
        <v>244</v>
      </c>
      <c r="C599" t="s">
        <v>240</v>
      </c>
      <c r="D599">
        <v>1.8</v>
      </c>
      <c r="E599">
        <v>2.0499999999999998</v>
      </c>
      <c r="F599" t="s">
        <v>8</v>
      </c>
    </row>
    <row r="600" spans="2:6" x14ac:dyDescent="0.25">
      <c r="B600" t="s">
        <v>244</v>
      </c>
      <c r="C600" t="s">
        <v>240</v>
      </c>
      <c r="D600">
        <v>1.8</v>
      </c>
      <c r="E600">
        <v>2.0499999999999998</v>
      </c>
      <c r="F600" t="s">
        <v>8</v>
      </c>
    </row>
    <row r="601" spans="2:6" x14ac:dyDescent="0.25">
      <c r="B601" t="s">
        <v>244</v>
      </c>
      <c r="C601" t="s">
        <v>240</v>
      </c>
      <c r="D601">
        <v>1.72</v>
      </c>
      <c r="E601">
        <v>2.12</v>
      </c>
      <c r="F601" t="s">
        <v>8</v>
      </c>
    </row>
    <row r="602" spans="2:6" x14ac:dyDescent="0.25">
      <c r="B602" t="s">
        <v>244</v>
      </c>
      <c r="C602" t="s">
        <v>240</v>
      </c>
      <c r="D602">
        <v>1.74</v>
      </c>
      <c r="E602">
        <v>2.15</v>
      </c>
      <c r="F602" t="s">
        <v>8</v>
      </c>
    </row>
    <row r="603" spans="2:6" x14ac:dyDescent="0.25">
      <c r="B603" t="s">
        <v>244</v>
      </c>
      <c r="C603" t="s">
        <v>240</v>
      </c>
      <c r="D603">
        <v>1.74</v>
      </c>
      <c r="E603">
        <v>2.15</v>
      </c>
      <c r="F603" t="s">
        <v>8</v>
      </c>
    </row>
    <row r="604" spans="2:6" x14ac:dyDescent="0.25">
      <c r="B604" t="s">
        <v>244</v>
      </c>
      <c r="C604" t="s">
        <v>240</v>
      </c>
      <c r="D604">
        <v>1.75</v>
      </c>
      <c r="E604">
        <v>2.12</v>
      </c>
      <c r="F604" t="s">
        <v>8</v>
      </c>
    </row>
    <row r="605" spans="2:6" x14ac:dyDescent="0.25">
      <c r="B605" t="s">
        <v>244</v>
      </c>
      <c r="C605" t="s">
        <v>240</v>
      </c>
      <c r="D605">
        <v>1.72</v>
      </c>
      <c r="E605">
        <v>2.12</v>
      </c>
      <c r="F605" t="s">
        <v>8</v>
      </c>
    </row>
    <row r="606" spans="2:6" x14ac:dyDescent="0.25">
      <c r="B606" t="s">
        <v>244</v>
      </c>
      <c r="C606" t="s">
        <v>240</v>
      </c>
      <c r="D606">
        <v>1.77</v>
      </c>
      <c r="E606">
        <v>2.1</v>
      </c>
      <c r="F606" t="s">
        <v>8</v>
      </c>
    </row>
    <row r="607" spans="2:6" x14ac:dyDescent="0.25">
      <c r="B607" t="s">
        <v>244</v>
      </c>
      <c r="C607" t="s">
        <v>240</v>
      </c>
      <c r="D607">
        <v>1.74</v>
      </c>
      <c r="E607">
        <v>2.15</v>
      </c>
      <c r="F607" t="s">
        <v>8</v>
      </c>
    </row>
    <row r="608" spans="2:6" x14ac:dyDescent="0.25">
      <c r="B608" t="s">
        <v>244</v>
      </c>
      <c r="C608" t="s">
        <v>240</v>
      </c>
      <c r="D608">
        <v>1.77</v>
      </c>
      <c r="E608">
        <v>2.1</v>
      </c>
      <c r="F608" t="s">
        <v>8</v>
      </c>
    </row>
    <row r="609" spans="2:6" x14ac:dyDescent="0.25">
      <c r="B609" t="s">
        <v>244</v>
      </c>
      <c r="C609" t="s">
        <v>240</v>
      </c>
      <c r="D609">
        <v>1.77</v>
      </c>
      <c r="E609">
        <v>2.1</v>
      </c>
      <c r="F609" t="s">
        <v>8</v>
      </c>
    </row>
    <row r="610" spans="2:6" x14ac:dyDescent="0.25">
      <c r="B610" t="s">
        <v>244</v>
      </c>
      <c r="C610" t="s">
        <v>240</v>
      </c>
      <c r="D610">
        <v>1.77</v>
      </c>
      <c r="E610">
        <v>2.1</v>
      </c>
      <c r="F610" t="s">
        <v>8</v>
      </c>
    </row>
    <row r="611" spans="2:6" x14ac:dyDescent="0.25">
      <c r="B611" t="s">
        <v>244</v>
      </c>
      <c r="C611" t="s">
        <v>240</v>
      </c>
      <c r="D611">
        <v>1.71</v>
      </c>
      <c r="E611">
        <v>2.15</v>
      </c>
      <c r="F611" t="s">
        <v>8</v>
      </c>
    </row>
    <row r="612" spans="2:6" x14ac:dyDescent="0.25">
      <c r="B612" t="s">
        <v>120</v>
      </c>
      <c r="C612" t="s">
        <v>245</v>
      </c>
      <c r="D612">
        <v>6.25</v>
      </c>
      <c r="E612">
        <v>1.1299999999999999</v>
      </c>
      <c r="F612" t="s">
        <v>8</v>
      </c>
    </row>
    <row r="613" spans="2:6" x14ac:dyDescent="0.25">
      <c r="B613" t="s">
        <v>120</v>
      </c>
      <c r="C613" t="s">
        <v>245</v>
      </c>
      <c r="D613">
        <v>5.4</v>
      </c>
      <c r="E613">
        <v>1.1599999999999999</v>
      </c>
      <c r="F613" t="s">
        <v>8</v>
      </c>
    </row>
    <row r="614" spans="2:6" x14ac:dyDescent="0.25">
      <c r="B614" t="s">
        <v>120</v>
      </c>
      <c r="C614" t="s">
        <v>245</v>
      </c>
      <c r="D614">
        <v>5.4</v>
      </c>
      <c r="E614">
        <v>1.1599999999999999</v>
      </c>
      <c r="F614" t="s">
        <v>8</v>
      </c>
    </row>
    <row r="615" spans="2:6" x14ac:dyDescent="0.25">
      <c r="B615" t="s">
        <v>120</v>
      </c>
      <c r="C615" t="s">
        <v>245</v>
      </c>
      <c r="D615">
        <v>6.2</v>
      </c>
      <c r="E615">
        <v>1.1299999999999999</v>
      </c>
      <c r="F615" t="s">
        <v>8</v>
      </c>
    </row>
    <row r="616" spans="2:6" x14ac:dyDescent="0.25">
      <c r="B616" t="s">
        <v>120</v>
      </c>
      <c r="C616" t="s">
        <v>245</v>
      </c>
      <c r="D616">
        <v>5.5</v>
      </c>
      <c r="E616">
        <v>1.1499999999999999</v>
      </c>
      <c r="F616" t="s">
        <v>8</v>
      </c>
    </row>
    <row r="617" spans="2:6" x14ac:dyDescent="0.25">
      <c r="B617" t="s">
        <v>120</v>
      </c>
      <c r="C617" t="s">
        <v>245</v>
      </c>
      <c r="D617">
        <v>5.3</v>
      </c>
      <c r="E617">
        <v>1.17</v>
      </c>
      <c r="F617" t="s">
        <v>8</v>
      </c>
    </row>
    <row r="618" spans="2:6" x14ac:dyDescent="0.25">
      <c r="B618" t="s">
        <v>120</v>
      </c>
      <c r="C618" t="s">
        <v>245</v>
      </c>
      <c r="D618">
        <v>5.6</v>
      </c>
      <c r="E618">
        <v>1.1499999999999999</v>
      </c>
      <c r="F618" t="s">
        <v>8</v>
      </c>
    </row>
    <row r="619" spans="2:6" x14ac:dyDescent="0.25">
      <c r="B619" t="s">
        <v>120</v>
      </c>
      <c r="C619" t="s">
        <v>245</v>
      </c>
      <c r="D619">
        <v>6</v>
      </c>
      <c r="E619">
        <v>1.1499999999999999</v>
      </c>
      <c r="F619" t="s">
        <v>8</v>
      </c>
    </row>
    <row r="620" spans="2:6" x14ac:dyDescent="0.25">
      <c r="B620" t="s">
        <v>120</v>
      </c>
      <c r="C620" t="s">
        <v>245</v>
      </c>
      <c r="D620">
        <v>5.8</v>
      </c>
      <c r="E620">
        <v>1.1499999999999999</v>
      </c>
      <c r="F620" t="s">
        <v>8</v>
      </c>
    </row>
    <row r="621" spans="2:6" x14ac:dyDescent="0.25">
      <c r="B621" t="s">
        <v>120</v>
      </c>
      <c r="C621" t="s">
        <v>245</v>
      </c>
      <c r="D621">
        <v>6</v>
      </c>
      <c r="E621">
        <v>1.1499999999999999</v>
      </c>
      <c r="F621" t="s">
        <v>8</v>
      </c>
    </row>
    <row r="622" spans="2:6" x14ac:dyDescent="0.25">
      <c r="B622" t="s">
        <v>120</v>
      </c>
      <c r="C622" t="s">
        <v>245</v>
      </c>
      <c r="D622">
        <v>5.5</v>
      </c>
      <c r="E622">
        <v>1.1499999999999999</v>
      </c>
      <c r="F622" t="s">
        <v>8</v>
      </c>
    </row>
    <row r="623" spans="2:6" x14ac:dyDescent="0.25">
      <c r="B623" t="s">
        <v>120</v>
      </c>
      <c r="C623" t="s">
        <v>245</v>
      </c>
      <c r="D623">
        <v>5.75</v>
      </c>
      <c r="E623">
        <v>1.1499999999999999</v>
      </c>
      <c r="F623" t="s">
        <v>8</v>
      </c>
    </row>
    <row r="624" spans="2:6" x14ac:dyDescent="0.25">
      <c r="B624" t="s">
        <v>120</v>
      </c>
      <c r="C624" t="s">
        <v>245</v>
      </c>
      <c r="D624">
        <v>5.25</v>
      </c>
      <c r="E624">
        <v>1.17</v>
      </c>
      <c r="F624" t="s">
        <v>8</v>
      </c>
    </row>
    <row r="625" spans="2:6" x14ac:dyDescent="0.25">
      <c r="B625" t="s">
        <v>141</v>
      </c>
      <c r="C625" t="s">
        <v>245</v>
      </c>
      <c r="D625">
        <v>26</v>
      </c>
      <c r="E625">
        <v>1.01</v>
      </c>
      <c r="F625" t="s">
        <v>8</v>
      </c>
    </row>
    <row r="626" spans="2:6" x14ac:dyDescent="0.25">
      <c r="B626" t="s">
        <v>141</v>
      </c>
      <c r="C626" t="s">
        <v>245</v>
      </c>
      <c r="D626">
        <v>26</v>
      </c>
      <c r="E626">
        <v>1.01</v>
      </c>
      <c r="F626" t="s">
        <v>8</v>
      </c>
    </row>
    <row r="627" spans="2:6" x14ac:dyDescent="0.25">
      <c r="B627" t="s">
        <v>141</v>
      </c>
      <c r="C627" t="s">
        <v>245</v>
      </c>
      <c r="D627">
        <v>29</v>
      </c>
      <c r="E627">
        <v>1</v>
      </c>
      <c r="F627" t="s">
        <v>8</v>
      </c>
    </row>
    <row r="628" spans="2:6" x14ac:dyDescent="0.25">
      <c r="B628" t="s">
        <v>141</v>
      </c>
      <c r="C628" t="s">
        <v>245</v>
      </c>
      <c r="D628">
        <v>26</v>
      </c>
      <c r="E628">
        <v>1</v>
      </c>
      <c r="F628" t="s">
        <v>8</v>
      </c>
    </row>
    <row r="629" spans="2:6" x14ac:dyDescent="0.25">
      <c r="B629" t="s">
        <v>141</v>
      </c>
      <c r="C629" t="s">
        <v>245</v>
      </c>
      <c r="D629">
        <v>31</v>
      </c>
      <c r="E629">
        <v>1.01</v>
      </c>
      <c r="F629" t="s">
        <v>8</v>
      </c>
    </row>
    <row r="630" spans="2:6" x14ac:dyDescent="0.25">
      <c r="B630" t="s">
        <v>246</v>
      </c>
      <c r="C630" t="s">
        <v>245</v>
      </c>
      <c r="D630">
        <v>4.3</v>
      </c>
      <c r="E630">
        <v>1.24</v>
      </c>
      <c r="F630" t="s">
        <v>8</v>
      </c>
    </row>
    <row r="631" spans="2:6" x14ac:dyDescent="0.25">
      <c r="B631" t="s">
        <v>246</v>
      </c>
      <c r="C631" t="s">
        <v>245</v>
      </c>
      <c r="D631">
        <v>4.8499999999999996</v>
      </c>
      <c r="E631">
        <v>1.19</v>
      </c>
      <c r="F631" t="s">
        <v>8</v>
      </c>
    </row>
    <row r="632" spans="2:6" x14ac:dyDescent="0.25">
      <c r="B632" t="s">
        <v>246</v>
      </c>
      <c r="C632" t="s">
        <v>245</v>
      </c>
      <c r="D632">
        <v>4.4000000000000004</v>
      </c>
      <c r="E632">
        <v>1.22</v>
      </c>
      <c r="F632" t="s">
        <v>8</v>
      </c>
    </row>
    <row r="633" spans="2:6" x14ac:dyDescent="0.25">
      <c r="B633" t="s">
        <v>246</v>
      </c>
      <c r="C633" t="s">
        <v>245</v>
      </c>
      <c r="D633">
        <v>4.7</v>
      </c>
      <c r="E633">
        <v>1.2</v>
      </c>
      <c r="F633" t="s">
        <v>8</v>
      </c>
    </row>
    <row r="634" spans="2:6" x14ac:dyDescent="0.25">
      <c r="B634" t="s">
        <v>246</v>
      </c>
      <c r="C634" t="s">
        <v>245</v>
      </c>
      <c r="D634">
        <v>4.5999999999999996</v>
      </c>
      <c r="E634">
        <v>1.21</v>
      </c>
      <c r="F634" t="s">
        <v>8</v>
      </c>
    </row>
    <row r="635" spans="2:6" x14ac:dyDescent="0.25">
      <c r="B635" t="s">
        <v>246</v>
      </c>
      <c r="C635" t="s">
        <v>245</v>
      </c>
      <c r="D635">
        <v>4.4000000000000004</v>
      </c>
      <c r="E635">
        <v>1.22</v>
      </c>
      <c r="F635" t="s">
        <v>8</v>
      </c>
    </row>
    <row r="636" spans="2:6" x14ac:dyDescent="0.25">
      <c r="B636" t="s">
        <v>246</v>
      </c>
      <c r="C636" t="s">
        <v>245</v>
      </c>
      <c r="D636">
        <v>4.7</v>
      </c>
      <c r="E636">
        <v>1.2</v>
      </c>
      <c r="F636" t="s">
        <v>8</v>
      </c>
    </row>
    <row r="637" spans="2:6" x14ac:dyDescent="0.25">
      <c r="B637" t="s">
        <v>246</v>
      </c>
      <c r="C637" t="s">
        <v>245</v>
      </c>
      <c r="D637">
        <v>4.5</v>
      </c>
      <c r="E637">
        <v>1.22</v>
      </c>
      <c r="F637" t="s">
        <v>8</v>
      </c>
    </row>
    <row r="638" spans="2:6" x14ac:dyDescent="0.25">
      <c r="B638" t="s">
        <v>246</v>
      </c>
      <c r="C638" t="s">
        <v>245</v>
      </c>
      <c r="D638">
        <v>4.4000000000000004</v>
      </c>
      <c r="E638">
        <v>1.23</v>
      </c>
      <c r="F638" t="s">
        <v>8</v>
      </c>
    </row>
    <row r="639" spans="2:6" x14ac:dyDescent="0.25">
      <c r="B639" t="s">
        <v>246</v>
      </c>
      <c r="C639" t="s">
        <v>245</v>
      </c>
      <c r="D639">
        <v>4.5999999999999996</v>
      </c>
      <c r="E639">
        <v>1.22</v>
      </c>
      <c r="F639" t="s">
        <v>8</v>
      </c>
    </row>
    <row r="640" spans="2:6" x14ac:dyDescent="0.25">
      <c r="B640" t="s">
        <v>246</v>
      </c>
      <c r="C640" t="s">
        <v>245</v>
      </c>
      <c r="D640">
        <v>4.5999999999999996</v>
      </c>
      <c r="E640">
        <v>1.2</v>
      </c>
      <c r="F640" t="s">
        <v>8</v>
      </c>
    </row>
    <row r="641" spans="2:6" x14ac:dyDescent="0.25">
      <c r="B641" t="s">
        <v>299</v>
      </c>
      <c r="C641" t="s">
        <v>245</v>
      </c>
      <c r="D641">
        <v>6.75</v>
      </c>
      <c r="E641">
        <v>1.1200000000000001</v>
      </c>
      <c r="F641" t="s">
        <v>8</v>
      </c>
    </row>
    <row r="642" spans="2:6" x14ac:dyDescent="0.25">
      <c r="B642" t="s">
        <v>299</v>
      </c>
      <c r="C642" t="s">
        <v>245</v>
      </c>
      <c r="D642">
        <v>7.1</v>
      </c>
      <c r="E642">
        <v>1.1100000000000001</v>
      </c>
      <c r="F642" t="s">
        <v>8</v>
      </c>
    </row>
    <row r="643" spans="2:6" x14ac:dyDescent="0.25">
      <c r="B643" t="s">
        <v>299</v>
      </c>
      <c r="C643" t="s">
        <v>245</v>
      </c>
      <c r="D643">
        <v>7.25</v>
      </c>
      <c r="E643">
        <v>1.1000000000000001</v>
      </c>
      <c r="F643" t="s">
        <v>8</v>
      </c>
    </row>
    <row r="644" spans="2:6" x14ac:dyDescent="0.25">
      <c r="B644" t="s">
        <v>299</v>
      </c>
      <c r="C644" t="s">
        <v>245</v>
      </c>
      <c r="D644">
        <v>8.5</v>
      </c>
      <c r="E644">
        <v>1.08</v>
      </c>
      <c r="F644" t="s">
        <v>8</v>
      </c>
    </row>
    <row r="645" spans="2:6" x14ac:dyDescent="0.25">
      <c r="B645" t="s">
        <v>299</v>
      </c>
      <c r="C645" t="s">
        <v>245</v>
      </c>
      <c r="D645">
        <v>7.5</v>
      </c>
      <c r="E645">
        <v>1.1000000000000001</v>
      </c>
      <c r="F645" t="s">
        <v>8</v>
      </c>
    </row>
    <row r="646" spans="2:6" x14ac:dyDescent="0.25">
      <c r="B646" t="s">
        <v>299</v>
      </c>
      <c r="C646" t="s">
        <v>245</v>
      </c>
      <c r="D646">
        <v>7.25</v>
      </c>
      <c r="E646">
        <v>1.1000000000000001</v>
      </c>
      <c r="F646" t="s">
        <v>8</v>
      </c>
    </row>
    <row r="647" spans="2:6" x14ac:dyDescent="0.25">
      <c r="B647" t="s">
        <v>299</v>
      </c>
      <c r="C647" t="s">
        <v>245</v>
      </c>
      <c r="D647">
        <v>7.35</v>
      </c>
      <c r="E647">
        <v>1.1000000000000001</v>
      </c>
      <c r="F647" t="s">
        <v>8</v>
      </c>
    </row>
    <row r="648" spans="2:6" x14ac:dyDescent="0.25">
      <c r="B648" t="s">
        <v>299</v>
      </c>
      <c r="C648" t="s">
        <v>245</v>
      </c>
      <c r="D648">
        <v>8.5</v>
      </c>
      <c r="E648">
        <v>1.08</v>
      </c>
      <c r="F648" t="s">
        <v>8</v>
      </c>
    </row>
    <row r="649" spans="2:6" x14ac:dyDescent="0.25">
      <c r="B649" t="s">
        <v>299</v>
      </c>
      <c r="C649" t="s">
        <v>245</v>
      </c>
      <c r="D649">
        <v>8</v>
      </c>
      <c r="E649">
        <v>1.0900000000000001</v>
      </c>
      <c r="F649" t="s">
        <v>8</v>
      </c>
    </row>
    <row r="650" spans="2:6" x14ac:dyDescent="0.25">
      <c r="B650" t="s">
        <v>299</v>
      </c>
      <c r="C650" t="s">
        <v>245</v>
      </c>
      <c r="D650">
        <v>7.5</v>
      </c>
      <c r="E650">
        <v>1.0900000000000001</v>
      </c>
      <c r="F650" t="s">
        <v>8</v>
      </c>
    </row>
    <row r="651" spans="2:6" x14ac:dyDescent="0.25">
      <c r="B651" t="s">
        <v>299</v>
      </c>
      <c r="C651" t="s">
        <v>245</v>
      </c>
      <c r="D651">
        <v>8</v>
      </c>
      <c r="E651">
        <v>1.0900000000000001</v>
      </c>
      <c r="F651" t="s">
        <v>8</v>
      </c>
    </row>
    <row r="652" spans="2:6" x14ac:dyDescent="0.25">
      <c r="B652" t="s">
        <v>299</v>
      </c>
      <c r="C652" t="s">
        <v>245</v>
      </c>
      <c r="D652">
        <v>8</v>
      </c>
      <c r="E652">
        <v>1.0900000000000001</v>
      </c>
      <c r="F652" t="s">
        <v>8</v>
      </c>
    </row>
    <row r="653" spans="2:6" x14ac:dyDescent="0.25">
      <c r="B653" t="s">
        <v>299</v>
      </c>
      <c r="C653" t="s">
        <v>245</v>
      </c>
      <c r="D653">
        <v>8.5</v>
      </c>
      <c r="E653">
        <v>1.08</v>
      </c>
      <c r="F653" t="s">
        <v>8</v>
      </c>
    </row>
    <row r="654" spans="2:6" x14ac:dyDescent="0.25">
      <c r="B654" t="s">
        <v>248</v>
      </c>
      <c r="C654" t="s">
        <v>245</v>
      </c>
      <c r="D654">
        <v>5.7</v>
      </c>
      <c r="E654">
        <v>1.1499999999999999</v>
      </c>
      <c r="F654" t="s">
        <v>8</v>
      </c>
    </row>
    <row r="655" spans="2:6" x14ac:dyDescent="0.25">
      <c r="B655" t="s">
        <v>248</v>
      </c>
      <c r="C655" t="s">
        <v>245</v>
      </c>
      <c r="D655">
        <v>5.5</v>
      </c>
      <c r="E655">
        <v>1.1499999999999999</v>
      </c>
      <c r="F655" t="s">
        <v>8</v>
      </c>
    </row>
    <row r="656" spans="2:6" x14ac:dyDescent="0.25">
      <c r="B656" t="s">
        <v>248</v>
      </c>
      <c r="C656" t="s">
        <v>245</v>
      </c>
      <c r="D656">
        <v>5.5</v>
      </c>
      <c r="E656">
        <v>1.1399999999999999</v>
      </c>
      <c r="F656" t="s">
        <v>8</v>
      </c>
    </row>
    <row r="657" spans="2:6" x14ac:dyDescent="0.25">
      <c r="B657" t="s">
        <v>248</v>
      </c>
      <c r="C657" t="s">
        <v>245</v>
      </c>
      <c r="D657">
        <v>5.6</v>
      </c>
      <c r="E657">
        <v>1.1499999999999999</v>
      </c>
      <c r="F657" t="s">
        <v>8</v>
      </c>
    </row>
    <row r="658" spans="2:6" x14ac:dyDescent="0.25">
      <c r="B658" t="s">
        <v>248</v>
      </c>
      <c r="C658" t="s">
        <v>245</v>
      </c>
      <c r="D658">
        <v>5.65</v>
      </c>
      <c r="E658">
        <v>1.1499999999999999</v>
      </c>
      <c r="F658" t="s">
        <v>8</v>
      </c>
    </row>
    <row r="659" spans="2:6" x14ac:dyDescent="0.25">
      <c r="B659" t="s">
        <v>248</v>
      </c>
      <c r="C659" t="s">
        <v>245</v>
      </c>
      <c r="D659">
        <v>6.4</v>
      </c>
      <c r="E659">
        <v>1.1200000000000001</v>
      </c>
      <c r="F659" t="s">
        <v>8</v>
      </c>
    </row>
    <row r="660" spans="2:6" x14ac:dyDescent="0.25">
      <c r="B660" t="s">
        <v>248</v>
      </c>
      <c r="C660" t="s">
        <v>245</v>
      </c>
      <c r="D660">
        <v>5.5</v>
      </c>
      <c r="E660">
        <v>1.1499999999999999</v>
      </c>
      <c r="F660" t="s">
        <v>8</v>
      </c>
    </row>
    <row r="661" spans="2:6" x14ac:dyDescent="0.25">
      <c r="B661" t="s">
        <v>248</v>
      </c>
      <c r="C661" t="s">
        <v>245</v>
      </c>
      <c r="D661">
        <v>5.5</v>
      </c>
      <c r="E661">
        <v>1.1399999999999999</v>
      </c>
      <c r="F661" t="s">
        <v>8</v>
      </c>
    </row>
    <row r="662" spans="2:6" x14ac:dyDescent="0.25">
      <c r="B662" t="s">
        <v>248</v>
      </c>
      <c r="C662" t="s">
        <v>245</v>
      </c>
      <c r="D662">
        <v>5.85</v>
      </c>
      <c r="E662">
        <v>1.1599999999999999</v>
      </c>
      <c r="F662" t="s">
        <v>8</v>
      </c>
    </row>
    <row r="663" spans="2:6" x14ac:dyDescent="0.25">
      <c r="B663" t="s">
        <v>248</v>
      </c>
      <c r="C663" t="s">
        <v>245</v>
      </c>
      <c r="D663">
        <v>5.5</v>
      </c>
      <c r="E663">
        <v>1.1499999999999999</v>
      </c>
      <c r="F663" t="s">
        <v>8</v>
      </c>
    </row>
    <row r="664" spans="2:6" x14ac:dyDescent="0.25">
      <c r="B664" t="s">
        <v>248</v>
      </c>
      <c r="C664" t="s">
        <v>245</v>
      </c>
      <c r="D664">
        <v>5.75</v>
      </c>
      <c r="E664">
        <v>1.1599999999999999</v>
      </c>
      <c r="F664" t="s">
        <v>8</v>
      </c>
    </row>
    <row r="665" spans="2:6" x14ac:dyDescent="0.25">
      <c r="B665" t="s">
        <v>248</v>
      </c>
      <c r="C665" t="s">
        <v>245</v>
      </c>
      <c r="D665">
        <v>5.85</v>
      </c>
      <c r="E665">
        <v>1.1599999999999999</v>
      </c>
      <c r="F665" t="s">
        <v>8</v>
      </c>
    </row>
    <row r="666" spans="2:6" x14ac:dyDescent="0.25">
      <c r="B666" t="s">
        <v>248</v>
      </c>
      <c r="C666" t="s">
        <v>245</v>
      </c>
      <c r="D666">
        <v>5.75</v>
      </c>
      <c r="E666">
        <v>1.1499999999999999</v>
      </c>
      <c r="F666" t="s">
        <v>8</v>
      </c>
    </row>
    <row r="667" spans="2:6" x14ac:dyDescent="0.25">
      <c r="B667" t="s">
        <v>297</v>
      </c>
      <c r="C667" t="s">
        <v>250</v>
      </c>
      <c r="D667">
        <v>5.25</v>
      </c>
      <c r="E667">
        <v>1.17</v>
      </c>
      <c r="F667" t="s">
        <v>8</v>
      </c>
    </row>
    <row r="668" spans="2:6" x14ac:dyDescent="0.25">
      <c r="B668" t="s">
        <v>297</v>
      </c>
      <c r="C668" t="s">
        <v>250</v>
      </c>
      <c r="D668">
        <v>5.4</v>
      </c>
      <c r="E668">
        <v>1.1599999999999999</v>
      </c>
      <c r="F668" t="s">
        <v>8</v>
      </c>
    </row>
    <row r="669" spans="2:6" x14ac:dyDescent="0.25">
      <c r="B669" t="s">
        <v>297</v>
      </c>
      <c r="C669" t="s">
        <v>250</v>
      </c>
      <c r="D669">
        <v>5.3</v>
      </c>
      <c r="E669">
        <v>1.1599999999999999</v>
      </c>
      <c r="F669" t="s">
        <v>8</v>
      </c>
    </row>
    <row r="670" spans="2:6" x14ac:dyDescent="0.25">
      <c r="B670" t="s">
        <v>297</v>
      </c>
      <c r="C670" t="s">
        <v>250</v>
      </c>
      <c r="D670">
        <v>6</v>
      </c>
      <c r="E670">
        <v>1.1399999999999999</v>
      </c>
      <c r="F670" t="s">
        <v>8</v>
      </c>
    </row>
    <row r="671" spans="2:6" x14ac:dyDescent="0.25">
      <c r="B671" t="s">
        <v>297</v>
      </c>
      <c r="C671" t="s">
        <v>250</v>
      </c>
      <c r="D671">
        <v>5.5</v>
      </c>
      <c r="E671">
        <v>1.1499999999999999</v>
      </c>
      <c r="F671" t="s">
        <v>8</v>
      </c>
    </row>
    <row r="672" spans="2:6" x14ac:dyDescent="0.25">
      <c r="B672" t="s">
        <v>297</v>
      </c>
      <c r="C672" t="s">
        <v>250</v>
      </c>
      <c r="D672">
        <v>5.3</v>
      </c>
      <c r="E672">
        <v>1.17</v>
      </c>
      <c r="F672" t="s">
        <v>8</v>
      </c>
    </row>
    <row r="673" spans="2:10" x14ac:dyDescent="0.25">
      <c r="B673" t="s">
        <v>297</v>
      </c>
      <c r="C673" t="s">
        <v>250</v>
      </c>
      <c r="D673">
        <v>6</v>
      </c>
      <c r="E673">
        <v>1.1399999999999999</v>
      </c>
      <c r="F673" t="s">
        <v>8</v>
      </c>
    </row>
    <row r="674" spans="2:10" x14ac:dyDescent="0.25">
      <c r="B674" t="s">
        <v>297</v>
      </c>
      <c r="C674" t="s">
        <v>250</v>
      </c>
      <c r="D674">
        <v>5.6</v>
      </c>
      <c r="E674">
        <v>1.17</v>
      </c>
      <c r="F674" t="s">
        <v>8</v>
      </c>
    </row>
    <row r="675" spans="2:10" x14ac:dyDescent="0.25">
      <c r="B675" t="s">
        <v>297</v>
      </c>
      <c r="C675" t="s">
        <v>250</v>
      </c>
      <c r="D675">
        <v>5.5</v>
      </c>
      <c r="E675">
        <v>1.1499999999999999</v>
      </c>
      <c r="F675" t="s">
        <v>8</v>
      </c>
    </row>
    <row r="676" spans="2:10" x14ac:dyDescent="0.25">
      <c r="B676" t="s">
        <v>297</v>
      </c>
      <c r="C676" t="s">
        <v>250</v>
      </c>
      <c r="D676">
        <v>5.8</v>
      </c>
      <c r="E676">
        <v>1.1499999999999999</v>
      </c>
      <c r="F676" t="s">
        <v>8</v>
      </c>
    </row>
    <row r="677" spans="2:10" x14ac:dyDescent="0.25">
      <c r="B677" t="s">
        <v>297</v>
      </c>
      <c r="C677" t="s">
        <v>250</v>
      </c>
      <c r="D677">
        <v>5.6</v>
      </c>
      <c r="E677">
        <v>1.17</v>
      </c>
      <c r="F677" t="s">
        <v>8</v>
      </c>
    </row>
    <row r="678" spans="2:10" x14ac:dyDescent="0.25">
      <c r="B678" t="s">
        <v>297</v>
      </c>
      <c r="C678" t="s">
        <v>250</v>
      </c>
      <c r="D678">
        <v>5.75</v>
      </c>
      <c r="E678">
        <v>1.1499999999999999</v>
      </c>
      <c r="F678" t="s">
        <v>8</v>
      </c>
    </row>
    <row r="679" spans="2:10" x14ac:dyDescent="0.25">
      <c r="B679" t="s">
        <v>290</v>
      </c>
      <c r="C679" t="s">
        <v>95</v>
      </c>
      <c r="D679">
        <v>6.25</v>
      </c>
      <c r="E679">
        <v>1.1299999999999999</v>
      </c>
      <c r="F679" t="s">
        <v>8</v>
      </c>
    </row>
    <row r="680" spans="2:10" x14ac:dyDescent="0.25">
      <c r="B680" t="s">
        <v>290</v>
      </c>
      <c r="C680" t="s">
        <v>95</v>
      </c>
      <c r="D680">
        <v>6.7</v>
      </c>
      <c r="E680">
        <v>1.1200000000000001</v>
      </c>
      <c r="F680" t="s">
        <v>8</v>
      </c>
    </row>
    <row r="681" spans="2:10" x14ac:dyDescent="0.25">
      <c r="B681" t="s">
        <v>290</v>
      </c>
      <c r="C681" t="s">
        <v>95</v>
      </c>
      <c r="D681">
        <v>6.75</v>
      </c>
      <c r="E681">
        <v>1.1100000000000001</v>
      </c>
      <c r="F681" t="s">
        <v>8</v>
      </c>
    </row>
    <row r="682" spans="2:10" x14ac:dyDescent="0.25">
      <c r="B682" t="s">
        <v>290</v>
      </c>
      <c r="C682" t="s">
        <v>95</v>
      </c>
      <c r="D682">
        <v>7.4</v>
      </c>
      <c r="E682">
        <v>1.1000000000000001</v>
      </c>
      <c r="F682" t="s">
        <v>8</v>
      </c>
    </row>
    <row r="683" spans="2:10" x14ac:dyDescent="0.25">
      <c r="B683" t="s">
        <v>290</v>
      </c>
      <c r="C683" t="s">
        <v>95</v>
      </c>
      <c r="D683">
        <v>6</v>
      </c>
      <c r="E683">
        <v>1.1399999999999999</v>
      </c>
      <c r="F683" t="s">
        <v>8</v>
      </c>
      <c r="I683" t="e">
        <f>AVERAGE(F683:F695)</f>
        <v>#DIV/0!</v>
      </c>
      <c r="J683" t="e">
        <f>AVERAGE(G683:G695)</f>
        <v>#DIV/0!</v>
      </c>
    </row>
    <row r="684" spans="2:10" x14ac:dyDescent="0.25">
      <c r="B684" t="s">
        <v>290</v>
      </c>
      <c r="C684" t="s">
        <v>95</v>
      </c>
      <c r="D684">
        <v>6.4</v>
      </c>
      <c r="E684">
        <v>1.1200000000000001</v>
      </c>
      <c r="F684" t="s">
        <v>8</v>
      </c>
      <c r="I684" t="e">
        <f>1/I683</f>
        <v>#DIV/0!</v>
      </c>
      <c r="J684" t="e">
        <f>1/J683</f>
        <v>#DIV/0!</v>
      </c>
    </row>
    <row r="685" spans="2:10" x14ac:dyDescent="0.25">
      <c r="B685" t="s">
        <v>290</v>
      </c>
      <c r="C685" t="s">
        <v>95</v>
      </c>
      <c r="D685">
        <v>7.4</v>
      </c>
      <c r="E685">
        <v>1.1000000000000001</v>
      </c>
      <c r="F685" t="s">
        <v>8</v>
      </c>
      <c r="I685" t="e">
        <f>0.512-I684</f>
        <v>#DIV/0!</v>
      </c>
      <c r="J685" t="e">
        <f>0.512-J684</f>
        <v>#DIV/0!</v>
      </c>
    </row>
    <row r="686" spans="2:10" x14ac:dyDescent="0.25">
      <c r="B686" t="s">
        <v>290</v>
      </c>
      <c r="C686" t="s">
        <v>95</v>
      </c>
      <c r="D686">
        <v>6.5</v>
      </c>
      <c r="E686">
        <v>1.1299999999999999</v>
      </c>
      <c r="F686" t="s">
        <v>8</v>
      </c>
    </row>
    <row r="687" spans="2:10" x14ac:dyDescent="0.25">
      <c r="B687" t="s">
        <v>290</v>
      </c>
      <c r="C687" t="s">
        <v>95</v>
      </c>
      <c r="D687">
        <v>6.25</v>
      </c>
      <c r="E687">
        <v>1.1200000000000001</v>
      </c>
      <c r="F687" t="s">
        <v>8</v>
      </c>
    </row>
    <row r="688" spans="2:10" x14ac:dyDescent="0.25">
      <c r="B688" t="s">
        <v>290</v>
      </c>
      <c r="C688" t="s">
        <v>95</v>
      </c>
      <c r="D688">
        <v>6.2</v>
      </c>
      <c r="E688">
        <v>1.1299999999999999</v>
      </c>
      <c r="F688" t="s">
        <v>8</v>
      </c>
    </row>
    <row r="689" spans="2:6" x14ac:dyDescent="0.25">
      <c r="B689" t="s">
        <v>290</v>
      </c>
      <c r="C689" t="s">
        <v>95</v>
      </c>
      <c r="D689">
        <v>6.5</v>
      </c>
      <c r="E689">
        <v>1.1299999999999999</v>
      </c>
      <c r="F689" t="s">
        <v>8</v>
      </c>
    </row>
    <row r="690" spans="2:6" x14ac:dyDescent="0.25">
      <c r="B690" t="s">
        <v>290</v>
      </c>
      <c r="C690" t="s">
        <v>95</v>
      </c>
      <c r="D690">
        <v>7</v>
      </c>
      <c r="E690">
        <v>1.1100000000000001</v>
      </c>
      <c r="F690" t="s">
        <v>8</v>
      </c>
    </row>
    <row r="691" spans="2:6" x14ac:dyDescent="0.25">
      <c r="B691" t="s">
        <v>276</v>
      </c>
      <c r="C691" t="s">
        <v>88</v>
      </c>
      <c r="D691">
        <v>1.03</v>
      </c>
      <c r="E691">
        <v>16</v>
      </c>
      <c r="F691" t="s">
        <v>8</v>
      </c>
    </row>
    <row r="692" spans="2:6" x14ac:dyDescent="0.25">
      <c r="B692" t="s">
        <v>276</v>
      </c>
      <c r="C692" t="s">
        <v>88</v>
      </c>
      <c r="D692">
        <v>1.02</v>
      </c>
      <c r="E692">
        <v>14</v>
      </c>
      <c r="F692" t="s">
        <v>8</v>
      </c>
    </row>
    <row r="693" spans="2:6" x14ac:dyDescent="0.25">
      <c r="B693" t="s">
        <v>276</v>
      </c>
      <c r="C693" t="s">
        <v>88</v>
      </c>
      <c r="D693">
        <v>1.02</v>
      </c>
      <c r="E693">
        <v>14</v>
      </c>
      <c r="F693" t="s">
        <v>8</v>
      </c>
    </row>
    <row r="694" spans="2:6" x14ac:dyDescent="0.25">
      <c r="B694" t="s">
        <v>276</v>
      </c>
      <c r="C694" t="s">
        <v>88</v>
      </c>
      <c r="D694">
        <v>1.02</v>
      </c>
      <c r="E694">
        <v>15.1</v>
      </c>
      <c r="F694" t="s">
        <v>8</v>
      </c>
    </row>
    <row r="695" spans="2:6" x14ac:dyDescent="0.25">
      <c r="B695" t="s">
        <v>276</v>
      </c>
      <c r="C695" t="s">
        <v>88</v>
      </c>
      <c r="D695">
        <v>1.03</v>
      </c>
      <c r="E695">
        <v>14.5</v>
      </c>
      <c r="F695" t="s">
        <v>8</v>
      </c>
    </row>
    <row r="696" spans="2:6" x14ac:dyDescent="0.25">
      <c r="B696" t="s">
        <v>276</v>
      </c>
      <c r="C696" t="s">
        <v>88</v>
      </c>
      <c r="D696">
        <v>1.02</v>
      </c>
      <c r="E696">
        <v>15</v>
      </c>
      <c r="F696" t="s">
        <v>8</v>
      </c>
    </row>
    <row r="697" spans="2:6" x14ac:dyDescent="0.25">
      <c r="B697" t="s">
        <v>276</v>
      </c>
      <c r="C697" t="s">
        <v>88</v>
      </c>
      <c r="D697">
        <v>1.02</v>
      </c>
      <c r="E697">
        <v>14</v>
      </c>
      <c r="F697" t="s">
        <v>8</v>
      </c>
    </row>
    <row r="698" spans="2:6" x14ac:dyDescent="0.25">
      <c r="B698" t="s">
        <v>276</v>
      </c>
      <c r="C698" t="s">
        <v>88</v>
      </c>
      <c r="D698">
        <v>1.02</v>
      </c>
      <c r="E698">
        <v>15</v>
      </c>
      <c r="F698" t="s">
        <v>8</v>
      </c>
    </row>
    <row r="699" spans="2:6" x14ac:dyDescent="0.25">
      <c r="B699" t="s">
        <v>276</v>
      </c>
      <c r="C699" t="s">
        <v>88</v>
      </c>
      <c r="D699">
        <v>1.02</v>
      </c>
      <c r="E699">
        <v>15</v>
      </c>
      <c r="F699" t="s">
        <v>8</v>
      </c>
    </row>
    <row r="700" spans="2:6" x14ac:dyDescent="0.25">
      <c r="B700" t="s">
        <v>276</v>
      </c>
      <c r="C700" t="s">
        <v>88</v>
      </c>
      <c r="D700">
        <v>1.02</v>
      </c>
      <c r="E700">
        <v>15</v>
      </c>
      <c r="F700" t="s">
        <v>8</v>
      </c>
    </row>
    <row r="701" spans="2:6" x14ac:dyDescent="0.25">
      <c r="B701" t="s">
        <v>276</v>
      </c>
      <c r="C701" t="s">
        <v>88</v>
      </c>
      <c r="D701">
        <v>1.03</v>
      </c>
      <c r="E701">
        <v>14</v>
      </c>
      <c r="F701" t="s">
        <v>8</v>
      </c>
    </row>
    <row r="702" spans="2:6" x14ac:dyDescent="0.25">
      <c r="B702" t="s">
        <v>114</v>
      </c>
      <c r="C702" t="s">
        <v>67</v>
      </c>
      <c r="D702">
        <v>1.1399999999999999</v>
      </c>
      <c r="E702">
        <v>5.6</v>
      </c>
      <c r="F702" t="s">
        <v>8</v>
      </c>
    </row>
    <row r="703" spans="2:6" x14ac:dyDescent="0.25">
      <c r="B703" t="s">
        <v>114</v>
      </c>
      <c r="C703" t="s">
        <v>67</v>
      </c>
      <c r="D703">
        <v>1.1399999999999999</v>
      </c>
      <c r="E703">
        <v>5.6</v>
      </c>
      <c r="F703" t="s">
        <v>8</v>
      </c>
    </row>
    <row r="704" spans="2:6" x14ac:dyDescent="0.25">
      <c r="B704" t="s">
        <v>114</v>
      </c>
      <c r="C704" t="s">
        <v>67</v>
      </c>
      <c r="D704">
        <v>1.1200000000000001</v>
      </c>
      <c r="E704">
        <v>6.75</v>
      </c>
      <c r="F704" t="s">
        <v>8</v>
      </c>
    </row>
    <row r="705" spans="2:6" x14ac:dyDescent="0.25">
      <c r="B705" t="s">
        <v>114</v>
      </c>
      <c r="C705" t="s">
        <v>67</v>
      </c>
      <c r="D705">
        <v>1.1299999999999999</v>
      </c>
      <c r="E705">
        <v>6.3</v>
      </c>
      <c r="F705" t="s">
        <v>8</v>
      </c>
    </row>
    <row r="706" spans="2:6" x14ac:dyDescent="0.25">
      <c r="B706" t="s">
        <v>114</v>
      </c>
      <c r="C706" t="s">
        <v>67</v>
      </c>
      <c r="D706">
        <v>1.1399999999999999</v>
      </c>
      <c r="E706">
        <v>6.2</v>
      </c>
      <c r="F706" t="s">
        <v>8</v>
      </c>
    </row>
    <row r="707" spans="2:6" x14ac:dyDescent="0.25">
      <c r="B707" t="s">
        <v>114</v>
      </c>
      <c r="C707" t="s">
        <v>67</v>
      </c>
      <c r="D707">
        <v>1.1399999999999999</v>
      </c>
      <c r="E707">
        <v>6.2</v>
      </c>
      <c r="F707" t="s">
        <v>8</v>
      </c>
    </row>
    <row r="708" spans="2:6" x14ac:dyDescent="0.25">
      <c r="B708" t="s">
        <v>114</v>
      </c>
      <c r="C708" t="s">
        <v>67</v>
      </c>
      <c r="D708">
        <v>1.1299999999999999</v>
      </c>
      <c r="E708">
        <v>6</v>
      </c>
      <c r="F708" t="s">
        <v>8</v>
      </c>
    </row>
    <row r="709" spans="2:6" x14ac:dyDescent="0.25">
      <c r="B709" t="s">
        <v>114</v>
      </c>
      <c r="C709" t="s">
        <v>67</v>
      </c>
      <c r="D709">
        <v>1.1399999999999999</v>
      </c>
      <c r="E709">
        <v>6</v>
      </c>
      <c r="F709" t="s">
        <v>8</v>
      </c>
    </row>
    <row r="710" spans="2:6" x14ac:dyDescent="0.25">
      <c r="B710" t="s">
        <v>114</v>
      </c>
      <c r="C710" t="s">
        <v>67</v>
      </c>
      <c r="D710">
        <v>1.1299999999999999</v>
      </c>
      <c r="E710">
        <v>6.1</v>
      </c>
      <c r="F710" t="s">
        <v>8</v>
      </c>
    </row>
    <row r="711" spans="2:6" x14ac:dyDescent="0.25">
      <c r="B711" t="s">
        <v>114</v>
      </c>
      <c r="C711" t="s">
        <v>67</v>
      </c>
      <c r="D711">
        <v>1.1399999999999999</v>
      </c>
      <c r="E711">
        <v>5.9</v>
      </c>
      <c r="F711" t="s">
        <v>8</v>
      </c>
    </row>
    <row r="712" spans="2:6" x14ac:dyDescent="0.25">
      <c r="B712" t="s">
        <v>114</v>
      </c>
      <c r="C712" t="s">
        <v>67</v>
      </c>
      <c r="D712">
        <v>1.1200000000000001</v>
      </c>
      <c r="E712">
        <v>6.5</v>
      </c>
      <c r="F712" t="s">
        <v>8</v>
      </c>
    </row>
    <row r="713" spans="2:6" x14ac:dyDescent="0.25">
      <c r="B713" t="s">
        <v>114</v>
      </c>
      <c r="C713" t="s">
        <v>67</v>
      </c>
      <c r="D713">
        <v>1.1399999999999999</v>
      </c>
      <c r="E713">
        <v>5.75</v>
      </c>
      <c r="F713" t="s">
        <v>8</v>
      </c>
    </row>
    <row r="714" spans="2:6" x14ac:dyDescent="0.25">
      <c r="B714" t="s">
        <v>291</v>
      </c>
      <c r="C714" t="s">
        <v>67</v>
      </c>
      <c r="D714">
        <v>3.6</v>
      </c>
      <c r="E714">
        <v>1.31</v>
      </c>
      <c r="F714" t="s">
        <v>8</v>
      </c>
    </row>
    <row r="715" spans="2:6" x14ac:dyDescent="0.25">
      <c r="B715" t="s">
        <v>291</v>
      </c>
      <c r="C715" t="s">
        <v>67</v>
      </c>
      <c r="D715">
        <v>3.5</v>
      </c>
      <c r="E715">
        <v>1.32</v>
      </c>
      <c r="F715" t="s">
        <v>8</v>
      </c>
    </row>
    <row r="716" spans="2:6" x14ac:dyDescent="0.25">
      <c r="B716" t="s">
        <v>291</v>
      </c>
      <c r="C716" t="s">
        <v>67</v>
      </c>
      <c r="D716">
        <v>3.35</v>
      </c>
      <c r="E716">
        <v>1.35</v>
      </c>
      <c r="F716" t="s">
        <v>8</v>
      </c>
    </row>
    <row r="717" spans="2:6" x14ac:dyDescent="0.25">
      <c r="B717" t="s">
        <v>291</v>
      </c>
      <c r="C717" t="s">
        <v>67</v>
      </c>
      <c r="D717">
        <v>3.55</v>
      </c>
      <c r="E717">
        <v>1.3</v>
      </c>
      <c r="F717" t="s">
        <v>8</v>
      </c>
    </row>
    <row r="718" spans="2:6" x14ac:dyDescent="0.25">
      <c r="B718" t="s">
        <v>291</v>
      </c>
      <c r="C718" t="s">
        <v>67</v>
      </c>
      <c r="D718">
        <v>3.5</v>
      </c>
      <c r="E718">
        <v>1.31</v>
      </c>
      <c r="F718" t="s">
        <v>8</v>
      </c>
    </row>
    <row r="719" spans="2:6" x14ac:dyDescent="0.25">
      <c r="B719" t="s">
        <v>291</v>
      </c>
      <c r="C719" t="s">
        <v>67</v>
      </c>
      <c r="D719">
        <v>3.45</v>
      </c>
      <c r="E719">
        <v>1.32</v>
      </c>
      <c r="F719" t="s">
        <v>8</v>
      </c>
    </row>
    <row r="720" spans="2:6" x14ac:dyDescent="0.25">
      <c r="B720" t="s">
        <v>291</v>
      </c>
      <c r="C720" t="s">
        <v>67</v>
      </c>
      <c r="D720">
        <v>3.55</v>
      </c>
      <c r="E720">
        <v>1.3</v>
      </c>
      <c r="F720" t="s">
        <v>8</v>
      </c>
    </row>
    <row r="721" spans="2:6" x14ac:dyDescent="0.25">
      <c r="B721" t="s">
        <v>291</v>
      </c>
      <c r="C721" t="s">
        <v>67</v>
      </c>
      <c r="D721">
        <v>3.5</v>
      </c>
      <c r="E721">
        <v>1.33</v>
      </c>
      <c r="F721" t="s">
        <v>8</v>
      </c>
    </row>
    <row r="722" spans="2:6" x14ac:dyDescent="0.25">
      <c r="B722" t="s">
        <v>291</v>
      </c>
      <c r="C722" t="s">
        <v>67</v>
      </c>
      <c r="D722">
        <v>3.5</v>
      </c>
      <c r="E722">
        <v>1.32</v>
      </c>
      <c r="F722" t="s">
        <v>8</v>
      </c>
    </row>
    <row r="723" spans="2:6" x14ac:dyDescent="0.25">
      <c r="B723" t="s">
        <v>291</v>
      </c>
      <c r="C723" t="s">
        <v>67</v>
      </c>
      <c r="D723">
        <v>3.5</v>
      </c>
      <c r="E723">
        <v>1.33</v>
      </c>
      <c r="F723" t="s">
        <v>8</v>
      </c>
    </row>
    <row r="724" spans="2:6" x14ac:dyDescent="0.25">
      <c r="B724" t="s">
        <v>291</v>
      </c>
      <c r="C724" t="s">
        <v>67</v>
      </c>
      <c r="D724">
        <v>3.5</v>
      </c>
      <c r="E724">
        <v>1.33</v>
      </c>
      <c r="F724" t="s">
        <v>8</v>
      </c>
    </row>
    <row r="725" spans="2:6" x14ac:dyDescent="0.25">
      <c r="B725" t="s">
        <v>291</v>
      </c>
      <c r="C725" t="s">
        <v>67</v>
      </c>
      <c r="D725">
        <v>3.3</v>
      </c>
      <c r="E725">
        <v>1.36</v>
      </c>
      <c r="F725" t="s">
        <v>8</v>
      </c>
    </row>
    <row r="726" spans="2:6" x14ac:dyDescent="0.25">
      <c r="B726" t="s">
        <v>292</v>
      </c>
      <c r="C726" t="s">
        <v>255</v>
      </c>
      <c r="D726">
        <v>1.95</v>
      </c>
      <c r="E726">
        <v>1.87</v>
      </c>
      <c r="F726" t="s">
        <v>8</v>
      </c>
    </row>
    <row r="727" spans="2:6" x14ac:dyDescent="0.25">
      <c r="B727" t="s">
        <v>292</v>
      </c>
      <c r="C727" t="s">
        <v>255</v>
      </c>
      <c r="D727">
        <v>1.95</v>
      </c>
      <c r="E727">
        <v>1.87</v>
      </c>
      <c r="F727" t="s">
        <v>8</v>
      </c>
    </row>
    <row r="728" spans="2:6" x14ac:dyDescent="0.25">
      <c r="B728" t="s">
        <v>292</v>
      </c>
      <c r="C728" t="s">
        <v>255</v>
      </c>
      <c r="D728">
        <v>1.91</v>
      </c>
      <c r="E728">
        <v>1.91</v>
      </c>
      <c r="F728" t="s">
        <v>8</v>
      </c>
    </row>
    <row r="729" spans="2:6" x14ac:dyDescent="0.25">
      <c r="B729" t="s">
        <v>292</v>
      </c>
      <c r="C729" t="s">
        <v>255</v>
      </c>
      <c r="D729">
        <v>2.0499999999999998</v>
      </c>
      <c r="E729">
        <v>1.8</v>
      </c>
      <c r="F729" t="s">
        <v>8</v>
      </c>
    </row>
    <row r="730" spans="2:6" x14ac:dyDescent="0.25">
      <c r="B730" t="s">
        <v>292</v>
      </c>
      <c r="C730" t="s">
        <v>255</v>
      </c>
      <c r="D730">
        <v>1.95</v>
      </c>
      <c r="E730">
        <v>1.87</v>
      </c>
      <c r="F730" t="s">
        <v>8</v>
      </c>
    </row>
    <row r="731" spans="2:6" x14ac:dyDescent="0.25">
      <c r="B731" t="s">
        <v>292</v>
      </c>
      <c r="C731" t="s">
        <v>255</v>
      </c>
      <c r="D731">
        <v>2</v>
      </c>
      <c r="E731">
        <v>1.83</v>
      </c>
      <c r="F731" t="s">
        <v>8</v>
      </c>
    </row>
    <row r="732" spans="2:6" x14ac:dyDescent="0.25">
      <c r="B732" t="s">
        <v>292</v>
      </c>
      <c r="C732" t="s">
        <v>255</v>
      </c>
      <c r="D732">
        <v>1.91</v>
      </c>
      <c r="E732">
        <v>1.91</v>
      </c>
      <c r="F732" t="s">
        <v>8</v>
      </c>
    </row>
    <row r="733" spans="2:6" x14ac:dyDescent="0.25">
      <c r="B733" t="s">
        <v>292</v>
      </c>
      <c r="C733" t="s">
        <v>255</v>
      </c>
      <c r="D733">
        <v>2</v>
      </c>
      <c r="E733">
        <v>1.83</v>
      </c>
      <c r="F733" t="s">
        <v>8</v>
      </c>
    </row>
    <row r="734" spans="2:6" x14ac:dyDescent="0.25">
      <c r="B734" t="s">
        <v>292</v>
      </c>
      <c r="C734" t="s">
        <v>255</v>
      </c>
      <c r="D734">
        <v>2</v>
      </c>
      <c r="E734">
        <v>1.83</v>
      </c>
      <c r="F734" t="s">
        <v>8</v>
      </c>
    </row>
    <row r="735" spans="2:6" x14ac:dyDescent="0.25">
      <c r="B735" t="s">
        <v>256</v>
      </c>
      <c r="C735" t="s">
        <v>257</v>
      </c>
      <c r="D735">
        <v>1.1000000000000001</v>
      </c>
      <c r="E735">
        <v>7.75</v>
      </c>
      <c r="F735" t="s">
        <v>8</v>
      </c>
    </row>
    <row r="736" spans="2:6" x14ac:dyDescent="0.25">
      <c r="B736" t="s">
        <v>256</v>
      </c>
      <c r="C736" t="s">
        <v>257</v>
      </c>
      <c r="D736">
        <v>1.07</v>
      </c>
      <c r="E736">
        <v>9</v>
      </c>
      <c r="F736" t="s">
        <v>8</v>
      </c>
    </row>
    <row r="737" spans="2:6" x14ac:dyDescent="0.25">
      <c r="B737" t="s">
        <v>256</v>
      </c>
      <c r="C737" t="s">
        <v>257</v>
      </c>
      <c r="D737">
        <v>1.08</v>
      </c>
      <c r="E737">
        <v>8</v>
      </c>
      <c r="F737" t="s">
        <v>8</v>
      </c>
    </row>
    <row r="738" spans="2:6" x14ac:dyDescent="0.25">
      <c r="B738" t="s">
        <v>256</v>
      </c>
      <c r="C738" t="s">
        <v>257</v>
      </c>
      <c r="D738">
        <v>1.0900000000000001</v>
      </c>
      <c r="E738">
        <v>8</v>
      </c>
      <c r="F738" t="s">
        <v>8</v>
      </c>
    </row>
    <row r="739" spans="2:6" x14ac:dyDescent="0.25">
      <c r="B739" t="s">
        <v>256</v>
      </c>
      <c r="C739" t="s">
        <v>257</v>
      </c>
      <c r="D739">
        <v>1.0900000000000001</v>
      </c>
      <c r="E739">
        <v>8</v>
      </c>
      <c r="F739" t="s">
        <v>8</v>
      </c>
    </row>
    <row r="740" spans="2:6" x14ac:dyDescent="0.25">
      <c r="B740" t="s">
        <v>256</v>
      </c>
      <c r="C740" t="s">
        <v>257</v>
      </c>
      <c r="D740">
        <v>1.08</v>
      </c>
      <c r="E740">
        <v>8</v>
      </c>
      <c r="F740" t="s">
        <v>8</v>
      </c>
    </row>
    <row r="741" spans="2:6" x14ac:dyDescent="0.25">
      <c r="B741" t="s">
        <v>256</v>
      </c>
      <c r="C741" t="s">
        <v>257</v>
      </c>
      <c r="D741">
        <v>1.0900000000000001</v>
      </c>
      <c r="E741">
        <v>8</v>
      </c>
      <c r="F741" t="s">
        <v>8</v>
      </c>
    </row>
    <row r="742" spans="2:6" x14ac:dyDescent="0.25">
      <c r="B742" t="s">
        <v>256</v>
      </c>
      <c r="C742" t="s">
        <v>257</v>
      </c>
      <c r="D742">
        <v>1.08</v>
      </c>
      <c r="E742">
        <v>8.5</v>
      </c>
      <c r="F742" t="s">
        <v>8</v>
      </c>
    </row>
    <row r="743" spans="2:6" x14ac:dyDescent="0.25">
      <c r="B743" t="s">
        <v>256</v>
      </c>
      <c r="C743" t="s">
        <v>257</v>
      </c>
      <c r="D743">
        <v>1.08</v>
      </c>
      <c r="E743">
        <v>8</v>
      </c>
      <c r="F743" t="s">
        <v>8</v>
      </c>
    </row>
    <row r="744" spans="2:6" x14ac:dyDescent="0.25">
      <c r="B744" t="s">
        <v>256</v>
      </c>
      <c r="C744" t="s">
        <v>257</v>
      </c>
      <c r="D744">
        <v>1.1000000000000001</v>
      </c>
      <c r="E744">
        <v>7.5</v>
      </c>
      <c r="F744" t="s">
        <v>8</v>
      </c>
    </row>
    <row r="745" spans="2:6" x14ac:dyDescent="0.25">
      <c r="B745" t="s">
        <v>256</v>
      </c>
      <c r="C745" t="s">
        <v>257</v>
      </c>
      <c r="D745">
        <v>1.08</v>
      </c>
      <c r="E745">
        <v>8.5</v>
      </c>
      <c r="F745" t="s">
        <v>8</v>
      </c>
    </row>
    <row r="746" spans="2:6" x14ac:dyDescent="0.25">
      <c r="B746" t="s">
        <v>256</v>
      </c>
      <c r="C746" t="s">
        <v>257</v>
      </c>
      <c r="D746">
        <v>1.07</v>
      </c>
      <c r="E746">
        <v>9</v>
      </c>
      <c r="F746" t="s">
        <v>8</v>
      </c>
    </row>
    <row r="747" spans="2:6" x14ac:dyDescent="0.25">
      <c r="B747" t="s">
        <v>115</v>
      </c>
      <c r="C747" t="s">
        <v>258</v>
      </c>
      <c r="D747">
        <v>1.3</v>
      </c>
      <c r="E747">
        <v>3.75</v>
      </c>
      <c r="F747" t="s">
        <v>8</v>
      </c>
    </row>
    <row r="748" spans="2:6" x14ac:dyDescent="0.25">
      <c r="B748" t="s">
        <v>115</v>
      </c>
      <c r="C748" t="s">
        <v>258</v>
      </c>
      <c r="D748">
        <v>1.24</v>
      </c>
      <c r="E748">
        <v>4.2</v>
      </c>
      <c r="F748" t="s">
        <v>8</v>
      </c>
    </row>
    <row r="749" spans="2:6" x14ac:dyDescent="0.25">
      <c r="B749" t="s">
        <v>115</v>
      </c>
      <c r="C749" t="s">
        <v>258</v>
      </c>
      <c r="D749">
        <v>1.3</v>
      </c>
      <c r="E749">
        <v>3.75</v>
      </c>
      <c r="F749" t="s">
        <v>8</v>
      </c>
    </row>
    <row r="750" spans="2:6" x14ac:dyDescent="0.25">
      <c r="B750" t="s">
        <v>438</v>
      </c>
      <c r="C750" t="s">
        <v>117</v>
      </c>
      <c r="D750">
        <v>1.41</v>
      </c>
      <c r="E750">
        <v>2.95</v>
      </c>
      <c r="F750" t="s">
        <v>8</v>
      </c>
    </row>
    <row r="751" spans="2:6" x14ac:dyDescent="0.25">
      <c r="B751" t="s">
        <v>438</v>
      </c>
      <c r="C751" t="s">
        <v>117</v>
      </c>
      <c r="D751">
        <v>1.43</v>
      </c>
      <c r="E751">
        <v>2.88</v>
      </c>
      <c r="F751" t="s">
        <v>8</v>
      </c>
    </row>
    <row r="752" spans="2:6" x14ac:dyDescent="0.25">
      <c r="B752" t="s">
        <v>438</v>
      </c>
      <c r="C752" t="s">
        <v>117</v>
      </c>
      <c r="D752">
        <v>1.41</v>
      </c>
      <c r="E752">
        <v>2.95</v>
      </c>
      <c r="F752" t="s">
        <v>8</v>
      </c>
    </row>
    <row r="753" spans="2:6" x14ac:dyDescent="0.25">
      <c r="B753" t="s">
        <v>124</v>
      </c>
      <c r="C753" t="s">
        <v>399</v>
      </c>
      <c r="D753">
        <v>2.5</v>
      </c>
      <c r="E753">
        <v>1.56</v>
      </c>
      <c r="F753" t="s">
        <v>9</v>
      </c>
    </row>
    <row r="754" spans="2:6" x14ac:dyDescent="0.25">
      <c r="B754" t="s">
        <v>124</v>
      </c>
      <c r="C754" t="s">
        <v>399</v>
      </c>
      <c r="D754">
        <v>2.5</v>
      </c>
      <c r="E754">
        <v>1.56</v>
      </c>
      <c r="F754" t="s">
        <v>9</v>
      </c>
    </row>
    <row r="755" spans="2:6" x14ac:dyDescent="0.25">
      <c r="B755" t="s">
        <v>124</v>
      </c>
      <c r="C755" t="s">
        <v>399</v>
      </c>
      <c r="D755">
        <v>2.5</v>
      </c>
      <c r="E755">
        <v>1.56</v>
      </c>
      <c r="F755" t="s">
        <v>9</v>
      </c>
    </row>
    <row r="756" spans="2:6" x14ac:dyDescent="0.25">
      <c r="B756" t="s">
        <v>124</v>
      </c>
      <c r="C756" t="s">
        <v>399</v>
      </c>
      <c r="D756">
        <v>2.56</v>
      </c>
      <c r="E756">
        <v>1.57</v>
      </c>
      <c r="F756" t="s">
        <v>9</v>
      </c>
    </row>
    <row r="757" spans="2:6" x14ac:dyDescent="0.25">
      <c r="B757" t="s">
        <v>124</v>
      </c>
      <c r="C757" t="s">
        <v>399</v>
      </c>
      <c r="D757">
        <v>2.56</v>
      </c>
      <c r="E757">
        <v>1.57</v>
      </c>
      <c r="F757" t="s">
        <v>9</v>
      </c>
    </row>
    <row r="758" spans="2:6" x14ac:dyDescent="0.25">
      <c r="B758" t="s">
        <v>124</v>
      </c>
      <c r="C758" t="s">
        <v>399</v>
      </c>
      <c r="D758">
        <v>2.5499999999999998</v>
      </c>
      <c r="E758">
        <v>1.56</v>
      </c>
      <c r="F758" t="s">
        <v>9</v>
      </c>
    </row>
    <row r="759" spans="2:6" x14ac:dyDescent="0.25">
      <c r="B759" t="s">
        <v>124</v>
      </c>
      <c r="C759" t="s">
        <v>399</v>
      </c>
      <c r="D759">
        <v>2.5</v>
      </c>
      <c r="E759">
        <v>1.56</v>
      </c>
      <c r="F759" t="s">
        <v>9</v>
      </c>
    </row>
    <row r="760" spans="2:6" x14ac:dyDescent="0.25">
      <c r="B760" t="s">
        <v>124</v>
      </c>
      <c r="C760" t="s">
        <v>399</v>
      </c>
      <c r="D760">
        <v>2.5499999999999998</v>
      </c>
      <c r="E760">
        <v>1.56</v>
      </c>
      <c r="F760" t="s">
        <v>9</v>
      </c>
    </row>
    <row r="761" spans="2:6" x14ac:dyDescent="0.25">
      <c r="B761" t="s">
        <v>124</v>
      </c>
      <c r="C761" t="s">
        <v>399</v>
      </c>
      <c r="D761">
        <v>2.5</v>
      </c>
      <c r="E761">
        <v>1.56</v>
      </c>
      <c r="F761" t="s">
        <v>9</v>
      </c>
    </row>
    <row r="762" spans="2:6" x14ac:dyDescent="0.25">
      <c r="B762" t="s">
        <v>124</v>
      </c>
      <c r="C762" t="s">
        <v>399</v>
      </c>
      <c r="D762">
        <v>2.5</v>
      </c>
      <c r="E762">
        <v>1.54</v>
      </c>
      <c r="F762" t="s">
        <v>9</v>
      </c>
    </row>
    <row r="763" spans="2:6" x14ac:dyDescent="0.25">
      <c r="B763" t="s">
        <v>124</v>
      </c>
      <c r="C763" t="s">
        <v>399</v>
      </c>
      <c r="D763">
        <v>2.5</v>
      </c>
      <c r="E763">
        <v>1.54</v>
      </c>
      <c r="F763" t="s">
        <v>9</v>
      </c>
    </row>
    <row r="764" spans="2:6" x14ac:dyDescent="0.25">
      <c r="B764" t="s">
        <v>124</v>
      </c>
      <c r="C764" t="s">
        <v>399</v>
      </c>
      <c r="D764">
        <v>2.5</v>
      </c>
      <c r="E764">
        <v>1.54</v>
      </c>
      <c r="F764" t="s">
        <v>9</v>
      </c>
    </row>
    <row r="765" spans="2:6" x14ac:dyDescent="0.25">
      <c r="B765" t="s">
        <v>124</v>
      </c>
      <c r="C765" t="s">
        <v>399</v>
      </c>
      <c r="D765">
        <v>2.5</v>
      </c>
      <c r="E765">
        <v>1.56</v>
      </c>
      <c r="F765" t="s">
        <v>9</v>
      </c>
    </row>
    <row r="766" spans="2:6" x14ac:dyDescent="0.25">
      <c r="B766" t="s">
        <v>124</v>
      </c>
      <c r="C766" t="s">
        <v>399</v>
      </c>
      <c r="D766">
        <v>2.42</v>
      </c>
      <c r="E766">
        <v>1.61</v>
      </c>
      <c r="F766" t="s">
        <v>9</v>
      </c>
    </row>
    <row r="767" spans="2:6" x14ac:dyDescent="0.25">
      <c r="B767" t="s">
        <v>124</v>
      </c>
      <c r="C767" t="s">
        <v>399</v>
      </c>
      <c r="D767">
        <v>2.5</v>
      </c>
      <c r="E767">
        <v>1.54</v>
      </c>
      <c r="F767" t="s">
        <v>9</v>
      </c>
    </row>
    <row r="768" spans="2:6" x14ac:dyDescent="0.25">
      <c r="B768" t="s">
        <v>124</v>
      </c>
      <c r="C768" t="s">
        <v>399</v>
      </c>
      <c r="D768">
        <v>2.5</v>
      </c>
      <c r="E768">
        <v>1.57</v>
      </c>
      <c r="F768" t="s">
        <v>9</v>
      </c>
    </row>
    <row r="769" spans="2:6" x14ac:dyDescent="0.25">
      <c r="B769" t="s">
        <v>125</v>
      </c>
      <c r="C769" t="s">
        <v>400</v>
      </c>
      <c r="D769">
        <v>1.75</v>
      </c>
      <c r="E769">
        <v>2.14</v>
      </c>
      <c r="F769" t="s">
        <v>9</v>
      </c>
    </row>
    <row r="770" spans="2:6" x14ac:dyDescent="0.25">
      <c r="B770" t="s">
        <v>125</v>
      </c>
      <c r="C770" t="s">
        <v>400</v>
      </c>
      <c r="D770">
        <v>1.77</v>
      </c>
      <c r="E770">
        <v>2.1</v>
      </c>
      <c r="F770" t="s">
        <v>9</v>
      </c>
    </row>
    <row r="771" spans="2:6" x14ac:dyDescent="0.25">
      <c r="B771" t="s">
        <v>125</v>
      </c>
      <c r="C771" t="s">
        <v>400</v>
      </c>
      <c r="D771">
        <v>1.77</v>
      </c>
      <c r="E771">
        <v>2.1</v>
      </c>
      <c r="F771" t="s">
        <v>9</v>
      </c>
    </row>
    <row r="772" spans="2:6" x14ac:dyDescent="0.25">
      <c r="B772" t="s">
        <v>125</v>
      </c>
      <c r="C772" t="s">
        <v>400</v>
      </c>
      <c r="D772">
        <v>1.77</v>
      </c>
      <c r="E772">
        <v>2.1</v>
      </c>
      <c r="F772" t="s">
        <v>9</v>
      </c>
    </row>
    <row r="773" spans="2:6" x14ac:dyDescent="0.25">
      <c r="B773" t="s">
        <v>125</v>
      </c>
      <c r="C773" t="s">
        <v>400</v>
      </c>
      <c r="D773">
        <v>1.77</v>
      </c>
      <c r="E773">
        <v>2.1</v>
      </c>
      <c r="F773" t="s">
        <v>9</v>
      </c>
    </row>
    <row r="774" spans="2:6" x14ac:dyDescent="0.25">
      <c r="B774" t="s">
        <v>125</v>
      </c>
      <c r="C774" t="s">
        <v>400</v>
      </c>
      <c r="D774">
        <v>1.77</v>
      </c>
      <c r="E774">
        <v>2.1</v>
      </c>
      <c r="F774" t="s">
        <v>9</v>
      </c>
    </row>
    <row r="775" spans="2:6" x14ac:dyDescent="0.25">
      <c r="B775" t="s">
        <v>125</v>
      </c>
      <c r="C775" t="s">
        <v>400</v>
      </c>
      <c r="D775">
        <v>1.77</v>
      </c>
      <c r="E775">
        <v>2.1</v>
      </c>
      <c r="F775" t="s">
        <v>9</v>
      </c>
    </row>
    <row r="776" spans="2:6" x14ac:dyDescent="0.25">
      <c r="B776" t="s">
        <v>125</v>
      </c>
      <c r="C776" t="s">
        <v>400</v>
      </c>
      <c r="D776">
        <v>1.77</v>
      </c>
      <c r="E776">
        <v>2.1</v>
      </c>
      <c r="F776" t="s">
        <v>9</v>
      </c>
    </row>
    <row r="777" spans="2:6" x14ac:dyDescent="0.25">
      <c r="B777" t="s">
        <v>125</v>
      </c>
      <c r="C777" t="s">
        <v>400</v>
      </c>
      <c r="D777">
        <v>1.79</v>
      </c>
      <c r="E777">
        <v>2.04</v>
      </c>
      <c r="F777" t="s">
        <v>9</v>
      </c>
    </row>
    <row r="778" spans="2:6" x14ac:dyDescent="0.25">
      <c r="B778" t="s">
        <v>125</v>
      </c>
      <c r="C778" t="s">
        <v>400</v>
      </c>
      <c r="D778">
        <v>1.79</v>
      </c>
      <c r="E778">
        <v>2.04</v>
      </c>
      <c r="F778" t="s">
        <v>9</v>
      </c>
    </row>
    <row r="779" spans="2:6" x14ac:dyDescent="0.25">
      <c r="B779" t="s">
        <v>125</v>
      </c>
      <c r="C779" t="s">
        <v>400</v>
      </c>
      <c r="D779">
        <v>1.79</v>
      </c>
      <c r="E779">
        <v>2.04</v>
      </c>
      <c r="F779" t="s">
        <v>9</v>
      </c>
    </row>
    <row r="780" spans="2:6" x14ac:dyDescent="0.25">
      <c r="B780" t="s">
        <v>125</v>
      </c>
      <c r="C780" t="s">
        <v>400</v>
      </c>
      <c r="D780">
        <v>1.8</v>
      </c>
      <c r="E780">
        <v>2.0499999999999998</v>
      </c>
      <c r="F780" t="s">
        <v>9</v>
      </c>
    </row>
    <row r="781" spans="2:6" x14ac:dyDescent="0.25">
      <c r="B781" t="s">
        <v>125</v>
      </c>
      <c r="C781" t="s">
        <v>400</v>
      </c>
      <c r="D781">
        <v>1.8</v>
      </c>
      <c r="E781">
        <v>2.0499999999999998</v>
      </c>
      <c r="F781" t="s">
        <v>9</v>
      </c>
    </row>
    <row r="782" spans="2:6" x14ac:dyDescent="0.25">
      <c r="B782" t="s">
        <v>125</v>
      </c>
      <c r="C782" t="s">
        <v>400</v>
      </c>
      <c r="D782">
        <v>1.83</v>
      </c>
      <c r="E782">
        <v>2.04</v>
      </c>
      <c r="F782" t="s">
        <v>9</v>
      </c>
    </row>
    <row r="783" spans="2:6" x14ac:dyDescent="0.25">
      <c r="B783" t="s">
        <v>125</v>
      </c>
      <c r="C783" t="s">
        <v>400</v>
      </c>
      <c r="D783">
        <v>1.77</v>
      </c>
      <c r="E783">
        <v>2.1</v>
      </c>
      <c r="F783" t="s">
        <v>9</v>
      </c>
    </row>
    <row r="784" spans="2:6" x14ac:dyDescent="0.25">
      <c r="B784" t="s">
        <v>125</v>
      </c>
      <c r="C784" t="s">
        <v>400</v>
      </c>
      <c r="D784">
        <v>1.77</v>
      </c>
      <c r="E784">
        <v>2.1</v>
      </c>
      <c r="F784" t="s">
        <v>9</v>
      </c>
    </row>
    <row r="785" spans="2:6" x14ac:dyDescent="0.25">
      <c r="B785" t="s">
        <v>140</v>
      </c>
      <c r="C785" t="s">
        <v>401</v>
      </c>
      <c r="D785">
        <v>2.38</v>
      </c>
      <c r="E785">
        <v>1.61</v>
      </c>
      <c r="F785" t="s">
        <v>9</v>
      </c>
    </row>
    <row r="786" spans="2:6" x14ac:dyDescent="0.25">
      <c r="B786" t="s">
        <v>140</v>
      </c>
      <c r="C786" t="s">
        <v>401</v>
      </c>
      <c r="D786">
        <v>2.4</v>
      </c>
      <c r="E786">
        <v>1.6</v>
      </c>
      <c r="F786" t="s">
        <v>9</v>
      </c>
    </row>
    <row r="787" spans="2:6" x14ac:dyDescent="0.25">
      <c r="B787" t="s">
        <v>140</v>
      </c>
      <c r="C787" t="s">
        <v>401</v>
      </c>
      <c r="D787">
        <v>2.4</v>
      </c>
      <c r="E787">
        <v>1.62</v>
      </c>
      <c r="F787" t="s">
        <v>9</v>
      </c>
    </row>
    <row r="788" spans="2:6" x14ac:dyDescent="0.25">
      <c r="B788" t="s">
        <v>140</v>
      </c>
      <c r="C788" t="s">
        <v>401</v>
      </c>
      <c r="D788">
        <v>2.46</v>
      </c>
      <c r="E788">
        <v>1.6</v>
      </c>
      <c r="F788" t="s">
        <v>9</v>
      </c>
    </row>
    <row r="789" spans="2:6" x14ac:dyDescent="0.25">
      <c r="B789" t="s">
        <v>140</v>
      </c>
      <c r="C789" t="s">
        <v>401</v>
      </c>
      <c r="D789">
        <v>2.46</v>
      </c>
      <c r="E789">
        <v>1.6</v>
      </c>
      <c r="F789" t="s">
        <v>9</v>
      </c>
    </row>
    <row r="790" spans="2:6" x14ac:dyDescent="0.25">
      <c r="B790" t="s">
        <v>140</v>
      </c>
      <c r="C790" t="s">
        <v>401</v>
      </c>
      <c r="D790">
        <v>2.4500000000000002</v>
      </c>
      <c r="E790">
        <v>1.61</v>
      </c>
      <c r="F790" t="s">
        <v>9</v>
      </c>
    </row>
    <row r="791" spans="2:6" x14ac:dyDescent="0.25">
      <c r="B791" t="s">
        <v>140</v>
      </c>
      <c r="C791" t="s">
        <v>401</v>
      </c>
      <c r="D791">
        <v>2.4</v>
      </c>
      <c r="E791">
        <v>1.61</v>
      </c>
      <c r="F791" t="s">
        <v>9</v>
      </c>
    </row>
    <row r="792" spans="2:6" x14ac:dyDescent="0.25">
      <c r="B792" t="s">
        <v>140</v>
      </c>
      <c r="C792" t="s">
        <v>401</v>
      </c>
      <c r="D792">
        <v>2.4</v>
      </c>
      <c r="E792">
        <v>1.61</v>
      </c>
      <c r="F792" t="s">
        <v>9</v>
      </c>
    </row>
    <row r="793" spans="2:6" x14ac:dyDescent="0.25">
      <c r="B793" t="s">
        <v>140</v>
      </c>
      <c r="C793" t="s">
        <v>401</v>
      </c>
      <c r="D793">
        <v>2.4</v>
      </c>
      <c r="E793">
        <v>1.57</v>
      </c>
      <c r="F793" t="s">
        <v>9</v>
      </c>
    </row>
    <row r="794" spans="2:6" x14ac:dyDescent="0.25">
      <c r="B794" t="s">
        <v>140</v>
      </c>
      <c r="C794" t="s">
        <v>401</v>
      </c>
      <c r="D794">
        <v>2.4</v>
      </c>
      <c r="E794">
        <v>1.57</v>
      </c>
      <c r="F794" t="s">
        <v>9</v>
      </c>
    </row>
    <row r="795" spans="2:6" x14ac:dyDescent="0.25">
      <c r="B795" t="s">
        <v>140</v>
      </c>
      <c r="C795" t="s">
        <v>401</v>
      </c>
      <c r="D795">
        <v>2.4</v>
      </c>
      <c r="E795">
        <v>1.57</v>
      </c>
      <c r="F795" t="s">
        <v>9</v>
      </c>
    </row>
    <row r="796" spans="2:6" x14ac:dyDescent="0.25">
      <c r="B796" t="s">
        <v>140</v>
      </c>
      <c r="C796" t="s">
        <v>401</v>
      </c>
      <c r="D796">
        <v>2.4500000000000002</v>
      </c>
      <c r="E796">
        <v>1.61</v>
      </c>
      <c r="F796" t="s">
        <v>9</v>
      </c>
    </row>
    <row r="797" spans="2:6" x14ac:dyDescent="0.25">
      <c r="B797" t="s">
        <v>140</v>
      </c>
      <c r="C797" t="s">
        <v>401</v>
      </c>
      <c r="D797">
        <v>2.4</v>
      </c>
      <c r="E797">
        <v>1.59</v>
      </c>
      <c r="F797" t="s">
        <v>9</v>
      </c>
    </row>
    <row r="798" spans="2:6" x14ac:dyDescent="0.25">
      <c r="B798" t="s">
        <v>140</v>
      </c>
      <c r="C798" t="s">
        <v>401</v>
      </c>
      <c r="D798">
        <v>2.33</v>
      </c>
      <c r="E798">
        <v>1.65</v>
      </c>
      <c r="F798" t="s">
        <v>9</v>
      </c>
    </row>
    <row r="799" spans="2:6" x14ac:dyDescent="0.25">
      <c r="B799" t="s">
        <v>140</v>
      </c>
      <c r="C799" t="s">
        <v>401</v>
      </c>
      <c r="D799">
        <v>2.35</v>
      </c>
      <c r="E799">
        <v>1.62</v>
      </c>
      <c r="F799" t="s">
        <v>9</v>
      </c>
    </row>
    <row r="800" spans="2:6" x14ac:dyDescent="0.25">
      <c r="B800" t="s">
        <v>140</v>
      </c>
      <c r="C800" t="s">
        <v>401</v>
      </c>
      <c r="D800">
        <v>2.4</v>
      </c>
      <c r="E800">
        <v>1.61</v>
      </c>
      <c r="F800" t="s">
        <v>9</v>
      </c>
    </row>
    <row r="801" spans="2:6" x14ac:dyDescent="0.25">
      <c r="B801" t="s">
        <v>127</v>
      </c>
      <c r="C801" t="s">
        <v>401</v>
      </c>
      <c r="D801">
        <v>2.2599999999999998</v>
      </c>
      <c r="E801">
        <v>1.68</v>
      </c>
      <c r="F801" t="s">
        <v>9</v>
      </c>
    </row>
    <row r="802" spans="2:6" x14ac:dyDescent="0.25">
      <c r="B802" t="s">
        <v>127</v>
      </c>
      <c r="C802" t="s">
        <v>401</v>
      </c>
      <c r="D802">
        <v>2.2999999999999998</v>
      </c>
      <c r="E802">
        <v>1.65</v>
      </c>
      <c r="F802" t="s">
        <v>9</v>
      </c>
    </row>
    <row r="803" spans="2:6" x14ac:dyDescent="0.25">
      <c r="B803" t="s">
        <v>127</v>
      </c>
      <c r="C803" t="s">
        <v>401</v>
      </c>
      <c r="D803">
        <v>2.35</v>
      </c>
      <c r="E803">
        <v>1.65</v>
      </c>
      <c r="F803" t="s">
        <v>9</v>
      </c>
    </row>
    <row r="804" spans="2:6" x14ac:dyDescent="0.25">
      <c r="B804" t="s">
        <v>127</v>
      </c>
      <c r="C804" t="s">
        <v>401</v>
      </c>
      <c r="D804">
        <v>2.35</v>
      </c>
      <c r="E804">
        <v>1.64</v>
      </c>
      <c r="F804" t="s">
        <v>9</v>
      </c>
    </row>
    <row r="805" spans="2:6" x14ac:dyDescent="0.25">
      <c r="B805" t="s">
        <v>127</v>
      </c>
      <c r="C805" t="s">
        <v>401</v>
      </c>
      <c r="D805">
        <v>2.35</v>
      </c>
      <c r="E805">
        <v>1.65</v>
      </c>
      <c r="F805" t="s">
        <v>9</v>
      </c>
    </row>
    <row r="806" spans="2:6" x14ac:dyDescent="0.25">
      <c r="B806" t="s">
        <v>127</v>
      </c>
      <c r="C806" t="s">
        <v>401</v>
      </c>
      <c r="D806">
        <v>2.2999999999999998</v>
      </c>
      <c r="E806">
        <v>1.67</v>
      </c>
      <c r="F806" t="s">
        <v>9</v>
      </c>
    </row>
    <row r="807" spans="2:6" x14ac:dyDescent="0.25">
      <c r="B807" t="s">
        <v>127</v>
      </c>
      <c r="C807" t="s">
        <v>401</v>
      </c>
      <c r="D807">
        <v>2.2200000000000002</v>
      </c>
      <c r="E807">
        <v>1.69</v>
      </c>
      <c r="F807" t="s">
        <v>9</v>
      </c>
    </row>
    <row r="808" spans="2:6" x14ac:dyDescent="0.25">
      <c r="B808" t="s">
        <v>127</v>
      </c>
      <c r="C808" t="s">
        <v>401</v>
      </c>
      <c r="D808">
        <v>2.35</v>
      </c>
      <c r="E808">
        <v>1.62</v>
      </c>
      <c r="F808" t="s">
        <v>9</v>
      </c>
    </row>
    <row r="809" spans="2:6" x14ac:dyDescent="0.25">
      <c r="B809" t="s">
        <v>127</v>
      </c>
      <c r="C809" t="s">
        <v>401</v>
      </c>
      <c r="D809">
        <v>2.2000000000000002</v>
      </c>
      <c r="E809">
        <v>1.68</v>
      </c>
      <c r="F809" t="s">
        <v>9</v>
      </c>
    </row>
    <row r="810" spans="2:6" x14ac:dyDescent="0.25">
      <c r="B810" t="s">
        <v>127</v>
      </c>
      <c r="C810" t="s">
        <v>401</v>
      </c>
      <c r="D810">
        <v>2.2000000000000002</v>
      </c>
      <c r="E810">
        <v>1.68</v>
      </c>
      <c r="F810" t="s">
        <v>9</v>
      </c>
    </row>
    <row r="811" spans="2:6" x14ac:dyDescent="0.25">
      <c r="B811" t="s">
        <v>127</v>
      </c>
      <c r="C811" t="s">
        <v>401</v>
      </c>
      <c r="D811">
        <v>2.2000000000000002</v>
      </c>
      <c r="E811">
        <v>1.68</v>
      </c>
      <c r="F811" t="s">
        <v>9</v>
      </c>
    </row>
    <row r="812" spans="2:6" x14ac:dyDescent="0.25">
      <c r="B812" t="s">
        <v>127</v>
      </c>
      <c r="C812" t="s">
        <v>401</v>
      </c>
      <c r="D812">
        <v>2.2999999999999998</v>
      </c>
      <c r="E812">
        <v>1.65</v>
      </c>
      <c r="F812" t="s">
        <v>9</v>
      </c>
    </row>
    <row r="813" spans="2:6" x14ac:dyDescent="0.25">
      <c r="B813" t="s">
        <v>127</v>
      </c>
      <c r="C813" t="s">
        <v>401</v>
      </c>
      <c r="D813">
        <v>2.2999999999999998</v>
      </c>
      <c r="E813">
        <v>1.62</v>
      </c>
      <c r="F813" t="s">
        <v>9</v>
      </c>
    </row>
    <row r="814" spans="2:6" x14ac:dyDescent="0.25">
      <c r="B814" t="s">
        <v>127</v>
      </c>
      <c r="C814" t="s">
        <v>401</v>
      </c>
      <c r="D814">
        <v>2.2000000000000002</v>
      </c>
      <c r="E814">
        <v>1.71</v>
      </c>
      <c r="F814" t="s">
        <v>9</v>
      </c>
    </row>
    <row r="815" spans="2:6" x14ac:dyDescent="0.25">
      <c r="B815" t="s">
        <v>127</v>
      </c>
      <c r="C815" t="s">
        <v>401</v>
      </c>
      <c r="D815">
        <v>2.25</v>
      </c>
      <c r="E815">
        <v>1.67</v>
      </c>
      <c r="F815" t="s">
        <v>9</v>
      </c>
    </row>
    <row r="816" spans="2:6" x14ac:dyDescent="0.25">
      <c r="B816" t="s">
        <v>127</v>
      </c>
      <c r="C816" t="s">
        <v>401</v>
      </c>
      <c r="D816">
        <v>2.25</v>
      </c>
      <c r="E816">
        <v>1.69</v>
      </c>
      <c r="F816" t="s">
        <v>9</v>
      </c>
    </row>
    <row r="817" spans="2:6" x14ac:dyDescent="0.25">
      <c r="B817" t="s">
        <v>128</v>
      </c>
      <c r="C817" t="s">
        <v>401</v>
      </c>
      <c r="D817">
        <v>1.85</v>
      </c>
      <c r="E817">
        <v>2</v>
      </c>
      <c r="F817" t="s">
        <v>9</v>
      </c>
    </row>
    <row r="818" spans="2:6" x14ac:dyDescent="0.25">
      <c r="B818" t="s">
        <v>128</v>
      </c>
      <c r="C818" t="s">
        <v>401</v>
      </c>
      <c r="D818">
        <v>1.87</v>
      </c>
      <c r="E818">
        <v>1.95</v>
      </c>
      <c r="F818" t="s">
        <v>9</v>
      </c>
    </row>
    <row r="819" spans="2:6" x14ac:dyDescent="0.25">
      <c r="B819" t="s">
        <v>128</v>
      </c>
      <c r="C819" t="s">
        <v>401</v>
      </c>
      <c r="D819">
        <v>1.8</v>
      </c>
      <c r="E819">
        <v>2.0499999999999998</v>
      </c>
      <c r="F819" t="s">
        <v>9</v>
      </c>
    </row>
    <row r="820" spans="2:6" x14ac:dyDescent="0.25">
      <c r="B820" t="s">
        <v>128</v>
      </c>
      <c r="C820" t="s">
        <v>401</v>
      </c>
      <c r="D820">
        <v>1.87</v>
      </c>
      <c r="E820">
        <v>1.95</v>
      </c>
      <c r="F820" t="s">
        <v>9</v>
      </c>
    </row>
    <row r="821" spans="2:6" x14ac:dyDescent="0.25">
      <c r="B821" t="s">
        <v>128</v>
      </c>
      <c r="C821" t="s">
        <v>401</v>
      </c>
      <c r="D821">
        <v>1.8</v>
      </c>
      <c r="E821">
        <v>2.0499999999999998</v>
      </c>
      <c r="F821" t="s">
        <v>9</v>
      </c>
    </row>
    <row r="822" spans="2:6" x14ac:dyDescent="0.25">
      <c r="B822" t="s">
        <v>128</v>
      </c>
      <c r="C822" t="s">
        <v>401</v>
      </c>
      <c r="D822">
        <v>1.87</v>
      </c>
      <c r="E822">
        <v>1.95</v>
      </c>
      <c r="F822" t="s">
        <v>9</v>
      </c>
    </row>
    <row r="823" spans="2:6" x14ac:dyDescent="0.25">
      <c r="B823" t="s">
        <v>128</v>
      </c>
      <c r="C823" t="s">
        <v>401</v>
      </c>
      <c r="D823">
        <v>1.87</v>
      </c>
      <c r="E823">
        <v>1.95</v>
      </c>
      <c r="F823" t="s">
        <v>9</v>
      </c>
    </row>
    <row r="824" spans="2:6" x14ac:dyDescent="0.25">
      <c r="B824" t="s">
        <v>128</v>
      </c>
      <c r="C824" t="s">
        <v>401</v>
      </c>
      <c r="D824">
        <v>1.85</v>
      </c>
      <c r="E824">
        <v>1.98</v>
      </c>
      <c r="F824" t="s">
        <v>9</v>
      </c>
    </row>
    <row r="825" spans="2:6" x14ac:dyDescent="0.25">
      <c r="B825" t="s">
        <v>128</v>
      </c>
      <c r="C825" t="s">
        <v>401</v>
      </c>
      <c r="D825">
        <v>1.85</v>
      </c>
      <c r="E825">
        <v>1.98</v>
      </c>
      <c r="F825" t="s">
        <v>9</v>
      </c>
    </row>
    <row r="826" spans="2:6" x14ac:dyDescent="0.25">
      <c r="B826" t="s">
        <v>128</v>
      </c>
      <c r="C826" t="s">
        <v>401</v>
      </c>
      <c r="D826">
        <v>1.85</v>
      </c>
      <c r="E826">
        <v>1.95</v>
      </c>
      <c r="F826" t="s">
        <v>9</v>
      </c>
    </row>
    <row r="827" spans="2:6" x14ac:dyDescent="0.25">
      <c r="B827" t="s">
        <v>128</v>
      </c>
      <c r="C827" t="s">
        <v>401</v>
      </c>
      <c r="D827">
        <v>1.85</v>
      </c>
      <c r="E827">
        <v>1.95</v>
      </c>
      <c r="F827" t="s">
        <v>9</v>
      </c>
    </row>
    <row r="828" spans="2:6" x14ac:dyDescent="0.25">
      <c r="B828" t="s">
        <v>128</v>
      </c>
      <c r="C828" t="s">
        <v>401</v>
      </c>
      <c r="D828">
        <v>1.85</v>
      </c>
      <c r="E828">
        <v>1.95</v>
      </c>
      <c r="F828" t="s">
        <v>9</v>
      </c>
    </row>
    <row r="829" spans="2:6" x14ac:dyDescent="0.25">
      <c r="B829" t="s">
        <v>128</v>
      </c>
      <c r="C829" t="s">
        <v>401</v>
      </c>
      <c r="D829">
        <v>1.86</v>
      </c>
      <c r="E829">
        <v>1.94</v>
      </c>
      <c r="F829" t="s">
        <v>9</v>
      </c>
    </row>
    <row r="830" spans="2:6" x14ac:dyDescent="0.25">
      <c r="B830" t="s">
        <v>128</v>
      </c>
      <c r="C830" t="s">
        <v>401</v>
      </c>
      <c r="D830">
        <v>1.87</v>
      </c>
      <c r="E830">
        <v>1.95</v>
      </c>
      <c r="F830" t="s">
        <v>9</v>
      </c>
    </row>
    <row r="831" spans="2:6" x14ac:dyDescent="0.25">
      <c r="B831" t="s">
        <v>128</v>
      </c>
      <c r="C831" t="s">
        <v>401</v>
      </c>
      <c r="D831">
        <v>1.91</v>
      </c>
      <c r="E831">
        <v>1.91</v>
      </c>
      <c r="F831" t="s">
        <v>9</v>
      </c>
    </row>
    <row r="832" spans="2:6" x14ac:dyDescent="0.25">
      <c r="B832" t="s">
        <v>128</v>
      </c>
      <c r="C832" t="s">
        <v>401</v>
      </c>
      <c r="D832">
        <v>1.83</v>
      </c>
      <c r="E832">
        <v>2</v>
      </c>
      <c r="F832" t="s">
        <v>9</v>
      </c>
    </row>
    <row r="833" spans="2:6" x14ac:dyDescent="0.25">
      <c r="B833" t="s">
        <v>129</v>
      </c>
      <c r="C833" t="s">
        <v>401</v>
      </c>
      <c r="D833">
        <v>1.34</v>
      </c>
      <c r="E833">
        <v>3.35</v>
      </c>
      <c r="F833" t="s">
        <v>9</v>
      </c>
    </row>
    <row r="834" spans="2:6" x14ac:dyDescent="0.25">
      <c r="B834" t="s">
        <v>129</v>
      </c>
      <c r="C834" t="s">
        <v>401</v>
      </c>
      <c r="D834">
        <v>1.34</v>
      </c>
      <c r="E834">
        <v>3.4</v>
      </c>
      <c r="F834" t="s">
        <v>9</v>
      </c>
    </row>
    <row r="835" spans="2:6" x14ac:dyDescent="0.25">
      <c r="B835" t="s">
        <v>129</v>
      </c>
      <c r="C835" t="s">
        <v>401</v>
      </c>
      <c r="D835">
        <v>1.34</v>
      </c>
      <c r="E835">
        <v>3.35</v>
      </c>
      <c r="F835" t="s">
        <v>9</v>
      </c>
    </row>
    <row r="836" spans="2:6" x14ac:dyDescent="0.25">
      <c r="B836" t="s">
        <v>129</v>
      </c>
      <c r="C836" t="s">
        <v>401</v>
      </c>
      <c r="D836">
        <v>1.35</v>
      </c>
      <c r="E836">
        <v>3.39</v>
      </c>
      <c r="F836" t="s">
        <v>9</v>
      </c>
    </row>
    <row r="837" spans="2:6" x14ac:dyDescent="0.25">
      <c r="B837" t="s">
        <v>129</v>
      </c>
      <c r="C837" t="s">
        <v>401</v>
      </c>
      <c r="D837">
        <v>1.35</v>
      </c>
      <c r="E837">
        <v>3.39</v>
      </c>
      <c r="F837" t="s">
        <v>9</v>
      </c>
    </row>
    <row r="838" spans="2:6" x14ac:dyDescent="0.25">
      <c r="B838" t="s">
        <v>129</v>
      </c>
      <c r="C838" t="s">
        <v>401</v>
      </c>
      <c r="D838">
        <v>1.35</v>
      </c>
      <c r="E838">
        <v>3.35</v>
      </c>
      <c r="F838" t="s">
        <v>9</v>
      </c>
    </row>
    <row r="839" spans="2:6" x14ac:dyDescent="0.25">
      <c r="B839" t="s">
        <v>129</v>
      </c>
      <c r="C839" t="s">
        <v>401</v>
      </c>
      <c r="D839">
        <v>1.34</v>
      </c>
      <c r="E839">
        <v>3.35</v>
      </c>
      <c r="F839" t="s">
        <v>9</v>
      </c>
    </row>
    <row r="840" spans="2:6" x14ac:dyDescent="0.25">
      <c r="B840" t="s">
        <v>129</v>
      </c>
      <c r="C840" t="s">
        <v>401</v>
      </c>
      <c r="D840">
        <v>1.36</v>
      </c>
      <c r="E840">
        <v>3.3</v>
      </c>
      <c r="F840" t="s">
        <v>9</v>
      </c>
    </row>
    <row r="841" spans="2:6" x14ac:dyDescent="0.25">
      <c r="B841" t="s">
        <v>129</v>
      </c>
      <c r="C841" t="s">
        <v>401</v>
      </c>
      <c r="D841">
        <v>1.36</v>
      </c>
      <c r="E841">
        <v>3.15</v>
      </c>
      <c r="F841" t="s">
        <v>9</v>
      </c>
    </row>
    <row r="842" spans="2:6" x14ac:dyDescent="0.25">
      <c r="B842" t="s">
        <v>129</v>
      </c>
      <c r="C842" t="s">
        <v>401</v>
      </c>
      <c r="D842">
        <v>1.36</v>
      </c>
      <c r="E842">
        <v>3.15</v>
      </c>
      <c r="F842" t="s">
        <v>9</v>
      </c>
    </row>
    <row r="843" spans="2:6" x14ac:dyDescent="0.25">
      <c r="B843" t="s">
        <v>129</v>
      </c>
      <c r="C843" t="s">
        <v>401</v>
      </c>
      <c r="D843">
        <v>1.36</v>
      </c>
      <c r="E843">
        <v>3.15</v>
      </c>
      <c r="F843" t="s">
        <v>9</v>
      </c>
    </row>
    <row r="844" spans="2:6" x14ac:dyDescent="0.25">
      <c r="B844" t="s">
        <v>129</v>
      </c>
      <c r="C844" t="s">
        <v>401</v>
      </c>
      <c r="D844">
        <v>1.33</v>
      </c>
      <c r="E844">
        <v>3.4</v>
      </c>
      <c r="F844" t="s">
        <v>9</v>
      </c>
    </row>
    <row r="845" spans="2:6" x14ac:dyDescent="0.25">
      <c r="B845" t="s">
        <v>129</v>
      </c>
      <c r="C845" t="s">
        <v>401</v>
      </c>
      <c r="D845">
        <v>1.34</v>
      </c>
      <c r="E845">
        <v>3.3</v>
      </c>
      <c r="F845" t="s">
        <v>9</v>
      </c>
    </row>
    <row r="846" spans="2:6" x14ac:dyDescent="0.25">
      <c r="B846" t="s">
        <v>129</v>
      </c>
      <c r="C846" t="s">
        <v>401</v>
      </c>
      <c r="D846">
        <v>1.34</v>
      </c>
      <c r="E846">
        <v>3.43</v>
      </c>
      <c r="F846" t="s">
        <v>9</v>
      </c>
    </row>
    <row r="847" spans="2:6" x14ac:dyDescent="0.25">
      <c r="B847" t="s">
        <v>129</v>
      </c>
      <c r="C847" t="s">
        <v>401</v>
      </c>
      <c r="D847">
        <v>1.36</v>
      </c>
      <c r="E847">
        <v>3.2</v>
      </c>
      <c r="F847" t="s">
        <v>9</v>
      </c>
    </row>
    <row r="848" spans="2:6" x14ac:dyDescent="0.25">
      <c r="B848" t="s">
        <v>129</v>
      </c>
      <c r="C848" t="s">
        <v>401</v>
      </c>
      <c r="D848">
        <v>1.33</v>
      </c>
      <c r="E848">
        <v>3.5</v>
      </c>
      <c r="F848" t="s">
        <v>9</v>
      </c>
    </row>
    <row r="849" spans="2:6" x14ac:dyDescent="0.25">
      <c r="B849" t="s">
        <v>130</v>
      </c>
      <c r="C849" t="s">
        <v>401</v>
      </c>
      <c r="D849">
        <v>1.38</v>
      </c>
      <c r="E849">
        <v>3.15</v>
      </c>
      <c r="F849" t="s">
        <v>9</v>
      </c>
    </row>
    <row r="850" spans="2:6" x14ac:dyDescent="0.25">
      <c r="B850" t="s">
        <v>130</v>
      </c>
      <c r="C850" t="s">
        <v>401</v>
      </c>
      <c r="D850">
        <v>1.36</v>
      </c>
      <c r="E850">
        <v>3.25</v>
      </c>
      <c r="F850" t="s">
        <v>9</v>
      </c>
    </row>
    <row r="851" spans="2:6" x14ac:dyDescent="0.25">
      <c r="B851" t="s">
        <v>130</v>
      </c>
      <c r="C851" t="s">
        <v>401</v>
      </c>
      <c r="D851">
        <v>1.36</v>
      </c>
      <c r="E851">
        <v>3.25</v>
      </c>
      <c r="F851" t="s">
        <v>9</v>
      </c>
    </row>
    <row r="852" spans="2:6" x14ac:dyDescent="0.25">
      <c r="B852" t="s">
        <v>130</v>
      </c>
      <c r="C852" t="s">
        <v>401</v>
      </c>
      <c r="D852">
        <v>1.36</v>
      </c>
      <c r="E852">
        <v>3.3</v>
      </c>
      <c r="F852" t="s">
        <v>9</v>
      </c>
    </row>
    <row r="853" spans="2:6" x14ac:dyDescent="0.25">
      <c r="B853" t="s">
        <v>130</v>
      </c>
      <c r="C853" t="s">
        <v>401</v>
      </c>
      <c r="D853">
        <v>1.36</v>
      </c>
      <c r="E853">
        <v>3.3</v>
      </c>
      <c r="F853" t="s">
        <v>9</v>
      </c>
    </row>
    <row r="854" spans="2:6" x14ac:dyDescent="0.25">
      <c r="B854" t="s">
        <v>130</v>
      </c>
      <c r="C854" t="s">
        <v>401</v>
      </c>
      <c r="D854">
        <v>1.36</v>
      </c>
      <c r="E854">
        <v>3.25</v>
      </c>
      <c r="F854" t="s">
        <v>9</v>
      </c>
    </row>
    <row r="855" spans="2:6" x14ac:dyDescent="0.25">
      <c r="B855" t="s">
        <v>130</v>
      </c>
      <c r="C855" t="s">
        <v>401</v>
      </c>
      <c r="D855">
        <v>1.35</v>
      </c>
      <c r="E855">
        <v>3.28</v>
      </c>
      <c r="F855" t="s">
        <v>9</v>
      </c>
    </row>
    <row r="856" spans="2:6" x14ac:dyDescent="0.25">
      <c r="B856" t="s">
        <v>130</v>
      </c>
      <c r="C856" t="s">
        <v>401</v>
      </c>
      <c r="D856">
        <v>1.35</v>
      </c>
      <c r="E856">
        <v>3.35</v>
      </c>
      <c r="F856" t="s">
        <v>9</v>
      </c>
    </row>
    <row r="857" spans="2:6" x14ac:dyDescent="0.25">
      <c r="B857" t="s">
        <v>130</v>
      </c>
      <c r="C857" t="s">
        <v>401</v>
      </c>
      <c r="D857">
        <v>1.33</v>
      </c>
      <c r="E857">
        <v>3.35</v>
      </c>
      <c r="F857" t="s">
        <v>9</v>
      </c>
    </row>
    <row r="858" spans="2:6" x14ac:dyDescent="0.25">
      <c r="B858" t="s">
        <v>130</v>
      </c>
      <c r="C858" t="s">
        <v>401</v>
      </c>
      <c r="D858">
        <v>1.33</v>
      </c>
      <c r="E858">
        <v>3.35</v>
      </c>
      <c r="F858" t="s">
        <v>9</v>
      </c>
    </row>
    <row r="859" spans="2:6" x14ac:dyDescent="0.25">
      <c r="B859" t="s">
        <v>130</v>
      </c>
      <c r="C859" t="s">
        <v>401</v>
      </c>
      <c r="D859">
        <v>1.33</v>
      </c>
      <c r="E859">
        <v>3.35</v>
      </c>
      <c r="F859" t="s">
        <v>9</v>
      </c>
    </row>
    <row r="860" spans="2:6" x14ac:dyDescent="0.25">
      <c r="B860" t="s">
        <v>130</v>
      </c>
      <c r="C860" t="s">
        <v>401</v>
      </c>
      <c r="D860">
        <v>1.36</v>
      </c>
      <c r="E860">
        <v>3.2</v>
      </c>
      <c r="F860" t="s">
        <v>9</v>
      </c>
    </row>
    <row r="861" spans="2:6" x14ac:dyDescent="0.25">
      <c r="B861" t="s">
        <v>130</v>
      </c>
      <c r="C861" t="s">
        <v>401</v>
      </c>
      <c r="D861">
        <v>1.34</v>
      </c>
      <c r="E861">
        <v>3.3</v>
      </c>
      <c r="F861" t="s">
        <v>9</v>
      </c>
    </row>
    <row r="862" spans="2:6" x14ac:dyDescent="0.25">
      <c r="B862" t="s">
        <v>130</v>
      </c>
      <c r="C862" t="s">
        <v>401</v>
      </c>
      <c r="D862">
        <v>1.34</v>
      </c>
      <c r="E862">
        <v>3.43</v>
      </c>
      <c r="F862" t="s">
        <v>9</v>
      </c>
    </row>
    <row r="863" spans="2:6" x14ac:dyDescent="0.25">
      <c r="B863" t="s">
        <v>130</v>
      </c>
      <c r="C863" t="s">
        <v>401</v>
      </c>
      <c r="D863">
        <v>1.33</v>
      </c>
      <c r="E863">
        <v>3.4</v>
      </c>
      <c r="F863" t="s">
        <v>9</v>
      </c>
    </row>
    <row r="864" spans="2:6" x14ac:dyDescent="0.25">
      <c r="B864" t="s">
        <v>130</v>
      </c>
      <c r="C864" t="s">
        <v>401</v>
      </c>
      <c r="D864">
        <v>1.36</v>
      </c>
      <c r="E864">
        <v>3.3</v>
      </c>
      <c r="F864" t="s">
        <v>9</v>
      </c>
    </row>
    <row r="865" spans="2:6" x14ac:dyDescent="0.25">
      <c r="B865" t="s">
        <v>131</v>
      </c>
      <c r="C865" t="s">
        <v>401</v>
      </c>
      <c r="D865">
        <v>2.48</v>
      </c>
      <c r="E865">
        <v>1.57</v>
      </c>
      <c r="F865" t="s">
        <v>9</v>
      </c>
    </row>
    <row r="866" spans="2:6" x14ac:dyDescent="0.25">
      <c r="B866" t="s">
        <v>131</v>
      </c>
      <c r="C866" t="s">
        <v>401</v>
      </c>
      <c r="D866">
        <v>2.42</v>
      </c>
      <c r="E866">
        <v>1.59</v>
      </c>
      <c r="F866" t="s">
        <v>9</v>
      </c>
    </row>
    <row r="867" spans="2:6" x14ac:dyDescent="0.25">
      <c r="B867" t="s">
        <v>131</v>
      </c>
      <c r="C867" t="s">
        <v>401</v>
      </c>
      <c r="D867">
        <v>2.5</v>
      </c>
      <c r="E867">
        <v>1.56</v>
      </c>
      <c r="F867" t="s">
        <v>9</v>
      </c>
    </row>
    <row r="868" spans="2:6" x14ac:dyDescent="0.25">
      <c r="B868" t="s">
        <v>131</v>
      </c>
      <c r="C868" t="s">
        <v>401</v>
      </c>
      <c r="D868">
        <v>2.5</v>
      </c>
      <c r="E868">
        <v>1.59</v>
      </c>
      <c r="F868" t="s">
        <v>9</v>
      </c>
    </row>
    <row r="869" spans="2:6" x14ac:dyDescent="0.25">
      <c r="B869" t="s">
        <v>131</v>
      </c>
      <c r="C869" t="s">
        <v>401</v>
      </c>
      <c r="D869">
        <v>2.5</v>
      </c>
      <c r="E869">
        <v>1.59</v>
      </c>
      <c r="F869" t="s">
        <v>9</v>
      </c>
    </row>
    <row r="870" spans="2:6" x14ac:dyDescent="0.25">
      <c r="B870" t="s">
        <v>131</v>
      </c>
      <c r="C870" t="s">
        <v>401</v>
      </c>
      <c r="D870">
        <v>2.48</v>
      </c>
      <c r="E870">
        <v>1.59</v>
      </c>
      <c r="F870" t="s">
        <v>9</v>
      </c>
    </row>
    <row r="871" spans="2:6" x14ac:dyDescent="0.25">
      <c r="B871" t="s">
        <v>131</v>
      </c>
      <c r="C871" t="s">
        <v>401</v>
      </c>
      <c r="D871">
        <v>2.4300000000000002</v>
      </c>
      <c r="E871">
        <v>1.59</v>
      </c>
      <c r="F871" t="s">
        <v>9</v>
      </c>
    </row>
    <row r="872" spans="2:6" x14ac:dyDescent="0.25">
      <c r="B872" t="s">
        <v>131</v>
      </c>
      <c r="C872" t="s">
        <v>401</v>
      </c>
      <c r="D872">
        <v>2.5499999999999998</v>
      </c>
      <c r="E872">
        <v>1.56</v>
      </c>
      <c r="F872" t="s">
        <v>9</v>
      </c>
    </row>
    <row r="873" spans="2:6" x14ac:dyDescent="0.25">
      <c r="B873" t="s">
        <v>131</v>
      </c>
      <c r="C873" t="s">
        <v>401</v>
      </c>
      <c r="D873">
        <v>2.5</v>
      </c>
      <c r="E873">
        <v>1.56</v>
      </c>
      <c r="F873" t="s">
        <v>9</v>
      </c>
    </row>
    <row r="874" spans="2:6" x14ac:dyDescent="0.25">
      <c r="B874" t="s">
        <v>131</v>
      </c>
      <c r="C874" t="s">
        <v>401</v>
      </c>
      <c r="D874">
        <v>2.48</v>
      </c>
      <c r="E874">
        <v>1.56</v>
      </c>
      <c r="F874" t="s">
        <v>9</v>
      </c>
    </row>
    <row r="875" spans="2:6" x14ac:dyDescent="0.25">
      <c r="B875" t="s">
        <v>131</v>
      </c>
      <c r="C875" t="s">
        <v>401</v>
      </c>
      <c r="D875">
        <v>2.48</v>
      </c>
      <c r="E875">
        <v>1.56</v>
      </c>
      <c r="F875" t="s">
        <v>9</v>
      </c>
    </row>
    <row r="876" spans="2:6" x14ac:dyDescent="0.25">
      <c r="B876" t="s">
        <v>131</v>
      </c>
      <c r="C876" t="s">
        <v>401</v>
      </c>
      <c r="D876">
        <v>2.48</v>
      </c>
      <c r="E876">
        <v>1.56</v>
      </c>
      <c r="F876" t="s">
        <v>9</v>
      </c>
    </row>
    <row r="877" spans="2:6" x14ac:dyDescent="0.25">
      <c r="B877" t="s">
        <v>131</v>
      </c>
      <c r="C877" t="s">
        <v>401</v>
      </c>
      <c r="D877">
        <v>2.4500000000000002</v>
      </c>
      <c r="E877">
        <v>1.59</v>
      </c>
      <c r="F877" t="s">
        <v>9</v>
      </c>
    </row>
    <row r="878" spans="2:6" x14ac:dyDescent="0.25">
      <c r="B878" t="s">
        <v>131</v>
      </c>
      <c r="C878" t="s">
        <v>401</v>
      </c>
      <c r="D878">
        <v>2.4500000000000002</v>
      </c>
      <c r="E878">
        <v>1.57</v>
      </c>
      <c r="F878" t="s">
        <v>9</v>
      </c>
    </row>
    <row r="879" spans="2:6" x14ac:dyDescent="0.25">
      <c r="B879" t="s">
        <v>131</v>
      </c>
      <c r="C879" t="s">
        <v>401</v>
      </c>
      <c r="D879">
        <v>2.5</v>
      </c>
      <c r="E879">
        <v>1.57</v>
      </c>
      <c r="F879" t="s">
        <v>9</v>
      </c>
    </row>
    <row r="880" spans="2:6" x14ac:dyDescent="0.25">
      <c r="B880" t="s">
        <v>131</v>
      </c>
      <c r="C880" t="s">
        <v>401</v>
      </c>
      <c r="D880">
        <v>2.4500000000000002</v>
      </c>
      <c r="E880">
        <v>1.59</v>
      </c>
      <c r="F880" t="s">
        <v>9</v>
      </c>
    </row>
    <row r="881" spans="2:6" x14ac:dyDescent="0.25">
      <c r="B881" t="s">
        <v>132</v>
      </c>
      <c r="C881" t="s">
        <v>402</v>
      </c>
      <c r="D881">
        <v>2.08</v>
      </c>
      <c r="E881">
        <v>1.79</v>
      </c>
      <c r="F881" t="s">
        <v>9</v>
      </c>
    </row>
    <row r="882" spans="2:6" x14ac:dyDescent="0.25">
      <c r="B882" t="s">
        <v>132</v>
      </c>
      <c r="C882" t="s">
        <v>402</v>
      </c>
      <c r="D882">
        <v>2.0499999999999998</v>
      </c>
      <c r="E882">
        <v>1.8</v>
      </c>
      <c r="F882" t="s">
        <v>9</v>
      </c>
    </row>
    <row r="883" spans="2:6" x14ac:dyDescent="0.25">
      <c r="B883" t="s">
        <v>132</v>
      </c>
      <c r="C883" t="s">
        <v>402</v>
      </c>
      <c r="D883">
        <v>2.0499999999999998</v>
      </c>
      <c r="E883">
        <v>1.8</v>
      </c>
      <c r="F883" t="s">
        <v>9</v>
      </c>
    </row>
    <row r="884" spans="2:6" x14ac:dyDescent="0.25">
      <c r="B884" t="s">
        <v>132</v>
      </c>
      <c r="C884" t="s">
        <v>402</v>
      </c>
      <c r="D884">
        <v>2.1</v>
      </c>
      <c r="E884">
        <v>1.77</v>
      </c>
      <c r="F884" t="s">
        <v>9</v>
      </c>
    </row>
    <row r="885" spans="2:6" x14ac:dyDescent="0.25">
      <c r="B885" t="s">
        <v>132</v>
      </c>
      <c r="C885" t="s">
        <v>402</v>
      </c>
      <c r="D885">
        <v>2.1</v>
      </c>
      <c r="E885">
        <v>1.77</v>
      </c>
      <c r="F885" t="s">
        <v>9</v>
      </c>
    </row>
    <row r="886" spans="2:6" x14ac:dyDescent="0.25">
      <c r="B886" t="s">
        <v>132</v>
      </c>
      <c r="C886" t="s">
        <v>402</v>
      </c>
      <c r="D886">
        <v>2.1</v>
      </c>
      <c r="E886">
        <v>1.77</v>
      </c>
      <c r="F886" t="s">
        <v>9</v>
      </c>
    </row>
    <row r="887" spans="2:6" x14ac:dyDescent="0.25">
      <c r="B887" t="s">
        <v>132</v>
      </c>
      <c r="C887" t="s">
        <v>402</v>
      </c>
      <c r="D887">
        <v>2.0499999999999998</v>
      </c>
      <c r="E887">
        <v>1.8</v>
      </c>
      <c r="F887" t="s">
        <v>9</v>
      </c>
    </row>
    <row r="888" spans="2:6" x14ac:dyDescent="0.25">
      <c r="B888" t="s">
        <v>132</v>
      </c>
      <c r="C888" t="s">
        <v>402</v>
      </c>
      <c r="D888">
        <v>2.0499999999999998</v>
      </c>
      <c r="E888">
        <v>1.8</v>
      </c>
      <c r="F888" t="s">
        <v>9</v>
      </c>
    </row>
    <row r="889" spans="2:6" x14ac:dyDescent="0.25">
      <c r="B889" t="s">
        <v>132</v>
      </c>
      <c r="C889" t="s">
        <v>402</v>
      </c>
      <c r="D889">
        <v>2</v>
      </c>
      <c r="E889">
        <v>1.83</v>
      </c>
      <c r="F889" t="s">
        <v>9</v>
      </c>
    </row>
    <row r="890" spans="2:6" x14ac:dyDescent="0.25">
      <c r="B890" t="s">
        <v>132</v>
      </c>
      <c r="C890" t="s">
        <v>402</v>
      </c>
      <c r="D890">
        <v>2</v>
      </c>
      <c r="E890">
        <v>1.83</v>
      </c>
      <c r="F890" t="s">
        <v>9</v>
      </c>
    </row>
    <row r="891" spans="2:6" x14ac:dyDescent="0.25">
      <c r="B891" t="s">
        <v>132</v>
      </c>
      <c r="C891" t="s">
        <v>402</v>
      </c>
      <c r="D891">
        <v>2</v>
      </c>
      <c r="E891">
        <v>1.83</v>
      </c>
      <c r="F891" t="s">
        <v>9</v>
      </c>
    </row>
    <row r="892" spans="2:6" x14ac:dyDescent="0.25">
      <c r="B892" t="s">
        <v>132</v>
      </c>
      <c r="C892" t="s">
        <v>402</v>
      </c>
      <c r="D892">
        <v>2.0499999999999998</v>
      </c>
      <c r="E892">
        <v>1.8</v>
      </c>
      <c r="F892" t="s">
        <v>9</v>
      </c>
    </row>
    <row r="893" spans="2:6" x14ac:dyDescent="0.25">
      <c r="B893" t="s">
        <v>132</v>
      </c>
      <c r="C893" t="s">
        <v>402</v>
      </c>
      <c r="D893">
        <v>2.0499999999999998</v>
      </c>
      <c r="E893">
        <v>1.8</v>
      </c>
      <c r="F893" t="s">
        <v>9</v>
      </c>
    </row>
    <row r="894" spans="2:6" x14ac:dyDescent="0.25">
      <c r="B894" t="s">
        <v>132</v>
      </c>
      <c r="C894" t="s">
        <v>402</v>
      </c>
      <c r="D894">
        <v>2</v>
      </c>
      <c r="E894">
        <v>1.86</v>
      </c>
      <c r="F894" t="s">
        <v>9</v>
      </c>
    </row>
    <row r="895" spans="2:6" x14ac:dyDescent="0.25">
      <c r="B895" t="s">
        <v>132</v>
      </c>
      <c r="C895" t="s">
        <v>402</v>
      </c>
      <c r="D895">
        <v>2.0499999999999998</v>
      </c>
      <c r="E895">
        <v>1.8</v>
      </c>
      <c r="F895" t="s">
        <v>9</v>
      </c>
    </row>
    <row r="896" spans="2:6" x14ac:dyDescent="0.25">
      <c r="B896" t="s">
        <v>132</v>
      </c>
      <c r="C896" t="s">
        <v>402</v>
      </c>
      <c r="D896">
        <v>2.0499999999999998</v>
      </c>
      <c r="E896">
        <v>1.8</v>
      </c>
      <c r="F896" t="s">
        <v>9</v>
      </c>
    </row>
    <row r="897" spans="2:6" x14ac:dyDescent="0.25">
      <c r="B897" t="s">
        <v>133</v>
      </c>
      <c r="C897" t="s">
        <v>402</v>
      </c>
      <c r="D897">
        <v>1.63</v>
      </c>
      <c r="E897">
        <v>2.34</v>
      </c>
      <c r="F897" t="s">
        <v>9</v>
      </c>
    </row>
    <row r="898" spans="2:6" x14ac:dyDescent="0.25">
      <c r="B898" t="s">
        <v>133</v>
      </c>
      <c r="C898" t="s">
        <v>402</v>
      </c>
      <c r="D898">
        <v>1.65</v>
      </c>
      <c r="E898">
        <v>2.2999999999999998</v>
      </c>
      <c r="F898" t="s">
        <v>9</v>
      </c>
    </row>
    <row r="899" spans="2:6" x14ac:dyDescent="0.25">
      <c r="B899" t="s">
        <v>133</v>
      </c>
      <c r="C899" t="s">
        <v>402</v>
      </c>
      <c r="D899">
        <v>1.62</v>
      </c>
      <c r="E899">
        <v>2.4</v>
      </c>
      <c r="F899" t="s">
        <v>9</v>
      </c>
    </row>
    <row r="900" spans="2:6" x14ac:dyDescent="0.25">
      <c r="B900" t="s">
        <v>133</v>
      </c>
      <c r="C900" t="s">
        <v>402</v>
      </c>
      <c r="D900">
        <v>1.64</v>
      </c>
      <c r="E900">
        <v>2.35</v>
      </c>
      <c r="F900" t="s">
        <v>9</v>
      </c>
    </row>
    <row r="901" spans="2:6" x14ac:dyDescent="0.25">
      <c r="B901" t="s">
        <v>133</v>
      </c>
      <c r="C901" t="s">
        <v>402</v>
      </c>
      <c r="D901">
        <v>1.65</v>
      </c>
      <c r="E901">
        <v>2.35</v>
      </c>
      <c r="F901" t="s">
        <v>9</v>
      </c>
    </row>
    <row r="902" spans="2:6" x14ac:dyDescent="0.25">
      <c r="B902" t="s">
        <v>133</v>
      </c>
      <c r="C902" t="s">
        <v>402</v>
      </c>
      <c r="D902">
        <v>1.65</v>
      </c>
      <c r="E902">
        <v>2.35</v>
      </c>
      <c r="F902" t="s">
        <v>9</v>
      </c>
    </row>
    <row r="903" spans="2:6" x14ac:dyDescent="0.25">
      <c r="B903" t="s">
        <v>133</v>
      </c>
      <c r="C903" t="s">
        <v>402</v>
      </c>
      <c r="D903">
        <v>1.62</v>
      </c>
      <c r="E903">
        <v>2.35</v>
      </c>
      <c r="F903" t="s">
        <v>9</v>
      </c>
    </row>
    <row r="904" spans="2:6" x14ac:dyDescent="0.25">
      <c r="B904" t="s">
        <v>133</v>
      </c>
      <c r="C904" t="s">
        <v>402</v>
      </c>
      <c r="D904">
        <v>1.61</v>
      </c>
      <c r="E904">
        <v>2.4</v>
      </c>
      <c r="F904" t="s">
        <v>9</v>
      </c>
    </row>
    <row r="905" spans="2:6" x14ac:dyDescent="0.25">
      <c r="B905" t="s">
        <v>133</v>
      </c>
      <c r="C905" t="s">
        <v>402</v>
      </c>
      <c r="D905">
        <v>1.65</v>
      </c>
      <c r="E905">
        <v>2.2799999999999998</v>
      </c>
      <c r="F905" t="s">
        <v>9</v>
      </c>
    </row>
    <row r="906" spans="2:6" x14ac:dyDescent="0.25">
      <c r="B906" t="s">
        <v>133</v>
      </c>
      <c r="C906" t="s">
        <v>402</v>
      </c>
      <c r="D906">
        <v>1.65</v>
      </c>
      <c r="E906">
        <v>2.2799999999999998</v>
      </c>
      <c r="F906" t="s">
        <v>9</v>
      </c>
    </row>
    <row r="907" spans="2:6" x14ac:dyDescent="0.25">
      <c r="B907" t="s">
        <v>133</v>
      </c>
      <c r="C907" t="s">
        <v>402</v>
      </c>
      <c r="D907">
        <v>1.65</v>
      </c>
      <c r="E907">
        <v>2.2799999999999998</v>
      </c>
      <c r="F907" t="s">
        <v>9</v>
      </c>
    </row>
    <row r="908" spans="2:6" x14ac:dyDescent="0.25">
      <c r="B908" t="s">
        <v>133</v>
      </c>
      <c r="C908" t="s">
        <v>402</v>
      </c>
      <c r="D908">
        <v>1.65</v>
      </c>
      <c r="E908">
        <v>2.35</v>
      </c>
      <c r="F908" t="s">
        <v>9</v>
      </c>
    </row>
    <row r="909" spans="2:6" x14ac:dyDescent="0.25">
      <c r="B909" t="s">
        <v>133</v>
      </c>
      <c r="C909" t="s">
        <v>402</v>
      </c>
      <c r="D909">
        <v>1.59</v>
      </c>
      <c r="E909">
        <v>2.4</v>
      </c>
      <c r="F909" t="s">
        <v>9</v>
      </c>
    </row>
    <row r="910" spans="2:6" x14ac:dyDescent="0.25">
      <c r="B910" t="s">
        <v>133</v>
      </c>
      <c r="C910" t="s">
        <v>402</v>
      </c>
      <c r="D910">
        <v>1.69</v>
      </c>
      <c r="E910">
        <v>2.25</v>
      </c>
      <c r="F910" t="s">
        <v>9</v>
      </c>
    </row>
    <row r="911" spans="2:6" x14ac:dyDescent="0.25">
      <c r="B911" t="s">
        <v>133</v>
      </c>
      <c r="C911" t="s">
        <v>402</v>
      </c>
      <c r="D911">
        <v>1.62</v>
      </c>
      <c r="E911">
        <v>2.35</v>
      </c>
      <c r="F911" t="s">
        <v>9</v>
      </c>
    </row>
    <row r="912" spans="2:6" x14ac:dyDescent="0.25">
      <c r="B912" t="s">
        <v>133</v>
      </c>
      <c r="C912" t="s">
        <v>402</v>
      </c>
      <c r="D912">
        <v>1.65</v>
      </c>
      <c r="E912">
        <v>2.35</v>
      </c>
      <c r="F912" t="s">
        <v>9</v>
      </c>
    </row>
    <row r="913" spans="2:6" x14ac:dyDescent="0.25">
      <c r="B913" t="s">
        <v>134</v>
      </c>
      <c r="C913" t="s">
        <v>403</v>
      </c>
      <c r="D913">
        <v>1.05</v>
      </c>
      <c r="E913">
        <v>12</v>
      </c>
      <c r="F913" t="s">
        <v>9</v>
      </c>
    </row>
    <row r="914" spans="2:6" x14ac:dyDescent="0.25">
      <c r="B914" t="s">
        <v>134</v>
      </c>
      <c r="C914" t="s">
        <v>403</v>
      </c>
      <c r="D914">
        <v>1.07</v>
      </c>
      <c r="E914">
        <v>9</v>
      </c>
      <c r="F914" t="s">
        <v>9</v>
      </c>
    </row>
    <row r="915" spans="2:6" x14ac:dyDescent="0.25">
      <c r="B915" t="s">
        <v>134</v>
      </c>
      <c r="C915" t="s">
        <v>403</v>
      </c>
      <c r="D915">
        <v>1.05</v>
      </c>
      <c r="E915">
        <v>11</v>
      </c>
      <c r="F915" t="s">
        <v>9</v>
      </c>
    </row>
    <row r="916" spans="2:6" x14ac:dyDescent="0.25">
      <c r="B916" t="s">
        <v>134</v>
      </c>
      <c r="C916" t="s">
        <v>403</v>
      </c>
      <c r="D916">
        <v>1.06</v>
      </c>
      <c r="E916">
        <v>10</v>
      </c>
      <c r="F916" t="s">
        <v>9</v>
      </c>
    </row>
    <row r="917" spans="2:6" x14ac:dyDescent="0.25">
      <c r="B917" t="s">
        <v>134</v>
      </c>
      <c r="C917" t="s">
        <v>403</v>
      </c>
      <c r="D917">
        <v>1.06</v>
      </c>
      <c r="E917">
        <v>10</v>
      </c>
      <c r="F917" t="s">
        <v>9</v>
      </c>
    </row>
    <row r="918" spans="2:6" x14ac:dyDescent="0.25">
      <c r="B918" t="s">
        <v>134</v>
      </c>
      <c r="C918" t="s">
        <v>403</v>
      </c>
      <c r="D918">
        <v>1.05</v>
      </c>
      <c r="E918">
        <v>11</v>
      </c>
      <c r="F918" t="s">
        <v>9</v>
      </c>
    </row>
    <row r="919" spans="2:6" x14ac:dyDescent="0.25">
      <c r="B919" t="s">
        <v>134</v>
      </c>
      <c r="C919" t="s">
        <v>403</v>
      </c>
      <c r="D919">
        <v>1.06</v>
      </c>
      <c r="E919">
        <v>10.5</v>
      </c>
      <c r="F919" t="s">
        <v>9</v>
      </c>
    </row>
    <row r="920" spans="2:6" x14ac:dyDescent="0.25">
      <c r="B920" t="s">
        <v>134</v>
      </c>
      <c r="C920" t="s">
        <v>403</v>
      </c>
      <c r="D920">
        <v>1.05</v>
      </c>
      <c r="E920">
        <v>10.5</v>
      </c>
      <c r="F920" t="s">
        <v>9</v>
      </c>
    </row>
    <row r="921" spans="2:6" x14ac:dyDescent="0.25">
      <c r="B921" t="s">
        <v>134</v>
      </c>
      <c r="C921" t="s">
        <v>403</v>
      </c>
      <c r="D921">
        <v>1.06</v>
      </c>
      <c r="E921">
        <v>9.5</v>
      </c>
      <c r="F921" t="s">
        <v>9</v>
      </c>
    </row>
    <row r="922" spans="2:6" x14ac:dyDescent="0.25">
      <c r="B922" t="s">
        <v>134</v>
      </c>
      <c r="C922" t="s">
        <v>403</v>
      </c>
      <c r="D922">
        <v>1.06</v>
      </c>
      <c r="E922">
        <v>9.5</v>
      </c>
      <c r="F922" t="s">
        <v>9</v>
      </c>
    </row>
    <row r="923" spans="2:6" x14ac:dyDescent="0.25">
      <c r="B923" t="s">
        <v>134</v>
      </c>
      <c r="C923" t="s">
        <v>403</v>
      </c>
      <c r="D923">
        <v>1.06</v>
      </c>
      <c r="E923">
        <v>9.5</v>
      </c>
      <c r="F923" t="s">
        <v>9</v>
      </c>
    </row>
    <row r="924" spans="2:6" x14ac:dyDescent="0.25">
      <c r="B924" t="s">
        <v>134</v>
      </c>
      <c r="C924" t="s">
        <v>403</v>
      </c>
      <c r="D924">
        <v>1.04</v>
      </c>
      <c r="E924">
        <v>10</v>
      </c>
      <c r="F924" t="s">
        <v>9</v>
      </c>
    </row>
    <row r="925" spans="2:6" x14ac:dyDescent="0.25">
      <c r="B925" t="s">
        <v>134</v>
      </c>
      <c r="C925" t="s">
        <v>403</v>
      </c>
      <c r="D925">
        <v>1.06</v>
      </c>
      <c r="E925">
        <v>11</v>
      </c>
      <c r="F925" t="s">
        <v>9</v>
      </c>
    </row>
    <row r="926" spans="2:6" x14ac:dyDescent="0.25">
      <c r="B926" t="s">
        <v>134</v>
      </c>
      <c r="C926" t="s">
        <v>403</v>
      </c>
      <c r="D926">
        <v>1.06</v>
      </c>
      <c r="E926">
        <v>11</v>
      </c>
      <c r="F926" t="s">
        <v>9</v>
      </c>
    </row>
    <row r="927" spans="2:6" x14ac:dyDescent="0.25">
      <c r="B927" t="s">
        <v>134</v>
      </c>
      <c r="C927" t="s">
        <v>403</v>
      </c>
      <c r="D927">
        <v>1.05</v>
      </c>
      <c r="E927">
        <v>11</v>
      </c>
      <c r="F927" t="s">
        <v>9</v>
      </c>
    </row>
    <row r="928" spans="2:6" x14ac:dyDescent="0.25">
      <c r="B928" t="s">
        <v>134</v>
      </c>
      <c r="C928" t="s">
        <v>403</v>
      </c>
      <c r="D928">
        <v>1.07</v>
      </c>
      <c r="E928">
        <v>9</v>
      </c>
      <c r="F928" t="s">
        <v>9</v>
      </c>
    </row>
    <row r="929" spans="2:6" x14ac:dyDescent="0.25">
      <c r="B929" t="s">
        <v>135</v>
      </c>
      <c r="C929" t="s">
        <v>403</v>
      </c>
      <c r="D929">
        <v>1.33</v>
      </c>
      <c r="E929">
        <v>3.45</v>
      </c>
      <c r="F929" t="s">
        <v>9</v>
      </c>
    </row>
    <row r="930" spans="2:6" x14ac:dyDescent="0.25">
      <c r="B930" t="s">
        <v>135</v>
      </c>
      <c r="C930" t="s">
        <v>403</v>
      </c>
      <c r="D930">
        <v>1.36</v>
      </c>
      <c r="E930">
        <v>3.25</v>
      </c>
      <c r="F930" t="s">
        <v>9</v>
      </c>
    </row>
    <row r="931" spans="2:6" x14ac:dyDescent="0.25">
      <c r="B931" t="s">
        <v>135</v>
      </c>
      <c r="C931" t="s">
        <v>403</v>
      </c>
      <c r="D931">
        <v>1.36</v>
      </c>
      <c r="E931">
        <v>3.25</v>
      </c>
      <c r="F931" t="s">
        <v>9</v>
      </c>
    </row>
    <row r="932" spans="2:6" x14ac:dyDescent="0.25">
      <c r="B932" t="s">
        <v>135</v>
      </c>
      <c r="C932" t="s">
        <v>403</v>
      </c>
      <c r="D932">
        <v>1.34</v>
      </c>
      <c r="E932">
        <v>3.45</v>
      </c>
      <c r="F932" t="s">
        <v>9</v>
      </c>
    </row>
    <row r="933" spans="2:6" x14ac:dyDescent="0.25">
      <c r="B933" t="s">
        <v>135</v>
      </c>
      <c r="C933" t="s">
        <v>403</v>
      </c>
      <c r="D933">
        <v>1.34</v>
      </c>
      <c r="E933">
        <v>3.45</v>
      </c>
      <c r="F933" t="s">
        <v>9</v>
      </c>
    </row>
    <row r="934" spans="2:6" x14ac:dyDescent="0.25">
      <c r="B934" t="s">
        <v>135</v>
      </c>
      <c r="C934" t="s">
        <v>403</v>
      </c>
      <c r="D934">
        <v>1.34</v>
      </c>
      <c r="E934">
        <v>3.4</v>
      </c>
      <c r="F934" t="s">
        <v>9</v>
      </c>
    </row>
    <row r="935" spans="2:6" x14ac:dyDescent="0.25">
      <c r="B935" t="s">
        <v>135</v>
      </c>
      <c r="C935" t="s">
        <v>403</v>
      </c>
      <c r="D935">
        <v>1.36</v>
      </c>
      <c r="E935">
        <v>3.22</v>
      </c>
      <c r="F935" t="s">
        <v>9</v>
      </c>
    </row>
    <row r="936" spans="2:6" x14ac:dyDescent="0.25">
      <c r="B936" t="s">
        <v>135</v>
      </c>
      <c r="C936" t="s">
        <v>403</v>
      </c>
      <c r="D936">
        <v>1.33</v>
      </c>
      <c r="E936">
        <v>3.5</v>
      </c>
      <c r="F936" t="s">
        <v>9</v>
      </c>
    </row>
    <row r="937" spans="2:6" x14ac:dyDescent="0.25">
      <c r="B937" t="s">
        <v>135</v>
      </c>
      <c r="C937" t="s">
        <v>403</v>
      </c>
      <c r="D937">
        <v>1.35</v>
      </c>
      <c r="E937">
        <v>3.2</v>
      </c>
      <c r="F937" t="s">
        <v>9</v>
      </c>
    </row>
    <row r="938" spans="2:6" x14ac:dyDescent="0.25">
      <c r="B938" t="s">
        <v>135</v>
      </c>
      <c r="C938" t="s">
        <v>403</v>
      </c>
      <c r="D938">
        <v>1.35</v>
      </c>
      <c r="E938">
        <v>3.2</v>
      </c>
      <c r="F938" t="s">
        <v>9</v>
      </c>
    </row>
    <row r="939" spans="2:6" x14ac:dyDescent="0.25">
      <c r="B939" t="s">
        <v>135</v>
      </c>
      <c r="C939" t="s">
        <v>403</v>
      </c>
      <c r="D939">
        <v>1.35</v>
      </c>
      <c r="E939">
        <v>3.2</v>
      </c>
      <c r="F939" t="s">
        <v>9</v>
      </c>
    </row>
    <row r="940" spans="2:6" x14ac:dyDescent="0.25">
      <c r="B940" t="s">
        <v>135</v>
      </c>
      <c r="C940" t="s">
        <v>403</v>
      </c>
      <c r="D940">
        <v>1.34</v>
      </c>
      <c r="E940">
        <v>3.3</v>
      </c>
      <c r="F940" t="s">
        <v>9</v>
      </c>
    </row>
    <row r="941" spans="2:6" x14ac:dyDescent="0.25">
      <c r="B941" t="s">
        <v>135</v>
      </c>
      <c r="C941" t="s">
        <v>403</v>
      </c>
      <c r="D941">
        <v>1.4</v>
      </c>
      <c r="E941">
        <v>3</v>
      </c>
      <c r="F941" t="s">
        <v>9</v>
      </c>
    </row>
    <row r="942" spans="2:6" x14ac:dyDescent="0.25">
      <c r="B942" t="s">
        <v>135</v>
      </c>
      <c r="C942" t="s">
        <v>403</v>
      </c>
      <c r="D942">
        <v>1.37</v>
      </c>
      <c r="E942">
        <v>3.25</v>
      </c>
      <c r="F942" t="s">
        <v>9</v>
      </c>
    </row>
    <row r="943" spans="2:6" x14ac:dyDescent="0.25">
      <c r="B943" t="s">
        <v>135</v>
      </c>
      <c r="C943" t="s">
        <v>403</v>
      </c>
      <c r="D943">
        <v>1.36</v>
      </c>
      <c r="E943">
        <v>3.25</v>
      </c>
      <c r="F943" t="s">
        <v>9</v>
      </c>
    </row>
    <row r="944" spans="2:6" x14ac:dyDescent="0.25">
      <c r="B944" t="s">
        <v>135</v>
      </c>
      <c r="C944" t="s">
        <v>403</v>
      </c>
      <c r="D944">
        <v>1.34</v>
      </c>
      <c r="E944">
        <v>3.4</v>
      </c>
      <c r="F944" t="s">
        <v>9</v>
      </c>
    </row>
    <row r="945" spans="2:6" x14ac:dyDescent="0.25">
      <c r="B945" t="s">
        <v>136</v>
      </c>
      <c r="C945" t="s">
        <v>137</v>
      </c>
      <c r="D945">
        <v>1.94</v>
      </c>
      <c r="E945">
        <v>1.91</v>
      </c>
      <c r="F945" t="s">
        <v>9</v>
      </c>
    </row>
    <row r="946" spans="2:6" x14ac:dyDescent="0.25">
      <c r="B946" t="s">
        <v>136</v>
      </c>
      <c r="C946" t="s">
        <v>137</v>
      </c>
      <c r="D946">
        <v>1.98</v>
      </c>
      <c r="E946">
        <v>1.85</v>
      </c>
      <c r="F946" t="s">
        <v>9</v>
      </c>
    </row>
    <row r="947" spans="2:6" x14ac:dyDescent="0.25">
      <c r="B947" t="s">
        <v>136</v>
      </c>
      <c r="C947" t="s">
        <v>137</v>
      </c>
      <c r="D947">
        <v>1.91</v>
      </c>
      <c r="E947">
        <v>1.91</v>
      </c>
      <c r="F947" t="s">
        <v>9</v>
      </c>
    </row>
    <row r="948" spans="2:6" x14ac:dyDescent="0.25">
      <c r="B948" t="s">
        <v>136</v>
      </c>
      <c r="C948" t="s">
        <v>137</v>
      </c>
      <c r="D948">
        <v>1.91</v>
      </c>
      <c r="E948">
        <v>1.91</v>
      </c>
      <c r="F948" t="s">
        <v>9</v>
      </c>
    </row>
    <row r="949" spans="2:6" x14ac:dyDescent="0.25">
      <c r="B949" t="s">
        <v>136</v>
      </c>
      <c r="C949" t="s">
        <v>137</v>
      </c>
      <c r="D949">
        <v>1.91</v>
      </c>
      <c r="E949">
        <v>1.91</v>
      </c>
      <c r="F949" t="s">
        <v>9</v>
      </c>
    </row>
    <row r="950" spans="2:6" x14ac:dyDescent="0.25">
      <c r="B950" t="s">
        <v>136</v>
      </c>
      <c r="C950" t="s">
        <v>137</v>
      </c>
      <c r="D950">
        <v>1.91</v>
      </c>
      <c r="E950">
        <v>1.91</v>
      </c>
      <c r="F950" t="s">
        <v>9</v>
      </c>
    </row>
    <row r="951" spans="2:6" x14ac:dyDescent="0.25">
      <c r="B951" t="s">
        <v>136</v>
      </c>
      <c r="C951" t="s">
        <v>137</v>
      </c>
      <c r="D951">
        <v>1.91</v>
      </c>
      <c r="E951">
        <v>1.91</v>
      </c>
      <c r="F951" t="s">
        <v>9</v>
      </c>
    </row>
    <row r="952" spans="2:6" x14ac:dyDescent="0.25">
      <c r="B952" t="s">
        <v>136</v>
      </c>
      <c r="C952" t="s">
        <v>137</v>
      </c>
      <c r="D952">
        <v>1.91</v>
      </c>
      <c r="E952">
        <v>1.91</v>
      </c>
      <c r="F952" t="s">
        <v>9</v>
      </c>
    </row>
    <row r="953" spans="2:6" x14ac:dyDescent="0.25">
      <c r="B953" t="s">
        <v>136</v>
      </c>
      <c r="C953" t="s">
        <v>137</v>
      </c>
      <c r="D953">
        <v>1.91</v>
      </c>
      <c r="E953">
        <v>1.91</v>
      </c>
      <c r="F953" t="s">
        <v>9</v>
      </c>
    </row>
    <row r="954" spans="2:6" x14ac:dyDescent="0.25">
      <c r="B954" t="s">
        <v>136</v>
      </c>
      <c r="C954" t="s">
        <v>137</v>
      </c>
      <c r="D954">
        <v>1.91</v>
      </c>
      <c r="E954">
        <v>1.91</v>
      </c>
      <c r="F954" t="s">
        <v>9</v>
      </c>
    </row>
    <row r="955" spans="2:6" x14ac:dyDescent="0.25">
      <c r="B955" t="s">
        <v>136</v>
      </c>
      <c r="C955" t="s">
        <v>137</v>
      </c>
      <c r="D955">
        <v>1.93</v>
      </c>
      <c r="E955">
        <v>1.93</v>
      </c>
      <c r="F955" t="s">
        <v>9</v>
      </c>
    </row>
    <row r="956" spans="2:6" x14ac:dyDescent="0.25">
      <c r="B956" t="s">
        <v>136</v>
      </c>
      <c r="C956" t="s">
        <v>137</v>
      </c>
      <c r="D956">
        <v>1.91</v>
      </c>
      <c r="E956">
        <v>1.91</v>
      </c>
      <c r="F956" t="s">
        <v>9</v>
      </c>
    </row>
    <row r="957" spans="2:6" x14ac:dyDescent="0.25">
      <c r="B957" t="s">
        <v>136</v>
      </c>
      <c r="C957" t="s">
        <v>137</v>
      </c>
      <c r="D957">
        <v>1.95</v>
      </c>
      <c r="E957">
        <v>1.87</v>
      </c>
      <c r="F957" t="s">
        <v>9</v>
      </c>
    </row>
    <row r="958" spans="2:6" x14ac:dyDescent="0.25">
      <c r="B958" t="s">
        <v>138</v>
      </c>
      <c r="C958" t="s">
        <v>139</v>
      </c>
      <c r="D958">
        <v>1.29</v>
      </c>
      <c r="E958">
        <v>3.8</v>
      </c>
      <c r="F958" t="s">
        <v>9</v>
      </c>
    </row>
    <row r="959" spans="2:6" x14ac:dyDescent="0.25">
      <c r="B959" t="s">
        <v>138</v>
      </c>
      <c r="C959" t="s">
        <v>139</v>
      </c>
      <c r="D959">
        <v>1.29</v>
      </c>
      <c r="E959">
        <v>3.75</v>
      </c>
      <c r="F959" t="s">
        <v>9</v>
      </c>
    </row>
    <row r="960" spans="2:6" x14ac:dyDescent="0.25">
      <c r="B960" t="s">
        <v>138</v>
      </c>
      <c r="C960" t="s">
        <v>139</v>
      </c>
      <c r="D960">
        <v>1.29</v>
      </c>
      <c r="E960">
        <v>3.75</v>
      </c>
      <c r="F960" t="s">
        <v>9</v>
      </c>
    </row>
    <row r="961" spans="2:6" x14ac:dyDescent="0.25">
      <c r="B961" t="s">
        <v>138</v>
      </c>
      <c r="C961" t="s">
        <v>139</v>
      </c>
      <c r="D961">
        <v>1.3</v>
      </c>
      <c r="E961">
        <v>3.75</v>
      </c>
      <c r="F961" t="s">
        <v>9</v>
      </c>
    </row>
    <row r="962" spans="2:6" x14ac:dyDescent="0.25">
      <c r="B962" t="s">
        <v>138</v>
      </c>
      <c r="C962" t="s">
        <v>139</v>
      </c>
      <c r="D962">
        <v>1.3</v>
      </c>
      <c r="E962">
        <v>3.75</v>
      </c>
      <c r="F962" t="s">
        <v>9</v>
      </c>
    </row>
    <row r="963" spans="2:6" x14ac:dyDescent="0.25">
      <c r="B963" t="s">
        <v>138</v>
      </c>
      <c r="C963" t="s">
        <v>139</v>
      </c>
      <c r="D963">
        <v>1.29</v>
      </c>
      <c r="E963">
        <v>3.8</v>
      </c>
      <c r="F963" t="s">
        <v>9</v>
      </c>
    </row>
    <row r="964" spans="2:6" x14ac:dyDescent="0.25">
      <c r="B964" t="s">
        <v>138</v>
      </c>
      <c r="C964" t="s">
        <v>139</v>
      </c>
      <c r="D964">
        <v>1.29</v>
      </c>
      <c r="E964">
        <v>3.7</v>
      </c>
      <c r="F964" t="s">
        <v>9</v>
      </c>
    </row>
    <row r="965" spans="2:6" x14ac:dyDescent="0.25">
      <c r="B965" t="s">
        <v>138</v>
      </c>
      <c r="C965" t="s">
        <v>139</v>
      </c>
      <c r="D965">
        <v>1.29</v>
      </c>
      <c r="E965">
        <v>3.7</v>
      </c>
      <c r="F965" t="s">
        <v>9</v>
      </c>
    </row>
    <row r="966" spans="2:6" x14ac:dyDescent="0.25">
      <c r="B966" t="s">
        <v>138</v>
      </c>
      <c r="C966" t="s">
        <v>139</v>
      </c>
      <c r="D966">
        <v>1.27</v>
      </c>
      <c r="E966">
        <v>3.8</v>
      </c>
      <c r="F966" t="s">
        <v>9</v>
      </c>
    </row>
    <row r="967" spans="2:6" x14ac:dyDescent="0.25">
      <c r="B967" t="s">
        <v>138</v>
      </c>
      <c r="C967" t="s">
        <v>139</v>
      </c>
      <c r="D967">
        <v>1.27</v>
      </c>
      <c r="E967">
        <v>3.8</v>
      </c>
      <c r="F967" t="s">
        <v>9</v>
      </c>
    </row>
    <row r="968" spans="2:6" x14ac:dyDescent="0.25">
      <c r="B968" t="s">
        <v>138</v>
      </c>
      <c r="C968" t="s">
        <v>139</v>
      </c>
      <c r="D968">
        <v>1.27</v>
      </c>
      <c r="E968">
        <v>3.8</v>
      </c>
      <c r="F968" t="s">
        <v>9</v>
      </c>
    </row>
    <row r="969" spans="2:6" x14ac:dyDescent="0.25">
      <c r="B969" t="s">
        <v>138</v>
      </c>
      <c r="C969" t="s">
        <v>139</v>
      </c>
      <c r="D969">
        <v>1.26</v>
      </c>
      <c r="E969">
        <v>4.0999999999999996</v>
      </c>
      <c r="F969" t="s">
        <v>9</v>
      </c>
    </row>
    <row r="970" spans="2:6" x14ac:dyDescent="0.25">
      <c r="B970" t="s">
        <v>138</v>
      </c>
      <c r="C970" t="s">
        <v>139</v>
      </c>
      <c r="D970">
        <v>1.29</v>
      </c>
      <c r="E970">
        <v>3.8</v>
      </c>
      <c r="F970" t="s">
        <v>9</v>
      </c>
    </row>
    <row r="971" spans="2:6" x14ac:dyDescent="0.25">
      <c r="B971" t="s">
        <v>138</v>
      </c>
      <c r="C971" t="s">
        <v>139</v>
      </c>
      <c r="D971">
        <v>1.27</v>
      </c>
      <c r="E971">
        <v>3.85</v>
      </c>
      <c r="F971" t="s">
        <v>9</v>
      </c>
    </row>
    <row r="972" spans="2:6" x14ac:dyDescent="0.25">
      <c r="B972" t="s">
        <v>138</v>
      </c>
      <c r="C972" t="s">
        <v>139</v>
      </c>
      <c r="D972">
        <v>1.25</v>
      </c>
      <c r="E972">
        <v>4.0999999999999996</v>
      </c>
      <c r="F972" t="s">
        <v>9</v>
      </c>
    </row>
    <row r="973" spans="2:6" x14ac:dyDescent="0.25">
      <c r="B973" t="s">
        <v>138</v>
      </c>
      <c r="C973" t="s">
        <v>139</v>
      </c>
      <c r="D973">
        <v>1.29</v>
      </c>
      <c r="E973">
        <v>3.7</v>
      </c>
      <c r="F973" t="s">
        <v>9</v>
      </c>
    </row>
    <row r="974" spans="2:6" x14ac:dyDescent="0.25">
      <c r="B974" t="s">
        <v>377</v>
      </c>
      <c r="C974" t="s">
        <v>378</v>
      </c>
      <c r="D974">
        <v>1.61</v>
      </c>
      <c r="E974">
        <v>2.38</v>
      </c>
      <c r="F974" t="s">
        <v>9</v>
      </c>
    </row>
    <row r="975" spans="2:6" x14ac:dyDescent="0.25">
      <c r="B975" t="s">
        <v>377</v>
      </c>
      <c r="C975" t="s">
        <v>378</v>
      </c>
      <c r="D975">
        <v>1.65</v>
      </c>
      <c r="E975">
        <v>2.2999999999999998</v>
      </c>
      <c r="F975" t="s">
        <v>9</v>
      </c>
    </row>
    <row r="976" spans="2:6" x14ac:dyDescent="0.25">
      <c r="B976" t="s">
        <v>377</v>
      </c>
      <c r="C976" t="s">
        <v>378</v>
      </c>
      <c r="D976">
        <v>1.62</v>
      </c>
      <c r="E976">
        <v>2.35</v>
      </c>
      <c r="F976" t="s">
        <v>9</v>
      </c>
    </row>
    <row r="977" spans="2:6" x14ac:dyDescent="0.25">
      <c r="B977" t="s">
        <v>377</v>
      </c>
      <c r="C977" t="s">
        <v>378</v>
      </c>
      <c r="D977">
        <v>1.62</v>
      </c>
      <c r="E977">
        <v>2.33</v>
      </c>
      <c r="F977" t="s">
        <v>9</v>
      </c>
    </row>
    <row r="978" spans="2:6" x14ac:dyDescent="0.25">
      <c r="B978" t="s">
        <v>377</v>
      </c>
      <c r="C978" t="s">
        <v>378</v>
      </c>
      <c r="D978">
        <v>1.62</v>
      </c>
      <c r="E978">
        <v>2.33</v>
      </c>
      <c r="F978" t="s">
        <v>9</v>
      </c>
    </row>
    <row r="979" spans="2:6" x14ac:dyDescent="0.25">
      <c r="B979" t="s">
        <v>377</v>
      </c>
      <c r="C979" t="s">
        <v>378</v>
      </c>
      <c r="D979">
        <v>1.62</v>
      </c>
      <c r="E979">
        <v>2.33</v>
      </c>
      <c r="F979" t="s">
        <v>9</v>
      </c>
    </row>
    <row r="980" spans="2:6" x14ac:dyDescent="0.25">
      <c r="B980" t="s">
        <v>379</v>
      </c>
      <c r="C980" t="s">
        <v>380</v>
      </c>
      <c r="D980">
        <v>2.2000000000000002</v>
      </c>
      <c r="E980">
        <v>1.7</v>
      </c>
      <c r="F980" t="s">
        <v>9</v>
      </c>
    </row>
    <row r="981" spans="2:6" x14ac:dyDescent="0.25">
      <c r="B981" t="s">
        <v>379</v>
      </c>
      <c r="C981" t="s">
        <v>380</v>
      </c>
      <c r="D981">
        <v>2.2999999999999998</v>
      </c>
      <c r="E981">
        <v>1.65</v>
      </c>
      <c r="F981" t="s">
        <v>9</v>
      </c>
    </row>
    <row r="982" spans="2:6" x14ac:dyDescent="0.25">
      <c r="B982" t="s">
        <v>379</v>
      </c>
      <c r="C982" t="s">
        <v>380</v>
      </c>
      <c r="D982">
        <v>2.2999999999999998</v>
      </c>
      <c r="E982">
        <v>1.65</v>
      </c>
      <c r="F982" t="s">
        <v>9</v>
      </c>
    </row>
    <row r="983" spans="2:6" x14ac:dyDescent="0.25">
      <c r="B983" t="s">
        <v>379</v>
      </c>
      <c r="C983" t="s">
        <v>380</v>
      </c>
      <c r="D983">
        <v>2.2799999999999998</v>
      </c>
      <c r="E983">
        <v>1.63</v>
      </c>
      <c r="F983" t="s">
        <v>9</v>
      </c>
    </row>
    <row r="984" spans="2:6" x14ac:dyDescent="0.25">
      <c r="B984" t="s">
        <v>379</v>
      </c>
      <c r="C984" t="s">
        <v>380</v>
      </c>
      <c r="D984">
        <v>2.2799999999999998</v>
      </c>
      <c r="E984">
        <v>1.63</v>
      </c>
      <c r="F984" t="s">
        <v>9</v>
      </c>
    </row>
    <row r="985" spans="2:6" x14ac:dyDescent="0.25">
      <c r="B985" t="s">
        <v>379</v>
      </c>
      <c r="C985" t="s">
        <v>380</v>
      </c>
      <c r="D985">
        <v>2.2799999999999998</v>
      </c>
      <c r="E985">
        <v>1.63</v>
      </c>
      <c r="F985" t="s">
        <v>9</v>
      </c>
    </row>
    <row r="986" spans="2:6" x14ac:dyDescent="0.25">
      <c r="B986" t="s">
        <v>381</v>
      </c>
      <c r="C986" t="s">
        <v>380</v>
      </c>
      <c r="D986">
        <v>1.4</v>
      </c>
      <c r="E986">
        <v>3.05</v>
      </c>
      <c r="F986" t="s">
        <v>9</v>
      </c>
    </row>
    <row r="987" spans="2:6" x14ac:dyDescent="0.25">
      <c r="B987" t="s">
        <v>381</v>
      </c>
      <c r="C987" t="s">
        <v>380</v>
      </c>
      <c r="D987">
        <v>1.41</v>
      </c>
      <c r="E987">
        <v>3</v>
      </c>
      <c r="F987" t="s">
        <v>9</v>
      </c>
    </row>
    <row r="988" spans="2:6" x14ac:dyDescent="0.25">
      <c r="B988" t="s">
        <v>381</v>
      </c>
      <c r="C988" t="s">
        <v>380</v>
      </c>
      <c r="D988">
        <v>1.38</v>
      </c>
      <c r="E988">
        <v>3.1</v>
      </c>
      <c r="F988" t="s">
        <v>9</v>
      </c>
    </row>
    <row r="989" spans="2:6" x14ac:dyDescent="0.25">
      <c r="B989" t="s">
        <v>381</v>
      </c>
      <c r="C989" t="s">
        <v>380</v>
      </c>
      <c r="D989">
        <v>1.38</v>
      </c>
      <c r="E989">
        <v>3</v>
      </c>
      <c r="F989" t="s">
        <v>9</v>
      </c>
    </row>
    <row r="990" spans="2:6" x14ac:dyDescent="0.25">
      <c r="B990" t="s">
        <v>381</v>
      </c>
      <c r="C990" t="s">
        <v>380</v>
      </c>
      <c r="D990">
        <v>1.38</v>
      </c>
      <c r="E990">
        <v>3</v>
      </c>
      <c r="F990" t="s">
        <v>9</v>
      </c>
    </row>
    <row r="991" spans="2:6" x14ac:dyDescent="0.25">
      <c r="B991" t="s">
        <v>381</v>
      </c>
      <c r="C991" t="s">
        <v>380</v>
      </c>
      <c r="D991">
        <v>1.38</v>
      </c>
      <c r="E991">
        <v>3</v>
      </c>
      <c r="F991" t="s">
        <v>9</v>
      </c>
    </row>
    <row r="992" spans="2:6" x14ac:dyDescent="0.25">
      <c r="B992" t="s">
        <v>382</v>
      </c>
      <c r="C992" t="s">
        <v>380</v>
      </c>
      <c r="D992">
        <v>4.7</v>
      </c>
      <c r="E992">
        <v>1.21</v>
      </c>
      <c r="F992" t="s">
        <v>9</v>
      </c>
    </row>
    <row r="993" spans="2:6" x14ac:dyDescent="0.25">
      <c r="B993" t="s">
        <v>382</v>
      </c>
      <c r="C993" t="s">
        <v>380</v>
      </c>
      <c r="D993">
        <v>4.5999999999999996</v>
      </c>
      <c r="E993">
        <v>1.21</v>
      </c>
      <c r="F993" t="s">
        <v>9</v>
      </c>
    </row>
    <row r="994" spans="2:6" x14ac:dyDescent="0.25">
      <c r="B994" t="s">
        <v>382</v>
      </c>
      <c r="C994" t="s">
        <v>380</v>
      </c>
      <c r="D994">
        <v>4.5999999999999996</v>
      </c>
      <c r="E994">
        <v>1.21</v>
      </c>
      <c r="F994" t="s">
        <v>9</v>
      </c>
    </row>
    <row r="995" spans="2:6" x14ac:dyDescent="0.25">
      <c r="B995" t="s">
        <v>382</v>
      </c>
      <c r="C995" t="s">
        <v>380</v>
      </c>
      <c r="D995">
        <v>4.5</v>
      </c>
      <c r="E995">
        <v>1.21</v>
      </c>
      <c r="F995" t="s">
        <v>9</v>
      </c>
    </row>
    <row r="996" spans="2:6" x14ac:dyDescent="0.25">
      <c r="B996" t="s">
        <v>382</v>
      </c>
      <c r="C996" t="s">
        <v>380</v>
      </c>
      <c r="D996">
        <v>4.5</v>
      </c>
      <c r="E996">
        <v>1.21</v>
      </c>
      <c r="F996" t="s">
        <v>9</v>
      </c>
    </row>
    <row r="997" spans="2:6" x14ac:dyDescent="0.25">
      <c r="B997" t="s">
        <v>382</v>
      </c>
      <c r="C997" t="s">
        <v>380</v>
      </c>
      <c r="D997">
        <v>4.5</v>
      </c>
      <c r="E997">
        <v>1.21</v>
      </c>
      <c r="F997" t="s">
        <v>9</v>
      </c>
    </row>
    <row r="998" spans="2:6" x14ac:dyDescent="0.25">
      <c r="B998" t="s">
        <v>383</v>
      </c>
      <c r="C998" t="s">
        <v>380</v>
      </c>
      <c r="D998">
        <v>4.0999999999999996</v>
      </c>
      <c r="E998">
        <v>1.26</v>
      </c>
      <c r="F998" t="s">
        <v>9</v>
      </c>
    </row>
    <row r="999" spans="2:6" x14ac:dyDescent="0.25">
      <c r="B999" t="s">
        <v>383</v>
      </c>
      <c r="C999" t="s">
        <v>380</v>
      </c>
      <c r="D999">
        <v>4.0999999999999996</v>
      </c>
      <c r="E999">
        <v>1.25</v>
      </c>
      <c r="F999" t="s">
        <v>9</v>
      </c>
    </row>
    <row r="1000" spans="2:6" x14ac:dyDescent="0.25">
      <c r="B1000" t="s">
        <v>383</v>
      </c>
      <c r="C1000" t="s">
        <v>380</v>
      </c>
      <c r="D1000">
        <v>4.0999999999999996</v>
      </c>
      <c r="E1000">
        <v>1.25</v>
      </c>
      <c r="F1000" t="s">
        <v>9</v>
      </c>
    </row>
    <row r="1001" spans="2:6" x14ac:dyDescent="0.25">
      <c r="B1001" t="s">
        <v>384</v>
      </c>
      <c r="C1001" t="s">
        <v>380</v>
      </c>
      <c r="D1001">
        <v>2.62</v>
      </c>
      <c r="E1001">
        <v>1.52</v>
      </c>
      <c r="F1001" t="s">
        <v>9</v>
      </c>
    </row>
    <row r="1002" spans="2:6" x14ac:dyDescent="0.25">
      <c r="B1002" t="s">
        <v>384</v>
      </c>
      <c r="C1002" t="s">
        <v>380</v>
      </c>
      <c r="D1002">
        <v>2.6</v>
      </c>
      <c r="E1002">
        <v>1.52</v>
      </c>
      <c r="F1002" t="s">
        <v>9</v>
      </c>
    </row>
    <row r="1003" spans="2:6" x14ac:dyDescent="0.25">
      <c r="B1003" t="s">
        <v>384</v>
      </c>
      <c r="C1003" t="s">
        <v>380</v>
      </c>
      <c r="D1003">
        <v>2.75</v>
      </c>
      <c r="E1003">
        <v>1.48</v>
      </c>
      <c r="F1003" t="s">
        <v>9</v>
      </c>
    </row>
    <row r="1004" spans="2:6" x14ac:dyDescent="0.25">
      <c r="B1004" t="s">
        <v>384</v>
      </c>
      <c r="C1004" t="s">
        <v>380</v>
      </c>
      <c r="D1004">
        <v>2.7</v>
      </c>
      <c r="E1004">
        <v>1.48</v>
      </c>
      <c r="F1004" t="s">
        <v>9</v>
      </c>
    </row>
    <row r="1005" spans="2:6" x14ac:dyDescent="0.25">
      <c r="B1005" t="s">
        <v>384</v>
      </c>
      <c r="C1005" t="s">
        <v>380</v>
      </c>
      <c r="D1005">
        <v>2.7</v>
      </c>
      <c r="E1005">
        <v>1.48</v>
      </c>
      <c r="F1005" t="s">
        <v>9</v>
      </c>
    </row>
    <row r="1006" spans="2:6" x14ac:dyDescent="0.25">
      <c r="B1006" t="s">
        <v>384</v>
      </c>
      <c r="C1006" t="s">
        <v>380</v>
      </c>
      <c r="D1006">
        <v>2.7</v>
      </c>
      <c r="E1006">
        <v>1.48</v>
      </c>
      <c r="F1006" t="s">
        <v>9</v>
      </c>
    </row>
    <row r="1007" spans="2:6" x14ac:dyDescent="0.25">
      <c r="B1007" t="s">
        <v>385</v>
      </c>
      <c r="C1007" t="s">
        <v>380</v>
      </c>
      <c r="D1007">
        <v>1.51</v>
      </c>
      <c r="E1007">
        <v>2.66</v>
      </c>
      <c r="F1007" t="s">
        <v>9</v>
      </c>
    </row>
    <row r="1008" spans="2:6" x14ac:dyDescent="0.25">
      <c r="B1008" t="s">
        <v>385</v>
      </c>
      <c r="C1008" t="s">
        <v>380</v>
      </c>
      <c r="D1008">
        <v>1.49</v>
      </c>
      <c r="E1008">
        <v>2.7</v>
      </c>
      <c r="F1008" t="s">
        <v>9</v>
      </c>
    </row>
    <row r="1009" spans="2:6" x14ac:dyDescent="0.25">
      <c r="B1009" t="s">
        <v>385</v>
      </c>
      <c r="C1009" t="s">
        <v>380</v>
      </c>
      <c r="D1009">
        <v>1.49</v>
      </c>
      <c r="E1009">
        <v>2.7</v>
      </c>
      <c r="F1009" t="s">
        <v>9</v>
      </c>
    </row>
    <row r="1010" spans="2:6" x14ac:dyDescent="0.25">
      <c r="B1010" t="s">
        <v>385</v>
      </c>
      <c r="C1010" t="s">
        <v>380</v>
      </c>
      <c r="D1010">
        <v>1.5</v>
      </c>
      <c r="E1010">
        <v>2.63</v>
      </c>
      <c r="F1010" t="s">
        <v>9</v>
      </c>
    </row>
    <row r="1011" spans="2:6" x14ac:dyDescent="0.25">
      <c r="B1011" t="s">
        <v>385</v>
      </c>
      <c r="C1011" t="s">
        <v>380</v>
      </c>
      <c r="D1011">
        <v>1.5</v>
      </c>
      <c r="E1011">
        <v>2.63</v>
      </c>
      <c r="F1011" t="s">
        <v>9</v>
      </c>
    </row>
    <row r="1012" spans="2:6" x14ac:dyDescent="0.25">
      <c r="B1012" t="s">
        <v>385</v>
      </c>
      <c r="C1012" t="s">
        <v>380</v>
      </c>
      <c r="D1012">
        <v>1.5</v>
      </c>
      <c r="E1012">
        <v>2.63</v>
      </c>
      <c r="F1012" t="s">
        <v>9</v>
      </c>
    </row>
    <row r="1013" spans="2:6" x14ac:dyDescent="0.25">
      <c r="B1013" t="s">
        <v>386</v>
      </c>
      <c r="C1013" t="s">
        <v>380</v>
      </c>
      <c r="D1013">
        <v>4.3</v>
      </c>
      <c r="E1013">
        <v>1.24</v>
      </c>
      <c r="F1013" t="s">
        <v>9</v>
      </c>
    </row>
    <row r="1014" spans="2:6" x14ac:dyDescent="0.25">
      <c r="B1014" t="s">
        <v>386</v>
      </c>
      <c r="C1014" t="s">
        <v>380</v>
      </c>
      <c r="D1014">
        <v>3.7</v>
      </c>
      <c r="E1014">
        <v>1.29</v>
      </c>
      <c r="F1014" t="s">
        <v>9</v>
      </c>
    </row>
    <row r="1015" spans="2:6" x14ac:dyDescent="0.25">
      <c r="B1015" t="s">
        <v>386</v>
      </c>
      <c r="C1015" t="s">
        <v>380</v>
      </c>
      <c r="D1015">
        <v>3.75</v>
      </c>
      <c r="E1015">
        <v>1.29</v>
      </c>
      <c r="F1015" t="s">
        <v>9</v>
      </c>
    </row>
    <row r="1016" spans="2:6" x14ac:dyDescent="0.25">
      <c r="B1016" t="s">
        <v>386</v>
      </c>
      <c r="C1016" t="s">
        <v>380</v>
      </c>
      <c r="D1016">
        <v>3.6</v>
      </c>
      <c r="E1016">
        <v>1.3</v>
      </c>
      <c r="F1016" t="s">
        <v>9</v>
      </c>
    </row>
    <row r="1017" spans="2:6" x14ac:dyDescent="0.25">
      <c r="B1017" t="s">
        <v>386</v>
      </c>
      <c r="C1017" t="s">
        <v>380</v>
      </c>
      <c r="D1017">
        <v>3.6</v>
      </c>
      <c r="E1017">
        <v>1.3</v>
      </c>
      <c r="F1017" t="s">
        <v>9</v>
      </c>
    </row>
    <row r="1018" spans="2:6" x14ac:dyDescent="0.25">
      <c r="B1018" t="s">
        <v>386</v>
      </c>
      <c r="C1018" t="s">
        <v>380</v>
      </c>
      <c r="D1018">
        <v>3.6</v>
      </c>
      <c r="E1018">
        <v>1.3</v>
      </c>
      <c r="F1018" t="s">
        <v>9</v>
      </c>
    </row>
    <row r="1019" spans="2:6" x14ac:dyDescent="0.25">
      <c r="B1019" t="s">
        <v>387</v>
      </c>
      <c r="C1019" t="s">
        <v>380</v>
      </c>
      <c r="D1019">
        <v>4.0999999999999996</v>
      </c>
      <c r="E1019">
        <v>1.26</v>
      </c>
      <c r="F1019" t="s">
        <v>9</v>
      </c>
    </row>
    <row r="1020" spans="2:6" x14ac:dyDescent="0.25">
      <c r="B1020" t="s">
        <v>387</v>
      </c>
      <c r="C1020" t="s">
        <v>380</v>
      </c>
      <c r="D1020">
        <v>3.8</v>
      </c>
      <c r="E1020">
        <v>1.28</v>
      </c>
      <c r="F1020" t="s">
        <v>9</v>
      </c>
    </row>
    <row r="1021" spans="2:6" x14ac:dyDescent="0.25">
      <c r="B1021" t="s">
        <v>387</v>
      </c>
      <c r="C1021" t="s">
        <v>380</v>
      </c>
      <c r="D1021">
        <v>3.78</v>
      </c>
      <c r="E1021">
        <v>1.28</v>
      </c>
      <c r="F1021" t="s">
        <v>9</v>
      </c>
    </row>
    <row r="1022" spans="2:6" x14ac:dyDescent="0.25">
      <c r="B1022" t="s">
        <v>437</v>
      </c>
      <c r="C1022" t="s">
        <v>389</v>
      </c>
      <c r="D1022">
        <v>1.18</v>
      </c>
      <c r="E1022">
        <v>5.2</v>
      </c>
      <c r="F1022" t="s">
        <v>9</v>
      </c>
    </row>
    <row r="1023" spans="2:6" x14ac:dyDescent="0.25">
      <c r="B1023" t="s">
        <v>437</v>
      </c>
      <c r="C1023" t="s">
        <v>389</v>
      </c>
      <c r="D1023">
        <v>1.22</v>
      </c>
      <c r="E1023">
        <v>4.5</v>
      </c>
      <c r="F1023" t="s">
        <v>9</v>
      </c>
    </row>
    <row r="1024" spans="2:6" x14ac:dyDescent="0.25">
      <c r="B1024" t="s">
        <v>437</v>
      </c>
      <c r="C1024" t="s">
        <v>389</v>
      </c>
      <c r="D1024">
        <v>1.21</v>
      </c>
      <c r="E1024">
        <v>4.5999999999999996</v>
      </c>
      <c r="F1024" t="s">
        <v>9</v>
      </c>
    </row>
    <row r="1025" spans="2:6" x14ac:dyDescent="0.25">
      <c r="B1025" t="s">
        <v>437</v>
      </c>
      <c r="C1025" t="s">
        <v>389</v>
      </c>
      <c r="D1025">
        <v>1.21</v>
      </c>
      <c r="E1025">
        <v>4.5</v>
      </c>
      <c r="F1025" t="s">
        <v>9</v>
      </c>
    </row>
    <row r="1026" spans="2:6" x14ac:dyDescent="0.25">
      <c r="B1026" t="s">
        <v>437</v>
      </c>
      <c r="C1026" t="s">
        <v>389</v>
      </c>
      <c r="D1026">
        <v>1.21</v>
      </c>
      <c r="E1026">
        <v>4.5</v>
      </c>
      <c r="F1026" t="s">
        <v>9</v>
      </c>
    </row>
    <row r="1027" spans="2:6" x14ac:dyDescent="0.25">
      <c r="B1027" t="s">
        <v>437</v>
      </c>
      <c r="C1027" t="s">
        <v>389</v>
      </c>
      <c r="D1027">
        <v>1.21</v>
      </c>
      <c r="E1027">
        <v>4.5</v>
      </c>
      <c r="F1027" t="s">
        <v>9</v>
      </c>
    </row>
    <row r="1028" spans="2:6" x14ac:dyDescent="0.25">
      <c r="B1028" t="s">
        <v>390</v>
      </c>
      <c r="C1028" t="s">
        <v>391</v>
      </c>
      <c r="D1028">
        <v>1.31</v>
      </c>
      <c r="E1028">
        <v>3.65</v>
      </c>
      <c r="F1028" t="s">
        <v>9</v>
      </c>
    </row>
    <row r="1029" spans="2:6" x14ac:dyDescent="0.25">
      <c r="B1029" t="s">
        <v>390</v>
      </c>
      <c r="C1029" t="s">
        <v>391</v>
      </c>
      <c r="D1029">
        <v>1.37</v>
      </c>
      <c r="E1029">
        <v>3.2</v>
      </c>
      <c r="F1029" t="s">
        <v>9</v>
      </c>
    </row>
    <row r="1030" spans="2:6" x14ac:dyDescent="0.25">
      <c r="B1030" t="s">
        <v>390</v>
      </c>
      <c r="C1030" t="s">
        <v>391</v>
      </c>
      <c r="D1030">
        <v>1.35</v>
      </c>
      <c r="E1030">
        <v>3.28</v>
      </c>
      <c r="F1030" t="s">
        <v>9</v>
      </c>
    </row>
    <row r="1031" spans="2:6" x14ac:dyDescent="0.25">
      <c r="B1031" t="s">
        <v>390</v>
      </c>
      <c r="C1031" t="s">
        <v>391</v>
      </c>
      <c r="D1031">
        <v>1.36</v>
      </c>
      <c r="E1031">
        <v>3.15</v>
      </c>
      <c r="F1031" t="s">
        <v>9</v>
      </c>
    </row>
    <row r="1032" spans="2:6" x14ac:dyDescent="0.25">
      <c r="B1032" t="s">
        <v>390</v>
      </c>
      <c r="C1032" t="s">
        <v>391</v>
      </c>
      <c r="D1032">
        <v>1.36</v>
      </c>
      <c r="E1032">
        <v>3.15</v>
      </c>
      <c r="F1032" t="s">
        <v>9</v>
      </c>
    </row>
    <row r="1033" spans="2:6" x14ac:dyDescent="0.25">
      <c r="B1033" t="s">
        <v>390</v>
      </c>
      <c r="C1033" t="s">
        <v>391</v>
      </c>
      <c r="D1033">
        <v>1.36</v>
      </c>
      <c r="E1033">
        <v>3.15</v>
      </c>
      <c r="F1033" t="s">
        <v>9</v>
      </c>
    </row>
    <row r="1034" spans="2:6" x14ac:dyDescent="0.25">
      <c r="B1034" t="s">
        <v>392</v>
      </c>
      <c r="C1034" t="s">
        <v>391</v>
      </c>
      <c r="D1034">
        <v>2.2599999999999998</v>
      </c>
      <c r="E1034">
        <v>1.68</v>
      </c>
      <c r="F1034" t="s">
        <v>9</v>
      </c>
    </row>
    <row r="1035" spans="2:6" x14ac:dyDescent="0.25">
      <c r="B1035" t="s">
        <v>392</v>
      </c>
      <c r="C1035" t="s">
        <v>391</v>
      </c>
      <c r="D1035">
        <v>2.2400000000000002</v>
      </c>
      <c r="E1035">
        <v>1.68</v>
      </c>
      <c r="F1035" t="s">
        <v>9</v>
      </c>
    </row>
    <row r="1036" spans="2:6" x14ac:dyDescent="0.25">
      <c r="B1036" t="s">
        <v>392</v>
      </c>
      <c r="C1036" t="s">
        <v>391</v>
      </c>
      <c r="D1036">
        <v>2.2999999999999998</v>
      </c>
      <c r="E1036">
        <v>1.65</v>
      </c>
      <c r="F1036" t="s">
        <v>9</v>
      </c>
    </row>
    <row r="1037" spans="2:6" x14ac:dyDescent="0.25">
      <c r="B1037" t="s">
        <v>392</v>
      </c>
      <c r="C1037" t="s">
        <v>391</v>
      </c>
      <c r="D1037">
        <v>2.1800000000000002</v>
      </c>
      <c r="E1037">
        <v>1.7</v>
      </c>
      <c r="F1037" t="s">
        <v>9</v>
      </c>
    </row>
    <row r="1038" spans="2:6" x14ac:dyDescent="0.25">
      <c r="B1038" t="s">
        <v>392</v>
      </c>
      <c r="C1038" t="s">
        <v>391</v>
      </c>
      <c r="D1038">
        <v>2.1800000000000002</v>
      </c>
      <c r="E1038">
        <v>1.7</v>
      </c>
      <c r="F1038" t="s">
        <v>9</v>
      </c>
    </row>
    <row r="1039" spans="2:6" x14ac:dyDescent="0.25">
      <c r="B1039" t="s">
        <v>392</v>
      </c>
      <c r="C1039" t="s">
        <v>391</v>
      </c>
      <c r="D1039">
        <v>2.1800000000000002</v>
      </c>
      <c r="E1039">
        <v>1.7</v>
      </c>
      <c r="F1039" t="s">
        <v>9</v>
      </c>
    </row>
    <row r="1040" spans="2:6" x14ac:dyDescent="0.25">
      <c r="B1040" t="s">
        <v>393</v>
      </c>
      <c r="C1040" t="s">
        <v>394</v>
      </c>
      <c r="D1040">
        <v>1.7</v>
      </c>
      <c r="E1040">
        <v>2.2000000000000002</v>
      </c>
      <c r="F1040" t="s">
        <v>9</v>
      </c>
    </row>
    <row r="1041" spans="2:6" x14ac:dyDescent="0.25">
      <c r="B1041" t="s">
        <v>393</v>
      </c>
      <c r="C1041" t="s">
        <v>394</v>
      </c>
      <c r="D1041">
        <v>1.74</v>
      </c>
      <c r="E1041">
        <v>2.14</v>
      </c>
      <c r="F1041" t="s">
        <v>9</v>
      </c>
    </row>
    <row r="1042" spans="2:6" x14ac:dyDescent="0.25">
      <c r="B1042" t="s">
        <v>393</v>
      </c>
      <c r="C1042" t="s">
        <v>394</v>
      </c>
      <c r="D1042">
        <v>1.74</v>
      </c>
      <c r="E1042">
        <v>2.15</v>
      </c>
      <c r="F1042" t="s">
        <v>9</v>
      </c>
    </row>
    <row r="1043" spans="2:6" x14ac:dyDescent="0.25">
      <c r="B1043" t="s">
        <v>393</v>
      </c>
      <c r="C1043" t="s">
        <v>394</v>
      </c>
      <c r="D1043">
        <v>1.72</v>
      </c>
      <c r="E1043">
        <v>2.15</v>
      </c>
      <c r="F1043" t="s">
        <v>9</v>
      </c>
    </row>
    <row r="1044" spans="2:6" x14ac:dyDescent="0.25">
      <c r="B1044" t="s">
        <v>393</v>
      </c>
      <c r="C1044" t="s">
        <v>394</v>
      </c>
      <c r="D1044">
        <v>1.72</v>
      </c>
      <c r="E1044">
        <v>2.15</v>
      </c>
      <c r="F1044" t="s">
        <v>9</v>
      </c>
    </row>
    <row r="1045" spans="2:6" x14ac:dyDescent="0.25">
      <c r="B1045" t="s">
        <v>393</v>
      </c>
      <c r="C1045" t="s">
        <v>394</v>
      </c>
      <c r="D1045">
        <v>1.72</v>
      </c>
      <c r="E1045">
        <v>2.15</v>
      </c>
      <c r="F1045" t="s">
        <v>9</v>
      </c>
    </row>
    <row r="1046" spans="2:6" x14ac:dyDescent="0.25">
      <c r="B1046" t="s">
        <v>395</v>
      </c>
      <c r="C1046" t="s">
        <v>396</v>
      </c>
      <c r="D1046">
        <v>1.7</v>
      </c>
      <c r="E1046">
        <v>2.2000000000000002</v>
      </c>
      <c r="F1046" t="s">
        <v>9</v>
      </c>
    </row>
    <row r="1047" spans="2:6" x14ac:dyDescent="0.25">
      <c r="B1047" t="s">
        <v>395</v>
      </c>
      <c r="C1047" t="s">
        <v>396</v>
      </c>
      <c r="D1047">
        <v>1.77</v>
      </c>
      <c r="E1047">
        <v>2.1</v>
      </c>
      <c r="F1047" t="s">
        <v>9</v>
      </c>
    </row>
    <row r="1048" spans="2:6" x14ac:dyDescent="0.25">
      <c r="B1048" t="s">
        <v>395</v>
      </c>
      <c r="C1048" t="s">
        <v>396</v>
      </c>
      <c r="D1048">
        <v>1.74</v>
      </c>
      <c r="E1048">
        <v>2.15</v>
      </c>
      <c r="F1048" t="s">
        <v>9</v>
      </c>
    </row>
    <row r="1049" spans="2:6" x14ac:dyDescent="0.25">
      <c r="B1049" t="s">
        <v>395</v>
      </c>
      <c r="C1049" t="s">
        <v>396</v>
      </c>
      <c r="D1049">
        <v>1.74</v>
      </c>
      <c r="E1049">
        <v>2.12</v>
      </c>
      <c r="F1049" t="s">
        <v>9</v>
      </c>
    </row>
    <row r="1050" spans="2:6" x14ac:dyDescent="0.25">
      <c r="B1050" t="s">
        <v>395</v>
      </c>
      <c r="C1050" t="s">
        <v>396</v>
      </c>
      <c r="D1050">
        <v>1.74</v>
      </c>
      <c r="E1050">
        <v>2.12</v>
      </c>
      <c r="F1050" t="s">
        <v>9</v>
      </c>
    </row>
    <row r="1051" spans="2:6" x14ac:dyDescent="0.25">
      <c r="B1051" t="s">
        <v>395</v>
      </c>
      <c r="C1051" t="s">
        <v>396</v>
      </c>
      <c r="D1051">
        <v>1.74</v>
      </c>
      <c r="E1051">
        <v>2.12</v>
      </c>
      <c r="F1051" t="s">
        <v>9</v>
      </c>
    </row>
    <row r="1052" spans="2:6" x14ac:dyDescent="0.25">
      <c r="B1052" t="s">
        <v>59</v>
      </c>
      <c r="C1052" t="s">
        <v>60</v>
      </c>
      <c r="D1052">
        <v>1.43</v>
      </c>
      <c r="E1052">
        <v>2.9</v>
      </c>
      <c r="F1052" t="s">
        <v>10</v>
      </c>
    </row>
    <row r="1053" spans="2:6" x14ac:dyDescent="0.25">
      <c r="B1053" t="s">
        <v>59</v>
      </c>
      <c r="C1053" t="s">
        <v>60</v>
      </c>
      <c r="D1053">
        <v>1.44</v>
      </c>
      <c r="E1053">
        <v>2.9</v>
      </c>
      <c r="F1053" t="s">
        <v>10</v>
      </c>
    </row>
    <row r="1054" spans="2:6" x14ac:dyDescent="0.25">
      <c r="B1054" t="s">
        <v>59</v>
      </c>
      <c r="C1054" t="s">
        <v>60</v>
      </c>
      <c r="D1054">
        <v>1.44</v>
      </c>
      <c r="E1054">
        <v>2.9</v>
      </c>
      <c r="F1054" t="s">
        <v>10</v>
      </c>
    </row>
    <row r="1055" spans="2:6" x14ac:dyDescent="0.25">
      <c r="B1055" t="s">
        <v>59</v>
      </c>
      <c r="C1055" t="s">
        <v>60</v>
      </c>
      <c r="D1055">
        <v>1.43</v>
      </c>
      <c r="E1055">
        <v>2.85</v>
      </c>
      <c r="F1055" t="s">
        <v>10</v>
      </c>
    </row>
    <row r="1056" spans="2:6" x14ac:dyDescent="0.25">
      <c r="B1056" t="s">
        <v>59</v>
      </c>
      <c r="C1056" t="s">
        <v>60</v>
      </c>
      <c r="D1056">
        <v>1.43</v>
      </c>
      <c r="E1056">
        <v>2.85</v>
      </c>
      <c r="F1056" t="s">
        <v>10</v>
      </c>
    </row>
    <row r="1057" spans="2:6" x14ac:dyDescent="0.25">
      <c r="B1057" t="s">
        <v>59</v>
      </c>
      <c r="C1057" t="s">
        <v>60</v>
      </c>
      <c r="D1057">
        <v>1.43</v>
      </c>
      <c r="E1057">
        <v>2.9</v>
      </c>
      <c r="F1057" t="s">
        <v>10</v>
      </c>
    </row>
    <row r="1058" spans="2:6" x14ac:dyDescent="0.25">
      <c r="B1058" t="s">
        <v>59</v>
      </c>
      <c r="C1058" t="s">
        <v>60</v>
      </c>
      <c r="D1058">
        <v>1.45</v>
      </c>
      <c r="E1058">
        <v>2.83</v>
      </c>
      <c r="F1058" t="s">
        <v>10</v>
      </c>
    </row>
    <row r="1059" spans="2:6" x14ac:dyDescent="0.25">
      <c r="B1059" t="s">
        <v>59</v>
      </c>
      <c r="C1059" t="s">
        <v>60</v>
      </c>
      <c r="D1059">
        <v>1.42</v>
      </c>
      <c r="E1059">
        <v>2.95</v>
      </c>
      <c r="F1059" t="s">
        <v>10</v>
      </c>
    </row>
    <row r="1060" spans="2:6" x14ac:dyDescent="0.25">
      <c r="B1060" t="s">
        <v>59</v>
      </c>
      <c r="C1060" t="s">
        <v>60</v>
      </c>
      <c r="D1060">
        <v>1.4</v>
      </c>
      <c r="E1060">
        <v>2.98</v>
      </c>
      <c r="F1060" t="s">
        <v>10</v>
      </c>
    </row>
    <row r="1061" spans="2:6" x14ac:dyDescent="0.25">
      <c r="B1061" t="s">
        <v>59</v>
      </c>
      <c r="C1061" t="s">
        <v>60</v>
      </c>
      <c r="D1061">
        <v>1.44</v>
      </c>
      <c r="E1061">
        <v>2.85</v>
      </c>
      <c r="F1061" t="s">
        <v>10</v>
      </c>
    </row>
    <row r="1062" spans="2:6" x14ac:dyDescent="0.25">
      <c r="B1062" t="s">
        <v>59</v>
      </c>
      <c r="C1062" t="s">
        <v>60</v>
      </c>
      <c r="D1062">
        <v>1.45</v>
      </c>
      <c r="E1062">
        <v>2.8</v>
      </c>
      <c r="F1062" t="s">
        <v>10</v>
      </c>
    </row>
    <row r="1063" spans="2:6" x14ac:dyDescent="0.25">
      <c r="B1063" t="s">
        <v>61</v>
      </c>
      <c r="C1063" t="s">
        <v>60</v>
      </c>
      <c r="D1063">
        <v>3.25</v>
      </c>
      <c r="E1063">
        <v>1.38</v>
      </c>
      <c r="F1063" t="s">
        <v>10</v>
      </c>
    </row>
    <row r="1064" spans="2:6" x14ac:dyDescent="0.25">
      <c r="B1064" t="s">
        <v>61</v>
      </c>
      <c r="C1064" t="s">
        <v>60</v>
      </c>
      <c r="D1064">
        <v>3.05</v>
      </c>
      <c r="E1064">
        <v>1.38</v>
      </c>
      <c r="F1064" t="s">
        <v>10</v>
      </c>
    </row>
    <row r="1065" spans="2:6" x14ac:dyDescent="0.25">
      <c r="B1065" t="s">
        <v>61</v>
      </c>
      <c r="C1065" t="s">
        <v>60</v>
      </c>
      <c r="D1065">
        <v>3.05</v>
      </c>
      <c r="E1065">
        <v>1.38</v>
      </c>
      <c r="F1065" t="s">
        <v>10</v>
      </c>
    </row>
    <row r="1066" spans="2:6" x14ac:dyDescent="0.25">
      <c r="B1066" t="s">
        <v>61</v>
      </c>
      <c r="C1066" t="s">
        <v>60</v>
      </c>
      <c r="D1066">
        <v>3.25</v>
      </c>
      <c r="E1066">
        <v>1.38</v>
      </c>
      <c r="F1066" t="s">
        <v>10</v>
      </c>
    </row>
    <row r="1067" spans="2:6" x14ac:dyDescent="0.25">
      <c r="B1067" t="s">
        <v>61</v>
      </c>
      <c r="C1067" t="s">
        <v>60</v>
      </c>
      <c r="D1067">
        <v>3.15</v>
      </c>
      <c r="E1067">
        <v>1.38</v>
      </c>
      <c r="F1067" t="s">
        <v>10</v>
      </c>
    </row>
    <row r="1068" spans="2:6" x14ac:dyDescent="0.25">
      <c r="B1068" t="s">
        <v>61</v>
      </c>
      <c r="C1068" t="s">
        <v>60</v>
      </c>
      <c r="D1068">
        <v>3.1</v>
      </c>
      <c r="E1068">
        <v>1.38</v>
      </c>
      <c r="F1068" t="s">
        <v>10</v>
      </c>
    </row>
    <row r="1069" spans="2:6" x14ac:dyDescent="0.25">
      <c r="B1069" t="s">
        <v>61</v>
      </c>
      <c r="C1069" t="s">
        <v>60</v>
      </c>
      <c r="D1069">
        <v>3.2</v>
      </c>
      <c r="E1069">
        <v>1.37</v>
      </c>
      <c r="F1069" t="s">
        <v>10</v>
      </c>
    </row>
    <row r="1070" spans="2:6" x14ac:dyDescent="0.25">
      <c r="B1070" t="s">
        <v>61</v>
      </c>
      <c r="C1070" t="s">
        <v>60</v>
      </c>
      <c r="D1070">
        <v>3.1</v>
      </c>
      <c r="E1070">
        <v>1.38</v>
      </c>
      <c r="F1070" t="s">
        <v>10</v>
      </c>
    </row>
    <row r="1071" spans="2:6" x14ac:dyDescent="0.25">
      <c r="B1071" t="s">
        <v>61</v>
      </c>
      <c r="C1071" t="s">
        <v>60</v>
      </c>
      <c r="D1071">
        <v>3.15</v>
      </c>
      <c r="E1071">
        <v>1.38</v>
      </c>
      <c r="F1071" t="s">
        <v>10</v>
      </c>
    </row>
    <row r="1072" spans="2:6" x14ac:dyDescent="0.25">
      <c r="B1072" t="s">
        <v>61</v>
      </c>
      <c r="C1072" t="s">
        <v>60</v>
      </c>
      <c r="D1072">
        <v>3.1</v>
      </c>
      <c r="E1072">
        <v>1.38</v>
      </c>
      <c r="F1072" t="s">
        <v>10</v>
      </c>
    </row>
    <row r="1073" spans="2:6" x14ac:dyDescent="0.25">
      <c r="B1073" t="s">
        <v>61</v>
      </c>
      <c r="C1073" t="s">
        <v>60</v>
      </c>
      <c r="D1073">
        <v>3</v>
      </c>
      <c r="E1073">
        <v>1.4</v>
      </c>
      <c r="F1073" t="s">
        <v>10</v>
      </c>
    </row>
    <row r="1074" spans="2:6" x14ac:dyDescent="0.25">
      <c r="B1074" t="s">
        <v>62</v>
      </c>
      <c r="C1074" t="s">
        <v>60</v>
      </c>
      <c r="D1074">
        <v>1.77</v>
      </c>
      <c r="E1074">
        <v>2.1</v>
      </c>
      <c r="F1074" t="s">
        <v>10</v>
      </c>
    </row>
    <row r="1075" spans="2:6" x14ac:dyDescent="0.25">
      <c r="B1075" t="s">
        <v>62</v>
      </c>
      <c r="C1075" t="s">
        <v>60</v>
      </c>
      <c r="D1075">
        <v>1.83</v>
      </c>
      <c r="E1075">
        <v>1.97</v>
      </c>
      <c r="F1075" t="s">
        <v>10</v>
      </c>
    </row>
    <row r="1076" spans="2:6" x14ac:dyDescent="0.25">
      <c r="B1076" t="s">
        <v>62</v>
      </c>
      <c r="C1076" t="s">
        <v>60</v>
      </c>
      <c r="D1076">
        <v>1.83</v>
      </c>
      <c r="E1076">
        <v>1.97</v>
      </c>
      <c r="F1076" t="s">
        <v>10</v>
      </c>
    </row>
    <row r="1077" spans="2:6" x14ac:dyDescent="0.25">
      <c r="B1077" t="s">
        <v>62</v>
      </c>
      <c r="C1077" t="s">
        <v>60</v>
      </c>
      <c r="D1077">
        <v>1.77</v>
      </c>
      <c r="E1077">
        <v>2.1</v>
      </c>
      <c r="F1077" t="s">
        <v>10</v>
      </c>
    </row>
    <row r="1078" spans="2:6" x14ac:dyDescent="0.25">
      <c r="B1078" t="s">
        <v>62</v>
      </c>
      <c r="C1078" t="s">
        <v>60</v>
      </c>
      <c r="D1078">
        <v>1.77</v>
      </c>
      <c r="E1078">
        <v>2.1</v>
      </c>
      <c r="F1078" t="s">
        <v>10</v>
      </c>
    </row>
    <row r="1079" spans="2:6" x14ac:dyDescent="0.25">
      <c r="B1079" t="s">
        <v>62</v>
      </c>
      <c r="C1079" t="s">
        <v>60</v>
      </c>
      <c r="D1079">
        <v>1.77</v>
      </c>
      <c r="E1079">
        <v>2.1</v>
      </c>
      <c r="F1079" t="s">
        <v>10</v>
      </c>
    </row>
    <row r="1080" spans="2:6" x14ac:dyDescent="0.25">
      <c r="B1080" t="s">
        <v>62</v>
      </c>
      <c r="C1080" t="s">
        <v>60</v>
      </c>
      <c r="D1080">
        <v>1.77</v>
      </c>
      <c r="E1080">
        <v>2.1</v>
      </c>
      <c r="F1080" t="s">
        <v>10</v>
      </c>
    </row>
    <row r="1081" spans="2:6" x14ac:dyDescent="0.25">
      <c r="B1081" t="s">
        <v>62</v>
      </c>
      <c r="C1081" t="s">
        <v>60</v>
      </c>
      <c r="D1081">
        <v>1.8</v>
      </c>
      <c r="E1081">
        <v>2.0499999999999998</v>
      </c>
      <c r="F1081" t="s">
        <v>10</v>
      </c>
    </row>
    <row r="1082" spans="2:6" x14ac:dyDescent="0.25">
      <c r="B1082" t="s">
        <v>62</v>
      </c>
      <c r="C1082" t="s">
        <v>60</v>
      </c>
      <c r="D1082">
        <v>1.77</v>
      </c>
      <c r="E1082">
        <v>2.02</v>
      </c>
      <c r="F1082" t="s">
        <v>10</v>
      </c>
    </row>
    <row r="1083" spans="2:6" x14ac:dyDescent="0.25">
      <c r="B1083" t="s">
        <v>62</v>
      </c>
      <c r="C1083" t="s">
        <v>60</v>
      </c>
      <c r="D1083">
        <v>1.8</v>
      </c>
      <c r="E1083">
        <v>2.0499999999999998</v>
      </c>
      <c r="F1083" t="s">
        <v>10</v>
      </c>
    </row>
    <row r="1084" spans="2:6" x14ac:dyDescent="0.25">
      <c r="B1084" t="s">
        <v>62</v>
      </c>
      <c r="C1084" t="s">
        <v>60</v>
      </c>
      <c r="D1084">
        <v>1.74</v>
      </c>
      <c r="E1084">
        <v>2.1</v>
      </c>
      <c r="F1084" t="s">
        <v>10</v>
      </c>
    </row>
    <row r="1085" spans="2:6" x14ac:dyDescent="0.25">
      <c r="B1085" t="s">
        <v>63</v>
      </c>
      <c r="C1085" t="s">
        <v>64</v>
      </c>
      <c r="D1085">
        <v>1.48</v>
      </c>
      <c r="E1085">
        <v>2.7</v>
      </c>
      <c r="F1085" t="s">
        <v>10</v>
      </c>
    </row>
    <row r="1086" spans="2:6" x14ac:dyDescent="0.25">
      <c r="B1086" t="s">
        <v>63</v>
      </c>
      <c r="C1086" t="s">
        <v>64</v>
      </c>
      <c r="D1086">
        <v>1.46</v>
      </c>
      <c r="E1086">
        <v>2.85</v>
      </c>
      <c r="F1086" t="s">
        <v>10</v>
      </c>
    </row>
    <row r="1087" spans="2:6" x14ac:dyDescent="0.25">
      <c r="B1087" t="s">
        <v>63</v>
      </c>
      <c r="C1087" t="s">
        <v>64</v>
      </c>
      <c r="D1087">
        <v>1.5</v>
      </c>
      <c r="E1087">
        <v>2.5499999999999998</v>
      </c>
      <c r="F1087" t="s">
        <v>10</v>
      </c>
    </row>
    <row r="1088" spans="2:6" x14ac:dyDescent="0.25">
      <c r="B1088" t="s">
        <v>63</v>
      </c>
      <c r="C1088" t="s">
        <v>64</v>
      </c>
      <c r="D1088">
        <v>1.5</v>
      </c>
      <c r="E1088">
        <v>2.5499999999999998</v>
      </c>
      <c r="F1088" t="s">
        <v>10</v>
      </c>
    </row>
    <row r="1089" spans="2:6" x14ac:dyDescent="0.25">
      <c r="B1089" t="s">
        <v>63</v>
      </c>
      <c r="C1089" t="s">
        <v>64</v>
      </c>
      <c r="D1089">
        <v>1.46</v>
      </c>
      <c r="E1089">
        <v>2.85</v>
      </c>
      <c r="F1089" t="s">
        <v>10</v>
      </c>
    </row>
    <row r="1090" spans="2:6" x14ac:dyDescent="0.25">
      <c r="B1090" t="s">
        <v>63</v>
      </c>
      <c r="C1090" t="s">
        <v>64</v>
      </c>
      <c r="D1090">
        <v>1.48</v>
      </c>
      <c r="E1090">
        <v>2.75</v>
      </c>
      <c r="F1090" t="s">
        <v>10</v>
      </c>
    </row>
    <row r="1091" spans="2:6" x14ac:dyDescent="0.25">
      <c r="B1091" t="s">
        <v>63</v>
      </c>
      <c r="C1091" t="s">
        <v>64</v>
      </c>
      <c r="D1091">
        <v>1.49</v>
      </c>
      <c r="E1091">
        <v>2.8</v>
      </c>
      <c r="F1091" t="s">
        <v>10</v>
      </c>
    </row>
    <row r="1092" spans="2:6" x14ac:dyDescent="0.25">
      <c r="B1092" t="s">
        <v>63</v>
      </c>
      <c r="C1092" t="s">
        <v>64</v>
      </c>
      <c r="D1092">
        <v>1.52</v>
      </c>
      <c r="E1092">
        <v>2.56</v>
      </c>
      <c r="F1092" t="s">
        <v>10</v>
      </c>
    </row>
    <row r="1093" spans="2:6" x14ac:dyDescent="0.25">
      <c r="B1093" t="s">
        <v>63</v>
      </c>
      <c r="C1093" t="s">
        <v>64</v>
      </c>
      <c r="D1093">
        <v>1.5</v>
      </c>
      <c r="E1093">
        <v>2.65</v>
      </c>
      <c r="F1093" t="s">
        <v>10</v>
      </c>
    </row>
    <row r="1094" spans="2:6" x14ac:dyDescent="0.25">
      <c r="B1094" t="s">
        <v>63</v>
      </c>
      <c r="C1094" t="s">
        <v>64</v>
      </c>
      <c r="D1094">
        <v>1.56</v>
      </c>
      <c r="E1094">
        <v>2.52</v>
      </c>
      <c r="F1094" t="s">
        <v>10</v>
      </c>
    </row>
    <row r="1095" spans="2:6" x14ac:dyDescent="0.25">
      <c r="B1095" t="s">
        <v>63</v>
      </c>
      <c r="C1095" t="s">
        <v>64</v>
      </c>
      <c r="D1095">
        <v>1.48</v>
      </c>
      <c r="E1095">
        <v>2.75</v>
      </c>
      <c r="F1095" t="s">
        <v>10</v>
      </c>
    </row>
    <row r="1096" spans="2:6" x14ac:dyDescent="0.25">
      <c r="B1096" t="s">
        <v>86</v>
      </c>
      <c r="C1096" t="s">
        <v>414</v>
      </c>
      <c r="D1096">
        <v>1.77</v>
      </c>
      <c r="E1096">
        <v>2.1</v>
      </c>
      <c r="F1096" t="s">
        <v>10</v>
      </c>
    </row>
    <row r="1097" spans="2:6" x14ac:dyDescent="0.25">
      <c r="B1097" t="s">
        <v>86</v>
      </c>
      <c r="C1097" t="s">
        <v>414</v>
      </c>
      <c r="D1097">
        <v>1.77</v>
      </c>
      <c r="E1097">
        <v>2.1</v>
      </c>
      <c r="F1097" t="s">
        <v>10</v>
      </c>
    </row>
    <row r="1098" spans="2:6" x14ac:dyDescent="0.25">
      <c r="B1098" t="s">
        <v>86</v>
      </c>
      <c r="C1098" t="s">
        <v>414</v>
      </c>
      <c r="D1098">
        <v>1.74</v>
      </c>
      <c r="E1098">
        <v>2.15</v>
      </c>
      <c r="F1098" t="s">
        <v>10</v>
      </c>
    </row>
    <row r="1099" spans="2:6" x14ac:dyDescent="0.25">
      <c r="B1099" t="s">
        <v>86</v>
      </c>
      <c r="C1099" t="s">
        <v>414</v>
      </c>
      <c r="D1099">
        <v>1.7</v>
      </c>
      <c r="E1099">
        <v>2.16</v>
      </c>
      <c r="F1099" t="s">
        <v>10</v>
      </c>
    </row>
    <row r="1100" spans="2:6" x14ac:dyDescent="0.25">
      <c r="B1100" t="s">
        <v>86</v>
      </c>
      <c r="C1100" t="s">
        <v>414</v>
      </c>
      <c r="D1100">
        <v>1.7</v>
      </c>
      <c r="E1100">
        <v>2.16</v>
      </c>
      <c r="F1100" t="s">
        <v>10</v>
      </c>
    </row>
    <row r="1101" spans="2:6" x14ac:dyDescent="0.25">
      <c r="B1101" t="s">
        <v>86</v>
      </c>
      <c r="C1101" t="s">
        <v>414</v>
      </c>
      <c r="D1101">
        <v>1.77</v>
      </c>
      <c r="E1101">
        <v>2.1</v>
      </c>
      <c r="F1101" t="s">
        <v>10</v>
      </c>
    </row>
    <row r="1102" spans="2:6" x14ac:dyDescent="0.25">
      <c r="B1102" t="s">
        <v>86</v>
      </c>
      <c r="C1102" t="s">
        <v>414</v>
      </c>
      <c r="D1102">
        <v>1.69</v>
      </c>
      <c r="E1102">
        <v>2.1800000000000002</v>
      </c>
      <c r="F1102" t="s">
        <v>10</v>
      </c>
    </row>
    <row r="1103" spans="2:6" x14ac:dyDescent="0.25">
      <c r="B1103" t="s">
        <v>86</v>
      </c>
      <c r="C1103" t="s">
        <v>414</v>
      </c>
      <c r="D1103">
        <v>1.74</v>
      </c>
      <c r="E1103">
        <v>2.15</v>
      </c>
      <c r="F1103" t="s">
        <v>10</v>
      </c>
    </row>
    <row r="1104" spans="2:6" x14ac:dyDescent="0.25">
      <c r="B1104" t="s">
        <v>86</v>
      </c>
      <c r="C1104" t="s">
        <v>414</v>
      </c>
      <c r="D1104">
        <v>1.74</v>
      </c>
      <c r="E1104">
        <v>2.12</v>
      </c>
      <c r="F1104" t="s">
        <v>10</v>
      </c>
    </row>
    <row r="1105" spans="2:6" x14ac:dyDescent="0.25">
      <c r="B1105" t="s">
        <v>86</v>
      </c>
      <c r="C1105" t="s">
        <v>414</v>
      </c>
      <c r="D1105">
        <v>1.71</v>
      </c>
      <c r="E1105">
        <v>2.15</v>
      </c>
      <c r="F1105" t="s">
        <v>10</v>
      </c>
    </row>
    <row r="1106" spans="2:6" x14ac:dyDescent="0.25">
      <c r="B1106" t="s">
        <v>86</v>
      </c>
      <c r="C1106" t="s">
        <v>414</v>
      </c>
      <c r="D1106">
        <v>1.71</v>
      </c>
      <c r="E1106">
        <v>2.2000000000000002</v>
      </c>
      <c r="F1106" t="s">
        <v>10</v>
      </c>
    </row>
    <row r="1107" spans="2:6" x14ac:dyDescent="0.25">
      <c r="B1107" t="s">
        <v>415</v>
      </c>
      <c r="C1107" t="s">
        <v>416</v>
      </c>
      <c r="D1107">
        <v>1.17</v>
      </c>
      <c r="E1107">
        <v>5.25</v>
      </c>
      <c r="F1107" t="s">
        <v>10</v>
      </c>
    </row>
    <row r="1108" spans="2:6" x14ac:dyDescent="0.25">
      <c r="B1108" t="s">
        <v>415</v>
      </c>
      <c r="C1108" t="s">
        <v>416</v>
      </c>
      <c r="D1108">
        <v>1.1100000000000001</v>
      </c>
      <c r="E1108">
        <v>6.2</v>
      </c>
      <c r="F1108" t="s">
        <v>10</v>
      </c>
    </row>
    <row r="1109" spans="2:6" x14ac:dyDescent="0.25">
      <c r="B1109" t="s">
        <v>415</v>
      </c>
      <c r="C1109" t="s">
        <v>416</v>
      </c>
      <c r="D1109">
        <v>1.1499999999999999</v>
      </c>
      <c r="E1109">
        <v>5.75</v>
      </c>
      <c r="F1109" t="s">
        <v>10</v>
      </c>
    </row>
    <row r="1110" spans="2:6" x14ac:dyDescent="0.25">
      <c r="B1110" t="s">
        <v>415</v>
      </c>
      <c r="C1110" t="s">
        <v>416</v>
      </c>
      <c r="D1110">
        <v>1.1499999999999999</v>
      </c>
      <c r="E1110">
        <v>5.75</v>
      </c>
      <c r="F1110" t="s">
        <v>10</v>
      </c>
    </row>
    <row r="1111" spans="2:6" x14ac:dyDescent="0.25">
      <c r="B1111" t="s">
        <v>415</v>
      </c>
      <c r="C1111" t="s">
        <v>416</v>
      </c>
      <c r="D1111">
        <v>1.1599999999999999</v>
      </c>
      <c r="E1111">
        <v>5.7</v>
      </c>
      <c r="F1111" t="s">
        <v>10</v>
      </c>
    </row>
    <row r="1112" spans="2:6" x14ac:dyDescent="0.25">
      <c r="B1112" t="s">
        <v>415</v>
      </c>
      <c r="C1112" t="s">
        <v>416</v>
      </c>
      <c r="D1112">
        <v>1.1399999999999999</v>
      </c>
      <c r="E1112">
        <v>6</v>
      </c>
      <c r="F1112" t="s">
        <v>10</v>
      </c>
    </row>
    <row r="1113" spans="2:6" x14ac:dyDescent="0.25">
      <c r="B1113" t="s">
        <v>415</v>
      </c>
      <c r="C1113" t="s">
        <v>416</v>
      </c>
      <c r="D1113">
        <v>1.1499999999999999</v>
      </c>
      <c r="E1113">
        <v>5.6</v>
      </c>
      <c r="F1113" t="s">
        <v>10</v>
      </c>
    </row>
    <row r="1114" spans="2:6" x14ac:dyDescent="0.25">
      <c r="B1114" t="s">
        <v>415</v>
      </c>
      <c r="C1114" t="s">
        <v>416</v>
      </c>
      <c r="D1114">
        <v>1.1399999999999999</v>
      </c>
      <c r="E1114">
        <v>5.75</v>
      </c>
      <c r="F1114" t="s">
        <v>10</v>
      </c>
    </row>
    <row r="1115" spans="2:6" x14ac:dyDescent="0.25">
      <c r="B1115" t="s">
        <v>65</v>
      </c>
      <c r="C1115" t="s">
        <v>417</v>
      </c>
      <c r="D1115">
        <v>1.61</v>
      </c>
      <c r="E1115">
        <v>2.4500000000000002</v>
      </c>
      <c r="F1115" t="s">
        <v>10</v>
      </c>
    </row>
    <row r="1116" spans="2:6" x14ac:dyDescent="0.25">
      <c r="B1116" t="s">
        <v>65</v>
      </c>
      <c r="C1116" t="s">
        <v>417</v>
      </c>
      <c r="D1116">
        <v>1.61</v>
      </c>
      <c r="E1116">
        <v>2.4500000000000002</v>
      </c>
      <c r="F1116" t="s">
        <v>10</v>
      </c>
    </row>
    <row r="1117" spans="2:6" x14ac:dyDescent="0.25">
      <c r="B1117" t="s">
        <v>65</v>
      </c>
      <c r="C1117" t="s">
        <v>417</v>
      </c>
      <c r="D1117">
        <v>1.56</v>
      </c>
      <c r="E1117">
        <v>2.5</v>
      </c>
      <c r="F1117" t="s">
        <v>10</v>
      </c>
    </row>
    <row r="1118" spans="2:6" x14ac:dyDescent="0.25">
      <c r="B1118" t="s">
        <v>65</v>
      </c>
      <c r="C1118" t="s">
        <v>417</v>
      </c>
      <c r="D1118">
        <v>1.59</v>
      </c>
      <c r="E1118">
        <v>2.4300000000000002</v>
      </c>
      <c r="F1118" t="s">
        <v>10</v>
      </c>
    </row>
    <row r="1119" spans="2:6" x14ac:dyDescent="0.25">
      <c r="B1119" t="s">
        <v>65</v>
      </c>
      <c r="C1119" t="s">
        <v>417</v>
      </c>
      <c r="D1119">
        <v>1.56</v>
      </c>
      <c r="E1119">
        <v>2.4</v>
      </c>
      <c r="F1119" t="s">
        <v>10</v>
      </c>
    </row>
    <row r="1120" spans="2:6" x14ac:dyDescent="0.25">
      <c r="B1120" t="s">
        <v>65</v>
      </c>
      <c r="C1120" t="s">
        <v>417</v>
      </c>
      <c r="D1120">
        <v>1.56</v>
      </c>
      <c r="E1120">
        <v>2.4</v>
      </c>
      <c r="F1120" t="s">
        <v>10</v>
      </c>
    </row>
    <row r="1121" spans="2:6" x14ac:dyDescent="0.25">
      <c r="B1121" t="s">
        <v>65</v>
      </c>
      <c r="C1121" t="s">
        <v>417</v>
      </c>
      <c r="D1121">
        <v>1.54</v>
      </c>
      <c r="E1121">
        <v>2.42</v>
      </c>
      <c r="F1121" t="s">
        <v>10</v>
      </c>
    </row>
    <row r="1122" spans="2:6" x14ac:dyDescent="0.25">
      <c r="B1122" t="s">
        <v>65</v>
      </c>
      <c r="C1122" t="s">
        <v>417</v>
      </c>
      <c r="D1122">
        <v>1.57</v>
      </c>
      <c r="E1122">
        <v>2.5</v>
      </c>
      <c r="F1122" t="s">
        <v>10</v>
      </c>
    </row>
    <row r="1123" spans="2:6" x14ac:dyDescent="0.25">
      <c r="B1123" t="s">
        <v>65</v>
      </c>
      <c r="C1123" t="s">
        <v>417</v>
      </c>
      <c r="D1123">
        <v>1.57</v>
      </c>
      <c r="E1123">
        <v>2.46</v>
      </c>
      <c r="F1123" t="s">
        <v>10</v>
      </c>
    </row>
    <row r="1124" spans="2:6" x14ac:dyDescent="0.25">
      <c r="B1124" t="s">
        <v>65</v>
      </c>
      <c r="C1124" t="s">
        <v>417</v>
      </c>
      <c r="D1124">
        <v>1.61</v>
      </c>
      <c r="E1124">
        <v>2.35</v>
      </c>
      <c r="F1124" t="s">
        <v>10</v>
      </c>
    </row>
    <row r="1125" spans="2:6" x14ac:dyDescent="0.25">
      <c r="B1125" t="s">
        <v>65</v>
      </c>
      <c r="C1125" t="s">
        <v>417</v>
      </c>
      <c r="D1125">
        <v>1.59</v>
      </c>
      <c r="E1125">
        <v>2.4500000000000002</v>
      </c>
      <c r="F1125" t="s">
        <v>10</v>
      </c>
    </row>
    <row r="1126" spans="2:6" x14ac:dyDescent="0.25">
      <c r="B1126" t="s">
        <v>259</v>
      </c>
      <c r="C1126" t="s">
        <v>418</v>
      </c>
      <c r="D1126">
        <v>2.7</v>
      </c>
      <c r="E1126">
        <v>1.5</v>
      </c>
      <c r="F1126" t="s">
        <v>10</v>
      </c>
    </row>
    <row r="1127" spans="2:6" x14ac:dyDescent="0.25">
      <c r="B1127" t="s">
        <v>259</v>
      </c>
      <c r="C1127" t="s">
        <v>418</v>
      </c>
      <c r="D1127">
        <v>2.7</v>
      </c>
      <c r="E1127">
        <v>1.5</v>
      </c>
      <c r="F1127" t="s">
        <v>10</v>
      </c>
    </row>
    <row r="1128" spans="2:6" x14ac:dyDescent="0.25">
      <c r="B1128" t="s">
        <v>259</v>
      </c>
      <c r="C1128" t="s">
        <v>418</v>
      </c>
      <c r="D1128">
        <v>2.63</v>
      </c>
      <c r="E1128">
        <v>1.51</v>
      </c>
      <c r="F1128" t="s">
        <v>10</v>
      </c>
    </row>
    <row r="1129" spans="2:6" x14ac:dyDescent="0.25">
      <c r="B1129" t="s">
        <v>259</v>
      </c>
      <c r="C1129" t="s">
        <v>418</v>
      </c>
      <c r="D1129">
        <v>2.65</v>
      </c>
      <c r="E1129">
        <v>1.5</v>
      </c>
      <c r="F1129" t="s">
        <v>10</v>
      </c>
    </row>
    <row r="1130" spans="2:6" x14ac:dyDescent="0.25">
      <c r="B1130" t="s">
        <v>259</v>
      </c>
      <c r="C1130" t="s">
        <v>418</v>
      </c>
      <c r="D1130">
        <v>2.52</v>
      </c>
      <c r="E1130">
        <v>1.51</v>
      </c>
      <c r="F1130" t="s">
        <v>10</v>
      </c>
    </row>
    <row r="1131" spans="2:6" x14ac:dyDescent="0.25">
      <c r="B1131" t="s">
        <v>259</v>
      </c>
      <c r="C1131" t="s">
        <v>418</v>
      </c>
      <c r="D1131">
        <v>2.7</v>
      </c>
      <c r="E1131">
        <v>1.49</v>
      </c>
      <c r="F1131" t="s">
        <v>10</v>
      </c>
    </row>
    <row r="1132" spans="2:6" x14ac:dyDescent="0.25">
      <c r="B1132" t="s">
        <v>259</v>
      </c>
      <c r="C1132" t="s">
        <v>418</v>
      </c>
      <c r="D1132">
        <v>2.6</v>
      </c>
      <c r="E1132">
        <v>1.53</v>
      </c>
      <c r="F1132" t="s">
        <v>10</v>
      </c>
    </row>
    <row r="1133" spans="2:6" x14ac:dyDescent="0.25">
      <c r="B1133" t="s">
        <v>259</v>
      </c>
      <c r="C1133" t="s">
        <v>418</v>
      </c>
      <c r="D1133">
        <v>2.65</v>
      </c>
      <c r="E1133">
        <v>1.51</v>
      </c>
      <c r="F1133" t="s">
        <v>10</v>
      </c>
    </row>
    <row r="1134" spans="2:6" x14ac:dyDescent="0.25">
      <c r="B1134" t="s">
        <v>68</v>
      </c>
      <c r="C1134" t="s">
        <v>419</v>
      </c>
      <c r="D1134">
        <v>1.96</v>
      </c>
      <c r="E1134">
        <v>1.86</v>
      </c>
      <c r="F1134" t="s">
        <v>10</v>
      </c>
    </row>
    <row r="1135" spans="2:6" x14ac:dyDescent="0.25">
      <c r="B1135" t="s">
        <v>68</v>
      </c>
      <c r="C1135" t="s">
        <v>419</v>
      </c>
      <c r="D1135">
        <v>1.95</v>
      </c>
      <c r="E1135">
        <v>1.87</v>
      </c>
      <c r="F1135" t="s">
        <v>10</v>
      </c>
    </row>
    <row r="1136" spans="2:6" x14ac:dyDescent="0.25">
      <c r="B1136" t="s">
        <v>68</v>
      </c>
      <c r="C1136" t="s">
        <v>419</v>
      </c>
      <c r="D1136">
        <v>1.96</v>
      </c>
      <c r="E1136">
        <v>1.86</v>
      </c>
      <c r="F1136" t="s">
        <v>10</v>
      </c>
    </row>
    <row r="1137" spans="2:6" x14ac:dyDescent="0.25">
      <c r="B1137" t="s">
        <v>68</v>
      </c>
      <c r="C1137" t="s">
        <v>419</v>
      </c>
      <c r="D1137">
        <v>2.02</v>
      </c>
      <c r="E1137">
        <v>1.82</v>
      </c>
      <c r="F1137" t="s">
        <v>10</v>
      </c>
    </row>
    <row r="1138" spans="2:6" x14ac:dyDescent="0.25">
      <c r="B1138" t="s">
        <v>68</v>
      </c>
      <c r="C1138" t="s">
        <v>419</v>
      </c>
      <c r="D1138">
        <v>2</v>
      </c>
      <c r="E1138">
        <v>1.83</v>
      </c>
      <c r="F1138" t="s">
        <v>10</v>
      </c>
    </row>
    <row r="1139" spans="2:6" x14ac:dyDescent="0.25">
      <c r="B1139" t="s">
        <v>68</v>
      </c>
      <c r="C1139" t="s">
        <v>419</v>
      </c>
      <c r="D1139">
        <v>2</v>
      </c>
      <c r="E1139">
        <v>1.82</v>
      </c>
      <c r="F1139" t="s">
        <v>10</v>
      </c>
    </row>
    <row r="1140" spans="2:6" x14ac:dyDescent="0.25">
      <c r="B1140" t="s">
        <v>68</v>
      </c>
      <c r="C1140" t="s">
        <v>419</v>
      </c>
      <c r="D1140">
        <v>2</v>
      </c>
      <c r="E1140">
        <v>1.82</v>
      </c>
      <c r="F1140" t="s">
        <v>10</v>
      </c>
    </row>
    <row r="1141" spans="2:6" x14ac:dyDescent="0.25">
      <c r="B1141" t="s">
        <v>68</v>
      </c>
      <c r="C1141" t="s">
        <v>419</v>
      </c>
      <c r="D1141">
        <v>1.94</v>
      </c>
      <c r="E1141">
        <v>1.83</v>
      </c>
      <c r="F1141" t="s">
        <v>10</v>
      </c>
    </row>
    <row r="1142" spans="2:6" x14ac:dyDescent="0.25">
      <c r="B1142" t="s">
        <v>68</v>
      </c>
      <c r="C1142" t="s">
        <v>419</v>
      </c>
      <c r="D1142">
        <v>2</v>
      </c>
      <c r="E1142">
        <v>1.83</v>
      </c>
      <c r="F1142" t="s">
        <v>10</v>
      </c>
    </row>
    <row r="1143" spans="2:6" x14ac:dyDescent="0.25">
      <c r="B1143" t="s">
        <v>68</v>
      </c>
      <c r="C1143" t="s">
        <v>419</v>
      </c>
      <c r="D1143">
        <v>2</v>
      </c>
      <c r="E1143">
        <v>1.83</v>
      </c>
      <c r="F1143" t="s">
        <v>10</v>
      </c>
    </row>
    <row r="1144" spans="2:6" x14ac:dyDescent="0.25">
      <c r="B1144" t="s">
        <v>68</v>
      </c>
      <c r="C1144" t="s">
        <v>419</v>
      </c>
      <c r="D1144">
        <v>2</v>
      </c>
      <c r="E1144">
        <v>1.83</v>
      </c>
      <c r="F1144" t="s">
        <v>10</v>
      </c>
    </row>
    <row r="1145" spans="2:6" x14ac:dyDescent="0.25">
      <c r="B1145" t="s">
        <v>66</v>
      </c>
      <c r="C1145" t="s">
        <v>260</v>
      </c>
      <c r="D1145">
        <v>1.45</v>
      </c>
      <c r="E1145">
        <v>2.86</v>
      </c>
      <c r="F1145" t="s">
        <v>10</v>
      </c>
    </row>
    <row r="1146" spans="2:6" x14ac:dyDescent="0.25">
      <c r="B1146" t="s">
        <v>66</v>
      </c>
      <c r="C1146" t="s">
        <v>260</v>
      </c>
      <c r="D1146">
        <v>1.45</v>
      </c>
      <c r="E1146">
        <v>2.86</v>
      </c>
      <c r="F1146" t="s">
        <v>10</v>
      </c>
    </row>
    <row r="1147" spans="2:6" x14ac:dyDescent="0.25">
      <c r="B1147" t="s">
        <v>66</v>
      </c>
      <c r="C1147" t="s">
        <v>260</v>
      </c>
      <c r="D1147">
        <v>1.43</v>
      </c>
      <c r="E1147">
        <v>2.9</v>
      </c>
      <c r="F1147" t="s">
        <v>10</v>
      </c>
    </row>
    <row r="1148" spans="2:6" x14ac:dyDescent="0.25">
      <c r="B1148" t="s">
        <v>66</v>
      </c>
      <c r="C1148" t="s">
        <v>260</v>
      </c>
      <c r="D1148">
        <v>1.44</v>
      </c>
      <c r="E1148">
        <v>2.85</v>
      </c>
      <c r="F1148" t="s">
        <v>10</v>
      </c>
    </row>
    <row r="1149" spans="2:6" x14ac:dyDescent="0.25">
      <c r="B1149" t="s">
        <v>66</v>
      </c>
      <c r="C1149" t="s">
        <v>260</v>
      </c>
      <c r="D1149">
        <v>1.43</v>
      </c>
      <c r="E1149">
        <v>2.95</v>
      </c>
      <c r="F1149" t="s">
        <v>10</v>
      </c>
    </row>
    <row r="1150" spans="2:6" x14ac:dyDescent="0.25">
      <c r="B1150" t="s">
        <v>66</v>
      </c>
      <c r="C1150" t="s">
        <v>260</v>
      </c>
      <c r="D1150">
        <v>1.4</v>
      </c>
      <c r="E1150">
        <v>2.95</v>
      </c>
      <c r="F1150" t="s">
        <v>10</v>
      </c>
    </row>
    <row r="1151" spans="2:6" x14ac:dyDescent="0.25">
      <c r="B1151" t="s">
        <v>66</v>
      </c>
      <c r="C1151" t="s">
        <v>260</v>
      </c>
      <c r="D1151">
        <v>1.4</v>
      </c>
      <c r="E1151">
        <v>2.95</v>
      </c>
      <c r="F1151" t="s">
        <v>10</v>
      </c>
    </row>
    <row r="1152" spans="2:6" x14ac:dyDescent="0.25">
      <c r="B1152" t="s">
        <v>66</v>
      </c>
      <c r="C1152" t="s">
        <v>260</v>
      </c>
      <c r="D1152">
        <v>1.41</v>
      </c>
      <c r="E1152">
        <v>2.86</v>
      </c>
      <c r="F1152" t="s">
        <v>10</v>
      </c>
    </row>
    <row r="1153" spans="2:6" x14ac:dyDescent="0.25">
      <c r="B1153" t="s">
        <v>66</v>
      </c>
      <c r="C1153" t="s">
        <v>260</v>
      </c>
      <c r="D1153">
        <v>1.44</v>
      </c>
      <c r="E1153">
        <v>2.85</v>
      </c>
      <c r="F1153" t="s">
        <v>10</v>
      </c>
    </row>
    <row r="1154" spans="2:6" x14ac:dyDescent="0.25">
      <c r="B1154" t="s">
        <v>66</v>
      </c>
      <c r="C1154" t="s">
        <v>260</v>
      </c>
      <c r="D1154">
        <v>1.44</v>
      </c>
      <c r="E1154">
        <v>2.85</v>
      </c>
      <c r="F1154" t="s">
        <v>10</v>
      </c>
    </row>
    <row r="1155" spans="2:6" x14ac:dyDescent="0.25">
      <c r="B1155" t="s">
        <v>53</v>
      </c>
      <c r="C1155" t="s">
        <v>261</v>
      </c>
      <c r="D1155">
        <v>2.64</v>
      </c>
      <c r="E1155">
        <v>1.47</v>
      </c>
      <c r="F1155" t="s">
        <v>10</v>
      </c>
    </row>
    <row r="1156" spans="2:6" x14ac:dyDescent="0.25">
      <c r="B1156" t="s">
        <v>53</v>
      </c>
      <c r="C1156" t="s">
        <v>261</v>
      </c>
      <c r="D1156">
        <v>2.7</v>
      </c>
      <c r="E1156">
        <v>1.49</v>
      </c>
      <c r="F1156" t="s">
        <v>10</v>
      </c>
    </row>
    <row r="1157" spans="2:6" x14ac:dyDescent="0.25">
      <c r="B1157" t="s">
        <v>53</v>
      </c>
      <c r="C1157" t="s">
        <v>261</v>
      </c>
      <c r="D1157">
        <v>2.8</v>
      </c>
      <c r="E1157">
        <v>1.48</v>
      </c>
      <c r="F1157" t="s">
        <v>10</v>
      </c>
    </row>
    <row r="1158" spans="2:6" x14ac:dyDescent="0.25">
      <c r="B1158" t="s">
        <v>53</v>
      </c>
      <c r="C1158" t="s">
        <v>261</v>
      </c>
      <c r="D1158">
        <v>2.8</v>
      </c>
      <c r="E1158">
        <v>1.48</v>
      </c>
      <c r="F1158" t="s">
        <v>10</v>
      </c>
    </row>
    <row r="1159" spans="2:6" x14ac:dyDescent="0.25">
      <c r="B1159" t="s">
        <v>53</v>
      </c>
      <c r="C1159" t="s">
        <v>261</v>
      </c>
      <c r="D1159">
        <v>2.7</v>
      </c>
      <c r="E1159">
        <v>1.49</v>
      </c>
      <c r="F1159" t="s">
        <v>10</v>
      </c>
    </row>
    <row r="1160" spans="2:6" x14ac:dyDescent="0.25">
      <c r="B1160" t="s">
        <v>53</v>
      </c>
      <c r="C1160" t="s">
        <v>261</v>
      </c>
      <c r="D1160">
        <v>2.65</v>
      </c>
      <c r="E1160">
        <v>1.48</v>
      </c>
      <c r="F1160" t="s">
        <v>10</v>
      </c>
    </row>
    <row r="1161" spans="2:6" x14ac:dyDescent="0.25">
      <c r="B1161" t="s">
        <v>53</v>
      </c>
      <c r="C1161" t="s">
        <v>261</v>
      </c>
      <c r="D1161">
        <v>2.65</v>
      </c>
      <c r="E1161">
        <v>1.48</v>
      </c>
      <c r="F1161" t="s">
        <v>10</v>
      </c>
    </row>
    <row r="1162" spans="2:6" x14ac:dyDescent="0.25">
      <c r="B1162" t="s">
        <v>53</v>
      </c>
      <c r="C1162" t="s">
        <v>261</v>
      </c>
      <c r="D1162">
        <v>2.7</v>
      </c>
      <c r="E1162">
        <v>1.49</v>
      </c>
      <c r="F1162" t="s">
        <v>10</v>
      </c>
    </row>
    <row r="1163" spans="2:6" x14ac:dyDescent="0.25">
      <c r="B1163" t="s">
        <v>53</v>
      </c>
      <c r="C1163" t="s">
        <v>261</v>
      </c>
      <c r="D1163">
        <v>2.73</v>
      </c>
      <c r="E1163">
        <v>1.48</v>
      </c>
      <c r="F1163" t="s">
        <v>10</v>
      </c>
    </row>
    <row r="1164" spans="2:6" x14ac:dyDescent="0.25">
      <c r="B1164" t="s">
        <v>53</v>
      </c>
      <c r="C1164" t="s">
        <v>261</v>
      </c>
      <c r="D1164">
        <v>2.7</v>
      </c>
      <c r="E1164">
        <v>1.48</v>
      </c>
      <c r="F1164" t="s">
        <v>10</v>
      </c>
    </row>
    <row r="1165" spans="2:6" x14ac:dyDescent="0.25">
      <c r="B1165" t="s">
        <v>53</v>
      </c>
      <c r="C1165" t="s">
        <v>261</v>
      </c>
      <c r="D1165">
        <v>2.75</v>
      </c>
      <c r="E1165">
        <v>1.48</v>
      </c>
      <c r="F1165" t="s">
        <v>10</v>
      </c>
    </row>
    <row r="1166" spans="2:6" x14ac:dyDescent="0.25">
      <c r="B1166" t="s">
        <v>87</v>
      </c>
      <c r="C1166" t="s">
        <v>56</v>
      </c>
      <c r="D1166">
        <v>1.99</v>
      </c>
      <c r="E1166">
        <v>1.84</v>
      </c>
      <c r="F1166" t="s">
        <v>10</v>
      </c>
    </row>
    <row r="1167" spans="2:6" x14ac:dyDescent="0.25">
      <c r="B1167" t="s">
        <v>87</v>
      </c>
      <c r="C1167" t="s">
        <v>56</v>
      </c>
      <c r="D1167">
        <v>1.99</v>
      </c>
      <c r="E1167">
        <v>1.84</v>
      </c>
      <c r="F1167" t="s">
        <v>10</v>
      </c>
    </row>
    <row r="1168" spans="2:6" x14ac:dyDescent="0.25">
      <c r="B1168" t="s">
        <v>87</v>
      </c>
      <c r="C1168" t="s">
        <v>56</v>
      </c>
      <c r="D1168">
        <v>1.96</v>
      </c>
      <c r="E1168">
        <v>1.82</v>
      </c>
      <c r="F1168" t="s">
        <v>10</v>
      </c>
    </row>
    <row r="1169" spans="2:6" x14ac:dyDescent="0.25">
      <c r="B1169" t="s">
        <v>87</v>
      </c>
      <c r="C1169" t="s">
        <v>56</v>
      </c>
      <c r="D1169">
        <v>1.95</v>
      </c>
      <c r="E1169">
        <v>1.87</v>
      </c>
      <c r="F1169" t="s">
        <v>10</v>
      </c>
    </row>
    <row r="1170" spans="2:6" x14ac:dyDescent="0.25">
      <c r="B1170" t="s">
        <v>87</v>
      </c>
      <c r="C1170" t="s">
        <v>56</v>
      </c>
      <c r="D1170">
        <v>1.95</v>
      </c>
      <c r="E1170">
        <v>1.87</v>
      </c>
      <c r="F1170" t="s">
        <v>10</v>
      </c>
    </row>
    <row r="1171" spans="2:6" x14ac:dyDescent="0.25">
      <c r="B1171" t="s">
        <v>87</v>
      </c>
      <c r="C1171" t="s">
        <v>56</v>
      </c>
      <c r="D1171">
        <v>1.98</v>
      </c>
      <c r="E1171">
        <v>1.85</v>
      </c>
      <c r="F1171" t="s">
        <v>10</v>
      </c>
    </row>
    <row r="1172" spans="2:6" x14ac:dyDescent="0.25">
      <c r="B1172" t="s">
        <v>87</v>
      </c>
      <c r="C1172" t="s">
        <v>56</v>
      </c>
      <c r="D1172">
        <v>1.97</v>
      </c>
      <c r="E1172">
        <v>1.83</v>
      </c>
      <c r="F1172" t="s">
        <v>10</v>
      </c>
    </row>
    <row r="1173" spans="2:6" x14ac:dyDescent="0.25">
      <c r="B1173" t="s">
        <v>87</v>
      </c>
      <c r="C1173" t="s">
        <v>56</v>
      </c>
      <c r="D1173">
        <v>1.97</v>
      </c>
      <c r="E1173">
        <v>1.83</v>
      </c>
      <c r="F1173" t="s">
        <v>10</v>
      </c>
    </row>
    <row r="1174" spans="2:6" x14ac:dyDescent="0.25">
      <c r="B1174" t="s">
        <v>87</v>
      </c>
      <c r="C1174" t="s">
        <v>56</v>
      </c>
      <c r="D1174">
        <v>2</v>
      </c>
      <c r="E1174">
        <v>1.83</v>
      </c>
      <c r="F1174" t="s">
        <v>10</v>
      </c>
    </row>
    <row r="1175" spans="2:6" x14ac:dyDescent="0.25">
      <c r="B1175" t="s">
        <v>87</v>
      </c>
      <c r="C1175" t="s">
        <v>56</v>
      </c>
      <c r="D1175">
        <v>1.96</v>
      </c>
      <c r="E1175">
        <v>1.87</v>
      </c>
      <c r="F1175" t="s">
        <v>10</v>
      </c>
    </row>
    <row r="1176" spans="2:6" x14ac:dyDescent="0.25">
      <c r="B1176" t="s">
        <v>42</v>
      </c>
      <c r="C1176" t="s">
        <v>262</v>
      </c>
      <c r="D1176">
        <v>1.8</v>
      </c>
      <c r="E1176">
        <v>2.0499999999999998</v>
      </c>
      <c r="F1176" t="s">
        <v>10</v>
      </c>
    </row>
    <row r="1177" spans="2:6" x14ac:dyDescent="0.25">
      <c r="B1177" t="s">
        <v>42</v>
      </c>
      <c r="C1177" t="s">
        <v>262</v>
      </c>
      <c r="D1177">
        <v>1.8</v>
      </c>
      <c r="E1177">
        <v>2.0499999999999998</v>
      </c>
      <c r="F1177" t="s">
        <v>10</v>
      </c>
    </row>
    <row r="1178" spans="2:6" x14ac:dyDescent="0.25">
      <c r="B1178" t="s">
        <v>42</v>
      </c>
      <c r="C1178" t="s">
        <v>262</v>
      </c>
      <c r="D1178">
        <v>1.78</v>
      </c>
      <c r="E1178">
        <v>2</v>
      </c>
      <c r="F1178" t="s">
        <v>10</v>
      </c>
    </row>
    <row r="1179" spans="2:6" x14ac:dyDescent="0.25">
      <c r="B1179" t="s">
        <v>42</v>
      </c>
      <c r="C1179" t="s">
        <v>262</v>
      </c>
      <c r="D1179">
        <v>1.8</v>
      </c>
      <c r="E1179">
        <v>2.0499999999999998</v>
      </c>
      <c r="F1179" t="s">
        <v>10</v>
      </c>
    </row>
    <row r="1180" spans="2:6" x14ac:dyDescent="0.25">
      <c r="B1180" t="s">
        <v>42</v>
      </c>
      <c r="C1180" t="s">
        <v>262</v>
      </c>
      <c r="D1180">
        <v>1.8</v>
      </c>
      <c r="E1180">
        <v>2.0499999999999998</v>
      </c>
      <c r="F1180" t="s">
        <v>10</v>
      </c>
    </row>
    <row r="1181" spans="2:6" x14ac:dyDescent="0.25">
      <c r="B1181" t="s">
        <v>42</v>
      </c>
      <c r="C1181" t="s">
        <v>262</v>
      </c>
      <c r="D1181">
        <v>1.82</v>
      </c>
      <c r="E1181">
        <v>1.97</v>
      </c>
      <c r="F1181" t="s">
        <v>10</v>
      </c>
    </row>
    <row r="1182" spans="2:6" x14ac:dyDescent="0.25">
      <c r="B1182" t="s">
        <v>42</v>
      </c>
      <c r="C1182" t="s">
        <v>262</v>
      </c>
      <c r="D1182">
        <v>1.82</v>
      </c>
      <c r="E1182">
        <v>1.97</v>
      </c>
      <c r="F1182" t="s">
        <v>10</v>
      </c>
    </row>
    <row r="1183" spans="2:6" x14ac:dyDescent="0.25">
      <c r="B1183" t="s">
        <v>42</v>
      </c>
      <c r="C1183" t="s">
        <v>262</v>
      </c>
      <c r="D1183">
        <v>1.8</v>
      </c>
      <c r="E1183">
        <v>2.0499999999999998</v>
      </c>
      <c r="F1183" t="s">
        <v>10</v>
      </c>
    </row>
    <row r="1184" spans="2:6" x14ac:dyDescent="0.25">
      <c r="B1184" t="s">
        <v>42</v>
      </c>
      <c r="C1184" t="s">
        <v>262</v>
      </c>
      <c r="D1184">
        <v>1.8</v>
      </c>
      <c r="E1184">
        <v>2.0499999999999998</v>
      </c>
      <c r="F1184" t="s">
        <v>10</v>
      </c>
    </row>
    <row r="1185" spans="2:6" x14ac:dyDescent="0.25">
      <c r="B1185" t="s">
        <v>42</v>
      </c>
      <c r="C1185" t="s">
        <v>262</v>
      </c>
      <c r="D1185">
        <v>1.83</v>
      </c>
      <c r="E1185">
        <v>2</v>
      </c>
      <c r="F1185" t="s">
        <v>10</v>
      </c>
    </row>
    <row r="1186" spans="2:6" x14ac:dyDescent="0.25">
      <c r="B1186" t="s">
        <v>42</v>
      </c>
      <c r="C1186" t="s">
        <v>262</v>
      </c>
      <c r="D1186">
        <v>1.91</v>
      </c>
      <c r="E1186">
        <v>1.91</v>
      </c>
      <c r="F1186" t="s">
        <v>10</v>
      </c>
    </row>
    <row r="1187" spans="2:6" x14ac:dyDescent="0.25">
      <c r="B1187" t="s">
        <v>263</v>
      </c>
      <c r="C1187" t="s">
        <v>264</v>
      </c>
      <c r="D1187">
        <v>2.16</v>
      </c>
      <c r="E1187">
        <v>1.7</v>
      </c>
      <c r="F1187" t="s">
        <v>10</v>
      </c>
    </row>
    <row r="1188" spans="2:6" x14ac:dyDescent="0.25">
      <c r="B1188" t="s">
        <v>263</v>
      </c>
      <c r="C1188" t="s">
        <v>264</v>
      </c>
      <c r="D1188">
        <v>2.16</v>
      </c>
      <c r="E1188">
        <v>1.7</v>
      </c>
      <c r="F1188" t="s">
        <v>10</v>
      </c>
    </row>
    <row r="1189" spans="2:6" x14ac:dyDescent="0.25">
      <c r="B1189" t="s">
        <v>263</v>
      </c>
      <c r="C1189" t="s">
        <v>264</v>
      </c>
      <c r="D1189">
        <v>2.0499999999999998</v>
      </c>
      <c r="E1189">
        <v>1.74</v>
      </c>
      <c r="F1189" t="s">
        <v>10</v>
      </c>
    </row>
    <row r="1190" spans="2:6" x14ac:dyDescent="0.25">
      <c r="B1190" t="s">
        <v>263</v>
      </c>
      <c r="C1190" t="s">
        <v>264</v>
      </c>
      <c r="D1190">
        <v>2.0499999999999998</v>
      </c>
      <c r="E1190">
        <v>1.75</v>
      </c>
      <c r="F1190" t="s">
        <v>10</v>
      </c>
    </row>
    <row r="1191" spans="2:6" x14ac:dyDescent="0.25">
      <c r="B1191" t="s">
        <v>263</v>
      </c>
      <c r="C1191" t="s">
        <v>264</v>
      </c>
      <c r="D1191">
        <v>2.1</v>
      </c>
      <c r="E1191">
        <v>1.77</v>
      </c>
      <c r="F1191" t="s">
        <v>10</v>
      </c>
    </row>
    <row r="1192" spans="2:6" x14ac:dyDescent="0.25">
      <c r="B1192" t="s">
        <v>263</v>
      </c>
      <c r="C1192" t="s">
        <v>264</v>
      </c>
      <c r="D1192">
        <v>2.13</v>
      </c>
      <c r="E1192">
        <v>1.75</v>
      </c>
      <c r="F1192" t="s">
        <v>10</v>
      </c>
    </row>
    <row r="1193" spans="2:6" x14ac:dyDescent="0.25">
      <c r="B1193" t="s">
        <v>263</v>
      </c>
      <c r="C1193" t="s">
        <v>264</v>
      </c>
      <c r="D1193">
        <v>2.13</v>
      </c>
      <c r="E1193">
        <v>1.75</v>
      </c>
      <c r="F1193" t="s">
        <v>10</v>
      </c>
    </row>
    <row r="1194" spans="2:6" x14ac:dyDescent="0.25">
      <c r="B1194" t="s">
        <v>263</v>
      </c>
      <c r="C1194" t="s">
        <v>264</v>
      </c>
      <c r="D1194">
        <v>2.1800000000000002</v>
      </c>
      <c r="E1194">
        <v>1.67</v>
      </c>
      <c r="F1194" t="s">
        <v>10</v>
      </c>
    </row>
    <row r="1195" spans="2:6" x14ac:dyDescent="0.25">
      <c r="B1195" t="s">
        <v>263</v>
      </c>
      <c r="C1195" t="s">
        <v>264</v>
      </c>
      <c r="D1195">
        <v>2.15</v>
      </c>
      <c r="E1195">
        <v>1.74</v>
      </c>
      <c r="F1195" t="s">
        <v>10</v>
      </c>
    </row>
    <row r="1196" spans="2:6" x14ac:dyDescent="0.25">
      <c r="B1196" t="s">
        <v>265</v>
      </c>
      <c r="C1196" t="s">
        <v>266</v>
      </c>
      <c r="D1196">
        <v>1.71</v>
      </c>
      <c r="E1196">
        <v>2.2000000000000002</v>
      </c>
      <c r="F1196" t="s">
        <v>10</v>
      </c>
    </row>
    <row r="1197" spans="2:6" x14ac:dyDescent="0.25">
      <c r="B1197" t="s">
        <v>265</v>
      </c>
      <c r="C1197" t="s">
        <v>266</v>
      </c>
      <c r="D1197">
        <v>1.69</v>
      </c>
      <c r="E1197">
        <v>2.19</v>
      </c>
      <c r="F1197" t="s">
        <v>10</v>
      </c>
    </row>
    <row r="1198" spans="2:6" x14ac:dyDescent="0.25">
      <c r="B1198" t="s">
        <v>265</v>
      </c>
      <c r="C1198" t="s">
        <v>266</v>
      </c>
      <c r="D1198">
        <v>1.71</v>
      </c>
      <c r="E1198">
        <v>2.2000000000000002</v>
      </c>
      <c r="F1198" t="s">
        <v>10</v>
      </c>
    </row>
    <row r="1199" spans="2:6" x14ac:dyDescent="0.25">
      <c r="B1199" t="s">
        <v>265</v>
      </c>
      <c r="C1199" t="s">
        <v>266</v>
      </c>
      <c r="D1199">
        <v>1.7</v>
      </c>
      <c r="E1199">
        <v>2.2000000000000002</v>
      </c>
      <c r="F1199" t="s">
        <v>10</v>
      </c>
    </row>
    <row r="1200" spans="2:6" x14ac:dyDescent="0.25">
      <c r="B1200" t="s">
        <v>265</v>
      </c>
      <c r="C1200" t="s">
        <v>266</v>
      </c>
      <c r="D1200">
        <v>1.71</v>
      </c>
      <c r="E1200">
        <v>2.1</v>
      </c>
      <c r="F1200" t="s">
        <v>10</v>
      </c>
    </row>
    <row r="1201" spans="2:6" x14ac:dyDescent="0.25">
      <c r="B1201" t="s">
        <v>265</v>
      </c>
      <c r="C1201" t="s">
        <v>266</v>
      </c>
      <c r="D1201">
        <v>1.67</v>
      </c>
      <c r="E1201">
        <v>2.1800000000000002</v>
      </c>
      <c r="F1201" t="s">
        <v>10</v>
      </c>
    </row>
    <row r="1202" spans="2:6" x14ac:dyDescent="0.25">
      <c r="B1202" t="s">
        <v>265</v>
      </c>
      <c r="C1202" t="s">
        <v>266</v>
      </c>
      <c r="D1202">
        <v>1.67</v>
      </c>
      <c r="E1202">
        <v>2.2000000000000002</v>
      </c>
      <c r="F1202" t="s">
        <v>10</v>
      </c>
    </row>
    <row r="1203" spans="2:6" x14ac:dyDescent="0.25">
      <c r="B1203" t="s">
        <v>265</v>
      </c>
      <c r="C1203" t="s">
        <v>266</v>
      </c>
      <c r="D1203">
        <v>1.67</v>
      </c>
      <c r="E1203">
        <v>2.2000000000000002</v>
      </c>
      <c r="F1203" t="s">
        <v>10</v>
      </c>
    </row>
    <row r="1204" spans="2:6" x14ac:dyDescent="0.25">
      <c r="B1204" t="s">
        <v>265</v>
      </c>
      <c r="C1204" t="s">
        <v>266</v>
      </c>
      <c r="D1204">
        <v>1.69</v>
      </c>
      <c r="E1204">
        <v>2.2200000000000002</v>
      </c>
      <c r="F1204" t="s">
        <v>10</v>
      </c>
    </row>
    <row r="1205" spans="2:6" x14ac:dyDescent="0.25">
      <c r="B1205" t="s">
        <v>267</v>
      </c>
      <c r="C1205" t="s">
        <v>266</v>
      </c>
      <c r="D1205">
        <v>1.86</v>
      </c>
      <c r="E1205">
        <v>1.97</v>
      </c>
      <c r="F1205" t="s">
        <v>10</v>
      </c>
    </row>
    <row r="1206" spans="2:6" x14ac:dyDescent="0.25">
      <c r="B1206" t="s">
        <v>267</v>
      </c>
      <c r="C1206" t="s">
        <v>266</v>
      </c>
      <c r="D1206">
        <v>2</v>
      </c>
      <c r="E1206">
        <v>1.83</v>
      </c>
      <c r="F1206" t="s">
        <v>10</v>
      </c>
    </row>
    <row r="1207" spans="2:6" x14ac:dyDescent="0.25">
      <c r="B1207" t="s">
        <v>267</v>
      </c>
      <c r="C1207" t="s">
        <v>266</v>
      </c>
      <c r="D1207">
        <v>1.85</v>
      </c>
      <c r="E1207">
        <v>1.97</v>
      </c>
      <c r="F1207" t="s">
        <v>10</v>
      </c>
    </row>
    <row r="1208" spans="2:6" x14ac:dyDescent="0.25">
      <c r="B1208" t="s">
        <v>267</v>
      </c>
      <c r="C1208" t="s">
        <v>266</v>
      </c>
      <c r="D1208">
        <v>1.98</v>
      </c>
      <c r="E1208">
        <v>1.85</v>
      </c>
      <c r="F1208" t="s">
        <v>10</v>
      </c>
    </row>
    <row r="1209" spans="2:6" x14ac:dyDescent="0.25">
      <c r="B1209" t="s">
        <v>267</v>
      </c>
      <c r="C1209" t="s">
        <v>266</v>
      </c>
      <c r="D1209">
        <v>1.83</v>
      </c>
      <c r="E1209">
        <v>1.91</v>
      </c>
      <c r="F1209" t="s">
        <v>10</v>
      </c>
    </row>
    <row r="1210" spans="2:6" x14ac:dyDescent="0.25">
      <c r="B1210" t="s">
        <v>267</v>
      </c>
      <c r="C1210" t="s">
        <v>266</v>
      </c>
      <c r="D1210">
        <v>1.94</v>
      </c>
      <c r="E1210">
        <v>1.83</v>
      </c>
      <c r="F1210" t="s">
        <v>10</v>
      </c>
    </row>
    <row r="1211" spans="2:6" x14ac:dyDescent="0.25">
      <c r="B1211" t="s">
        <v>267</v>
      </c>
      <c r="C1211" t="s">
        <v>266</v>
      </c>
      <c r="D1211">
        <v>1.83</v>
      </c>
      <c r="E1211">
        <v>1.97</v>
      </c>
      <c r="F1211" t="s">
        <v>10</v>
      </c>
    </row>
    <row r="1212" spans="2:6" x14ac:dyDescent="0.25">
      <c r="B1212" t="s">
        <v>267</v>
      </c>
      <c r="C1212" t="s">
        <v>266</v>
      </c>
      <c r="D1212">
        <v>1.83</v>
      </c>
      <c r="E1212">
        <v>1.97</v>
      </c>
      <c r="F1212" t="s">
        <v>10</v>
      </c>
    </row>
    <row r="1213" spans="2:6" x14ac:dyDescent="0.25">
      <c r="B1213" t="s">
        <v>267</v>
      </c>
      <c r="C1213" t="s">
        <v>266</v>
      </c>
      <c r="D1213">
        <v>1.95</v>
      </c>
      <c r="E1213">
        <v>1.87</v>
      </c>
      <c r="F1213" t="s">
        <v>10</v>
      </c>
    </row>
    <row r="1214" spans="2:6" x14ac:dyDescent="0.25">
      <c r="B1214" t="s">
        <v>268</v>
      </c>
      <c r="C1214" t="s">
        <v>266</v>
      </c>
      <c r="D1214">
        <v>3.51</v>
      </c>
      <c r="E1214">
        <v>1.33</v>
      </c>
      <c r="F1214" t="s">
        <v>10</v>
      </c>
    </row>
    <row r="1215" spans="2:6" x14ac:dyDescent="0.25">
      <c r="B1215" t="s">
        <v>268</v>
      </c>
      <c r="C1215" t="s">
        <v>266</v>
      </c>
      <c r="D1215">
        <v>3.51</v>
      </c>
      <c r="E1215">
        <v>1.33</v>
      </c>
      <c r="F1215" t="s">
        <v>10</v>
      </c>
    </row>
    <row r="1216" spans="2:6" x14ac:dyDescent="0.25">
      <c r="B1216" t="s">
        <v>268</v>
      </c>
      <c r="C1216" t="s">
        <v>266</v>
      </c>
      <c r="D1216">
        <v>3.5</v>
      </c>
      <c r="E1216">
        <v>1.32</v>
      </c>
      <c r="F1216" t="s">
        <v>10</v>
      </c>
    </row>
    <row r="1217" spans="2:6" x14ac:dyDescent="0.25">
      <c r="B1217" t="s">
        <v>268</v>
      </c>
      <c r="C1217" t="s">
        <v>266</v>
      </c>
      <c r="D1217">
        <v>3.35</v>
      </c>
      <c r="E1217">
        <v>1.32</v>
      </c>
      <c r="F1217" t="s">
        <v>10</v>
      </c>
    </row>
    <row r="1218" spans="2:6" x14ac:dyDescent="0.25">
      <c r="B1218" t="s">
        <v>268</v>
      </c>
      <c r="C1218" t="s">
        <v>266</v>
      </c>
      <c r="D1218">
        <v>3.4</v>
      </c>
      <c r="E1218">
        <v>1.3</v>
      </c>
      <c r="F1218" t="s">
        <v>10</v>
      </c>
    </row>
    <row r="1219" spans="2:6" x14ac:dyDescent="0.25">
      <c r="B1219" t="s">
        <v>268</v>
      </c>
      <c r="C1219" t="s">
        <v>266</v>
      </c>
      <c r="D1219">
        <v>3.4</v>
      </c>
      <c r="E1219">
        <v>1.33</v>
      </c>
      <c r="F1219" t="s">
        <v>10</v>
      </c>
    </row>
    <row r="1220" spans="2:6" x14ac:dyDescent="0.25">
      <c r="B1220" t="s">
        <v>268</v>
      </c>
      <c r="C1220" t="s">
        <v>266</v>
      </c>
      <c r="D1220">
        <v>3.4</v>
      </c>
      <c r="E1220">
        <v>1.33</v>
      </c>
      <c r="F1220" t="s">
        <v>10</v>
      </c>
    </row>
    <row r="1221" spans="2:6" x14ac:dyDescent="0.25">
      <c r="B1221" t="s">
        <v>268</v>
      </c>
      <c r="C1221" t="s">
        <v>266</v>
      </c>
      <c r="D1221">
        <v>3.5</v>
      </c>
      <c r="E1221">
        <v>1.31</v>
      </c>
      <c r="F1221" t="s">
        <v>10</v>
      </c>
    </row>
    <row r="1222" spans="2:6" x14ac:dyDescent="0.25">
      <c r="B1222" t="s">
        <v>269</v>
      </c>
      <c r="C1222" t="s">
        <v>266</v>
      </c>
      <c r="D1222">
        <v>2.2999999999999998</v>
      </c>
      <c r="E1222">
        <v>1.67</v>
      </c>
      <c r="F1222" t="s">
        <v>10</v>
      </c>
    </row>
    <row r="1223" spans="2:6" x14ac:dyDescent="0.25">
      <c r="B1223" t="s">
        <v>269</v>
      </c>
      <c r="C1223" t="s">
        <v>266</v>
      </c>
      <c r="D1223">
        <v>2.25</v>
      </c>
      <c r="E1223">
        <v>1.67</v>
      </c>
      <c r="F1223" t="s">
        <v>10</v>
      </c>
    </row>
    <row r="1224" spans="2:6" x14ac:dyDescent="0.25">
      <c r="B1224" t="s">
        <v>269</v>
      </c>
      <c r="C1224" t="s">
        <v>266</v>
      </c>
      <c r="D1224">
        <v>2.2999999999999998</v>
      </c>
      <c r="E1224">
        <v>1.67</v>
      </c>
      <c r="F1224" t="s">
        <v>10</v>
      </c>
    </row>
    <row r="1225" spans="2:6" x14ac:dyDescent="0.25">
      <c r="B1225" t="s">
        <v>269</v>
      </c>
      <c r="C1225" t="s">
        <v>266</v>
      </c>
      <c r="D1225">
        <v>2.2400000000000002</v>
      </c>
      <c r="E1225">
        <v>1.68</v>
      </c>
      <c r="F1225" t="s">
        <v>10</v>
      </c>
    </row>
    <row r="1226" spans="2:6" x14ac:dyDescent="0.25">
      <c r="B1226" t="s">
        <v>269</v>
      </c>
      <c r="C1226" t="s">
        <v>266</v>
      </c>
      <c r="D1226">
        <v>2.2000000000000002</v>
      </c>
      <c r="E1226">
        <v>1.67</v>
      </c>
      <c r="F1226" t="s">
        <v>10</v>
      </c>
    </row>
    <row r="1227" spans="2:6" x14ac:dyDescent="0.25">
      <c r="B1227" t="s">
        <v>269</v>
      </c>
      <c r="C1227" t="s">
        <v>266</v>
      </c>
      <c r="D1227">
        <v>2.2400000000000002</v>
      </c>
      <c r="E1227">
        <v>1.63</v>
      </c>
      <c r="F1227" t="s">
        <v>10</v>
      </c>
    </row>
    <row r="1228" spans="2:6" x14ac:dyDescent="0.25">
      <c r="B1228" t="s">
        <v>269</v>
      </c>
      <c r="C1228" t="s">
        <v>266</v>
      </c>
      <c r="D1228">
        <v>2.23</v>
      </c>
      <c r="E1228">
        <v>1.65</v>
      </c>
      <c r="F1228" t="s">
        <v>10</v>
      </c>
    </row>
    <row r="1229" spans="2:6" x14ac:dyDescent="0.25">
      <c r="B1229" t="s">
        <v>269</v>
      </c>
      <c r="C1229" t="s">
        <v>266</v>
      </c>
      <c r="D1229">
        <v>2.23</v>
      </c>
      <c r="E1229">
        <v>1.65</v>
      </c>
      <c r="F1229" t="s">
        <v>10</v>
      </c>
    </row>
    <row r="1230" spans="2:6" x14ac:dyDescent="0.25">
      <c r="B1230" t="s">
        <v>269</v>
      </c>
      <c r="C1230" t="s">
        <v>266</v>
      </c>
      <c r="D1230">
        <v>2.25</v>
      </c>
      <c r="E1230">
        <v>1.67</v>
      </c>
      <c r="F1230" t="s">
        <v>10</v>
      </c>
    </row>
    <row r="1231" spans="2:6" x14ac:dyDescent="0.25">
      <c r="B1231" t="s">
        <v>270</v>
      </c>
      <c r="C1231" t="s">
        <v>266</v>
      </c>
      <c r="D1231">
        <v>1.67</v>
      </c>
      <c r="E1231">
        <v>2.2999999999999998</v>
      </c>
      <c r="F1231" t="s">
        <v>10</v>
      </c>
    </row>
    <row r="1232" spans="2:6" x14ac:dyDescent="0.25">
      <c r="B1232" t="s">
        <v>270</v>
      </c>
      <c r="C1232" t="s">
        <v>266</v>
      </c>
      <c r="D1232">
        <v>1.69</v>
      </c>
      <c r="E1232">
        <v>2.2000000000000002</v>
      </c>
      <c r="F1232" t="s">
        <v>10</v>
      </c>
    </row>
    <row r="1233" spans="2:6" x14ac:dyDescent="0.25">
      <c r="B1233" t="s">
        <v>270</v>
      </c>
      <c r="C1233" t="s">
        <v>266</v>
      </c>
      <c r="D1233">
        <v>1.67</v>
      </c>
      <c r="E1233">
        <v>2.2999999999999998</v>
      </c>
      <c r="F1233" t="s">
        <v>10</v>
      </c>
    </row>
    <row r="1234" spans="2:6" x14ac:dyDescent="0.25">
      <c r="B1234" t="s">
        <v>270</v>
      </c>
      <c r="C1234" t="s">
        <v>266</v>
      </c>
      <c r="D1234">
        <v>1.65</v>
      </c>
      <c r="E1234">
        <v>2.2999999999999998</v>
      </c>
      <c r="F1234" t="s">
        <v>10</v>
      </c>
    </row>
    <row r="1235" spans="2:6" x14ac:dyDescent="0.25">
      <c r="B1235" t="s">
        <v>270</v>
      </c>
      <c r="C1235" t="s">
        <v>266</v>
      </c>
      <c r="D1235">
        <v>1.67</v>
      </c>
      <c r="E1235">
        <v>2.2000000000000002</v>
      </c>
      <c r="F1235" t="s">
        <v>10</v>
      </c>
    </row>
    <row r="1236" spans="2:6" x14ac:dyDescent="0.25">
      <c r="B1236" t="s">
        <v>270</v>
      </c>
      <c r="C1236" t="s">
        <v>266</v>
      </c>
      <c r="D1236">
        <v>1.62</v>
      </c>
      <c r="E1236">
        <v>2.2599999999999998</v>
      </c>
      <c r="F1236" t="s">
        <v>10</v>
      </c>
    </row>
    <row r="1237" spans="2:6" x14ac:dyDescent="0.25">
      <c r="B1237" t="s">
        <v>270</v>
      </c>
      <c r="C1237" t="s">
        <v>266</v>
      </c>
      <c r="D1237">
        <v>1.67</v>
      </c>
      <c r="E1237">
        <v>2.2000000000000002</v>
      </c>
      <c r="F1237" t="s">
        <v>10</v>
      </c>
    </row>
    <row r="1238" spans="2:6" x14ac:dyDescent="0.25">
      <c r="B1238" t="s">
        <v>270</v>
      </c>
      <c r="C1238" t="s">
        <v>266</v>
      </c>
      <c r="D1238">
        <v>1.67</v>
      </c>
      <c r="E1238">
        <v>2.2000000000000002</v>
      </c>
      <c r="F1238" t="s">
        <v>10</v>
      </c>
    </row>
    <row r="1239" spans="2:6" x14ac:dyDescent="0.25">
      <c r="B1239" t="s">
        <v>270</v>
      </c>
      <c r="C1239" t="s">
        <v>266</v>
      </c>
      <c r="D1239">
        <v>1.67</v>
      </c>
      <c r="E1239">
        <v>2.25</v>
      </c>
      <c r="F1239" t="s">
        <v>10</v>
      </c>
    </row>
    <row r="1240" spans="2:6" x14ac:dyDescent="0.25">
      <c r="B1240" t="s">
        <v>271</v>
      </c>
      <c r="C1240" t="s">
        <v>266</v>
      </c>
      <c r="D1240">
        <v>2.68</v>
      </c>
      <c r="E1240">
        <v>1.52</v>
      </c>
      <c r="F1240" t="s">
        <v>10</v>
      </c>
    </row>
    <row r="1241" spans="2:6" x14ac:dyDescent="0.25">
      <c r="B1241" t="s">
        <v>271</v>
      </c>
      <c r="C1241" t="s">
        <v>266</v>
      </c>
      <c r="D1241">
        <v>2.6</v>
      </c>
      <c r="E1241">
        <v>1.51</v>
      </c>
      <c r="F1241" t="s">
        <v>10</v>
      </c>
    </row>
    <row r="1242" spans="2:6" x14ac:dyDescent="0.25">
      <c r="B1242" t="s">
        <v>271</v>
      </c>
      <c r="C1242" t="s">
        <v>266</v>
      </c>
      <c r="D1242">
        <v>2.68</v>
      </c>
      <c r="E1242">
        <v>1.52</v>
      </c>
      <c r="F1242" t="s">
        <v>10</v>
      </c>
    </row>
    <row r="1243" spans="2:6" x14ac:dyDescent="0.25">
      <c r="B1243" t="s">
        <v>271</v>
      </c>
      <c r="C1243" t="s">
        <v>266</v>
      </c>
      <c r="D1243">
        <v>2.7</v>
      </c>
      <c r="E1243">
        <v>1.49</v>
      </c>
      <c r="F1243" t="s">
        <v>10</v>
      </c>
    </row>
    <row r="1244" spans="2:6" x14ac:dyDescent="0.25">
      <c r="B1244" t="s">
        <v>271</v>
      </c>
      <c r="C1244" t="s">
        <v>266</v>
      </c>
      <c r="D1244">
        <v>2.65</v>
      </c>
      <c r="E1244">
        <v>1.51</v>
      </c>
      <c r="F1244" t="s">
        <v>10</v>
      </c>
    </row>
    <row r="1245" spans="2:6" x14ac:dyDescent="0.25">
      <c r="B1245" t="s">
        <v>271</v>
      </c>
      <c r="C1245" t="s">
        <v>266</v>
      </c>
      <c r="D1245">
        <v>2.5</v>
      </c>
      <c r="E1245">
        <v>1.52</v>
      </c>
      <c r="F1245" t="s">
        <v>10</v>
      </c>
    </row>
    <row r="1246" spans="2:6" x14ac:dyDescent="0.25">
      <c r="B1246" t="s">
        <v>271</v>
      </c>
      <c r="C1246" t="s">
        <v>266</v>
      </c>
      <c r="D1246">
        <v>2.5499999999999998</v>
      </c>
      <c r="E1246">
        <v>1.51</v>
      </c>
      <c r="F1246" t="s">
        <v>10</v>
      </c>
    </row>
    <row r="1247" spans="2:6" x14ac:dyDescent="0.25">
      <c r="B1247" t="s">
        <v>271</v>
      </c>
      <c r="C1247" t="s">
        <v>266</v>
      </c>
      <c r="D1247">
        <v>2.5499999999999998</v>
      </c>
      <c r="E1247">
        <v>1.51</v>
      </c>
      <c r="F1247" t="s">
        <v>10</v>
      </c>
    </row>
    <row r="1248" spans="2:6" x14ac:dyDescent="0.25">
      <c r="B1248" t="s">
        <v>271</v>
      </c>
      <c r="C1248" t="s">
        <v>266</v>
      </c>
      <c r="D1248">
        <v>2.65</v>
      </c>
      <c r="E1248">
        <v>1.51</v>
      </c>
      <c r="F1248" t="s">
        <v>10</v>
      </c>
    </row>
    <row r="1249" spans="2:6" x14ac:dyDescent="0.25">
      <c r="B1249" t="s">
        <v>272</v>
      </c>
      <c r="C1249" t="s">
        <v>266</v>
      </c>
      <c r="D1249">
        <v>3.7</v>
      </c>
      <c r="E1249">
        <v>1.3</v>
      </c>
      <c r="F1249" t="s">
        <v>10</v>
      </c>
    </row>
    <row r="1250" spans="2:6" x14ac:dyDescent="0.25">
      <c r="B1250" t="s">
        <v>272</v>
      </c>
      <c r="C1250" t="s">
        <v>266</v>
      </c>
      <c r="D1250">
        <v>3.7</v>
      </c>
      <c r="E1250">
        <v>1.3</v>
      </c>
      <c r="F1250" t="s">
        <v>10</v>
      </c>
    </row>
    <row r="1251" spans="2:6" x14ac:dyDescent="0.25">
      <c r="B1251" t="s">
        <v>272</v>
      </c>
      <c r="C1251" t="s">
        <v>266</v>
      </c>
      <c r="D1251">
        <v>3.75</v>
      </c>
      <c r="E1251">
        <v>1.29</v>
      </c>
      <c r="F1251" t="s">
        <v>10</v>
      </c>
    </row>
    <row r="1252" spans="2:6" x14ac:dyDescent="0.25">
      <c r="B1252" t="s">
        <v>272</v>
      </c>
      <c r="C1252" t="s">
        <v>266</v>
      </c>
      <c r="D1252">
        <v>3.6</v>
      </c>
      <c r="E1252">
        <v>1.29</v>
      </c>
      <c r="F1252" t="s">
        <v>10</v>
      </c>
    </row>
    <row r="1253" spans="2:6" x14ac:dyDescent="0.25">
      <c r="B1253" t="s">
        <v>272</v>
      </c>
      <c r="C1253" t="s">
        <v>266</v>
      </c>
      <c r="D1253">
        <v>3.4</v>
      </c>
      <c r="E1253">
        <v>1.3</v>
      </c>
      <c r="F1253" t="s">
        <v>10</v>
      </c>
    </row>
    <row r="1254" spans="2:6" x14ac:dyDescent="0.25">
      <c r="B1254" t="s">
        <v>272</v>
      </c>
      <c r="C1254" t="s">
        <v>266</v>
      </c>
      <c r="D1254">
        <v>3.65</v>
      </c>
      <c r="E1254">
        <v>1.27</v>
      </c>
      <c r="F1254" t="s">
        <v>10</v>
      </c>
    </row>
    <row r="1255" spans="2:6" x14ac:dyDescent="0.25">
      <c r="B1255" t="s">
        <v>272</v>
      </c>
      <c r="C1255" t="s">
        <v>266</v>
      </c>
      <c r="D1255">
        <v>3.55</v>
      </c>
      <c r="E1255">
        <v>1.3</v>
      </c>
      <c r="F1255" t="s">
        <v>10</v>
      </c>
    </row>
    <row r="1256" spans="2:6" x14ac:dyDescent="0.25">
      <c r="B1256" t="s">
        <v>272</v>
      </c>
      <c r="C1256" t="s">
        <v>266</v>
      </c>
      <c r="D1256">
        <v>3.55</v>
      </c>
      <c r="E1256">
        <v>1.3</v>
      </c>
      <c r="F1256" t="s">
        <v>10</v>
      </c>
    </row>
    <row r="1257" spans="2:6" x14ac:dyDescent="0.25">
      <c r="B1257" t="s">
        <v>272</v>
      </c>
      <c r="C1257" t="s">
        <v>266</v>
      </c>
      <c r="D1257">
        <v>3.65</v>
      </c>
      <c r="E1257">
        <v>1.29</v>
      </c>
      <c r="F1257" t="s">
        <v>10</v>
      </c>
    </row>
    <row r="1258" spans="2:6" x14ac:dyDescent="0.25">
      <c r="B1258" t="s">
        <v>96</v>
      </c>
      <c r="C1258" t="s">
        <v>97</v>
      </c>
      <c r="D1258">
        <v>3.15</v>
      </c>
      <c r="E1258">
        <v>1.39</v>
      </c>
      <c r="F1258" t="s">
        <v>10</v>
      </c>
    </row>
    <row r="1259" spans="2:6" x14ac:dyDescent="0.25">
      <c r="B1259" t="s">
        <v>96</v>
      </c>
      <c r="C1259" t="s">
        <v>97</v>
      </c>
      <c r="D1259">
        <v>3.15</v>
      </c>
      <c r="E1259">
        <v>1.39</v>
      </c>
      <c r="F1259" t="s">
        <v>10</v>
      </c>
    </row>
    <row r="1260" spans="2:6" x14ac:dyDescent="0.25">
      <c r="B1260" t="s">
        <v>96</v>
      </c>
      <c r="C1260" t="s">
        <v>97</v>
      </c>
      <c r="D1260">
        <v>3.1</v>
      </c>
      <c r="E1260">
        <v>1.39</v>
      </c>
      <c r="F1260" t="s">
        <v>10</v>
      </c>
    </row>
    <row r="1261" spans="2:6" x14ac:dyDescent="0.25">
      <c r="B1261" t="s">
        <v>96</v>
      </c>
      <c r="C1261" t="s">
        <v>97</v>
      </c>
      <c r="D1261">
        <v>3</v>
      </c>
      <c r="E1261">
        <v>1.38</v>
      </c>
      <c r="F1261" t="s">
        <v>10</v>
      </c>
    </row>
    <row r="1262" spans="2:6" x14ac:dyDescent="0.25">
      <c r="B1262" t="s">
        <v>96</v>
      </c>
      <c r="C1262" t="s">
        <v>97</v>
      </c>
      <c r="D1262">
        <v>3.05</v>
      </c>
      <c r="E1262">
        <v>1.4</v>
      </c>
      <c r="F1262" t="s">
        <v>10</v>
      </c>
    </row>
    <row r="1263" spans="2:6" x14ac:dyDescent="0.25">
      <c r="B1263" t="s">
        <v>96</v>
      </c>
      <c r="C1263" t="s">
        <v>97</v>
      </c>
      <c r="D1263">
        <v>3.05</v>
      </c>
      <c r="E1263">
        <v>1.39</v>
      </c>
      <c r="F1263" t="s">
        <v>10</v>
      </c>
    </row>
    <row r="1264" spans="2:6" x14ac:dyDescent="0.25">
      <c r="B1264" t="s">
        <v>96</v>
      </c>
      <c r="C1264" t="s">
        <v>97</v>
      </c>
      <c r="D1264">
        <v>3</v>
      </c>
      <c r="E1264">
        <v>1.38</v>
      </c>
      <c r="F1264" t="s">
        <v>10</v>
      </c>
    </row>
    <row r="1265" spans="2:6" x14ac:dyDescent="0.25">
      <c r="B1265" t="s">
        <v>96</v>
      </c>
      <c r="C1265" t="s">
        <v>97</v>
      </c>
      <c r="D1265">
        <v>3</v>
      </c>
      <c r="E1265">
        <v>1.4</v>
      </c>
      <c r="F1265" t="s">
        <v>10</v>
      </c>
    </row>
    <row r="1266" spans="2:6" x14ac:dyDescent="0.25">
      <c r="B1266" t="s">
        <v>96</v>
      </c>
      <c r="C1266" t="s">
        <v>97</v>
      </c>
      <c r="D1266">
        <v>3</v>
      </c>
      <c r="E1266">
        <v>1.4</v>
      </c>
      <c r="F1266" t="s">
        <v>10</v>
      </c>
    </row>
    <row r="1267" spans="2:6" x14ac:dyDescent="0.25">
      <c r="B1267" t="s">
        <v>98</v>
      </c>
      <c r="C1267" t="s">
        <v>97</v>
      </c>
      <c r="D1267">
        <v>1.4</v>
      </c>
      <c r="E1267">
        <v>3.1</v>
      </c>
      <c r="F1267" t="s">
        <v>10</v>
      </c>
    </row>
    <row r="1268" spans="2:6" x14ac:dyDescent="0.25">
      <c r="B1268" t="s">
        <v>98</v>
      </c>
      <c r="C1268" t="s">
        <v>97</v>
      </c>
      <c r="D1268">
        <v>1.4</v>
      </c>
      <c r="E1268">
        <v>3.1</v>
      </c>
      <c r="F1268" t="s">
        <v>10</v>
      </c>
    </row>
    <row r="1269" spans="2:6" x14ac:dyDescent="0.25">
      <c r="B1269" t="s">
        <v>98</v>
      </c>
      <c r="C1269" t="s">
        <v>97</v>
      </c>
      <c r="D1269">
        <v>1.41</v>
      </c>
      <c r="E1269">
        <v>3</v>
      </c>
      <c r="F1269" t="s">
        <v>10</v>
      </c>
    </row>
    <row r="1270" spans="2:6" x14ac:dyDescent="0.25">
      <c r="B1270" t="s">
        <v>98</v>
      </c>
      <c r="C1270" t="s">
        <v>97</v>
      </c>
      <c r="D1270">
        <v>1.42</v>
      </c>
      <c r="E1270">
        <v>2.95</v>
      </c>
      <c r="F1270" t="s">
        <v>10</v>
      </c>
    </row>
    <row r="1271" spans="2:6" x14ac:dyDescent="0.25">
      <c r="B1271" t="s">
        <v>98</v>
      </c>
      <c r="C1271" t="s">
        <v>97</v>
      </c>
      <c r="D1271">
        <v>1.4</v>
      </c>
      <c r="E1271">
        <v>3.05</v>
      </c>
      <c r="F1271" t="s">
        <v>10</v>
      </c>
    </row>
    <row r="1272" spans="2:6" x14ac:dyDescent="0.25">
      <c r="B1272" t="s">
        <v>98</v>
      </c>
      <c r="C1272" t="s">
        <v>97</v>
      </c>
      <c r="D1272">
        <v>1.4</v>
      </c>
      <c r="E1272">
        <v>3</v>
      </c>
      <c r="F1272" t="s">
        <v>10</v>
      </c>
    </row>
    <row r="1273" spans="2:6" x14ac:dyDescent="0.25">
      <c r="B1273" t="s">
        <v>98</v>
      </c>
      <c r="C1273" t="s">
        <v>97</v>
      </c>
      <c r="D1273">
        <v>1.38</v>
      </c>
      <c r="E1273">
        <v>3</v>
      </c>
      <c r="F1273" t="s">
        <v>10</v>
      </c>
    </row>
    <row r="1274" spans="2:6" x14ac:dyDescent="0.25">
      <c r="B1274" t="s">
        <v>98</v>
      </c>
      <c r="C1274" t="s">
        <v>97</v>
      </c>
      <c r="D1274">
        <v>1.4</v>
      </c>
      <c r="E1274">
        <v>2.95</v>
      </c>
      <c r="F1274" t="s">
        <v>10</v>
      </c>
    </row>
    <row r="1275" spans="2:6" x14ac:dyDescent="0.25">
      <c r="B1275" t="s">
        <v>98</v>
      </c>
      <c r="C1275" t="s">
        <v>97</v>
      </c>
      <c r="D1275">
        <v>1.4</v>
      </c>
      <c r="E1275">
        <v>2.95</v>
      </c>
      <c r="F1275" t="s">
        <v>10</v>
      </c>
    </row>
    <row r="1276" spans="2:6" x14ac:dyDescent="0.25">
      <c r="B1276" t="s">
        <v>99</v>
      </c>
      <c r="C1276" t="s">
        <v>97</v>
      </c>
      <c r="D1276">
        <v>1.36</v>
      </c>
      <c r="E1276">
        <v>3.35</v>
      </c>
      <c r="F1276" t="s">
        <v>10</v>
      </c>
    </row>
    <row r="1277" spans="2:6" x14ac:dyDescent="0.25">
      <c r="B1277" t="s">
        <v>99</v>
      </c>
      <c r="C1277" t="s">
        <v>97</v>
      </c>
      <c r="D1277">
        <v>1.36</v>
      </c>
      <c r="E1277">
        <v>3.35</v>
      </c>
      <c r="F1277" t="s">
        <v>10</v>
      </c>
    </row>
    <row r="1278" spans="2:6" x14ac:dyDescent="0.25">
      <c r="B1278" t="s">
        <v>99</v>
      </c>
      <c r="C1278" t="s">
        <v>97</v>
      </c>
      <c r="D1278">
        <v>1.34</v>
      </c>
      <c r="E1278">
        <v>3.4</v>
      </c>
      <c r="F1278" t="s">
        <v>10</v>
      </c>
    </row>
    <row r="1279" spans="2:6" x14ac:dyDescent="0.25">
      <c r="B1279" t="s">
        <v>99</v>
      </c>
      <c r="C1279" t="s">
        <v>97</v>
      </c>
      <c r="D1279">
        <v>1.35</v>
      </c>
      <c r="E1279">
        <v>3.25</v>
      </c>
      <c r="F1279" t="s">
        <v>10</v>
      </c>
    </row>
    <row r="1280" spans="2:6" x14ac:dyDescent="0.25">
      <c r="B1280" t="s">
        <v>99</v>
      </c>
      <c r="C1280" t="s">
        <v>97</v>
      </c>
      <c r="D1280">
        <v>1.36</v>
      </c>
      <c r="E1280">
        <v>3.3</v>
      </c>
      <c r="F1280" t="s">
        <v>10</v>
      </c>
    </row>
    <row r="1281" spans="2:6" x14ac:dyDescent="0.25">
      <c r="B1281" t="s">
        <v>99</v>
      </c>
      <c r="C1281" t="s">
        <v>97</v>
      </c>
      <c r="D1281">
        <v>1.36</v>
      </c>
      <c r="E1281">
        <v>3.15</v>
      </c>
      <c r="F1281" t="s">
        <v>10</v>
      </c>
    </row>
    <row r="1282" spans="2:6" x14ac:dyDescent="0.25">
      <c r="B1282" t="s">
        <v>99</v>
      </c>
      <c r="C1282" t="s">
        <v>97</v>
      </c>
      <c r="D1282">
        <v>1.36</v>
      </c>
      <c r="E1282">
        <v>3.15</v>
      </c>
      <c r="F1282" t="s">
        <v>10</v>
      </c>
    </row>
    <row r="1283" spans="2:6" x14ac:dyDescent="0.25">
      <c r="B1283" t="s">
        <v>99</v>
      </c>
      <c r="C1283" t="s">
        <v>97</v>
      </c>
      <c r="D1283">
        <v>1.36</v>
      </c>
      <c r="E1283">
        <v>3.2</v>
      </c>
      <c r="F1283" t="s">
        <v>10</v>
      </c>
    </row>
    <row r="1284" spans="2:6" x14ac:dyDescent="0.25">
      <c r="B1284" t="s">
        <v>99</v>
      </c>
      <c r="C1284" t="s">
        <v>97</v>
      </c>
      <c r="D1284">
        <v>1.32</v>
      </c>
      <c r="E1284">
        <v>3.3</v>
      </c>
      <c r="F1284" t="s">
        <v>10</v>
      </c>
    </row>
    <row r="1285" spans="2:6" x14ac:dyDescent="0.25">
      <c r="B1285" t="s">
        <v>122</v>
      </c>
      <c r="C1285" t="s">
        <v>97</v>
      </c>
      <c r="D1285">
        <v>1.32</v>
      </c>
      <c r="E1285">
        <v>3.6</v>
      </c>
      <c r="F1285" t="s">
        <v>10</v>
      </c>
    </row>
    <row r="1286" spans="2:6" x14ac:dyDescent="0.25">
      <c r="B1286" t="s">
        <v>122</v>
      </c>
      <c r="C1286" t="s">
        <v>97</v>
      </c>
      <c r="D1286">
        <v>1.32</v>
      </c>
      <c r="E1286">
        <v>3.4</v>
      </c>
      <c r="F1286" t="s">
        <v>10</v>
      </c>
    </row>
    <row r="1287" spans="2:6" x14ac:dyDescent="0.25">
      <c r="B1287" t="s">
        <v>122</v>
      </c>
      <c r="C1287" t="s">
        <v>97</v>
      </c>
      <c r="D1287">
        <v>1.32</v>
      </c>
      <c r="E1287">
        <v>3.6</v>
      </c>
      <c r="F1287" t="s">
        <v>10</v>
      </c>
    </row>
    <row r="1288" spans="2:6" x14ac:dyDescent="0.25">
      <c r="B1288" t="s">
        <v>122</v>
      </c>
      <c r="C1288" t="s">
        <v>97</v>
      </c>
      <c r="D1288">
        <v>1.34</v>
      </c>
      <c r="E1288">
        <v>3.4</v>
      </c>
      <c r="F1288" t="s">
        <v>10</v>
      </c>
    </row>
    <row r="1289" spans="2:6" x14ac:dyDescent="0.25">
      <c r="B1289" t="s">
        <v>122</v>
      </c>
      <c r="C1289" t="s">
        <v>97</v>
      </c>
      <c r="D1289">
        <v>1.33</v>
      </c>
      <c r="E1289">
        <v>3.4</v>
      </c>
      <c r="F1289" t="s">
        <v>10</v>
      </c>
    </row>
    <row r="1290" spans="2:6" x14ac:dyDescent="0.25">
      <c r="B1290" t="s">
        <v>122</v>
      </c>
      <c r="C1290" t="s">
        <v>97</v>
      </c>
      <c r="D1290">
        <v>1.32</v>
      </c>
      <c r="E1290">
        <v>3.35</v>
      </c>
      <c r="F1290" t="s">
        <v>10</v>
      </c>
    </row>
    <row r="1291" spans="2:6" x14ac:dyDescent="0.25">
      <c r="B1291" t="s">
        <v>122</v>
      </c>
      <c r="C1291" t="s">
        <v>97</v>
      </c>
      <c r="D1291">
        <v>1.29</v>
      </c>
      <c r="E1291">
        <v>3.5</v>
      </c>
      <c r="F1291" t="s">
        <v>10</v>
      </c>
    </row>
    <row r="1292" spans="2:6" x14ac:dyDescent="0.25">
      <c r="B1292" t="s">
        <v>122</v>
      </c>
      <c r="C1292" t="s">
        <v>97</v>
      </c>
      <c r="D1292">
        <v>1.33</v>
      </c>
      <c r="E1292">
        <v>3.3</v>
      </c>
      <c r="F1292" t="s">
        <v>10</v>
      </c>
    </row>
    <row r="1293" spans="2:6" x14ac:dyDescent="0.25">
      <c r="B1293" t="s">
        <v>122</v>
      </c>
      <c r="C1293" t="s">
        <v>97</v>
      </c>
      <c r="D1293">
        <v>1.33</v>
      </c>
      <c r="E1293">
        <v>3.3</v>
      </c>
      <c r="F1293" t="s">
        <v>10</v>
      </c>
    </row>
    <row r="1294" spans="2:6" x14ac:dyDescent="0.25">
      <c r="B1294" t="s">
        <v>123</v>
      </c>
      <c r="C1294" t="s">
        <v>97</v>
      </c>
      <c r="D1294">
        <v>3.06</v>
      </c>
      <c r="E1294">
        <v>1.42</v>
      </c>
      <c r="F1294" t="s">
        <v>10</v>
      </c>
    </row>
    <row r="1295" spans="2:6" x14ac:dyDescent="0.25">
      <c r="B1295" t="s">
        <v>123</v>
      </c>
      <c r="C1295" t="s">
        <v>97</v>
      </c>
      <c r="D1295">
        <v>2.95</v>
      </c>
      <c r="E1295">
        <v>1.42</v>
      </c>
      <c r="F1295" t="s">
        <v>10</v>
      </c>
    </row>
    <row r="1296" spans="2:6" x14ac:dyDescent="0.25">
      <c r="B1296" t="s">
        <v>123</v>
      </c>
      <c r="C1296" t="s">
        <v>97</v>
      </c>
      <c r="D1296">
        <v>3.06</v>
      </c>
      <c r="E1296">
        <v>1.42</v>
      </c>
      <c r="F1296" t="s">
        <v>10</v>
      </c>
    </row>
    <row r="1297" spans="2:6" x14ac:dyDescent="0.25">
      <c r="B1297" t="s">
        <v>123</v>
      </c>
      <c r="C1297" t="s">
        <v>97</v>
      </c>
      <c r="D1297">
        <v>3</v>
      </c>
      <c r="E1297">
        <v>1.41</v>
      </c>
      <c r="F1297" t="s">
        <v>10</v>
      </c>
    </row>
    <row r="1298" spans="2:6" x14ac:dyDescent="0.25">
      <c r="B1298" t="s">
        <v>123</v>
      </c>
      <c r="C1298" t="s">
        <v>97</v>
      </c>
      <c r="D1298">
        <v>3.05</v>
      </c>
      <c r="E1298">
        <v>1.4</v>
      </c>
      <c r="F1298" t="s">
        <v>10</v>
      </c>
    </row>
    <row r="1299" spans="2:6" x14ac:dyDescent="0.25">
      <c r="B1299" t="s">
        <v>123</v>
      </c>
      <c r="C1299" t="s">
        <v>97</v>
      </c>
      <c r="D1299">
        <v>3</v>
      </c>
      <c r="E1299">
        <v>1.4</v>
      </c>
      <c r="F1299" t="s">
        <v>10</v>
      </c>
    </row>
    <row r="1300" spans="2:6" x14ac:dyDescent="0.25">
      <c r="B1300" t="s">
        <v>123</v>
      </c>
      <c r="C1300" t="s">
        <v>97</v>
      </c>
      <c r="D1300">
        <v>3</v>
      </c>
      <c r="E1300">
        <v>1.38</v>
      </c>
      <c r="F1300" t="s">
        <v>10</v>
      </c>
    </row>
    <row r="1301" spans="2:6" x14ac:dyDescent="0.25">
      <c r="B1301" t="s">
        <v>123</v>
      </c>
      <c r="C1301" t="s">
        <v>97</v>
      </c>
      <c r="D1301">
        <v>3</v>
      </c>
      <c r="E1301">
        <v>1.4</v>
      </c>
      <c r="F1301" t="s">
        <v>10</v>
      </c>
    </row>
    <row r="1302" spans="2:6" x14ac:dyDescent="0.25">
      <c r="B1302" t="s">
        <v>123</v>
      </c>
      <c r="C1302" t="s">
        <v>97</v>
      </c>
      <c r="D1302">
        <v>3</v>
      </c>
      <c r="E1302">
        <v>1.4</v>
      </c>
      <c r="F1302" t="s">
        <v>10</v>
      </c>
    </row>
    <row r="1303" spans="2:6" x14ac:dyDescent="0.25">
      <c r="B1303" t="s">
        <v>273</v>
      </c>
      <c r="C1303" t="s">
        <v>274</v>
      </c>
      <c r="D1303">
        <v>4.75</v>
      </c>
      <c r="E1303">
        <v>1.18</v>
      </c>
      <c r="F1303" t="s">
        <v>10</v>
      </c>
    </row>
    <row r="1304" spans="2:6" x14ac:dyDescent="0.25">
      <c r="B1304" t="s">
        <v>273</v>
      </c>
      <c r="C1304" t="s">
        <v>274</v>
      </c>
      <c r="D1304">
        <v>5</v>
      </c>
      <c r="E1304">
        <v>1.19</v>
      </c>
      <c r="F1304" t="s">
        <v>10</v>
      </c>
    </row>
    <row r="1305" spans="2:6" x14ac:dyDescent="0.25">
      <c r="B1305" t="s">
        <v>273</v>
      </c>
      <c r="C1305" t="s">
        <v>274</v>
      </c>
      <c r="D1305">
        <v>4.8499999999999996</v>
      </c>
      <c r="E1305">
        <v>1.18</v>
      </c>
      <c r="F1305" t="s">
        <v>10</v>
      </c>
    </row>
    <row r="1306" spans="2:6" x14ac:dyDescent="0.25">
      <c r="B1306" t="s">
        <v>273</v>
      </c>
      <c r="C1306" t="s">
        <v>274</v>
      </c>
      <c r="D1306">
        <v>5</v>
      </c>
      <c r="E1306">
        <v>1.1599999999999999</v>
      </c>
      <c r="F1306" t="s">
        <v>10</v>
      </c>
    </row>
    <row r="1307" spans="2:6" x14ac:dyDescent="0.25">
      <c r="B1307" t="s">
        <v>273</v>
      </c>
      <c r="C1307" t="s">
        <v>274</v>
      </c>
      <c r="D1307">
        <v>5.01</v>
      </c>
      <c r="E1307">
        <v>1.18</v>
      </c>
      <c r="F1307" t="s">
        <v>10</v>
      </c>
    </row>
    <row r="1308" spans="2:6" x14ac:dyDescent="0.25">
      <c r="B1308" t="s">
        <v>273</v>
      </c>
      <c r="C1308" t="s">
        <v>274</v>
      </c>
      <c r="D1308">
        <v>5.01</v>
      </c>
      <c r="E1308">
        <v>1.18</v>
      </c>
      <c r="F1308" t="s">
        <v>10</v>
      </c>
    </row>
    <row r="1309" spans="2:6" x14ac:dyDescent="0.25">
      <c r="B1309" t="s">
        <v>273</v>
      </c>
      <c r="C1309" t="s">
        <v>274</v>
      </c>
      <c r="D1309">
        <v>5</v>
      </c>
      <c r="E1309">
        <v>1.18</v>
      </c>
      <c r="F1309" t="s">
        <v>10</v>
      </c>
    </row>
    <row r="1310" spans="2:6" x14ac:dyDescent="0.25">
      <c r="B1310" t="s">
        <v>273</v>
      </c>
      <c r="C1310" t="s">
        <v>274</v>
      </c>
      <c r="D1310">
        <v>5</v>
      </c>
      <c r="E1310">
        <v>1.18</v>
      </c>
      <c r="F1310" t="s">
        <v>10</v>
      </c>
    </row>
    <row r="1311" spans="2:6" x14ac:dyDescent="0.25">
      <c r="B1311" t="s">
        <v>273</v>
      </c>
      <c r="C1311" t="s">
        <v>274</v>
      </c>
      <c r="D1311">
        <v>5</v>
      </c>
      <c r="E1311">
        <v>1.18</v>
      </c>
      <c r="F1311" t="s">
        <v>10</v>
      </c>
    </row>
    <row r="1312" spans="2:6" x14ac:dyDescent="0.25">
      <c r="B1312" t="s">
        <v>420</v>
      </c>
      <c r="C1312" t="s">
        <v>421</v>
      </c>
      <c r="D1312">
        <v>1.68</v>
      </c>
      <c r="E1312">
        <v>2.27</v>
      </c>
      <c r="F1312" t="s">
        <v>10</v>
      </c>
    </row>
    <row r="1313" spans="2:6" x14ac:dyDescent="0.25">
      <c r="B1313" t="s">
        <v>420</v>
      </c>
      <c r="C1313" t="s">
        <v>421</v>
      </c>
      <c r="D1313">
        <v>1.68</v>
      </c>
      <c r="E1313">
        <v>2.27</v>
      </c>
      <c r="F1313" t="s">
        <v>10</v>
      </c>
    </row>
    <row r="1314" spans="2:6" x14ac:dyDescent="0.25">
      <c r="B1314" t="s">
        <v>420</v>
      </c>
      <c r="C1314" t="s">
        <v>421</v>
      </c>
      <c r="D1314">
        <v>1.7</v>
      </c>
      <c r="E1314">
        <v>2.2000000000000002</v>
      </c>
      <c r="F1314" t="s">
        <v>10</v>
      </c>
    </row>
    <row r="1315" spans="2:6" x14ac:dyDescent="0.25">
      <c r="B1315" t="s">
        <v>420</v>
      </c>
      <c r="C1315" t="s">
        <v>421</v>
      </c>
      <c r="D1315">
        <v>1.68</v>
      </c>
      <c r="E1315">
        <v>2.14</v>
      </c>
      <c r="F1315" t="s">
        <v>10</v>
      </c>
    </row>
    <row r="1316" spans="2:6" x14ac:dyDescent="0.25">
      <c r="B1316" t="s">
        <v>420</v>
      </c>
      <c r="C1316" t="s">
        <v>421</v>
      </c>
      <c r="D1316">
        <v>1.69</v>
      </c>
      <c r="E1316">
        <v>2.15</v>
      </c>
      <c r="F1316" t="s">
        <v>10</v>
      </c>
    </row>
    <row r="1317" spans="2:6" x14ac:dyDescent="0.25">
      <c r="B1317" t="s">
        <v>420</v>
      </c>
      <c r="C1317" t="s">
        <v>421</v>
      </c>
      <c r="D1317">
        <v>1.69</v>
      </c>
      <c r="E1317">
        <v>2.1</v>
      </c>
      <c r="F1317" t="s">
        <v>10</v>
      </c>
    </row>
    <row r="1318" spans="2:6" x14ac:dyDescent="0.25">
      <c r="B1318" t="s">
        <v>420</v>
      </c>
      <c r="C1318" t="s">
        <v>421</v>
      </c>
      <c r="D1318">
        <v>1.69</v>
      </c>
      <c r="E1318">
        <v>2.2200000000000002</v>
      </c>
      <c r="F1318" t="s">
        <v>10</v>
      </c>
    </row>
    <row r="1319" spans="2:6" x14ac:dyDescent="0.25">
      <c r="B1319" t="s">
        <v>422</v>
      </c>
      <c r="C1319" t="s">
        <v>421</v>
      </c>
      <c r="D1319">
        <v>3.4</v>
      </c>
      <c r="E1319">
        <v>1.36</v>
      </c>
      <c r="F1319" t="s">
        <v>10</v>
      </c>
    </row>
    <row r="1320" spans="2:6" x14ac:dyDescent="0.25">
      <c r="B1320" t="s">
        <v>422</v>
      </c>
      <c r="C1320" t="s">
        <v>421</v>
      </c>
      <c r="D1320">
        <v>3.2</v>
      </c>
      <c r="E1320">
        <v>1.36</v>
      </c>
      <c r="F1320" t="s">
        <v>10</v>
      </c>
    </row>
    <row r="1321" spans="2:6" x14ac:dyDescent="0.25">
      <c r="B1321" t="s">
        <v>422</v>
      </c>
      <c r="C1321" t="s">
        <v>421</v>
      </c>
      <c r="D1321">
        <v>3.4</v>
      </c>
      <c r="E1321">
        <v>1.36</v>
      </c>
      <c r="F1321" t="s">
        <v>10</v>
      </c>
    </row>
    <row r="1322" spans="2:6" x14ac:dyDescent="0.25">
      <c r="B1322" t="s">
        <v>422</v>
      </c>
      <c r="C1322" t="s">
        <v>421</v>
      </c>
      <c r="D1322">
        <v>3.2</v>
      </c>
      <c r="E1322">
        <v>1.36</v>
      </c>
      <c r="F1322" t="s">
        <v>10</v>
      </c>
    </row>
    <row r="1323" spans="2:6" x14ac:dyDescent="0.25">
      <c r="B1323" t="s">
        <v>422</v>
      </c>
      <c r="C1323" t="s">
        <v>421</v>
      </c>
      <c r="D1323">
        <v>3.3</v>
      </c>
      <c r="E1323">
        <v>1.35</v>
      </c>
      <c r="F1323" t="s">
        <v>10</v>
      </c>
    </row>
    <row r="1324" spans="2:6" x14ac:dyDescent="0.25">
      <c r="B1324" t="s">
        <v>422</v>
      </c>
      <c r="C1324" t="s">
        <v>421</v>
      </c>
      <c r="D1324">
        <v>3.3</v>
      </c>
      <c r="E1324">
        <v>1.36</v>
      </c>
      <c r="F1324" t="s">
        <v>10</v>
      </c>
    </row>
    <row r="1325" spans="2:6" x14ac:dyDescent="0.25">
      <c r="B1325" t="s">
        <v>423</v>
      </c>
      <c r="C1325" t="s">
        <v>424</v>
      </c>
      <c r="D1325">
        <v>2.0499999999999998</v>
      </c>
      <c r="E1325">
        <v>1.8</v>
      </c>
      <c r="F1325" t="s">
        <v>10</v>
      </c>
    </row>
    <row r="1326" spans="2:6" x14ac:dyDescent="0.25">
      <c r="B1326" t="s">
        <v>423</v>
      </c>
      <c r="C1326" t="s">
        <v>424</v>
      </c>
      <c r="D1326">
        <v>2.0499999999999998</v>
      </c>
      <c r="E1326">
        <v>1.8</v>
      </c>
      <c r="F1326" t="s">
        <v>10</v>
      </c>
    </row>
    <row r="1327" spans="2:6" x14ac:dyDescent="0.25">
      <c r="B1327" t="s">
        <v>423</v>
      </c>
      <c r="C1327" t="s">
        <v>424</v>
      </c>
      <c r="D1327">
        <v>2.02</v>
      </c>
      <c r="E1327">
        <v>1.82</v>
      </c>
      <c r="F1327" t="s">
        <v>10</v>
      </c>
    </row>
    <row r="1328" spans="2:6" x14ac:dyDescent="0.25">
      <c r="B1328" t="s">
        <v>423</v>
      </c>
      <c r="C1328" t="s">
        <v>424</v>
      </c>
      <c r="D1328">
        <v>1.95</v>
      </c>
      <c r="E1328">
        <v>1.8</v>
      </c>
      <c r="F1328" t="s">
        <v>10</v>
      </c>
    </row>
    <row r="1329" spans="2:6" x14ac:dyDescent="0.25">
      <c r="B1329" t="s">
        <v>423</v>
      </c>
      <c r="C1329" t="s">
        <v>424</v>
      </c>
      <c r="D1329">
        <v>2</v>
      </c>
      <c r="E1329">
        <v>1.78</v>
      </c>
      <c r="F1329" t="s">
        <v>10</v>
      </c>
    </row>
    <row r="1330" spans="2:6" x14ac:dyDescent="0.25">
      <c r="B1330" t="s">
        <v>423</v>
      </c>
      <c r="C1330" t="s">
        <v>424</v>
      </c>
      <c r="D1330">
        <v>2.0499999999999998</v>
      </c>
      <c r="E1330">
        <v>1.8</v>
      </c>
      <c r="F1330" t="s">
        <v>10</v>
      </c>
    </row>
    <row r="1331" spans="2:6" x14ac:dyDescent="0.25">
      <c r="B1331" t="s">
        <v>425</v>
      </c>
      <c r="C1331" t="s">
        <v>426</v>
      </c>
      <c r="D1331">
        <v>2.4</v>
      </c>
      <c r="E1331">
        <v>1.54</v>
      </c>
      <c r="F1331" t="s">
        <v>10</v>
      </c>
    </row>
    <row r="1332" spans="2:6" x14ac:dyDescent="0.25">
      <c r="B1332" t="s">
        <v>425</v>
      </c>
      <c r="C1332" t="s">
        <v>426</v>
      </c>
      <c r="D1332">
        <v>2.5</v>
      </c>
      <c r="E1332">
        <v>1.56</v>
      </c>
      <c r="F1332" t="s">
        <v>10</v>
      </c>
    </row>
    <row r="1333" spans="2:6" x14ac:dyDescent="0.25">
      <c r="B1333" t="s">
        <v>425</v>
      </c>
      <c r="C1333" t="s">
        <v>426</v>
      </c>
      <c r="D1333">
        <v>2.65</v>
      </c>
      <c r="E1333">
        <v>1.53</v>
      </c>
      <c r="F1333" t="s">
        <v>10</v>
      </c>
    </row>
    <row r="1334" spans="2:6" x14ac:dyDescent="0.25">
      <c r="B1334" t="s">
        <v>425</v>
      </c>
      <c r="C1334" t="s">
        <v>426</v>
      </c>
      <c r="D1334">
        <v>2.65</v>
      </c>
      <c r="E1334">
        <v>1.53</v>
      </c>
      <c r="F1334" t="s">
        <v>10</v>
      </c>
    </row>
    <row r="1335" spans="2:6" x14ac:dyDescent="0.25">
      <c r="B1335" t="s">
        <v>425</v>
      </c>
      <c r="C1335" t="s">
        <v>426</v>
      </c>
      <c r="D1335">
        <v>2.42</v>
      </c>
      <c r="E1335">
        <v>1.54</v>
      </c>
      <c r="F1335" t="s">
        <v>10</v>
      </c>
    </row>
    <row r="1336" spans="2:6" x14ac:dyDescent="0.25">
      <c r="B1336" t="s">
        <v>425</v>
      </c>
      <c r="C1336" t="s">
        <v>426</v>
      </c>
      <c r="D1336">
        <v>2.6</v>
      </c>
      <c r="E1336">
        <v>1.53</v>
      </c>
      <c r="F1336" t="s">
        <v>10</v>
      </c>
    </row>
    <row r="1337" spans="2:6" x14ac:dyDescent="0.25">
      <c r="B1337" t="s">
        <v>425</v>
      </c>
      <c r="C1337" t="s">
        <v>426</v>
      </c>
      <c r="D1337">
        <v>2.6</v>
      </c>
      <c r="E1337">
        <v>1.53</v>
      </c>
      <c r="F1337" t="s">
        <v>10</v>
      </c>
    </row>
    <row r="1338" spans="2:6" x14ac:dyDescent="0.25">
      <c r="B1338" t="s">
        <v>427</v>
      </c>
      <c r="C1338" t="s">
        <v>428</v>
      </c>
      <c r="D1338">
        <v>2.2599999999999998</v>
      </c>
      <c r="E1338">
        <v>1.68</v>
      </c>
      <c r="F1338" t="s">
        <v>10</v>
      </c>
    </row>
    <row r="1339" spans="2:6" x14ac:dyDescent="0.25">
      <c r="B1339" t="s">
        <v>427</v>
      </c>
      <c r="C1339" t="s">
        <v>428</v>
      </c>
      <c r="D1339">
        <v>2.2599999999999998</v>
      </c>
      <c r="E1339">
        <v>1.69</v>
      </c>
      <c r="F1339" t="s">
        <v>10</v>
      </c>
    </row>
    <row r="1340" spans="2:6" x14ac:dyDescent="0.25">
      <c r="B1340" t="s">
        <v>427</v>
      </c>
      <c r="C1340" t="s">
        <v>428</v>
      </c>
      <c r="D1340">
        <v>2.2999999999999998</v>
      </c>
      <c r="E1340">
        <v>1.65</v>
      </c>
      <c r="F1340" t="s">
        <v>10</v>
      </c>
    </row>
    <row r="1341" spans="2:6" x14ac:dyDescent="0.25">
      <c r="B1341" t="s">
        <v>427</v>
      </c>
      <c r="C1341" t="s">
        <v>428</v>
      </c>
      <c r="D1341">
        <v>2.2400000000000002</v>
      </c>
      <c r="E1341">
        <v>1.65</v>
      </c>
      <c r="F1341" t="s">
        <v>10</v>
      </c>
    </row>
    <row r="1342" spans="2:6" x14ac:dyDescent="0.25">
      <c r="B1342" t="s">
        <v>427</v>
      </c>
      <c r="C1342" t="s">
        <v>428</v>
      </c>
      <c r="D1342">
        <v>2.2400000000000002</v>
      </c>
      <c r="E1342">
        <v>1.63</v>
      </c>
      <c r="F1342" t="s">
        <v>10</v>
      </c>
    </row>
    <row r="1343" spans="2:6" x14ac:dyDescent="0.25">
      <c r="B1343" t="s">
        <v>427</v>
      </c>
      <c r="C1343" t="s">
        <v>428</v>
      </c>
      <c r="D1343">
        <v>2.15</v>
      </c>
      <c r="E1343">
        <v>1.69</v>
      </c>
      <c r="F1343" t="s">
        <v>10</v>
      </c>
    </row>
    <row r="1344" spans="2:6" x14ac:dyDescent="0.25">
      <c r="B1344" t="s">
        <v>427</v>
      </c>
      <c r="C1344" t="s">
        <v>428</v>
      </c>
      <c r="D1344">
        <v>2.2200000000000002</v>
      </c>
      <c r="E1344">
        <v>1.69</v>
      </c>
      <c r="F1344" t="s">
        <v>10</v>
      </c>
    </row>
    <row r="1345" spans="2:6" x14ac:dyDescent="0.25">
      <c r="B1345" t="s">
        <v>429</v>
      </c>
      <c r="C1345" t="s">
        <v>430</v>
      </c>
      <c r="D1345">
        <v>1.57</v>
      </c>
      <c r="E1345">
        <v>2.5099999999999998</v>
      </c>
      <c r="F1345" t="s">
        <v>10</v>
      </c>
    </row>
    <row r="1346" spans="2:6" x14ac:dyDescent="0.25">
      <c r="B1346" t="s">
        <v>429</v>
      </c>
      <c r="C1346" t="s">
        <v>430</v>
      </c>
      <c r="D1346">
        <v>1.57</v>
      </c>
      <c r="E1346">
        <v>2.5099999999999998</v>
      </c>
      <c r="F1346" t="s">
        <v>10</v>
      </c>
    </row>
    <row r="1347" spans="2:6" x14ac:dyDescent="0.25">
      <c r="B1347" t="s">
        <v>429</v>
      </c>
      <c r="C1347" t="s">
        <v>430</v>
      </c>
      <c r="D1347">
        <v>1.56</v>
      </c>
      <c r="E1347">
        <v>2.5</v>
      </c>
      <c r="F1347" t="s">
        <v>10</v>
      </c>
    </row>
    <row r="1348" spans="2:6" x14ac:dyDescent="0.25">
      <c r="B1348" t="s">
        <v>429</v>
      </c>
      <c r="C1348" t="s">
        <v>430</v>
      </c>
      <c r="D1348">
        <v>1.57</v>
      </c>
      <c r="E1348">
        <v>2.42</v>
      </c>
      <c r="F1348" t="s">
        <v>10</v>
      </c>
    </row>
    <row r="1349" spans="2:6" x14ac:dyDescent="0.25">
      <c r="B1349" t="s">
        <v>429</v>
      </c>
      <c r="C1349" t="s">
        <v>430</v>
      </c>
      <c r="D1349">
        <v>1.53</v>
      </c>
      <c r="E1349">
        <v>2.46</v>
      </c>
      <c r="F1349" t="s">
        <v>10</v>
      </c>
    </row>
    <row r="1350" spans="2:6" x14ac:dyDescent="0.25">
      <c r="B1350" t="s">
        <v>429</v>
      </c>
      <c r="C1350" t="s">
        <v>430</v>
      </c>
      <c r="D1350">
        <v>1.57</v>
      </c>
      <c r="E1350">
        <v>2.4500000000000002</v>
      </c>
      <c r="F1350" t="s">
        <v>10</v>
      </c>
    </row>
    <row r="1351" spans="2:6" x14ac:dyDescent="0.25">
      <c r="B1351" t="s">
        <v>429</v>
      </c>
      <c r="C1351" t="s">
        <v>430</v>
      </c>
      <c r="D1351">
        <v>1.57</v>
      </c>
      <c r="E1351">
        <v>2.5</v>
      </c>
      <c r="F1351" t="s">
        <v>10</v>
      </c>
    </row>
    <row r="1352" spans="2:6" x14ac:dyDescent="0.25">
      <c r="B1352" t="s">
        <v>39</v>
      </c>
      <c r="C1352" t="s">
        <v>37</v>
      </c>
      <c r="D1352">
        <v>1.18</v>
      </c>
      <c r="E1352">
        <v>4.8499999999999996</v>
      </c>
      <c r="F1352" t="s">
        <v>10</v>
      </c>
    </row>
    <row r="1353" spans="2:6" x14ac:dyDescent="0.25">
      <c r="B1353" t="s">
        <v>39</v>
      </c>
      <c r="C1353" t="s">
        <v>37</v>
      </c>
      <c r="D1353">
        <v>1.18</v>
      </c>
      <c r="E1353">
        <v>4.8499999999999996</v>
      </c>
      <c r="F1353" t="s">
        <v>10</v>
      </c>
    </row>
    <row r="1354" spans="2:6" x14ac:dyDescent="0.25">
      <c r="B1354" t="s">
        <v>39</v>
      </c>
      <c r="C1354" t="s">
        <v>37</v>
      </c>
      <c r="D1354">
        <v>1.19</v>
      </c>
      <c r="E1354">
        <v>4.5</v>
      </c>
      <c r="F1354" t="s">
        <v>10</v>
      </c>
    </row>
    <row r="1355" spans="2:6" x14ac:dyDescent="0.25">
      <c r="B1355" t="s">
        <v>39</v>
      </c>
      <c r="C1355" t="s">
        <v>37</v>
      </c>
      <c r="D1355">
        <v>1.2</v>
      </c>
      <c r="E1355">
        <v>4.8</v>
      </c>
      <c r="F1355" t="s">
        <v>10</v>
      </c>
    </row>
    <row r="1356" spans="2:6" x14ac:dyDescent="0.25">
      <c r="B1356" t="s">
        <v>39</v>
      </c>
      <c r="C1356" t="s">
        <v>37</v>
      </c>
      <c r="D1356">
        <v>1.22</v>
      </c>
      <c r="E1356">
        <v>4.5</v>
      </c>
      <c r="F1356" t="s">
        <v>10</v>
      </c>
    </row>
    <row r="1357" spans="2:6" x14ac:dyDescent="0.25">
      <c r="B1357" t="s">
        <v>39</v>
      </c>
      <c r="C1357" t="s">
        <v>37</v>
      </c>
      <c r="D1357">
        <v>1.19</v>
      </c>
      <c r="E1357">
        <v>4.8</v>
      </c>
      <c r="F1357" t="s">
        <v>10</v>
      </c>
    </row>
    <row r="1358" spans="2:6" x14ac:dyDescent="0.25">
      <c r="B1358" t="s">
        <v>39</v>
      </c>
      <c r="C1358" t="s">
        <v>37</v>
      </c>
      <c r="D1358">
        <v>1.19</v>
      </c>
      <c r="E1358">
        <v>4.8</v>
      </c>
      <c r="F1358" t="s">
        <v>10</v>
      </c>
    </row>
    <row r="1359" spans="2:6" x14ac:dyDescent="0.25">
      <c r="B1359" t="s">
        <v>38</v>
      </c>
      <c r="C1359" t="s">
        <v>37</v>
      </c>
      <c r="D1359">
        <v>1.34</v>
      </c>
      <c r="E1359">
        <v>3.55</v>
      </c>
      <c r="F1359" t="s">
        <v>10</v>
      </c>
    </row>
    <row r="1360" spans="2:6" x14ac:dyDescent="0.25">
      <c r="B1360" t="s">
        <v>38</v>
      </c>
      <c r="C1360" t="s">
        <v>37</v>
      </c>
      <c r="D1360">
        <v>1.34</v>
      </c>
      <c r="E1360">
        <v>3.55</v>
      </c>
      <c r="F1360" t="s">
        <v>10</v>
      </c>
    </row>
    <row r="1361" spans="2:6" x14ac:dyDescent="0.25">
      <c r="B1361" t="s">
        <v>38</v>
      </c>
      <c r="C1361" t="s">
        <v>37</v>
      </c>
      <c r="D1361">
        <v>1.29</v>
      </c>
      <c r="E1361">
        <v>3.5</v>
      </c>
      <c r="F1361" t="s">
        <v>10</v>
      </c>
    </row>
    <row r="1362" spans="2:6" x14ac:dyDescent="0.25">
      <c r="B1362" t="s">
        <v>38</v>
      </c>
      <c r="C1362" t="s">
        <v>37</v>
      </c>
      <c r="D1362">
        <v>1.31</v>
      </c>
      <c r="E1362">
        <v>3.6</v>
      </c>
      <c r="F1362" t="s">
        <v>10</v>
      </c>
    </row>
    <row r="1363" spans="2:6" x14ac:dyDescent="0.25">
      <c r="B1363" t="s">
        <v>38</v>
      </c>
      <c r="C1363" t="s">
        <v>37</v>
      </c>
      <c r="D1363">
        <v>1.31</v>
      </c>
      <c r="E1363">
        <v>3.6</v>
      </c>
      <c r="F1363" t="s">
        <v>10</v>
      </c>
    </row>
    <row r="1364" spans="2:6" x14ac:dyDescent="0.25">
      <c r="B1364" t="s">
        <v>38</v>
      </c>
      <c r="C1364" t="s">
        <v>37</v>
      </c>
      <c r="D1364">
        <v>1.3</v>
      </c>
      <c r="E1364">
        <v>3.5</v>
      </c>
      <c r="F1364" t="s">
        <v>10</v>
      </c>
    </row>
    <row r="1365" spans="2:6" x14ac:dyDescent="0.25">
      <c r="B1365" t="s">
        <v>38</v>
      </c>
      <c r="C1365" t="s">
        <v>37</v>
      </c>
      <c r="D1365">
        <v>1.3</v>
      </c>
      <c r="E1365">
        <v>3.5</v>
      </c>
      <c r="F1365" t="s">
        <v>10</v>
      </c>
    </row>
    <row r="1366" spans="2:6" x14ac:dyDescent="0.25">
      <c r="B1366" t="s">
        <v>41</v>
      </c>
      <c r="C1366" t="s">
        <v>57</v>
      </c>
      <c r="D1366">
        <v>1.95</v>
      </c>
      <c r="E1366">
        <v>1.87</v>
      </c>
      <c r="F1366" t="s">
        <v>10</v>
      </c>
    </row>
    <row r="1367" spans="2:6" x14ac:dyDescent="0.25">
      <c r="B1367" t="s">
        <v>41</v>
      </c>
      <c r="C1367" t="s">
        <v>57</v>
      </c>
      <c r="D1367">
        <v>2.0499999999999998</v>
      </c>
      <c r="E1367">
        <v>1.8</v>
      </c>
      <c r="F1367" t="s">
        <v>10</v>
      </c>
    </row>
    <row r="1368" spans="2:6" x14ac:dyDescent="0.25">
      <c r="B1368" t="s">
        <v>41</v>
      </c>
      <c r="C1368" t="s">
        <v>57</v>
      </c>
      <c r="D1368">
        <v>1.95</v>
      </c>
      <c r="E1368">
        <v>1.87</v>
      </c>
      <c r="F1368" t="s">
        <v>10</v>
      </c>
    </row>
    <row r="1369" spans="2:6" x14ac:dyDescent="0.25">
      <c r="B1369" s="10" t="s">
        <v>41</v>
      </c>
      <c r="C1369" t="s">
        <v>57</v>
      </c>
      <c r="D1369">
        <v>2</v>
      </c>
      <c r="E1369">
        <v>1.83</v>
      </c>
      <c r="F1369" t="s">
        <v>10</v>
      </c>
    </row>
    <row r="1370" spans="2:6" x14ac:dyDescent="0.25">
      <c r="B1370" s="10" t="s">
        <v>41</v>
      </c>
      <c r="C1370" t="s">
        <v>57</v>
      </c>
      <c r="D1370">
        <v>2.02</v>
      </c>
      <c r="E1370">
        <v>1.77</v>
      </c>
      <c r="F1370" t="s">
        <v>10</v>
      </c>
    </row>
    <row r="1371" spans="2:6" x14ac:dyDescent="0.25">
      <c r="B1371" s="10" t="s">
        <v>41</v>
      </c>
      <c r="C1371" t="s">
        <v>57</v>
      </c>
      <c r="D1371">
        <v>2.0699999999999998</v>
      </c>
      <c r="E1371">
        <v>1.76</v>
      </c>
      <c r="F1371" t="s">
        <v>10</v>
      </c>
    </row>
    <row r="1372" spans="2:6" x14ac:dyDescent="0.25">
      <c r="B1372" s="10" t="s">
        <v>41</v>
      </c>
      <c r="C1372" t="s">
        <v>57</v>
      </c>
      <c r="D1372">
        <v>2.0699999999999998</v>
      </c>
      <c r="E1372">
        <v>1.76</v>
      </c>
      <c r="F1372" t="s">
        <v>10</v>
      </c>
    </row>
    <row r="1373" spans="2:6" x14ac:dyDescent="0.25">
      <c r="B1373" s="10" t="s">
        <v>40</v>
      </c>
      <c r="C1373" t="s">
        <v>57</v>
      </c>
      <c r="D1373">
        <v>1.42</v>
      </c>
      <c r="E1373">
        <v>2.88</v>
      </c>
      <c r="F1373" t="s">
        <v>10</v>
      </c>
    </row>
    <row r="1374" spans="2:6" x14ac:dyDescent="0.25">
      <c r="B1374" s="10" t="s">
        <v>40</v>
      </c>
      <c r="C1374" t="s">
        <v>57</v>
      </c>
      <c r="D1374">
        <v>1.46</v>
      </c>
      <c r="E1374">
        <v>2.7</v>
      </c>
      <c r="F1374" t="s">
        <v>10</v>
      </c>
    </row>
    <row r="1375" spans="2:6" x14ac:dyDescent="0.25">
      <c r="B1375" s="10" t="s">
        <v>40</v>
      </c>
      <c r="C1375" t="s">
        <v>57</v>
      </c>
      <c r="D1375">
        <v>1.42</v>
      </c>
      <c r="E1375">
        <v>2.95</v>
      </c>
      <c r="F1375" t="s">
        <v>10</v>
      </c>
    </row>
    <row r="1376" spans="2:6" x14ac:dyDescent="0.25">
      <c r="B1376" s="10" t="s">
        <v>40</v>
      </c>
      <c r="C1376" t="s">
        <v>57</v>
      </c>
      <c r="D1376">
        <v>1.42</v>
      </c>
      <c r="E1376">
        <v>2.88</v>
      </c>
      <c r="F1376" t="s">
        <v>10</v>
      </c>
    </row>
    <row r="1377" spans="2:6" x14ac:dyDescent="0.25">
      <c r="B1377" s="10" t="s">
        <v>40</v>
      </c>
      <c r="C1377" t="s">
        <v>57</v>
      </c>
      <c r="D1377">
        <v>1.46</v>
      </c>
      <c r="E1377">
        <v>2.7</v>
      </c>
      <c r="F1377" t="s">
        <v>10</v>
      </c>
    </row>
    <row r="1378" spans="2:6" x14ac:dyDescent="0.25">
      <c r="B1378" s="10" t="s">
        <v>40</v>
      </c>
      <c r="C1378" t="s">
        <v>57</v>
      </c>
      <c r="D1378">
        <v>1.41</v>
      </c>
      <c r="E1378">
        <v>2.86</v>
      </c>
      <c r="F1378" t="s">
        <v>10</v>
      </c>
    </row>
    <row r="1379" spans="2:6" x14ac:dyDescent="0.25">
      <c r="B1379" s="10" t="s">
        <v>40</v>
      </c>
      <c r="C1379" t="s">
        <v>57</v>
      </c>
      <c r="D1379">
        <v>1.44</v>
      </c>
      <c r="E1379">
        <v>2.85</v>
      </c>
      <c r="F1379" t="s">
        <v>10</v>
      </c>
    </row>
    <row r="1380" spans="2:6" x14ac:dyDescent="0.25">
      <c r="B1380" s="10" t="s">
        <v>431</v>
      </c>
      <c r="C1380" t="s">
        <v>432</v>
      </c>
      <c r="D1380">
        <v>2.25</v>
      </c>
      <c r="E1380">
        <v>1.69</v>
      </c>
      <c r="F1380" t="s">
        <v>10</v>
      </c>
    </row>
    <row r="1381" spans="2:6" x14ac:dyDescent="0.25">
      <c r="B1381" s="10" t="s">
        <v>431</v>
      </c>
      <c r="C1381" t="s">
        <v>432</v>
      </c>
      <c r="D1381">
        <v>2.25</v>
      </c>
      <c r="E1381">
        <v>1.69</v>
      </c>
      <c r="F1381" t="s">
        <v>10</v>
      </c>
    </row>
    <row r="1382" spans="2:6" x14ac:dyDescent="0.25">
      <c r="B1382" s="10" t="s">
        <v>431</v>
      </c>
      <c r="C1382" t="s">
        <v>432</v>
      </c>
      <c r="D1382">
        <v>2.15</v>
      </c>
      <c r="E1382">
        <v>1.71</v>
      </c>
      <c r="F1382" t="s">
        <v>10</v>
      </c>
    </row>
    <row r="1383" spans="2:6" x14ac:dyDescent="0.25">
      <c r="B1383" s="10" t="s">
        <v>431</v>
      </c>
      <c r="C1383" t="s">
        <v>432</v>
      </c>
      <c r="D1383">
        <v>2.3199999999999998</v>
      </c>
      <c r="E1383">
        <v>1.59</v>
      </c>
      <c r="F1383" t="s">
        <v>10</v>
      </c>
    </row>
    <row r="1384" spans="2:6" x14ac:dyDescent="0.25">
      <c r="B1384" s="10" t="s">
        <v>431</v>
      </c>
      <c r="C1384" t="s">
        <v>432</v>
      </c>
      <c r="D1384">
        <v>2.3199999999999998</v>
      </c>
      <c r="E1384">
        <v>1.61</v>
      </c>
      <c r="F1384" t="s">
        <v>10</v>
      </c>
    </row>
    <row r="1385" spans="2:6" x14ac:dyDescent="0.25">
      <c r="B1385" s="10" t="s">
        <v>431</v>
      </c>
      <c r="C1385" t="s">
        <v>432</v>
      </c>
      <c r="D1385">
        <v>2.3199999999999998</v>
      </c>
      <c r="E1385">
        <v>1.61</v>
      </c>
      <c r="F1385" t="s">
        <v>10</v>
      </c>
    </row>
    <row r="1395" spans="2:6" x14ac:dyDescent="0.25">
      <c r="B1395" s="10" t="s">
        <v>11</v>
      </c>
      <c r="C1395" t="s">
        <v>433</v>
      </c>
      <c r="D1395" t="s">
        <v>35</v>
      </c>
      <c r="E1395" t="s">
        <v>34</v>
      </c>
      <c r="F1395" t="s">
        <v>32</v>
      </c>
    </row>
  </sheetData>
  <sortState xmlns:xlrd2="http://schemas.microsoft.com/office/spreadsheetml/2017/richdata2" ref="B3:H1385">
    <sortCondition ref="C3:C138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11</xdr:col>
                    <xdr:colOff>390525</xdr:colOff>
                    <xdr:row>2</xdr:row>
                    <xdr:rowOff>123825</xdr:rowOff>
                  </from>
                  <to>
                    <xdr:col>15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22" activePane="bottomLeft"/>
      <selection activeCell="A2" sqref="A2"/>
      <selection pane="bottomLeft" activeCell="A35" sqref="A35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435</v>
      </c>
    </row>
    <row r="3" spans="1:1" x14ac:dyDescent="0.25">
      <c r="A3" t="str">
        <f>currentData!F8&amp;","</f>
        <v>17,</v>
      </c>
    </row>
    <row r="4" spans="1:1" x14ac:dyDescent="0.25">
      <c r="A4" t="str">
        <f>currentData!F9&amp;","</f>
        <v>36,</v>
      </c>
    </row>
    <row r="5" spans="1:1" x14ac:dyDescent="0.25">
      <c r="A5" t="str">
        <f>currentData!F10&amp;","</f>
        <v>289,</v>
      </c>
    </row>
    <row r="6" spans="1:1" x14ac:dyDescent="0.25">
      <c r="A6" t="str">
        <f>currentData!F11&amp;","</f>
        <v>149,</v>
      </c>
    </row>
    <row r="7" spans="1:1" x14ac:dyDescent="0.25">
      <c r="A7" t="str">
        <f>currentData!F12&amp;","</f>
        <v>0,</v>
      </c>
    </row>
    <row r="8" spans="1:1" x14ac:dyDescent="0.25">
      <c r="A8" t="str">
        <f>currentData!F13&amp;","</f>
        <v>119,</v>
      </c>
    </row>
    <row r="9" spans="1:1" x14ac:dyDescent="0.25">
      <c r="A9" t="str">
        <f>currentData!F14&amp;","</f>
        <v>285,</v>
      </c>
    </row>
    <row r="10" spans="1:1" x14ac:dyDescent="0.25">
      <c r="A10" t="str">
        <f>currentData!F15&amp;","</f>
        <v>283,</v>
      </c>
    </row>
    <row r="11" spans="1:1" x14ac:dyDescent="0.25">
      <c r="A11" t="str">
        <f>currentData!F16&amp;","</f>
        <v>63,</v>
      </c>
    </row>
    <row r="12" spans="1:1" x14ac:dyDescent="0.25">
      <c r="A12" t="str">
        <f>currentData!F17&amp;","</f>
        <v>257,</v>
      </c>
    </row>
    <row r="13" spans="1:1" x14ac:dyDescent="0.25">
      <c r="A13" t="str">
        <f>currentData!F18&amp;","</f>
        <v>21,</v>
      </c>
    </row>
    <row r="14" spans="1:1" x14ac:dyDescent="0.25">
      <c r="A14" t="str">
        <f>currentData!F19&amp;","</f>
        <v>15,</v>
      </c>
    </row>
    <row r="15" spans="1:1" x14ac:dyDescent="0.25">
      <c r="A15" t="str">
        <f>currentData!F20&amp;","</f>
        <v>5,</v>
      </c>
    </row>
    <row r="16" spans="1:1" x14ac:dyDescent="0.25">
      <c r="A16" t="str">
        <f>currentData!F21&amp;","</f>
        <v>78,</v>
      </c>
    </row>
    <row r="17" spans="1:1" x14ac:dyDescent="0.25">
      <c r="A17" t="str">
        <f>currentData!F22&amp;","</f>
        <v>51,</v>
      </c>
    </row>
    <row r="18" spans="1:1" x14ac:dyDescent="0.25">
      <c r="A18" t="str">
        <f>currentData!F23&amp;","</f>
        <v>335,</v>
      </c>
    </row>
    <row r="19" spans="1:1" x14ac:dyDescent="0.25">
      <c r="A19" t="str">
        <f>currentData!F24&amp;","</f>
        <v>290,</v>
      </c>
    </row>
    <row r="20" spans="1:1" x14ac:dyDescent="0.25">
      <c r="A20" t="str">
        <f>currentData!F25&amp;","</f>
        <v>264,</v>
      </c>
    </row>
    <row r="21" spans="1:1" x14ac:dyDescent="0.25">
      <c r="A21" t="str">
        <f>currentData!F26&amp;","</f>
        <v>27,</v>
      </c>
    </row>
    <row r="22" spans="1:1" x14ac:dyDescent="0.25">
      <c r="A22" t="str">
        <f>currentData!F27&amp;","</f>
        <v>201,</v>
      </c>
    </row>
    <row r="23" spans="1:1" x14ac:dyDescent="0.25">
      <c r="A23" t="str">
        <f>currentData!F28&amp;","</f>
        <v>232,</v>
      </c>
    </row>
    <row r="24" spans="1:1" x14ac:dyDescent="0.25">
      <c r="A24" t="str">
        <f>currentData!F29&amp;","</f>
        <v>115,</v>
      </c>
    </row>
    <row r="25" spans="1:1" x14ac:dyDescent="0.25">
      <c r="A25" t="str">
        <f>currentData!F30&amp;","</f>
        <v>103,</v>
      </c>
    </row>
    <row r="26" spans="1:1" x14ac:dyDescent="0.25">
      <c r="A26" t="str">
        <f>currentData!F31&amp;","</f>
        <v>68,</v>
      </c>
    </row>
    <row r="27" spans="1:1" x14ac:dyDescent="0.25">
      <c r="A27" t="str">
        <f>currentData!F32&amp;","</f>
        <v>11,</v>
      </c>
    </row>
    <row r="28" spans="1:1" x14ac:dyDescent="0.25">
      <c r="A28" t="str">
        <f>currentData!F33&amp;","</f>
        <v>13,</v>
      </c>
    </row>
    <row r="29" spans="1:1" x14ac:dyDescent="0.25">
      <c r="A29" t="str">
        <f>currentData!F34&amp;","</f>
        <v>36,</v>
      </c>
    </row>
    <row r="30" spans="1:1" x14ac:dyDescent="0.25">
      <c r="A30" t="str">
        <f>currentData!F35&amp;","</f>
        <v>208,</v>
      </c>
    </row>
    <row r="31" spans="1:1" x14ac:dyDescent="0.25">
      <c r="A31" t="str">
        <f>currentData!F36&amp;","</f>
        <v>41,</v>
      </c>
    </row>
    <row r="32" spans="1:1" x14ac:dyDescent="0.25">
      <c r="A32" t="str">
        <f>currentData!F37&amp;","</f>
        <v>265,</v>
      </c>
    </row>
    <row r="33" spans="1:1" x14ac:dyDescent="0.25">
      <c r="A33" t="str">
        <f>currentData!F38&amp;","</f>
        <v>0,</v>
      </c>
    </row>
    <row r="34" spans="1:1" x14ac:dyDescent="0.25">
      <c r="A34" t="str">
        <f>currentData!F39&amp;"]"</f>
        <v>0]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1200" topLeftCell="A10" activePane="bottomLeft"/>
      <selection activeCell="A2" sqref="A2"/>
      <selection pane="bottomLeft" activeCell="A33" sqref="A33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83</v>
      </c>
    </row>
    <row r="3" spans="1:1" x14ac:dyDescent="0.25">
      <c r="A3" t="str">
        <f>oldData!G5&amp;","</f>
        <v>0,</v>
      </c>
    </row>
    <row r="4" spans="1:1" x14ac:dyDescent="0.25">
      <c r="A4" t="str">
        <f>oldData!G6&amp;","</f>
        <v>0,</v>
      </c>
    </row>
    <row r="5" spans="1:1" x14ac:dyDescent="0.25">
      <c r="A5" t="str">
        <f>oldData!G7&amp;","</f>
        <v>1,</v>
      </c>
    </row>
    <row r="6" spans="1:1" x14ac:dyDescent="0.25">
      <c r="A6" t="str">
        <f>oldData!G8&amp;","</f>
        <v>1,</v>
      </c>
    </row>
    <row r="7" spans="1:1" x14ac:dyDescent="0.25">
      <c r="A7" t="str">
        <f>oldData!G9&amp;","</f>
        <v>1,</v>
      </c>
    </row>
    <row r="8" spans="1:1" x14ac:dyDescent="0.25">
      <c r="A8" t="str">
        <f>oldData!G10&amp;","</f>
        <v>1,</v>
      </c>
    </row>
    <row r="9" spans="1:1" x14ac:dyDescent="0.25">
      <c r="A9" t="str">
        <f>oldData!G11&amp;","</f>
        <v>1,</v>
      </c>
    </row>
    <row r="10" spans="1:1" x14ac:dyDescent="0.25">
      <c r="A10" t="str">
        <f>oldData!G12&amp;","</f>
        <v>1,</v>
      </c>
    </row>
    <row r="11" spans="1:1" x14ac:dyDescent="0.25">
      <c r="A11" t="str">
        <f>oldData!G13&amp;","</f>
        <v>1,</v>
      </c>
    </row>
    <row r="12" spans="1:1" x14ac:dyDescent="0.25">
      <c r="A12" t="str">
        <f>oldData!G14&amp;","</f>
        <v>1,</v>
      </c>
    </row>
    <row r="13" spans="1:1" x14ac:dyDescent="0.25">
      <c r="A13" t="str">
        <f>oldData!G15&amp;","</f>
        <v>1,</v>
      </c>
    </row>
    <row r="14" spans="1:1" x14ac:dyDescent="0.25">
      <c r="A14" t="str">
        <f>oldData!G16&amp;","</f>
        <v>1,</v>
      </c>
    </row>
    <row r="15" spans="1:1" x14ac:dyDescent="0.25">
      <c r="A15" t="str">
        <f>oldData!G17&amp;","</f>
        <v>1,</v>
      </c>
    </row>
    <row r="16" spans="1:1" x14ac:dyDescent="0.25">
      <c r="A16" t="str">
        <f>oldData!G18&amp;","</f>
        <v>1,</v>
      </c>
    </row>
    <row r="17" spans="1:1" x14ac:dyDescent="0.25">
      <c r="A17" t="str">
        <f>oldData!G19&amp;","</f>
        <v>1,</v>
      </c>
    </row>
    <row r="18" spans="1:1" x14ac:dyDescent="0.25">
      <c r="A18" t="str">
        <f>oldData!G20&amp;","</f>
        <v>1,</v>
      </c>
    </row>
    <row r="19" spans="1:1" x14ac:dyDescent="0.25">
      <c r="A19" t="str">
        <f>oldData!G21&amp;","</f>
        <v>1,</v>
      </c>
    </row>
    <row r="20" spans="1:1" x14ac:dyDescent="0.25">
      <c r="A20" t="str">
        <f>oldData!G22&amp;","</f>
        <v>1,</v>
      </c>
    </row>
    <row r="21" spans="1:1" x14ac:dyDescent="0.25">
      <c r="A21" t="str">
        <f>oldData!G23&amp;","</f>
        <v>1,</v>
      </c>
    </row>
    <row r="22" spans="1:1" x14ac:dyDescent="0.25">
      <c r="A22" t="str">
        <f>oldData!G24&amp;","</f>
        <v>1,</v>
      </c>
    </row>
    <row r="23" spans="1:1" x14ac:dyDescent="0.25">
      <c r="A23" t="str">
        <f>oldData!G25&amp;","</f>
        <v>1,</v>
      </c>
    </row>
    <row r="24" spans="1:1" x14ac:dyDescent="0.25">
      <c r="A24" t="str">
        <f>oldData!G26&amp;","</f>
        <v>1,</v>
      </c>
    </row>
    <row r="25" spans="1:1" x14ac:dyDescent="0.25">
      <c r="A25" t="str">
        <f>oldData!G27&amp;","</f>
        <v>1,</v>
      </c>
    </row>
    <row r="26" spans="1:1" x14ac:dyDescent="0.25">
      <c r="A26" t="str">
        <f>oldData!G28&amp;","</f>
        <v>0,</v>
      </c>
    </row>
    <row r="27" spans="1:1" x14ac:dyDescent="0.25">
      <c r="A27" t="str">
        <f>oldData!G29&amp;","</f>
        <v>1,</v>
      </c>
    </row>
    <row r="28" spans="1:1" x14ac:dyDescent="0.25">
      <c r="A28" t="str">
        <f>oldData!G30&amp;","</f>
        <v>1,</v>
      </c>
    </row>
    <row r="29" spans="1:1" x14ac:dyDescent="0.25">
      <c r="A29" t="str">
        <f>oldData!G31&amp;","</f>
        <v>1,</v>
      </c>
    </row>
    <row r="30" spans="1:1" x14ac:dyDescent="0.25">
      <c r="A30" t="str">
        <f>oldData!G32&amp;","</f>
        <v>1,</v>
      </c>
    </row>
    <row r="31" spans="1:1" x14ac:dyDescent="0.25">
      <c r="A31" t="str">
        <f>oldData!G33&amp;","</f>
        <v>1,</v>
      </c>
    </row>
    <row r="32" spans="1:1" x14ac:dyDescent="0.25">
      <c r="A32" t="str">
        <f>oldData!G34&amp;","</f>
        <v>1,</v>
      </c>
    </row>
    <row r="33" spans="1:1" x14ac:dyDescent="0.25">
      <c r="A33" t="str">
        <f>oldData!G35&amp;","</f>
        <v>1,</v>
      </c>
    </row>
    <row r="34" spans="1:1" x14ac:dyDescent="0.25">
      <c r="A34" t="str">
        <f>oldData!G36&amp;"],"</f>
        <v>0],</v>
      </c>
    </row>
    <row r="35" spans="1:1" x14ac:dyDescent="0.25">
      <c r="A35" t="s">
        <v>85</v>
      </c>
    </row>
    <row r="36" spans="1:1" x14ac:dyDescent="0.25">
      <c r="A36" t="str">
        <f>currentData!$D8&amp;","</f>
        <v>"MMA:Aspinall:Pavlovich",</v>
      </c>
    </row>
    <row r="37" spans="1:1" x14ac:dyDescent="0.25">
      <c r="A37" t="str">
        <f>currentData!$D9&amp;","</f>
        <v>"MMA:Pereira:Prochazka",</v>
      </c>
    </row>
    <row r="38" spans="1:1" x14ac:dyDescent="0.25">
      <c r="A38" t="str">
        <f>currentData!$D10&amp;","</f>
        <v>"NCAAF:Alabama:Kentucky",</v>
      </c>
    </row>
    <row r="39" spans="1:1" x14ac:dyDescent="0.25">
      <c r="A39" t="str">
        <f>currentData!$D11&amp;","</f>
        <v>"NCAAF:Michigan:PennState",</v>
      </c>
    </row>
    <row r="40" spans="1:1" x14ac:dyDescent="0.25">
      <c r="A40" t="str">
        <f>currentData!$D12&amp;","</f>
        <v>"NCAAF:Michigan-4.5:PennState",</v>
      </c>
    </row>
    <row r="41" spans="1:1" x14ac:dyDescent="0.25">
      <c r="A41" t="str">
        <f>currentData!$D13&amp;","</f>
        <v>"NCAAF:Kansas:TexasTech",</v>
      </c>
    </row>
    <row r="42" spans="1:1" x14ac:dyDescent="0.25">
      <c r="A42" t="str">
        <f>currentData!$D14&amp;","</f>
        <v>"NCAAF:Arizona:Colorado",</v>
      </c>
    </row>
    <row r="43" spans="1:1" x14ac:dyDescent="0.25">
      <c r="A43" t="str">
        <f>currentData!$D15&amp;","</f>
        <v>"NCAAF:Wisconsin:Northwestern",</v>
      </c>
    </row>
    <row r="44" spans="1:1" x14ac:dyDescent="0.25">
      <c r="A44" t="str">
        <f>currentData!$D16&amp;","</f>
        <v>"NCAAF:OklahomaState:UCF",</v>
      </c>
    </row>
    <row r="45" spans="1:1" x14ac:dyDescent="0.25">
      <c r="A45" t="str">
        <f>currentData!$D17&amp;","</f>
        <v>"NCAAF:Washington:Utah",</v>
      </c>
    </row>
    <row r="46" spans="1:1" x14ac:dyDescent="0.25">
      <c r="A46" t="str">
        <f>currentData!$D18&amp;","</f>
        <v>"NCAAF:Iowa:Rutgers",</v>
      </c>
    </row>
    <row r="47" spans="1:1" x14ac:dyDescent="0.25">
      <c r="A47" t="str">
        <f>currentData!$D19&amp;","</f>
        <v>"NCAAF:Tennessee:Missouri",</v>
      </c>
    </row>
    <row r="48" spans="1:1" x14ac:dyDescent="0.25">
      <c r="A48" t="str">
        <f>currentData!$D20&amp;","</f>
        <v>"NCAAF:Purdue:Minnesota",</v>
      </c>
    </row>
    <row r="49" spans="1:1" x14ac:dyDescent="0.25">
      <c r="A49" t="str">
        <f>currentData!$D21&amp;","</f>
        <v>"NCAAF:Arkansas:Auburn",</v>
      </c>
    </row>
    <row r="50" spans="1:1" x14ac:dyDescent="0.25">
      <c r="A50" t="str">
        <f>currentData!$D22&amp;","</f>
        <v>"NCAAF:Houston:Cincinnati",</v>
      </c>
    </row>
    <row r="51" spans="1:1" x14ac:dyDescent="0.25">
      <c r="A51" t="str">
        <f>currentData!$D23&amp;","</f>
        <v>"NCAAF:LSU:Florida",</v>
      </c>
    </row>
    <row r="52" spans="1:1" x14ac:dyDescent="0.25">
      <c r="A52" t="str">
        <f>currentData!$D24&amp;","</f>
        <v>"NCAAF:Georgia:OleMiss",</v>
      </c>
    </row>
    <row r="53" spans="1:1" x14ac:dyDescent="0.25">
      <c r="A53" t="str">
        <f>currentData!$D25&amp;","</f>
        <v>"NCAAF:Texas:TCU",</v>
      </c>
    </row>
    <row r="54" spans="1:1" x14ac:dyDescent="0.25">
      <c r="A54" t="str">
        <f>currentData!$D26&amp;","</f>
        <v>"NFL:Colts:Patriots",</v>
      </c>
    </row>
    <row r="55" spans="1:1" x14ac:dyDescent="0.25">
      <c r="A55" t="str">
        <f>currentData!$D27&amp;","</f>
        <v>"NFL:Ravens:Browns",</v>
      </c>
    </row>
    <row r="56" spans="1:1" x14ac:dyDescent="0.25">
      <c r="A56" t="str">
        <f>currentData!$D28&amp;","</f>
        <v>"NFL:Bengals:Texans",</v>
      </c>
    </row>
    <row r="57" spans="1:1" x14ac:dyDescent="0.25">
      <c r="A57" t="str">
        <f>currentData!$D29&amp;","</f>
        <v>"NFL:Steelers:Packers",</v>
      </c>
    </row>
    <row r="58" spans="1:1" x14ac:dyDescent="0.25">
      <c r="A58" t="str">
        <f>currentData!$D30&amp;","</f>
        <v>"NFL:49ers:Jaguars",</v>
      </c>
    </row>
    <row r="59" spans="1:1" x14ac:dyDescent="0.25">
      <c r="A59" t="str">
        <f>currentData!$D31&amp;","</f>
        <v>"NFL:Saints:Vikings",</v>
      </c>
    </row>
    <row r="60" spans="1:1" x14ac:dyDescent="0.25">
      <c r="A60" t="str">
        <f>currentData!$D32&amp;","</f>
        <v>"NFL:Buccaneers:Titans",</v>
      </c>
    </row>
    <row r="61" spans="1:1" x14ac:dyDescent="0.25">
      <c r="A61" t="str">
        <f>currentData!$D33&amp;","</f>
        <v>"NFL:Falcons:Cardinals",</v>
      </c>
    </row>
    <row r="62" spans="1:1" x14ac:dyDescent="0.25">
      <c r="A62" t="str">
        <f>currentData!$D34&amp;","</f>
        <v>"NFL:Lions:Chargers",</v>
      </c>
    </row>
    <row r="63" spans="1:1" x14ac:dyDescent="0.25">
      <c r="A63" t="str">
        <f>currentData!$D35&amp;","</f>
        <v>"NFL:Seahawks:Commanders",</v>
      </c>
    </row>
    <row r="64" spans="1:1" x14ac:dyDescent="0.25">
      <c r="A64" t="str">
        <f>currentData!$D36&amp;","</f>
        <v>"NFL:Jets:Raiders",</v>
      </c>
    </row>
    <row r="65" spans="1:1" x14ac:dyDescent="0.25">
      <c r="A65" t="str">
        <f>currentData!$D37&amp;","</f>
        <v>"NFL:Bills:Broncos",</v>
      </c>
    </row>
    <row r="66" spans="1:1" x14ac:dyDescent="0.25">
      <c r="A66" t="str">
        <f>currentData!$D38&amp;","</f>
        <v>"AAA:aaa:bbb",</v>
      </c>
    </row>
    <row r="67" spans="1:1" x14ac:dyDescent="0.25">
      <c r="A67" t="str">
        <f>currentData!$D39&amp;"],"</f>
        <v>"AAA:aaa:bbb"],</v>
      </c>
    </row>
    <row r="68" spans="1:1" x14ac:dyDescent="0.25">
      <c r="A68" t="s">
        <v>84</v>
      </c>
    </row>
    <row r="69" spans="1:1" x14ac:dyDescent="0.25">
      <c r="A69" t="str">
        <f>currentData!E8&amp;","</f>
        <v>1699760699,</v>
      </c>
    </row>
    <row r="70" spans="1:1" x14ac:dyDescent="0.25">
      <c r="A70" t="str">
        <f>currentData!E9&amp;","</f>
        <v>1699763399,</v>
      </c>
    </row>
    <row r="71" spans="1:1" x14ac:dyDescent="0.25">
      <c r="A71" t="str">
        <f>currentData!E10&amp;","</f>
        <v>1699722000,</v>
      </c>
    </row>
    <row r="72" spans="1:1" x14ac:dyDescent="0.25">
      <c r="A72" t="str">
        <f>currentData!E11&amp;","</f>
        <v>1699722000,</v>
      </c>
    </row>
    <row r="73" spans="1:1" x14ac:dyDescent="0.25">
      <c r="A73" t="str">
        <f>currentData!E12&amp;","</f>
        <v>1699722000,</v>
      </c>
    </row>
    <row r="74" spans="1:1" x14ac:dyDescent="0.25">
      <c r="A74" t="str">
        <f>currentData!E13&amp;","</f>
        <v>1699722000,</v>
      </c>
    </row>
    <row r="75" spans="1:1" x14ac:dyDescent="0.25">
      <c r="A75" t="str">
        <f>currentData!E14&amp;","</f>
        <v>1699729199,</v>
      </c>
    </row>
    <row r="76" spans="1:1" x14ac:dyDescent="0.25">
      <c r="A76" t="str">
        <f>currentData!E15&amp;","</f>
        <v>1699734599,</v>
      </c>
    </row>
    <row r="77" spans="1:1" x14ac:dyDescent="0.25">
      <c r="A77" t="str">
        <f>currentData!E16&amp;","</f>
        <v>1699734599,</v>
      </c>
    </row>
    <row r="78" spans="1:1" x14ac:dyDescent="0.25">
      <c r="A78" t="str">
        <f>currentData!E17&amp;","</f>
        <v>1699734599,</v>
      </c>
    </row>
    <row r="79" spans="1:1" x14ac:dyDescent="0.25">
      <c r="A79" t="str">
        <f>currentData!E18&amp;","</f>
        <v>1699734599,</v>
      </c>
    </row>
    <row r="80" spans="1:1" x14ac:dyDescent="0.25">
      <c r="A80" t="str">
        <f>currentData!E19&amp;","</f>
        <v>1699734599,</v>
      </c>
    </row>
    <row r="81" spans="1:1" x14ac:dyDescent="0.25">
      <c r="A81" t="str">
        <f>currentData!E20&amp;","</f>
        <v>1699734599,</v>
      </c>
    </row>
    <row r="82" spans="1:1" x14ac:dyDescent="0.25">
      <c r="A82" t="str">
        <f>currentData!E21&amp;","</f>
        <v>1699736400,</v>
      </c>
    </row>
    <row r="83" spans="1:1" x14ac:dyDescent="0.25">
      <c r="A83" t="str">
        <f>currentData!E22&amp;","</f>
        <v>1699747200,</v>
      </c>
    </row>
    <row r="84" spans="1:1" x14ac:dyDescent="0.25">
      <c r="A84" t="str">
        <f>currentData!E23&amp;","</f>
        <v>1699747200,</v>
      </c>
    </row>
    <row r="85" spans="1:1" x14ac:dyDescent="0.25">
      <c r="A85" t="str">
        <f>currentData!E24&amp;","</f>
        <v>1699747200,</v>
      </c>
    </row>
    <row r="86" spans="1:1" x14ac:dyDescent="0.25">
      <c r="A86" t="str">
        <f>currentData!E25&amp;","</f>
        <v>1699749000,</v>
      </c>
    </row>
    <row r="87" spans="1:1" x14ac:dyDescent="0.25">
      <c r="A87" t="str">
        <f>currentData!E26&amp;","</f>
        <v>1699799399,</v>
      </c>
    </row>
    <row r="88" spans="1:1" x14ac:dyDescent="0.25">
      <c r="A88" t="str">
        <f>currentData!E27&amp;","</f>
        <v>1699812000,</v>
      </c>
    </row>
    <row r="89" spans="1:1" x14ac:dyDescent="0.25">
      <c r="A89" t="str">
        <f>currentData!E28&amp;","</f>
        <v>1699812000,</v>
      </c>
    </row>
    <row r="90" spans="1:1" x14ac:dyDescent="0.25">
      <c r="A90" t="str">
        <f>currentData!E29&amp;","</f>
        <v>1699812000,</v>
      </c>
    </row>
    <row r="91" spans="1:1" x14ac:dyDescent="0.25">
      <c r="A91" t="str">
        <f>currentData!E30&amp;","</f>
        <v>1699812000,</v>
      </c>
    </row>
    <row r="92" spans="1:1" x14ac:dyDescent="0.25">
      <c r="A92" t="str">
        <f>currentData!E31&amp;","</f>
        <v>1699812000,</v>
      </c>
    </row>
    <row r="93" spans="1:1" x14ac:dyDescent="0.25">
      <c r="A93" t="str">
        <f>currentData!E32&amp;","</f>
        <v>1699812000,</v>
      </c>
    </row>
    <row r="94" spans="1:1" x14ac:dyDescent="0.25">
      <c r="A94" t="str">
        <f>currentData!E33&amp;","</f>
        <v>1699823099,</v>
      </c>
    </row>
    <row r="95" spans="1:1" x14ac:dyDescent="0.25">
      <c r="A95" t="str">
        <f>currentData!E34&amp;","</f>
        <v>1699823099,</v>
      </c>
    </row>
    <row r="96" spans="1:1" x14ac:dyDescent="0.25">
      <c r="A96" t="str">
        <f>currentData!E35&amp;","</f>
        <v>1699824299,</v>
      </c>
    </row>
    <row r="97" spans="1:1" x14ac:dyDescent="0.25">
      <c r="A97" t="str">
        <f>currentData!E36&amp;","</f>
        <v>1699838400,</v>
      </c>
    </row>
    <row r="98" spans="1:1" x14ac:dyDescent="0.25">
      <c r="A98" t="str">
        <f>currentData!E37&amp;","</f>
        <v>1699924500,</v>
      </c>
    </row>
    <row r="99" spans="1:1" x14ac:dyDescent="0.25">
      <c r="A99" t="str">
        <f>currentData!E38&amp;","</f>
        <v>1699924500,</v>
      </c>
    </row>
    <row r="100" spans="1:1" x14ac:dyDescent="0.25">
      <c r="A100" s="8" t="str">
        <f>currentData!E39&amp;"]"</f>
        <v>1699924500]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oldData</vt:lpstr>
      <vt:lpstr>currentData</vt:lpstr>
      <vt:lpstr>outcomes</vt:lpstr>
      <vt:lpstr>FromMSAccess</vt:lpstr>
      <vt:lpstr>rawInputs</vt:lpstr>
      <vt:lpstr>adjNames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2023-11-13T20:15:55Z</dcterms:modified>
</cp:coreProperties>
</file>