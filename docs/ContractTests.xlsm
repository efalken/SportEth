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\Documents\Github\sporteth\docs\"/>
    </mc:Choice>
  </mc:AlternateContent>
  <xr:revisionPtr revIDLastSave="0" documentId="13_ncr:1_{9D098251-2A00-46BA-9EC7-3EDEDB6FB891}" xr6:coauthVersionLast="47" xr6:coauthVersionMax="47" xr10:uidLastSave="{00000000-0000-0000-0000-000000000000}"/>
  <bookViews>
    <workbookView xWindow="28680" yWindow="-225" windowWidth="29040" windowHeight="15720" tabRatio="763" activeTab="5" xr2:uid="{00000000-000D-0000-FFFF-FFFF00000000}"/>
  </bookViews>
  <sheets>
    <sheet name="test1BasicMargining (2)" sheetId="36" r:id="rId1"/>
    <sheet name="test1BasicMargining" sheetId="1" r:id="rId2"/>
    <sheet name="test2Redemptions" sheetId="24" r:id="rId3"/>
    <sheet name="test3Voting" sheetId="18" r:id="rId4"/>
    <sheet name="test4LpRevRewards" sheetId="20" r:id="rId5"/>
    <sheet name="test8OracleRevenue" sheetId="29" r:id="rId6"/>
    <sheet name="Sheet1" sheetId="35" r:id="rId7"/>
    <sheet name="test9sequence" sheetId="33" r:id="rId8"/>
    <sheet name="test10betLimits" sheetId="34" r:id="rId9"/>
    <sheet name="test10bitDecoding" sheetId="28" r:id="rId10"/>
  </sheets>
  <definedNames>
    <definedName name="_xlnm.Print_Area" localSheetId="8">test10betLimits!$O$36:$P$41</definedName>
    <definedName name="_xlnm.Print_Area" localSheetId="1">test1BasicMargining!$O$36:$P$41</definedName>
    <definedName name="_xlnm.Print_Area" localSheetId="0">'test1BasicMargining (2)'!$O$36:$P$41</definedName>
    <definedName name="solver_adj" localSheetId="8" hidden="1">test10betLimits!$J$7</definedName>
    <definedName name="solver_cvg" localSheetId="8" hidden="1">0.0001</definedName>
    <definedName name="solver_drv" localSheetId="8" hidden="1">1</definedName>
    <definedName name="solver_eng" localSheetId="8" hidden="1">1</definedName>
    <definedName name="solver_est" localSheetId="8" hidden="1">1</definedName>
    <definedName name="solver_itr" localSheetId="8" hidden="1">2147483647</definedName>
    <definedName name="solver_lhs1" localSheetId="8" hidden="1">test10betLimits!$J$7</definedName>
    <definedName name="solver_mip" localSheetId="8" hidden="1">2147483647</definedName>
    <definedName name="solver_mni" localSheetId="8" hidden="1">30</definedName>
    <definedName name="solver_mrt" localSheetId="8" hidden="1">0.075</definedName>
    <definedName name="solver_msl" localSheetId="8" hidden="1">2</definedName>
    <definedName name="solver_neg" localSheetId="8" hidden="1">1</definedName>
    <definedName name="solver_nod" localSheetId="8" hidden="1">2147483647</definedName>
    <definedName name="solver_num" localSheetId="8" hidden="1">1</definedName>
    <definedName name="solver_nwt" localSheetId="8" hidden="1">1</definedName>
    <definedName name="solver_opt" localSheetId="8" hidden="1">test10betLimits!$U$7</definedName>
    <definedName name="solver_pre" localSheetId="8" hidden="1">0.000001</definedName>
    <definedName name="solver_rbv" localSheetId="8" hidden="1">1</definedName>
    <definedName name="solver_rel1" localSheetId="8" hidden="1">3</definedName>
    <definedName name="solver_rhs1" localSheetId="8" hidden="1">100000</definedName>
    <definedName name="solver_rlx" localSheetId="8" hidden="1">2</definedName>
    <definedName name="solver_rsd" localSheetId="8" hidden="1">0</definedName>
    <definedName name="solver_scl" localSheetId="8" hidden="1">1</definedName>
    <definedName name="solver_sho" localSheetId="8" hidden="1">2</definedName>
    <definedName name="solver_ssz" localSheetId="8" hidden="1">100</definedName>
    <definedName name="solver_tim" localSheetId="8" hidden="1">2147483647</definedName>
    <definedName name="solver_tol" localSheetId="8" hidden="1">0.01</definedName>
    <definedName name="solver_typ" localSheetId="8" hidden="1">3</definedName>
    <definedName name="solver_val" localSheetId="8" hidden="1">60001</definedName>
    <definedName name="solver_ver" localSheetId="8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2" i="29" l="1"/>
  <c r="R47" i="36"/>
  <c r="R38" i="36"/>
  <c r="F35" i="36"/>
  <c r="F34" i="36"/>
  <c r="F33" i="36"/>
  <c r="F32" i="36"/>
  <c r="F31" i="36"/>
  <c r="Q30" i="36"/>
  <c r="Q31" i="36" s="1"/>
  <c r="F30" i="36"/>
  <c r="Q29" i="36"/>
  <c r="F29" i="36"/>
  <c r="F28" i="36"/>
  <c r="F27" i="36"/>
  <c r="F26" i="36"/>
  <c r="F25" i="36"/>
  <c r="F24" i="36"/>
  <c r="F23" i="36"/>
  <c r="F22" i="36"/>
  <c r="F21" i="36"/>
  <c r="F20" i="36"/>
  <c r="F19" i="36"/>
  <c r="F18" i="36"/>
  <c r="F17" i="36"/>
  <c r="F16" i="36"/>
  <c r="F15" i="36"/>
  <c r="F14" i="36"/>
  <c r="F13" i="36"/>
  <c r="F12" i="36"/>
  <c r="F11" i="36"/>
  <c r="F10" i="36"/>
  <c r="F9" i="36"/>
  <c r="F8" i="36"/>
  <c r="F7" i="36"/>
  <c r="L6" i="36"/>
  <c r="N6" i="36" s="1"/>
  <c r="F6" i="36"/>
  <c r="I5" i="36"/>
  <c r="L5" i="36" s="1"/>
  <c r="F5" i="36"/>
  <c r="W4" i="36"/>
  <c r="W5" i="36" s="1"/>
  <c r="W6" i="36" s="1"/>
  <c r="P4" i="36"/>
  <c r="P5" i="36" s="1"/>
  <c r="P6" i="36" s="1"/>
  <c r="O4" i="36"/>
  <c r="O5" i="36" s="1"/>
  <c r="O6" i="36" s="1"/>
  <c r="L4" i="36"/>
  <c r="R4" i="36" s="1"/>
  <c r="T4" i="36" s="1"/>
  <c r="F4" i="36"/>
  <c r="K23" i="24"/>
  <c r="J23" i="24"/>
  <c r="J24" i="24"/>
  <c r="J25" i="24"/>
  <c r="J22" i="24"/>
  <c r="P9" i="24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Q31" i="1"/>
  <c r="Q30" i="1"/>
  <c r="Q29" i="1"/>
  <c r="L27" i="1"/>
  <c r="L26" i="1"/>
  <c r="L25" i="1"/>
  <c r="L20" i="1"/>
  <c r="L19" i="1"/>
  <c r="L18" i="1"/>
  <c r="L13" i="1"/>
  <c r="L12" i="1"/>
  <c r="L11" i="1"/>
  <c r="L5" i="1"/>
  <c r="L6" i="1"/>
  <c r="L4" i="1"/>
  <c r="F5" i="1"/>
  <c r="F6" i="1"/>
  <c r="F7" i="1"/>
  <c r="F4" i="1"/>
  <c r="F6" i="34"/>
  <c r="L5" i="34"/>
  <c r="N5" i="34" s="1"/>
  <c r="O5" i="34"/>
  <c r="T5" i="34" s="1"/>
  <c r="P5" i="34"/>
  <c r="W5" i="34"/>
  <c r="R47" i="1"/>
  <c r="Q4" i="36" l="1"/>
  <c r="S4" i="36" s="1"/>
  <c r="U4" i="36" s="1"/>
  <c r="V4" i="36" s="1"/>
  <c r="N5" i="36"/>
  <c r="M5" i="36"/>
  <c r="R5" i="36"/>
  <c r="T5" i="36" s="1"/>
  <c r="S51" i="36"/>
  <c r="M4" i="36"/>
  <c r="N4" i="36"/>
  <c r="M6" i="36"/>
  <c r="S41" i="36"/>
  <c r="O6" i="34"/>
  <c r="Q5" i="34"/>
  <c r="M5" i="34"/>
  <c r="Q5" i="36" l="1"/>
  <c r="S5" i="36" s="1"/>
  <c r="U5" i="36" s="1"/>
  <c r="V5" i="36" s="1"/>
  <c r="S50" i="36"/>
  <c r="R6" i="36"/>
  <c r="S42" i="36"/>
  <c r="S5" i="34"/>
  <c r="U5" i="34" s="1"/>
  <c r="V5" i="34" s="1"/>
  <c r="K9" i="33"/>
  <c r="Q6" i="36" l="1"/>
  <c r="S6" i="36" s="1"/>
  <c r="T6" i="36"/>
  <c r="L8" i="34"/>
  <c r="M8" i="34" s="1"/>
  <c r="F35" i="34"/>
  <c r="F34" i="34"/>
  <c r="F33" i="34"/>
  <c r="F32" i="34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/>
  <c r="F15" i="34"/>
  <c r="F14" i="34"/>
  <c r="F13" i="34"/>
  <c r="F12" i="34"/>
  <c r="F11" i="34"/>
  <c r="F10" i="34"/>
  <c r="F9" i="34"/>
  <c r="F8" i="34"/>
  <c r="F7" i="34"/>
  <c r="L7" i="34"/>
  <c r="I6" i="34"/>
  <c r="L6" i="34" s="1"/>
  <c r="Q6" i="34" s="1"/>
  <c r="F5" i="34"/>
  <c r="W4" i="34"/>
  <c r="W6" i="34" s="1"/>
  <c r="W7" i="34" s="1"/>
  <c r="W8" i="34" s="1"/>
  <c r="P4" i="34"/>
  <c r="P6" i="34" s="1"/>
  <c r="P7" i="34" s="1"/>
  <c r="P8" i="34" s="1"/>
  <c r="O4" i="34"/>
  <c r="L4" i="34"/>
  <c r="N4" i="34" s="1"/>
  <c r="F4" i="34"/>
  <c r="Z3" i="34"/>
  <c r="C14" i="20"/>
  <c r="G8" i="20"/>
  <c r="H8" i="20" s="1"/>
  <c r="G7" i="20"/>
  <c r="H7" i="20" s="1"/>
  <c r="D8" i="20"/>
  <c r="E8" i="20" s="1"/>
  <c r="D7" i="20"/>
  <c r="G5" i="33"/>
  <c r="E3" i="29"/>
  <c r="D3" i="29"/>
  <c r="D2" i="29"/>
  <c r="N25" i="24"/>
  <c r="F35" i="24"/>
  <c r="F34" i="24"/>
  <c r="F33" i="24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16" i="24"/>
  <c r="F15" i="24"/>
  <c r="F14" i="24"/>
  <c r="F13" i="24"/>
  <c r="F12" i="24"/>
  <c r="F11" i="24"/>
  <c r="F10" i="24"/>
  <c r="F9" i="24"/>
  <c r="F8" i="24"/>
  <c r="F7" i="24"/>
  <c r="F6" i="24"/>
  <c r="F5" i="24"/>
  <c r="F4" i="24"/>
  <c r="U6" i="36" l="1"/>
  <c r="V6" i="36" s="1"/>
  <c r="L48" i="36"/>
  <c r="L49" i="36" s="1"/>
  <c r="S49" i="36" s="1"/>
  <c r="L47" i="36"/>
  <c r="S45" i="36" s="1"/>
  <c r="S48" i="36"/>
  <c r="L38" i="36"/>
  <c r="S36" i="36" s="1"/>
  <c r="L39" i="36"/>
  <c r="L40" i="36" s="1"/>
  <c r="S40" i="36" s="1"/>
  <c r="S39" i="36"/>
  <c r="R6" i="34"/>
  <c r="T6" i="34" s="1"/>
  <c r="S6" i="34"/>
  <c r="O7" i="34"/>
  <c r="O8" i="34" s="1"/>
  <c r="M6" i="34"/>
  <c r="D14" i="20"/>
  <c r="E7" i="20"/>
  <c r="N8" i="34"/>
  <c r="N6" i="34"/>
  <c r="M7" i="34"/>
  <c r="Q4" i="34"/>
  <c r="S4" i="34" s="1"/>
  <c r="N7" i="34"/>
  <c r="M4" i="34"/>
  <c r="E14" i="20"/>
  <c r="D45" i="29"/>
  <c r="I29" i="29"/>
  <c r="Q29" i="29" s="1"/>
  <c r="D29" i="29"/>
  <c r="I28" i="29"/>
  <c r="Q28" i="29" s="1"/>
  <c r="I27" i="29"/>
  <c r="Q27" i="29" s="1"/>
  <c r="D27" i="29"/>
  <c r="I26" i="29"/>
  <c r="O26" i="29" s="1"/>
  <c r="I25" i="29"/>
  <c r="P25" i="29" s="1"/>
  <c r="D25" i="29"/>
  <c r="I24" i="29"/>
  <c r="P24" i="29" s="1"/>
  <c r="I23" i="29"/>
  <c r="Q23" i="29" s="1"/>
  <c r="D23" i="29"/>
  <c r="I22" i="29"/>
  <c r="Q22" i="29" s="1"/>
  <c r="I21" i="29"/>
  <c r="Q21" i="29" s="1"/>
  <c r="D21" i="29"/>
  <c r="I20" i="29"/>
  <c r="I58" i="29"/>
  <c r="Q58" i="29" s="1"/>
  <c r="I57" i="29"/>
  <c r="Q57" i="29" s="1"/>
  <c r="I56" i="29"/>
  <c r="Q56" i="29" s="1"/>
  <c r="D56" i="29"/>
  <c r="I55" i="29"/>
  <c r="Q55" i="29" s="1"/>
  <c r="I54" i="29"/>
  <c r="Q54" i="29" s="1"/>
  <c r="D54" i="29"/>
  <c r="I53" i="29"/>
  <c r="P53" i="29" s="1"/>
  <c r="I52" i="29"/>
  <c r="Q52" i="29" s="1"/>
  <c r="D52" i="29"/>
  <c r="I51" i="29"/>
  <c r="P51" i="29" s="1"/>
  <c r="I50" i="29"/>
  <c r="P50" i="29" s="1"/>
  <c r="D50" i="29"/>
  <c r="I49" i="29"/>
  <c r="F23" i="20"/>
  <c r="G23" i="20"/>
  <c r="H23" i="20"/>
  <c r="C20" i="20"/>
  <c r="I8" i="20"/>
  <c r="I7" i="20"/>
  <c r="G10" i="20"/>
  <c r="M21" i="29" l="1"/>
  <c r="M23" i="29"/>
  <c r="M52" i="29"/>
  <c r="R46" i="36"/>
  <c r="R37" i="36"/>
  <c r="U4" i="34"/>
  <c r="V4" i="34" s="1"/>
  <c r="M27" i="29"/>
  <c r="O23" i="29"/>
  <c r="K23" i="29" s="1"/>
  <c r="Q24" i="29"/>
  <c r="M54" i="29"/>
  <c r="Q26" i="29"/>
  <c r="O54" i="29"/>
  <c r="K54" i="29" s="1"/>
  <c r="P26" i="29"/>
  <c r="L50" i="29"/>
  <c r="P54" i="29"/>
  <c r="L54" i="29" s="1"/>
  <c r="Q53" i="29"/>
  <c r="Q51" i="29"/>
  <c r="O24" i="29"/>
  <c r="P28" i="29"/>
  <c r="M29" i="29"/>
  <c r="L25" i="29"/>
  <c r="O53" i="29"/>
  <c r="R53" i="29" s="1"/>
  <c r="O25" i="29"/>
  <c r="K25" i="29" s="1"/>
  <c r="O29" i="29"/>
  <c r="K29" i="29" s="1"/>
  <c r="J21" i="29"/>
  <c r="J23" i="29" s="1"/>
  <c r="Q25" i="29"/>
  <c r="M25" i="29" s="1"/>
  <c r="O22" i="29"/>
  <c r="P22" i="29"/>
  <c r="P23" i="29"/>
  <c r="L23" i="29" s="1"/>
  <c r="O27" i="29"/>
  <c r="P27" i="29"/>
  <c r="L27" i="29" s="1"/>
  <c r="O21" i="29"/>
  <c r="P21" i="29"/>
  <c r="L21" i="29" s="1"/>
  <c r="T22" i="29" s="1"/>
  <c r="P29" i="29"/>
  <c r="O28" i="29"/>
  <c r="P52" i="29"/>
  <c r="L52" i="29" s="1"/>
  <c r="M56" i="29"/>
  <c r="O52" i="29"/>
  <c r="K52" i="29" s="1"/>
  <c r="J50" i="29"/>
  <c r="O51" i="29"/>
  <c r="Q50" i="29"/>
  <c r="M50" i="29" s="1"/>
  <c r="P58" i="29"/>
  <c r="P57" i="29"/>
  <c r="O57" i="29"/>
  <c r="O56" i="29"/>
  <c r="K56" i="29" s="1"/>
  <c r="O55" i="29"/>
  <c r="P56" i="29"/>
  <c r="L56" i="29" s="1"/>
  <c r="P55" i="29"/>
  <c r="O50" i="29"/>
  <c r="O58" i="29"/>
  <c r="J8" i="20"/>
  <c r="J7" i="20"/>
  <c r="I45" i="29"/>
  <c r="P45" i="29" s="1"/>
  <c r="I44" i="29"/>
  <c r="Q44" i="29" s="1"/>
  <c r="I43" i="29"/>
  <c r="Q43" i="29" s="1"/>
  <c r="D43" i="29"/>
  <c r="I42" i="29"/>
  <c r="O42" i="29" s="1"/>
  <c r="I41" i="29"/>
  <c r="D41" i="29"/>
  <c r="I40" i="29"/>
  <c r="Q40" i="29" s="1"/>
  <c r="I39" i="29"/>
  <c r="D39" i="29"/>
  <c r="I38" i="29"/>
  <c r="Q38" i="29" s="1"/>
  <c r="I37" i="29"/>
  <c r="D37" i="29"/>
  <c r="I36" i="29"/>
  <c r="D23" i="20"/>
  <c r="E23" i="20"/>
  <c r="C21" i="20"/>
  <c r="C24" i="20" s="1"/>
  <c r="E10" i="20"/>
  <c r="E15" i="20" s="1"/>
  <c r="F14" i="20" s="1"/>
  <c r="D10" i="20"/>
  <c r="J51" i="29" l="1"/>
  <c r="J52" i="29"/>
  <c r="Q7" i="34"/>
  <c r="S7" i="34" s="1"/>
  <c r="R51" i="29"/>
  <c r="Q37" i="29"/>
  <c r="J37" i="29"/>
  <c r="J38" i="29" s="1"/>
  <c r="P39" i="29"/>
  <c r="L39" i="29" s="1"/>
  <c r="L46" i="29" s="1"/>
  <c r="O41" i="29"/>
  <c r="K41" i="29" s="1"/>
  <c r="D15" i="20"/>
  <c r="D12" i="20"/>
  <c r="R24" i="29"/>
  <c r="R7" i="34"/>
  <c r="R8" i="34" s="1"/>
  <c r="T8" i="34" s="1"/>
  <c r="G14" i="20"/>
  <c r="H14" i="20"/>
  <c r="I14" i="20" s="1"/>
  <c r="J14" i="20" s="1"/>
  <c r="D11" i="20"/>
  <c r="R26" i="29"/>
  <c r="R54" i="29"/>
  <c r="R57" i="29"/>
  <c r="J53" i="29"/>
  <c r="R28" i="29"/>
  <c r="J22" i="29"/>
  <c r="T24" i="29"/>
  <c r="R23" i="29"/>
  <c r="R25" i="29"/>
  <c r="D58" i="29"/>
  <c r="R27" i="29"/>
  <c r="K27" i="29"/>
  <c r="T23" i="29" s="1"/>
  <c r="R22" i="29"/>
  <c r="R29" i="29"/>
  <c r="L29" i="29"/>
  <c r="R21" i="29"/>
  <c r="K21" i="29"/>
  <c r="J24" i="29"/>
  <c r="J25" i="29"/>
  <c r="Q42" i="29"/>
  <c r="Q39" i="29"/>
  <c r="M39" i="29" s="1"/>
  <c r="R52" i="29"/>
  <c r="P41" i="29"/>
  <c r="L41" i="29" s="1"/>
  <c r="P42" i="29"/>
  <c r="Q41" i="29"/>
  <c r="M41" i="29" s="1"/>
  <c r="R55" i="29"/>
  <c r="R58" i="29"/>
  <c r="R56" i="29"/>
  <c r="R50" i="29"/>
  <c r="K50" i="29"/>
  <c r="O40" i="29"/>
  <c r="P40" i="29"/>
  <c r="O43" i="29"/>
  <c r="K43" i="29" s="1"/>
  <c r="P37" i="29"/>
  <c r="L37" i="29" s="1"/>
  <c r="O45" i="29"/>
  <c r="Q45" i="29"/>
  <c r="R45" i="29" s="1"/>
  <c r="O39" i="29"/>
  <c r="K39" i="29" s="1"/>
  <c r="P43" i="29"/>
  <c r="L43" i="29" s="1"/>
  <c r="O37" i="29"/>
  <c r="K37" i="29" s="1"/>
  <c r="M37" i="29"/>
  <c r="M43" i="29"/>
  <c r="O38" i="29"/>
  <c r="P38" i="29"/>
  <c r="P44" i="29"/>
  <c r="O44" i="29"/>
  <c r="E11" i="20"/>
  <c r="E12" i="20"/>
  <c r="T38" i="29" l="1"/>
  <c r="T21" i="29"/>
  <c r="T25" i="29" s="1"/>
  <c r="T39" i="29"/>
  <c r="L58" i="29"/>
  <c r="K58" i="29"/>
  <c r="Q8" i="34"/>
  <c r="S8" i="34" s="1"/>
  <c r="J39" i="29"/>
  <c r="U6" i="34"/>
  <c r="V6" i="34" s="1"/>
  <c r="T7" i="34"/>
  <c r="U7" i="34" s="1"/>
  <c r="R42" i="29"/>
  <c r="R43" i="29"/>
  <c r="J54" i="29"/>
  <c r="T51" i="29" s="1"/>
  <c r="R39" i="29"/>
  <c r="J26" i="29"/>
  <c r="J27" i="29"/>
  <c r="K45" i="29"/>
  <c r="T40" i="29" s="1"/>
  <c r="M58" i="29"/>
  <c r="R41" i="29"/>
  <c r="R40" i="29"/>
  <c r="R44" i="29"/>
  <c r="R37" i="29"/>
  <c r="L45" i="29"/>
  <c r="M45" i="29"/>
  <c r="R38" i="29"/>
  <c r="N22" i="24"/>
  <c r="K6" i="24"/>
  <c r="K11" i="24"/>
  <c r="K5" i="24"/>
  <c r="K4" i="24"/>
  <c r="K12" i="24"/>
  <c r="J55" i="29" l="1"/>
  <c r="J56" i="29"/>
  <c r="M4" i="1"/>
  <c r="N4" i="1"/>
  <c r="U8" i="34"/>
  <c r="J40" i="29"/>
  <c r="J41" i="29"/>
  <c r="R4" i="1"/>
  <c r="Q4" i="1"/>
  <c r="R11" i="1"/>
  <c r="Q11" i="1"/>
  <c r="R18" i="1"/>
  <c r="R19" i="1" s="1"/>
  <c r="R20" i="1" s="1"/>
  <c r="Q18" i="1"/>
  <c r="Q19" i="1" s="1"/>
  <c r="Q20" i="1" s="1"/>
  <c r="R25" i="1"/>
  <c r="R26" i="1" s="1"/>
  <c r="R27" i="1" s="1"/>
  <c r="Q25" i="1"/>
  <c r="Q26" i="1" s="1"/>
  <c r="Q27" i="1" s="1"/>
  <c r="N26" i="1"/>
  <c r="M26" i="1"/>
  <c r="N27" i="1"/>
  <c r="S51" i="1" s="1"/>
  <c r="M27" i="1"/>
  <c r="N11" i="1"/>
  <c r="M11" i="1"/>
  <c r="M18" i="1"/>
  <c r="N18" i="1"/>
  <c r="M20" i="1"/>
  <c r="N20" i="1"/>
  <c r="N19" i="1"/>
  <c r="M19" i="1"/>
  <c r="N6" i="1"/>
  <c r="M6" i="1"/>
  <c r="N13" i="1"/>
  <c r="M13" i="1"/>
  <c r="N25" i="1"/>
  <c r="M25" i="1"/>
  <c r="V7" i="34"/>
  <c r="T41" i="29"/>
  <c r="T42" i="29" s="1"/>
  <c r="J28" i="29"/>
  <c r="J29" i="29"/>
  <c r="L14" i="1"/>
  <c r="J57" i="29" l="1"/>
  <c r="J58" i="29" s="1"/>
  <c r="T53" i="29" s="1"/>
  <c r="T52" i="29"/>
  <c r="Q12" i="1"/>
  <c r="Q13" i="1" s="1"/>
  <c r="V8" i="34"/>
  <c r="J43" i="29"/>
  <c r="J42" i="29"/>
  <c r="S50" i="1"/>
  <c r="S41" i="1"/>
  <c r="R12" i="1"/>
  <c r="R13" i="1" s="1"/>
  <c r="N12" i="1"/>
  <c r="M12" i="1"/>
  <c r="J30" i="29"/>
  <c r="T54" i="29" l="1"/>
  <c r="T55" i="29"/>
  <c r="J59" i="29"/>
  <c r="J44" i="29"/>
  <c r="J45" i="29"/>
  <c r="J46" i="29" s="1"/>
  <c r="O6" i="24"/>
  <c r="L5" i="24"/>
  <c r="L6" i="24"/>
  <c r="N5" i="24" l="1"/>
  <c r="O5" i="24" s="1"/>
  <c r="O17" i="24" s="1"/>
  <c r="R38" i="1" l="1"/>
  <c r="D36" i="28" l="1"/>
  <c r="D39" i="28"/>
  <c r="C39" i="28"/>
  <c r="C38" i="28"/>
  <c r="D37" i="28"/>
  <c r="I25" i="28"/>
  <c r="I26" i="28"/>
  <c r="I24" i="28"/>
  <c r="I19" i="28" l="1"/>
  <c r="I14" i="29" l="1"/>
  <c r="I13" i="29"/>
  <c r="O13" i="29" s="1"/>
  <c r="I12" i="29"/>
  <c r="I11" i="29"/>
  <c r="Q11" i="29" s="1"/>
  <c r="I10" i="29"/>
  <c r="I9" i="29"/>
  <c r="O9" i="29" s="1"/>
  <c r="I8" i="29"/>
  <c r="I7" i="29"/>
  <c r="I6" i="29"/>
  <c r="J6" i="29" s="1"/>
  <c r="I5" i="29"/>
  <c r="F10" i="20"/>
  <c r="F11" i="20" s="1"/>
  <c r="C10" i="20"/>
  <c r="O14" i="28"/>
  <c r="O13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12" i="28"/>
  <c r="L11" i="28"/>
  <c r="L10" i="28"/>
  <c r="L9" i="28"/>
  <c r="L8" i="28"/>
  <c r="L7" i="28"/>
  <c r="L6" i="28"/>
  <c r="L5" i="28"/>
  <c r="L4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P7" i="29" l="1"/>
  <c r="O7" i="29"/>
  <c r="D17" i="20"/>
  <c r="E17" i="20" s="1"/>
  <c r="E21" i="20" s="1"/>
  <c r="D18" i="20"/>
  <c r="E18" i="20" s="1"/>
  <c r="C15" i="20"/>
  <c r="J8" i="29"/>
  <c r="J10" i="29" s="1"/>
  <c r="J12" i="29" s="1"/>
  <c r="U7" i="29" s="1"/>
  <c r="Q10" i="29"/>
  <c r="M10" i="29" s="1"/>
  <c r="Q14" i="29"/>
  <c r="M14" i="29" s="1"/>
  <c r="F15" i="20"/>
  <c r="O12" i="29"/>
  <c r="K12" i="29" s="1"/>
  <c r="R13" i="29"/>
  <c r="F12" i="20"/>
  <c r="O8" i="29"/>
  <c r="K8" i="29" s="1"/>
  <c r="P13" i="29"/>
  <c r="Q13" i="29"/>
  <c r="P8" i="29"/>
  <c r="L8" i="29" s="1"/>
  <c r="Q8" i="29"/>
  <c r="M8" i="29" s="1"/>
  <c r="O11" i="29"/>
  <c r="P11" i="29"/>
  <c r="Q6" i="29"/>
  <c r="M6" i="29" s="1"/>
  <c r="P6" i="29"/>
  <c r="L6" i="29" s="1"/>
  <c r="O6" i="29"/>
  <c r="K6" i="29" s="1"/>
  <c r="P10" i="29"/>
  <c r="L10" i="29" s="1"/>
  <c r="J7" i="29"/>
  <c r="P12" i="29"/>
  <c r="O14" i="29"/>
  <c r="K14" i="29" s="1"/>
  <c r="Q12" i="29"/>
  <c r="M12" i="29" s="1"/>
  <c r="P14" i="29"/>
  <c r="Q7" i="29"/>
  <c r="P9" i="29"/>
  <c r="Q9" i="29"/>
  <c r="O10" i="29"/>
  <c r="K10" i="29" s="1"/>
  <c r="T9" i="29" l="1"/>
  <c r="T8" i="29"/>
  <c r="J14" i="29"/>
  <c r="U8" i="29" s="1"/>
  <c r="F16" i="20"/>
  <c r="R9" i="29"/>
  <c r="R11" i="29"/>
  <c r="D20" i="20"/>
  <c r="F18" i="20"/>
  <c r="G18" i="20" s="1"/>
  <c r="D22" i="20"/>
  <c r="R8" i="29"/>
  <c r="R10" i="29"/>
  <c r="R7" i="29"/>
  <c r="R6" i="29"/>
  <c r="R12" i="29"/>
  <c r="R14" i="29"/>
  <c r="J9" i="29"/>
  <c r="U9" i="29" l="1"/>
  <c r="U10" i="29" s="1"/>
  <c r="F22" i="20"/>
  <c r="F17" i="20"/>
  <c r="E20" i="20"/>
  <c r="G15" i="20"/>
  <c r="H9" i="20" s="1"/>
  <c r="G11" i="20"/>
  <c r="G12" i="20"/>
  <c r="E22" i="20"/>
  <c r="J11" i="29"/>
  <c r="G17" i="20" l="1"/>
  <c r="I9" i="20"/>
  <c r="H10" i="20"/>
  <c r="J9" i="20"/>
  <c r="F21" i="20"/>
  <c r="F24" i="20" s="1"/>
  <c r="F20" i="20"/>
  <c r="H18" i="20"/>
  <c r="G22" i="20"/>
  <c r="G21" i="20" l="1"/>
  <c r="G24" i="20" s="1"/>
  <c r="H17" i="20"/>
  <c r="I17" i="20" s="1"/>
  <c r="J17" i="20" s="1"/>
  <c r="G20" i="20"/>
  <c r="H22" i="20"/>
  <c r="J10" i="20"/>
  <c r="H12" i="20"/>
  <c r="H15" i="20"/>
  <c r="H11" i="20"/>
  <c r="I10" i="20"/>
  <c r="I13" i="20" l="1"/>
  <c r="I18" i="20"/>
  <c r="J18" i="20" s="1"/>
  <c r="I19" i="20"/>
  <c r="J19" i="20" s="1"/>
  <c r="J11" i="20"/>
  <c r="J12" i="20"/>
  <c r="J15" i="20"/>
  <c r="I12" i="20"/>
  <c r="I11" i="20"/>
  <c r="I15" i="20"/>
  <c r="H21" i="20"/>
  <c r="H24" i="20" s="1"/>
  <c r="H20" i="20"/>
  <c r="J13" i="20"/>
  <c r="L12" i="24"/>
  <c r="L11" i="24"/>
  <c r="I23" i="20" l="1"/>
  <c r="J23" i="20"/>
  <c r="I21" i="20"/>
  <c r="I20" i="20"/>
  <c r="I22" i="20"/>
  <c r="J22" i="20"/>
  <c r="N12" i="24"/>
  <c r="O12" i="24" s="1"/>
  <c r="O15" i="24"/>
  <c r="N11" i="24"/>
  <c r="I24" i="20" l="1"/>
  <c r="J21" i="20"/>
  <c r="J24" i="20" s="1"/>
  <c r="J20" i="20"/>
  <c r="O11" i="24"/>
  <c r="N27" i="24"/>
  <c r="N28" i="24" s="1"/>
  <c r="N24" i="24"/>
  <c r="O16" i="24"/>
  <c r="N26" i="24" l="1"/>
  <c r="A5" i="24" l="1"/>
  <c r="A6" i="24"/>
  <c r="A7" i="24"/>
  <c r="A8" i="24"/>
  <c r="A9" i="24"/>
  <c r="A4" i="24"/>
  <c r="L4" i="24" l="1"/>
  <c r="A29" i="24"/>
  <c r="A31" i="24"/>
  <c r="A11" i="24"/>
  <c r="A32" i="24"/>
  <c r="A33" i="24"/>
  <c r="A22" i="24"/>
  <c r="A34" i="24"/>
  <c r="A12" i="24"/>
  <c r="A35" i="24"/>
  <c r="A14" i="24"/>
  <c r="A24" i="24"/>
  <c r="A25" i="24"/>
  <c r="A13" i="24"/>
  <c r="A16" i="24"/>
  <c r="A26" i="24"/>
  <c r="A21" i="24"/>
  <c r="A15" i="24"/>
  <c r="A17" i="24"/>
  <c r="A18" i="24"/>
  <c r="A19" i="24"/>
  <c r="A27" i="24"/>
  <c r="A30" i="24"/>
  <c r="A23" i="24"/>
  <c r="A10" i="24"/>
  <c r="A20" i="24"/>
  <c r="A28" i="24"/>
  <c r="I5" i="1" l="1"/>
  <c r="R5" i="1" s="1"/>
  <c r="P25" i="1"/>
  <c r="P26" i="1" s="1"/>
  <c r="P27" i="1" s="1"/>
  <c r="O25" i="1"/>
  <c r="O26" i="1" s="1"/>
  <c r="O27" i="1" s="1"/>
  <c r="P18" i="1"/>
  <c r="P19" i="1" s="1"/>
  <c r="P20" i="1" s="1"/>
  <c r="O18" i="1"/>
  <c r="O19" i="1" s="1"/>
  <c r="O20" i="1" s="1"/>
  <c r="P11" i="1"/>
  <c r="P12" i="1" s="1"/>
  <c r="P13" i="1" s="1"/>
  <c r="O11" i="1"/>
  <c r="O12" i="1" s="1"/>
  <c r="O13" i="1" s="1"/>
  <c r="O4" i="1"/>
  <c r="T4" i="1" s="1"/>
  <c r="P4" i="1"/>
  <c r="S4" i="1" s="1"/>
  <c r="W4" i="1"/>
  <c r="W5" i="1" s="1"/>
  <c r="W6" i="1" s="1"/>
  <c r="N5" i="1" l="1"/>
  <c r="S42" i="1" s="1"/>
  <c r="R6" i="1"/>
  <c r="Q5" i="1"/>
  <c r="Q6" i="1" s="1"/>
  <c r="M5" i="1"/>
  <c r="O5" i="1"/>
  <c r="O6" i="1" s="1"/>
  <c r="T18" i="1"/>
  <c r="S13" i="1"/>
  <c r="P5" i="1"/>
  <c r="P6" i="1" s="1"/>
  <c r="W11" i="1"/>
  <c r="W12" i="1" s="1"/>
  <c r="W13" i="1" s="1"/>
  <c r="W18" i="1" s="1"/>
  <c r="W19" i="1" s="1"/>
  <c r="W20" i="1" s="1"/>
  <c r="W25" i="1" s="1"/>
  <c r="W26" i="1" s="1"/>
  <c r="W27" i="1" s="1"/>
  <c r="S48" i="1" l="1"/>
  <c r="L48" i="1"/>
  <c r="L49" i="1" s="1"/>
  <c r="S49" i="1" s="1"/>
  <c r="L47" i="1"/>
  <c r="S45" i="1" s="1"/>
  <c r="L38" i="1"/>
  <c r="S36" i="1" s="1"/>
  <c r="S39" i="1"/>
  <c r="T20" i="1"/>
  <c r="S18" i="1"/>
  <c r="U18" i="1" s="1"/>
  <c r="S11" i="1"/>
  <c r="T11" i="1"/>
  <c r="T12" i="1"/>
  <c r="L39" i="1" l="1"/>
  <c r="S19" i="1"/>
  <c r="T6" i="1"/>
  <c r="S5" i="1"/>
  <c r="T19" i="1"/>
  <c r="U4" i="1"/>
  <c r="V4" i="1" s="1"/>
  <c r="T25" i="1"/>
  <c r="U11" i="1"/>
  <c r="S26" i="1"/>
  <c r="T26" i="1"/>
  <c r="S25" i="1"/>
  <c r="S12" i="1"/>
  <c r="U12" i="1" s="1"/>
  <c r="S6" i="1"/>
  <c r="U6" i="1" l="1"/>
  <c r="L40" i="1"/>
  <c r="S40" i="1" s="1"/>
  <c r="U19" i="1"/>
  <c r="U26" i="1"/>
  <c r="U25" i="1"/>
  <c r="T13" i="1"/>
  <c r="T27" i="1"/>
  <c r="S20" i="1"/>
  <c r="U20" i="1" s="1"/>
  <c r="S27" i="1"/>
  <c r="U13" i="1" l="1"/>
  <c r="U27" i="1"/>
  <c r="R37" i="1" l="1"/>
  <c r="R46" i="1"/>
  <c r="T5" i="1"/>
  <c r="U5" i="1" s="1"/>
  <c r="V5" i="1" s="1"/>
  <c r="V6" i="1" l="1"/>
  <c r="V11" i="1" s="1"/>
  <c r="V12" i="1" s="1"/>
  <c r="V13" i="1" s="1"/>
  <c r="V18" i="1" s="1"/>
  <c r="V19" i="1" s="1"/>
  <c r="V20" i="1" l="1"/>
  <c r="V25" i="1" s="1"/>
  <c r="V26" i="1" s="1"/>
  <c r="V27" i="1" s="1"/>
  <c r="L12" i="29" l="1"/>
  <c r="T7" i="29" l="1"/>
  <c r="J13" i="29"/>
  <c r="T10" i="29" l="1"/>
  <c r="L14" i="29"/>
  <c r="J15" i="29" l="1"/>
  <c r="D21" i="20" l="1"/>
  <c r="D24" i="20" s="1"/>
  <c r="E24" i="20"/>
</calcChain>
</file>

<file path=xl/sharedStrings.xml><?xml version="1.0" encoding="utf-8"?>
<sst xmlns="http://schemas.openxmlformats.org/spreadsheetml/2006/main" count="679" uniqueCount="220">
  <si>
    <t>Net</t>
  </si>
  <si>
    <t>NFL:ARI:LAC</t>
  </si>
  <si>
    <t>NFL:ATL:LAR</t>
  </si>
  <si>
    <t>NFL:BAL:MIA</t>
  </si>
  <si>
    <t>NFL:BUF:MIN</t>
  </si>
  <si>
    <t>NFL:CAR:NE</t>
  </si>
  <si>
    <t>NFL:CHI:NO</t>
  </si>
  <si>
    <t>NFL:CIN:NYG</t>
  </si>
  <si>
    <t>NFL:CLE:NYJ</t>
  </si>
  <si>
    <t>NFL:DAL:OAK</t>
  </si>
  <si>
    <t>NFL:DEN:PHI</t>
  </si>
  <si>
    <t>NFL:DET:PIT</t>
  </si>
  <si>
    <t>NFL:GB:SEA</t>
  </si>
  <si>
    <t>NFL:HOU:SF</t>
  </si>
  <si>
    <t>NFL:IND:TB</t>
  </si>
  <si>
    <t>NFL:JAX:TEN</t>
  </si>
  <si>
    <t>NFL:KC:WSH</t>
  </si>
  <si>
    <t>UFC:Holloway:Kattar</t>
  </si>
  <si>
    <t>UFC:Ponzinibbio:Li</t>
  </si>
  <si>
    <t>UFC:Kelleher:Simon</t>
  </si>
  <si>
    <t>UFC:Hernandez:Vieria</t>
  </si>
  <si>
    <t>UFC:Akhemedov:Breese</t>
  </si>
  <si>
    <t>NHL:Colorado:Washington</t>
  </si>
  <si>
    <t>NHL:Vegas:StLouis</t>
  </si>
  <si>
    <t>NHL:TampaBay:Dallas</t>
  </si>
  <si>
    <t>NHL:Boston:Carolina</t>
  </si>
  <si>
    <t>NHL:Philadelphia:Edmonton</t>
  </si>
  <si>
    <t>NHL:Pittsburgh:NYIslanders</t>
  </si>
  <si>
    <t>Odds</t>
  </si>
  <si>
    <t>Bet0</t>
  </si>
  <si>
    <t>Bet1</t>
  </si>
  <si>
    <t>Pay0</t>
  </si>
  <si>
    <t>Pay1</t>
  </si>
  <si>
    <t>Match</t>
  </si>
  <si>
    <t>HomeBet</t>
  </si>
  <si>
    <t>AwayBet</t>
  </si>
  <si>
    <t>HomeWin</t>
  </si>
  <si>
    <t>AwayWin</t>
  </si>
  <si>
    <t>MaxLiab</t>
  </si>
  <si>
    <t>Start</t>
  </si>
  <si>
    <t>-</t>
  </si>
  <si>
    <t>To Oracle</t>
  </si>
  <si>
    <t>account 0</t>
  </si>
  <si>
    <t>account 1</t>
  </si>
  <si>
    <t>account 2</t>
  </si>
  <si>
    <t>Test of Oracle Revenue Mechanism</t>
  </si>
  <si>
    <t>Pre Settle</t>
  </si>
  <si>
    <t>Basic Test of Bet and margin processing, from time of bet to settlement</t>
  </si>
  <si>
    <t>Test that odds updates are processed correctly</t>
  </si>
  <si>
    <t>Test that Redemptions are correctly processed</t>
  </si>
  <si>
    <t>gas used</t>
  </si>
  <si>
    <t>Acct2</t>
  </si>
  <si>
    <t>confirm Oracle token holders who deposit in Oracle contract receive appropriate revenue</t>
  </si>
  <si>
    <t>Checks</t>
  </si>
  <si>
    <t>Data Cure Time prevents early posting of data</t>
  </si>
  <si>
    <t>Data cannot be sent while existing data is being curated</t>
  </si>
  <si>
    <t>Sends appropriate data after cure time (eg, initial data curated, no settlement data can be sent)</t>
  </si>
  <si>
    <t>Odds can be updated</t>
  </si>
  <si>
    <t>Data need a majority vote to send</t>
  </si>
  <si>
    <t>Rejected data imply cost to data proposer</t>
  </si>
  <si>
    <t>Results</t>
  </si>
  <si>
    <t>Winner</t>
  </si>
  <si>
    <t>tie</t>
  </si>
  <si>
    <t>tx cost</t>
  </si>
  <si>
    <t>acct2</t>
  </si>
  <si>
    <t>acct3</t>
  </si>
  <si>
    <t>Data Reporting</t>
  </si>
  <si>
    <t>Odds0</t>
  </si>
  <si>
    <t>Account0</t>
  </si>
  <si>
    <t>TotTokens</t>
  </si>
  <si>
    <t>LiqPool</t>
  </si>
  <si>
    <t>Epoch</t>
  </si>
  <si>
    <t>Payout</t>
  </si>
  <si>
    <t>OracleRev</t>
  </si>
  <si>
    <t>NBA:Memphis:Brooklyn</t>
  </si>
  <si>
    <t>NBA:Boston:Charlotte</t>
  </si>
  <si>
    <t>NBA:Milwaukee:Dallas</t>
  </si>
  <si>
    <t>NBA:miami:LALakers</t>
  </si>
  <si>
    <t>NBA:Atlanta:SanAntonia</t>
  </si>
  <si>
    <t>PerPeriod Oracle Revenue</t>
  </si>
  <si>
    <t>% Oracle Ownership</t>
  </si>
  <si>
    <t>BettorPool</t>
  </si>
  <si>
    <t>BookieLocked</t>
  </si>
  <si>
    <t>payoff</t>
  </si>
  <si>
    <t>bookiePool</t>
  </si>
  <si>
    <t>acct</t>
  </si>
  <si>
    <t>winner</t>
  </si>
  <si>
    <t>Winnings</t>
  </si>
  <si>
    <t>initial</t>
  </si>
  <si>
    <t>CumulativeGrossPayOut</t>
  </si>
  <si>
    <t>CumulativeBet</t>
  </si>
  <si>
    <t>BetKBalance</t>
  </si>
  <si>
    <t>Account1</t>
  </si>
  <si>
    <t>Account2</t>
  </si>
  <si>
    <t>bet 1000 on 7,0</t>
  </si>
  <si>
    <t>betData[7]</t>
  </si>
  <si>
    <t>bet0</t>
  </si>
  <si>
    <t>bet1</t>
  </si>
  <si>
    <t>payoff0</t>
  </si>
  <si>
    <t>payoff1</t>
  </si>
  <si>
    <t>odds0</t>
  </si>
  <si>
    <t>odds1</t>
  </si>
  <si>
    <t>startTime0</t>
  </si>
  <si>
    <t>bet 500 on 7,1</t>
  </si>
  <si>
    <t>update</t>
  </si>
  <si>
    <t>salmon numbers unaffected</t>
  </si>
  <si>
    <t>odds change (in blue) change per odds update</t>
  </si>
  <si>
    <t>account</t>
  </si>
  <si>
    <t>bookieCapital</t>
  </si>
  <si>
    <t>ethinBettingK</t>
  </si>
  <si>
    <t>totShares</t>
  </si>
  <si>
    <t>acct0Shares</t>
  </si>
  <si>
    <t>acct1Shares</t>
  </si>
  <si>
    <t>eth/share</t>
  </si>
  <si>
    <t>acct3shares</t>
  </si>
  <si>
    <t>acct0eth</t>
  </si>
  <si>
    <t>acct1eth</t>
  </si>
  <si>
    <t>acct3eth</t>
  </si>
  <si>
    <t>Period</t>
  </si>
  <si>
    <t>TokensOut</t>
  </si>
  <si>
    <t>Total payoff to bettors</t>
  </si>
  <si>
    <t>Total outflow to Bettors</t>
  </si>
  <si>
    <t>Account3</t>
  </si>
  <si>
    <t>Post Settle&amp;Remption</t>
  </si>
  <si>
    <t>1pre</t>
  </si>
  <si>
    <t>2pre</t>
  </si>
  <si>
    <t>3pre</t>
  </si>
  <si>
    <t>4pre</t>
  </si>
  <si>
    <t>5pre</t>
  </si>
  <si>
    <t>6exit</t>
  </si>
  <si>
    <t>Acct0</t>
  </si>
  <si>
    <t>Acct1</t>
  </si>
  <si>
    <t>Brute Force</t>
  </si>
  <si>
    <t>Contract Formula</t>
  </si>
  <si>
    <t>OracleFee</t>
  </si>
  <si>
    <t>margin[0]</t>
  </si>
  <si>
    <t>margin[1]</t>
  </si>
  <si>
    <t>margin[2]</t>
  </si>
  <si>
    <t>funder</t>
  </si>
  <si>
    <t>pick</t>
  </si>
  <si>
    <t>Bet</t>
  </si>
  <si>
    <t>Oracle Fee</t>
  </si>
  <si>
    <t>BettingK eth Balance</t>
  </si>
  <si>
    <t>gas price (gwei)</t>
  </si>
  <si>
    <t>initial Depo (finney/10)</t>
  </si>
  <si>
    <t>After Trading</t>
  </si>
  <si>
    <t>post-settle/post redeem</t>
  </si>
  <si>
    <t>Total Payout</t>
  </si>
  <si>
    <t>0&amp;1</t>
  </si>
  <si>
    <t>under[1]</t>
  </si>
  <si>
    <t>fave[0]</t>
  </si>
  <si>
    <t>OracleKBalance</t>
  </si>
  <si>
    <t>CFL: Mich: OhioState</t>
  </si>
  <si>
    <t>CFL: Minn : Illinois</t>
  </si>
  <si>
    <t>CFL: MiamiU: Florida</t>
  </si>
  <si>
    <t>CFL: USC: UCLA</t>
  </si>
  <si>
    <t>CFL: Alabama: Auburn</t>
  </si>
  <si>
    <t>CFL: ArizonaSt: UofAriz</t>
  </si>
  <si>
    <t>CFL: PennState: Indiana</t>
  </si>
  <si>
    <t>CFL: Texas: TexasA&amp;M</t>
  </si>
  <si>
    <t>CFL: Utah: BYU</t>
  </si>
  <si>
    <t>CFL: Rutgers: VirgTech</t>
  </si>
  <si>
    <t>CFL: Georgia: Clemson</t>
  </si>
  <si>
    <t>post-settle/preredeem</t>
  </si>
  <si>
    <t>acct2 increase After WD</t>
  </si>
  <si>
    <t>Acct2BalInConract</t>
  </si>
  <si>
    <t>acct0Tokens</t>
  </si>
  <si>
    <t>acct1Tokens</t>
  </si>
  <si>
    <t>acct3Tokens</t>
  </si>
  <si>
    <t>settle1</t>
  </si>
  <si>
    <t>settle2</t>
  </si>
  <si>
    <t>withdraw 15k</t>
  </si>
  <si>
    <t>settle3</t>
  </si>
  <si>
    <t>deposit</t>
  </si>
  <si>
    <t>settle4</t>
  </si>
  <si>
    <t>settle 5</t>
  </si>
  <si>
    <t>withdraw all</t>
  </si>
  <si>
    <t>init</t>
  </si>
  <si>
    <t>acct0TokensChg</t>
  </si>
  <si>
    <t>TotalTokens</t>
  </si>
  <si>
    <t>acct1TokenChg</t>
  </si>
  <si>
    <t>acct3TokenChg</t>
  </si>
  <si>
    <t>Base</t>
  </si>
  <si>
    <t>withdraw</t>
  </si>
  <si>
    <t>B: withdraw in middle</t>
  </si>
  <si>
    <t>c: deposit in middle</t>
  </si>
  <si>
    <t>C</t>
  </si>
  <si>
    <t>B</t>
  </si>
  <si>
    <t>A</t>
  </si>
  <si>
    <t>1/3 the time</t>
  </si>
  <si>
    <t>D</t>
  </si>
  <si>
    <t>OracleRev(0.1avax)</t>
  </si>
  <si>
    <t>InitPost</t>
  </si>
  <si>
    <t>initProcess</t>
  </si>
  <si>
    <t>revert</t>
  </si>
  <si>
    <t>settlePost</t>
  </si>
  <si>
    <t>settleProcess</t>
  </si>
  <si>
    <t>updatePost</t>
  </si>
  <si>
    <t>updateProcess</t>
  </si>
  <si>
    <t>voteFail</t>
  </si>
  <si>
    <t>betLost</t>
  </si>
  <si>
    <t>140K tokens</t>
  </si>
  <si>
    <t>80k tokens</t>
  </si>
  <si>
    <t>60k tokens</t>
  </si>
  <si>
    <t>test1-B</t>
  </si>
  <si>
    <t>test1</t>
  </si>
  <si>
    <t>test1winner</t>
  </si>
  <si>
    <t>test1B winner</t>
  </si>
  <si>
    <t>post 1</t>
  </si>
  <si>
    <t>one sender, no votes</t>
  </si>
  <si>
    <t>succeeds</t>
  </si>
  <si>
    <t>one votes yes, other no, yes votes majority</t>
  </si>
  <si>
    <t>fails</t>
  </si>
  <si>
    <t>two voters have same as submitter, vote fails</t>
  </si>
  <si>
    <t>acct0, acct1 claim</t>
  </si>
  <si>
    <t>acct1, acct2 claim</t>
  </si>
  <si>
    <t>Test</t>
  </si>
  <si>
    <t>Oracle Rev</t>
  </si>
  <si>
    <t>account1 votes 11 times over 14 possibilities</t>
  </si>
  <si>
    <t>Acct1 voted 11 out of 14 times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</si>
</sst>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0.00%;[Red]\-0.00%"/>
    <numFmt numFmtId="165" formatCode="#,##0;[Red]#,##0"/>
    <numFmt numFmtId="166" formatCode="#,##0.0;[Red]#,##0.0"/>
    <numFmt numFmtId="167" formatCode="#,##0.00;[Red]#,##0.00"/>
    <numFmt numFmtId="168" formatCode="##0.00;[Red]\-##0.00"/>
    <numFmt numFmtId="169" formatCode="0.000"/>
    <numFmt numFmtId="170" formatCode="#,##0.000;[Red]#,##0.000"/>
    <numFmt numFmtId="171" formatCode="#,##0.0000;[Red]#,##0.0000"/>
    <numFmt numFmtId="172" formatCode="#,##0.000000;[Red]#,##0.000000"/>
    <numFmt numFmtId="173" formatCode="0%;[Red]\-0%"/>
    <numFmt numFmtId="174" formatCode="#0.00;[Red]#0.00"/>
    <numFmt numFmtId="175" formatCode="#0.000;[Red]#0.000"/>
    <numFmt numFmtId="176" formatCode="0.00_);[Red]\(0.00\)"/>
    <numFmt numFmtId="177" formatCode="###0;[Red]###0"/>
    <numFmt numFmtId="178" formatCode="#,##0.00000;[Red]#,##0.00000"/>
    <numFmt numFmtId="179" formatCode="0.0%;[Red]\-0.0%"/>
    <numFmt numFmtId="180" formatCode="0.0000"/>
    <numFmt numFmtId="181" formatCode="0E+00;[Red]0E+00"/>
    <numFmt numFmtId="182" formatCode="0.000E+00;[Red]0.000E+00"/>
    <numFmt numFmtId="183" formatCode="###0.0000;[Red]###0.0000"/>
    <numFmt numFmtId="184" formatCode="###0.00000;[Red]###0.00000"/>
    <numFmt numFmtId="185" formatCode="###0.000000;[Red]###0.000000"/>
    <numFmt numFmtId="186" formatCode="[$-409]m/d/yy\ h:mm\ AM/PM;@"/>
    <numFmt numFmtId="187" formatCode="0.00E+00;[Red]0.00E+00"/>
    <numFmt numFmtId="188" formatCode="m/d/yy"/>
    <numFmt numFmtId="189" formatCode="0.0000E+00;[Red]0.0000E+00"/>
    <numFmt numFmtId="190" formatCode="0.0"/>
    <numFmt numFmtId="191" formatCode="#,##0.0000000000000;[Red]#,##0.0000000000000"/>
    <numFmt numFmtId="192" formatCode="0.0E+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Arial"/>
      <family val="2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CE9178"/>
      <name val="Consolas"/>
      <family val="3"/>
    </font>
    <font>
      <sz val="8"/>
      <color rgb="FF959BAD"/>
      <name val="Segoe UI"/>
      <family val="2"/>
    </font>
    <font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0000"/>
      <name val="Open Sans"/>
      <family val="2"/>
    </font>
    <font>
      <b/>
      <sz val="11"/>
      <name val="Calibri"/>
      <family val="2"/>
      <scheme val="minor"/>
    </font>
    <font>
      <sz val="11"/>
      <color rgb="FFB5CEA8"/>
      <name val="Consolas"/>
      <family val="3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11" fillId="8" borderId="0" applyNumberFormat="0" applyBorder="0" applyAlignment="0" applyProtection="0"/>
  </cellStyleXfs>
  <cellXfs count="32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167" fontId="1" fillId="0" borderId="0" xfId="0" applyNumberFormat="1" applyFont="1"/>
    <xf numFmtId="165" fontId="1" fillId="0" borderId="0" xfId="0" applyNumberFormat="1" applyFont="1"/>
    <xf numFmtId="0" fontId="3" fillId="0" borderId="0" xfId="0" applyFont="1"/>
    <xf numFmtId="168" fontId="1" fillId="0" borderId="0" xfId="0" applyNumberFormat="1" applyFont="1"/>
    <xf numFmtId="168" fontId="1" fillId="0" borderId="0" xfId="0" applyNumberFormat="1" applyFont="1" applyAlignment="1">
      <alignment horizontal="right"/>
    </xf>
    <xf numFmtId="166" fontId="1" fillId="0" borderId="0" xfId="0" applyNumberFormat="1" applyFont="1"/>
    <xf numFmtId="164" fontId="1" fillId="0" borderId="0" xfId="0" applyNumberFormat="1" applyFont="1" applyAlignment="1">
      <alignment horizontal="right"/>
    </xf>
    <xf numFmtId="2" fontId="1" fillId="0" borderId="0" xfId="0" applyNumberFormat="1" applyFont="1" applyAlignment="1">
      <alignment horizontal="right"/>
    </xf>
    <xf numFmtId="169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right"/>
    </xf>
    <xf numFmtId="167" fontId="0" fillId="0" borderId="0" xfId="0" applyNumberFormat="1"/>
    <xf numFmtId="168" fontId="0" fillId="0" borderId="0" xfId="0" applyNumberFormat="1"/>
    <xf numFmtId="171" fontId="1" fillId="0" borderId="0" xfId="0" applyNumberFormat="1" applyFont="1"/>
    <xf numFmtId="171" fontId="0" fillId="0" borderId="0" xfId="0" applyNumberFormat="1"/>
    <xf numFmtId="173" fontId="1" fillId="0" borderId="0" xfId="0" applyNumberFormat="1" applyFont="1"/>
    <xf numFmtId="165" fontId="0" fillId="0" borderId="0" xfId="0" applyNumberFormat="1"/>
    <xf numFmtId="174" fontId="1" fillId="0" borderId="0" xfId="0" applyNumberFormat="1" applyFont="1"/>
    <xf numFmtId="175" fontId="1" fillId="0" borderId="0" xfId="0" applyNumberFormat="1" applyFont="1"/>
    <xf numFmtId="0" fontId="0" fillId="0" borderId="1" xfId="0" applyBorder="1"/>
    <xf numFmtId="0" fontId="0" fillId="0" borderId="2" xfId="0" applyBorder="1"/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0" fillId="0" borderId="3" xfId="0" applyBorder="1"/>
    <xf numFmtId="0" fontId="0" fillId="0" borderId="4" xfId="0" applyBorder="1"/>
    <xf numFmtId="0" fontId="5" fillId="3" borderId="4" xfId="3" applyBorder="1"/>
    <xf numFmtId="0" fontId="5" fillId="3" borderId="3" xfId="3" applyBorder="1"/>
    <xf numFmtId="0" fontId="0" fillId="0" borderId="5" xfId="0" applyBorder="1"/>
    <xf numFmtId="177" fontId="1" fillId="0" borderId="0" xfId="0" applyNumberFormat="1" applyFont="1"/>
    <xf numFmtId="177" fontId="1" fillId="0" borderId="0" xfId="0" applyNumberFormat="1" applyFont="1" applyAlignment="1">
      <alignment horizontal="right"/>
    </xf>
    <xf numFmtId="176" fontId="0" fillId="0" borderId="0" xfId="0" applyNumberFormat="1"/>
    <xf numFmtId="165" fontId="1" fillId="0" borderId="0" xfId="0" applyNumberFormat="1" applyFont="1" applyAlignment="1">
      <alignment horizontal="right"/>
    </xf>
    <xf numFmtId="170" fontId="1" fillId="0" borderId="0" xfId="0" applyNumberFormat="1" applyFont="1"/>
    <xf numFmtId="170" fontId="0" fillId="0" borderId="0" xfId="0" applyNumberFormat="1"/>
    <xf numFmtId="0" fontId="0" fillId="5" borderId="0" xfId="0" applyFill="1"/>
    <xf numFmtId="0" fontId="0" fillId="6" borderId="0" xfId="0" applyFill="1"/>
    <xf numFmtId="170" fontId="1" fillId="0" borderId="0" xfId="0" applyNumberFormat="1" applyFont="1" applyAlignment="1">
      <alignment horizontal="right"/>
    </xf>
    <xf numFmtId="178" fontId="0" fillId="0" borderId="0" xfId="0" applyNumberFormat="1"/>
    <xf numFmtId="165" fontId="1" fillId="0" borderId="7" xfId="0" applyNumberFormat="1" applyFont="1" applyBorder="1"/>
    <xf numFmtId="165" fontId="1" fillId="0" borderId="2" xfId="0" applyNumberFormat="1" applyFont="1" applyBorder="1"/>
    <xf numFmtId="165" fontId="1" fillId="0" borderId="4" xfId="0" applyNumberFormat="1" applyFont="1" applyBorder="1"/>
    <xf numFmtId="165" fontId="1" fillId="0" borderId="8" xfId="0" applyNumberFormat="1" applyFont="1" applyBorder="1"/>
    <xf numFmtId="178" fontId="1" fillId="0" borderId="0" xfId="0" applyNumberFormat="1" applyFont="1"/>
    <xf numFmtId="11" fontId="0" fillId="0" borderId="0" xfId="0" applyNumberFormat="1"/>
    <xf numFmtId="170" fontId="1" fillId="7" borderId="0" xfId="0" applyNumberFormat="1" applyFont="1" applyFill="1"/>
    <xf numFmtId="179" fontId="1" fillId="0" borderId="0" xfId="0" applyNumberFormat="1" applyFont="1"/>
    <xf numFmtId="0" fontId="8" fillId="0" borderId="0" xfId="0" applyFont="1" applyAlignment="1">
      <alignment vertical="center"/>
    </xf>
    <xf numFmtId="0" fontId="9" fillId="0" borderId="0" xfId="0" applyFont="1"/>
    <xf numFmtId="0" fontId="0" fillId="7" borderId="0" xfId="0" applyFill="1"/>
    <xf numFmtId="2" fontId="0" fillId="0" borderId="0" xfId="0" applyNumberFormat="1"/>
    <xf numFmtId="181" fontId="1" fillId="0" borderId="0" xfId="0" applyNumberFormat="1" applyFont="1"/>
    <xf numFmtId="181" fontId="0" fillId="0" borderId="0" xfId="0" applyNumberFormat="1"/>
    <xf numFmtId="182" fontId="1" fillId="0" borderId="0" xfId="0" applyNumberFormat="1" applyFont="1"/>
    <xf numFmtId="0" fontId="0" fillId="0" borderId="0" xfId="0" quotePrefix="1"/>
    <xf numFmtId="172" fontId="0" fillId="0" borderId="0" xfId="0" applyNumberFormat="1"/>
    <xf numFmtId="183" fontId="1" fillId="0" borderId="0" xfId="0" applyNumberFormat="1" applyFont="1"/>
    <xf numFmtId="184" fontId="1" fillId="0" borderId="0" xfId="0" applyNumberFormat="1" applyFont="1"/>
    <xf numFmtId="185" fontId="1" fillId="0" borderId="0" xfId="0" applyNumberFormat="1" applyFont="1"/>
    <xf numFmtId="169" fontId="5" fillId="3" borderId="0" xfId="3" applyNumberFormat="1"/>
    <xf numFmtId="0" fontId="8" fillId="0" borderId="5" xfId="0" applyFont="1" applyBorder="1" applyAlignment="1">
      <alignment vertical="center"/>
    </xf>
    <xf numFmtId="0" fontId="0" fillId="0" borderId="12" xfId="0" applyBorder="1"/>
    <xf numFmtId="165" fontId="1" fillId="0" borderId="13" xfId="0" applyNumberFormat="1" applyFont="1" applyBorder="1"/>
    <xf numFmtId="182" fontId="1" fillId="0" borderId="8" xfId="0" applyNumberFormat="1" applyFont="1" applyBorder="1"/>
    <xf numFmtId="11" fontId="1" fillId="0" borderId="0" xfId="0" applyNumberFormat="1" applyFont="1"/>
    <xf numFmtId="165" fontId="4" fillId="2" borderId="8" xfId="2" applyNumberFormat="1" applyBorder="1"/>
    <xf numFmtId="182" fontId="4" fillId="2" borderId="6" xfId="2" applyNumberFormat="1" applyBorder="1"/>
    <xf numFmtId="167" fontId="4" fillId="2" borderId="8" xfId="2" applyNumberFormat="1" applyBorder="1"/>
    <xf numFmtId="167" fontId="4" fillId="2" borderId="6" xfId="2" applyNumberFormat="1" applyBorder="1"/>
    <xf numFmtId="182" fontId="4" fillId="2" borderId="2" xfId="2" applyNumberFormat="1" applyBorder="1"/>
    <xf numFmtId="167" fontId="4" fillId="2" borderId="7" xfId="2" applyNumberFormat="1" applyBorder="1"/>
    <xf numFmtId="167" fontId="4" fillId="2" borderId="2" xfId="2" applyNumberFormat="1" applyBorder="1"/>
    <xf numFmtId="14" fontId="0" fillId="0" borderId="0" xfId="0" applyNumberFormat="1"/>
    <xf numFmtId="186" fontId="0" fillId="0" borderId="0" xfId="0" applyNumberFormat="1" applyAlignment="1">
      <alignment horizontal="right"/>
    </xf>
    <xf numFmtId="0" fontId="12" fillId="0" borderId="0" xfId="0" applyFont="1"/>
    <xf numFmtId="186" fontId="1" fillId="0" borderId="0" xfId="0" applyNumberFormat="1" applyFont="1" applyAlignment="1">
      <alignment horizontal="right"/>
    </xf>
    <xf numFmtId="167" fontId="1" fillId="0" borderId="13" xfId="0" applyNumberFormat="1" applyFont="1" applyBorder="1"/>
    <xf numFmtId="187" fontId="1" fillId="0" borderId="8" xfId="0" applyNumberFormat="1" applyFont="1" applyBorder="1"/>
    <xf numFmtId="170" fontId="1" fillId="7" borderId="14" xfId="0" applyNumberFormat="1" applyFont="1" applyFill="1" applyBorder="1"/>
    <xf numFmtId="0" fontId="4" fillId="2" borderId="0" xfId="2"/>
    <xf numFmtId="0" fontId="4" fillId="2" borderId="1" xfId="2" applyBorder="1" applyAlignment="1">
      <alignment horizontal="right"/>
    </xf>
    <xf numFmtId="165" fontId="4" fillId="2" borderId="7" xfId="2" applyNumberFormat="1" applyBorder="1"/>
    <xf numFmtId="0" fontId="4" fillId="2" borderId="7" xfId="2" applyBorder="1"/>
    <xf numFmtId="0" fontId="4" fillId="2" borderId="2" xfId="2" applyBorder="1"/>
    <xf numFmtId="0" fontId="4" fillId="2" borderId="0" xfId="2" applyAlignment="1">
      <alignment horizontal="right"/>
    </xf>
    <xf numFmtId="0" fontId="4" fillId="2" borderId="0" xfId="2" applyNumberFormat="1" applyAlignment="1">
      <alignment horizontal="right"/>
    </xf>
    <xf numFmtId="170" fontId="4" fillId="2" borderId="0" xfId="2" applyNumberFormat="1"/>
    <xf numFmtId="0" fontId="4" fillId="2" borderId="5" xfId="2" applyBorder="1" applyAlignment="1">
      <alignment horizontal="right"/>
    </xf>
    <xf numFmtId="173" fontId="4" fillId="2" borderId="0" xfId="2" applyNumberFormat="1"/>
    <xf numFmtId="165" fontId="4" fillId="2" borderId="0" xfId="2" applyNumberFormat="1"/>
    <xf numFmtId="171" fontId="4" fillId="2" borderId="0" xfId="2" applyNumberFormat="1"/>
    <xf numFmtId="166" fontId="4" fillId="2" borderId="0" xfId="2" applyNumberFormat="1"/>
    <xf numFmtId="182" fontId="4" fillId="2" borderId="0" xfId="2" applyNumberFormat="1"/>
    <xf numFmtId="0" fontId="5" fillId="3" borderId="0" xfId="3"/>
    <xf numFmtId="0" fontId="5" fillId="3" borderId="0" xfId="3" applyAlignment="1">
      <alignment horizontal="right"/>
    </xf>
    <xf numFmtId="0" fontId="5" fillId="3" borderId="0" xfId="3" applyNumberFormat="1" applyAlignment="1">
      <alignment horizontal="right"/>
    </xf>
    <xf numFmtId="0" fontId="5" fillId="3" borderId="1" xfId="3" applyBorder="1" applyAlignment="1">
      <alignment horizontal="right"/>
    </xf>
    <xf numFmtId="165" fontId="5" fillId="3" borderId="7" xfId="3" applyNumberFormat="1" applyBorder="1"/>
    <xf numFmtId="182" fontId="5" fillId="3" borderId="2" xfId="3" applyNumberFormat="1" applyBorder="1"/>
    <xf numFmtId="0" fontId="5" fillId="3" borderId="7" xfId="3" applyBorder="1"/>
    <xf numFmtId="0" fontId="5" fillId="3" borderId="2" xfId="3" applyBorder="1"/>
    <xf numFmtId="170" fontId="5" fillId="3" borderId="0" xfId="3" applyNumberFormat="1"/>
    <xf numFmtId="0" fontId="5" fillId="3" borderId="5" xfId="3" applyBorder="1" applyAlignment="1">
      <alignment horizontal="right"/>
    </xf>
    <xf numFmtId="165" fontId="5" fillId="3" borderId="8" xfId="3" applyNumberFormat="1" applyBorder="1"/>
    <xf numFmtId="182" fontId="5" fillId="3" borderId="6" xfId="3" applyNumberFormat="1" applyBorder="1"/>
    <xf numFmtId="167" fontId="5" fillId="3" borderId="8" xfId="3" applyNumberFormat="1" applyBorder="1"/>
    <xf numFmtId="167" fontId="5" fillId="3" borderId="6" xfId="3" applyNumberFormat="1" applyBorder="1"/>
    <xf numFmtId="173" fontId="5" fillId="3" borderId="0" xfId="3" applyNumberFormat="1"/>
    <xf numFmtId="165" fontId="5" fillId="3" borderId="0" xfId="3" applyNumberFormat="1"/>
    <xf numFmtId="171" fontId="5" fillId="3" borderId="0" xfId="3" applyNumberFormat="1"/>
    <xf numFmtId="166" fontId="5" fillId="3" borderId="0" xfId="3" applyNumberFormat="1"/>
    <xf numFmtId="167" fontId="5" fillId="3" borderId="7" xfId="3" applyNumberFormat="1" applyBorder="1"/>
    <xf numFmtId="167" fontId="5" fillId="3" borderId="2" xfId="3" applyNumberFormat="1" applyBorder="1"/>
    <xf numFmtId="167" fontId="5" fillId="3" borderId="0" xfId="3" applyNumberFormat="1"/>
    <xf numFmtId="182" fontId="5" fillId="3" borderId="0" xfId="3" applyNumberFormat="1"/>
    <xf numFmtId="0" fontId="0" fillId="9" borderId="0" xfId="0" applyFill="1"/>
    <xf numFmtId="165" fontId="1" fillId="9" borderId="0" xfId="0" applyNumberFormat="1" applyFont="1" applyFill="1"/>
    <xf numFmtId="167" fontId="1" fillId="9" borderId="0" xfId="0" applyNumberFormat="1" applyFont="1" applyFill="1"/>
    <xf numFmtId="0" fontId="1" fillId="9" borderId="0" xfId="0" applyFont="1" applyFill="1" applyAlignment="1">
      <alignment horizontal="right"/>
    </xf>
    <xf numFmtId="177" fontId="1" fillId="9" borderId="0" xfId="0" applyNumberFormat="1" applyFont="1" applyFill="1"/>
    <xf numFmtId="170" fontId="1" fillId="9" borderId="0" xfId="0" applyNumberFormat="1" applyFont="1" applyFill="1"/>
    <xf numFmtId="175" fontId="1" fillId="9" borderId="0" xfId="0" applyNumberFormat="1" applyFont="1" applyFill="1"/>
    <xf numFmtId="0" fontId="1" fillId="9" borderId="1" xfId="0" applyFont="1" applyFill="1" applyBorder="1" applyAlignment="1">
      <alignment horizontal="right"/>
    </xf>
    <xf numFmtId="165" fontId="7" fillId="9" borderId="7" xfId="3" applyNumberFormat="1" applyFont="1" applyFill="1" applyBorder="1"/>
    <xf numFmtId="165" fontId="1" fillId="9" borderId="7" xfId="0" applyNumberFormat="1" applyFont="1" applyFill="1" applyBorder="1"/>
    <xf numFmtId="182" fontId="1" fillId="9" borderId="2" xfId="0" applyNumberFormat="1" applyFont="1" applyFill="1" applyBorder="1"/>
    <xf numFmtId="0" fontId="0" fillId="9" borderId="7" xfId="0" applyFill="1" applyBorder="1"/>
    <xf numFmtId="0" fontId="0" fillId="9" borderId="2" xfId="0" applyFill="1" applyBorder="1"/>
    <xf numFmtId="0" fontId="1" fillId="9" borderId="5" xfId="0" applyFont="1" applyFill="1" applyBorder="1" applyAlignment="1">
      <alignment horizontal="right"/>
    </xf>
    <xf numFmtId="165" fontId="7" fillId="9" borderId="8" xfId="3" applyNumberFormat="1" applyFont="1" applyFill="1" applyBorder="1"/>
    <xf numFmtId="165" fontId="1" fillId="9" borderId="8" xfId="0" applyNumberFormat="1" applyFont="1" applyFill="1" applyBorder="1"/>
    <xf numFmtId="173" fontId="1" fillId="9" borderId="0" xfId="0" applyNumberFormat="1" applyFont="1" applyFill="1"/>
    <xf numFmtId="173" fontId="0" fillId="9" borderId="0" xfId="0" applyNumberFormat="1" applyFill="1"/>
    <xf numFmtId="166" fontId="1" fillId="9" borderId="0" xfId="0" applyNumberFormat="1" applyFont="1" applyFill="1"/>
    <xf numFmtId="171" fontId="1" fillId="9" borderId="0" xfId="0" applyNumberFormat="1" applyFont="1" applyFill="1"/>
    <xf numFmtId="182" fontId="1" fillId="9" borderId="0" xfId="0" applyNumberFormat="1" applyFont="1" applyFill="1"/>
    <xf numFmtId="0" fontId="1" fillId="10" borderId="0" xfId="0" applyFont="1" applyFill="1"/>
    <xf numFmtId="0" fontId="0" fillId="10" borderId="0" xfId="0" applyFill="1"/>
    <xf numFmtId="0" fontId="1" fillId="10" borderId="0" xfId="0" applyFont="1" applyFill="1" applyAlignment="1">
      <alignment horizontal="right"/>
    </xf>
    <xf numFmtId="175" fontId="1" fillId="10" borderId="0" xfId="0" applyNumberFormat="1" applyFont="1" applyFill="1"/>
    <xf numFmtId="182" fontId="1" fillId="10" borderId="0" xfId="0" applyNumberFormat="1" applyFont="1" applyFill="1"/>
    <xf numFmtId="0" fontId="1" fillId="10" borderId="1" xfId="0" applyFont="1" applyFill="1" applyBorder="1" applyAlignment="1">
      <alignment horizontal="right"/>
    </xf>
    <xf numFmtId="165" fontId="1" fillId="10" borderId="7" xfId="0" applyNumberFormat="1" applyFont="1" applyFill="1" applyBorder="1"/>
    <xf numFmtId="182" fontId="1" fillId="10" borderId="2" xfId="0" applyNumberFormat="1" applyFont="1" applyFill="1" applyBorder="1"/>
    <xf numFmtId="0" fontId="0" fillId="10" borderId="1" xfId="0" applyFill="1" applyBorder="1"/>
    <xf numFmtId="0" fontId="0" fillId="10" borderId="7" xfId="0" applyFill="1" applyBorder="1"/>
    <xf numFmtId="0" fontId="0" fillId="10" borderId="2" xfId="0" applyFill="1" applyBorder="1"/>
    <xf numFmtId="170" fontId="1" fillId="10" borderId="0" xfId="0" applyNumberFormat="1" applyFont="1" applyFill="1"/>
    <xf numFmtId="0" fontId="1" fillId="10" borderId="5" xfId="0" applyFont="1" applyFill="1" applyBorder="1" applyAlignment="1">
      <alignment horizontal="right"/>
    </xf>
    <xf numFmtId="165" fontId="1" fillId="10" borderId="8" xfId="0" applyNumberFormat="1" applyFont="1" applyFill="1" applyBorder="1"/>
    <xf numFmtId="182" fontId="1" fillId="10" borderId="6" xfId="0" applyNumberFormat="1" applyFont="1" applyFill="1" applyBorder="1"/>
    <xf numFmtId="173" fontId="1" fillId="10" borderId="0" xfId="0" applyNumberFormat="1" applyFont="1" applyFill="1"/>
    <xf numFmtId="173" fontId="0" fillId="10" borderId="0" xfId="0" applyNumberFormat="1" applyFill="1"/>
    <xf numFmtId="166" fontId="1" fillId="10" borderId="0" xfId="0" applyNumberFormat="1" applyFont="1" applyFill="1"/>
    <xf numFmtId="165" fontId="1" fillId="10" borderId="0" xfId="0" applyNumberFormat="1" applyFont="1" applyFill="1"/>
    <xf numFmtId="167" fontId="1" fillId="10" borderId="0" xfId="0" applyNumberFormat="1" applyFont="1" applyFill="1"/>
    <xf numFmtId="167" fontId="0" fillId="10" borderId="0" xfId="0" applyNumberFormat="1" applyFill="1"/>
    <xf numFmtId="0" fontId="0" fillId="11" borderId="0" xfId="0" applyFill="1"/>
    <xf numFmtId="0" fontId="1" fillId="11" borderId="0" xfId="0" applyFont="1" applyFill="1" applyAlignment="1">
      <alignment horizontal="right"/>
    </xf>
    <xf numFmtId="165" fontId="1" fillId="11" borderId="0" xfId="0" applyNumberFormat="1" applyFont="1" applyFill="1"/>
    <xf numFmtId="0" fontId="0" fillId="11" borderId="1" xfId="0" applyFill="1" applyBorder="1"/>
    <xf numFmtId="167" fontId="1" fillId="11" borderId="2" xfId="0" applyNumberFormat="1" applyFont="1" applyFill="1" applyBorder="1"/>
    <xf numFmtId="0" fontId="1" fillId="11" borderId="0" xfId="0" applyFont="1" applyFill="1"/>
    <xf numFmtId="167" fontId="0" fillId="11" borderId="0" xfId="0" applyNumberFormat="1" applyFill="1"/>
    <xf numFmtId="165" fontId="0" fillId="11" borderId="0" xfId="0" applyNumberFormat="1" applyFill="1"/>
    <xf numFmtId="167" fontId="1" fillId="9" borderId="11" xfId="0" applyNumberFormat="1" applyFont="1" applyFill="1" applyBorder="1"/>
    <xf numFmtId="187" fontId="1" fillId="0" borderId="0" xfId="0" applyNumberFormat="1" applyFont="1"/>
    <xf numFmtId="0" fontId="14" fillId="0" borderId="0" xfId="0" applyFont="1" applyAlignment="1">
      <alignment vertical="center"/>
    </xf>
    <xf numFmtId="167" fontId="1" fillId="0" borderId="0" xfId="0" quotePrefix="1" applyNumberFormat="1" applyFont="1"/>
    <xf numFmtId="188" fontId="1" fillId="0" borderId="0" xfId="0" applyNumberFormat="1" applyFont="1"/>
    <xf numFmtId="0" fontId="0" fillId="0" borderId="9" xfId="0" applyBorder="1"/>
    <xf numFmtId="0" fontId="0" fillId="0" borderId="11" xfId="0" applyBorder="1"/>
    <xf numFmtId="0" fontId="0" fillId="0" borderId="10" xfId="0" applyBorder="1"/>
    <xf numFmtId="167" fontId="6" fillId="2" borderId="0" xfId="2" applyNumberFormat="1" applyFont="1"/>
    <xf numFmtId="189" fontId="1" fillId="0" borderId="8" xfId="0" applyNumberFormat="1" applyFont="1" applyBorder="1"/>
    <xf numFmtId="190" fontId="1" fillId="0" borderId="0" xfId="0" applyNumberFormat="1" applyFont="1"/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0" xfId="0" applyBorder="1" applyAlignment="1">
      <alignment horizontal="left"/>
    </xf>
    <xf numFmtId="167" fontId="5" fillId="3" borderId="9" xfId="3" applyNumberFormat="1" applyBorder="1"/>
    <xf numFmtId="167" fontId="5" fillId="3" borderId="11" xfId="3" applyNumberFormat="1" applyBorder="1"/>
    <xf numFmtId="167" fontId="5" fillId="3" borderId="10" xfId="3" applyNumberFormat="1" applyBorder="1"/>
    <xf numFmtId="170" fontId="4" fillId="2" borderId="11" xfId="2" applyNumberFormat="1" applyBorder="1"/>
    <xf numFmtId="167" fontId="1" fillId="9" borderId="9" xfId="0" applyNumberFormat="1" applyFont="1" applyFill="1" applyBorder="1"/>
    <xf numFmtId="167" fontId="1" fillId="9" borderId="10" xfId="0" applyNumberFormat="1" applyFont="1" applyFill="1" applyBorder="1"/>
    <xf numFmtId="170" fontId="4" fillId="2" borderId="10" xfId="2" applyNumberFormat="1" applyBorder="1"/>
    <xf numFmtId="169" fontId="6" fillId="2" borderId="7" xfId="2" applyNumberFormat="1" applyFont="1" applyBorder="1"/>
    <xf numFmtId="169" fontId="6" fillId="2" borderId="8" xfId="2" applyNumberFormat="1" applyFont="1" applyBorder="1"/>
    <xf numFmtId="0" fontId="4" fillId="2" borderId="3" xfId="2" applyBorder="1" applyAlignment="1">
      <alignment horizontal="right"/>
    </xf>
    <xf numFmtId="165" fontId="4" fillId="2" borderId="0" xfId="2" applyNumberFormat="1" applyBorder="1"/>
    <xf numFmtId="0" fontId="1" fillId="9" borderId="3" xfId="0" applyFont="1" applyFill="1" applyBorder="1" applyAlignment="1">
      <alignment horizontal="right"/>
    </xf>
    <xf numFmtId="165" fontId="7" fillId="9" borderId="0" xfId="3" applyNumberFormat="1" applyFont="1" applyFill="1" applyBorder="1"/>
    <xf numFmtId="182" fontId="1" fillId="10" borderId="4" xfId="0" applyNumberFormat="1" applyFont="1" applyFill="1" applyBorder="1"/>
    <xf numFmtId="167" fontId="4" fillId="2" borderId="9" xfId="2" applyNumberFormat="1" applyBorder="1"/>
    <xf numFmtId="165" fontId="4" fillId="12" borderId="7" xfId="2" applyNumberFormat="1" applyFill="1" applyBorder="1"/>
    <xf numFmtId="165" fontId="4" fillId="13" borderId="7" xfId="2" applyNumberFormat="1" applyFill="1" applyBorder="1"/>
    <xf numFmtId="165" fontId="4" fillId="13" borderId="0" xfId="2" applyNumberFormat="1" applyFill="1" applyBorder="1"/>
    <xf numFmtId="165" fontId="4" fillId="13" borderId="8" xfId="2" applyNumberFormat="1" applyFill="1" applyBorder="1"/>
    <xf numFmtId="165" fontId="11" fillId="14" borderId="7" xfId="4" applyNumberFormat="1" applyFill="1" applyBorder="1"/>
    <xf numFmtId="169" fontId="1" fillId="0" borderId="0" xfId="0" applyNumberFormat="1" applyFont="1"/>
    <xf numFmtId="169" fontId="1" fillId="0" borderId="0" xfId="0" applyNumberFormat="1" applyFont="1" applyAlignment="1">
      <alignment horizontal="right"/>
    </xf>
    <xf numFmtId="169" fontId="5" fillId="0" borderId="0" xfId="3" applyNumberFormat="1" applyFill="1"/>
    <xf numFmtId="0" fontId="13" fillId="0" borderId="3" xfId="0" applyFont="1" applyBorder="1" applyAlignment="1">
      <alignment horizontal="right"/>
    </xf>
    <xf numFmtId="0" fontId="13" fillId="0" borderId="4" xfId="0" applyFont="1" applyBorder="1" applyAlignment="1">
      <alignment horizontal="right"/>
    </xf>
    <xf numFmtId="0" fontId="13" fillId="0" borderId="0" xfId="0" applyFont="1" applyAlignment="1">
      <alignment horizontal="right"/>
    </xf>
    <xf numFmtId="0" fontId="10" fillId="0" borderId="0" xfId="0" applyFont="1"/>
    <xf numFmtId="169" fontId="10" fillId="0" borderId="3" xfId="0" applyNumberFormat="1" applyFont="1" applyBorder="1"/>
    <xf numFmtId="169" fontId="10" fillId="0" borderId="4" xfId="0" applyNumberFormat="1" applyFont="1" applyBorder="1"/>
    <xf numFmtId="169" fontId="10" fillId="0" borderId="0" xfId="0" applyNumberFormat="1" applyFont="1"/>
    <xf numFmtId="169" fontId="13" fillId="0" borderId="3" xfId="0" applyNumberFormat="1" applyFont="1" applyBorder="1" applyAlignment="1">
      <alignment horizontal="right"/>
    </xf>
    <xf numFmtId="169" fontId="13" fillId="0" borderId="4" xfId="0" applyNumberFormat="1" applyFont="1" applyBorder="1" applyAlignment="1">
      <alignment horizontal="right"/>
    </xf>
    <xf numFmtId="169" fontId="13" fillId="0" borderId="0" xfId="0" applyNumberFormat="1" applyFont="1" applyAlignment="1">
      <alignment horizontal="right"/>
    </xf>
    <xf numFmtId="169" fontId="10" fillId="0" borderId="0" xfId="3" applyNumberFormat="1" applyFont="1" applyFill="1"/>
    <xf numFmtId="169" fontId="10" fillId="0" borderId="5" xfId="0" applyNumberFormat="1" applyFont="1" applyBorder="1"/>
    <xf numFmtId="169" fontId="10" fillId="0" borderId="6" xfId="0" applyNumberFormat="1" applyFont="1" applyBorder="1"/>
    <xf numFmtId="0" fontId="10" fillId="0" borderId="3" xfId="0" applyFont="1" applyBorder="1"/>
    <xf numFmtId="0" fontId="10" fillId="0" borderId="4" xfId="0" applyFont="1" applyBorder="1"/>
    <xf numFmtId="0" fontId="11" fillId="8" borderId="3" xfId="4" applyBorder="1"/>
    <xf numFmtId="0" fontId="11" fillId="8" borderId="4" xfId="4" applyBorder="1"/>
    <xf numFmtId="0" fontId="11" fillId="8" borderId="5" xfId="4" applyBorder="1"/>
    <xf numFmtId="0" fontId="11" fillId="8" borderId="6" xfId="4" applyBorder="1"/>
    <xf numFmtId="0" fontId="0" fillId="16" borderId="0" xfId="0" applyFill="1"/>
    <xf numFmtId="0" fontId="1" fillId="16" borderId="0" xfId="0" applyFont="1" applyFill="1"/>
    <xf numFmtId="167" fontId="10" fillId="16" borderId="1" xfId="2" applyNumberFormat="1" applyFont="1" applyFill="1" applyBorder="1"/>
    <xf numFmtId="167" fontId="0" fillId="16" borderId="7" xfId="0" applyNumberFormat="1" applyFill="1" applyBorder="1"/>
    <xf numFmtId="169" fontId="0" fillId="16" borderId="2" xfId="0" applyNumberFormat="1" applyFill="1" applyBorder="1"/>
    <xf numFmtId="170" fontId="0" fillId="16" borderId="0" xfId="0" applyNumberFormat="1" applyFill="1"/>
    <xf numFmtId="167" fontId="0" fillId="16" borderId="3" xfId="0" applyNumberFormat="1" applyFill="1" applyBorder="1"/>
    <xf numFmtId="167" fontId="13" fillId="16" borderId="0" xfId="2" applyNumberFormat="1" applyFont="1" applyFill="1" applyBorder="1"/>
    <xf numFmtId="169" fontId="0" fillId="16" borderId="4" xfId="0" applyNumberFormat="1" applyFill="1" applyBorder="1"/>
    <xf numFmtId="165" fontId="0" fillId="16" borderId="0" xfId="0" applyNumberFormat="1" applyFill="1"/>
    <xf numFmtId="0" fontId="0" fillId="16" borderId="1" xfId="0" applyFill="1" applyBorder="1"/>
    <xf numFmtId="0" fontId="0" fillId="16" borderId="7" xfId="0" applyFill="1" applyBorder="1" applyAlignment="1">
      <alignment horizontal="right"/>
    </xf>
    <xf numFmtId="167" fontId="1" fillId="16" borderId="2" xfId="0" applyNumberFormat="1" applyFont="1" applyFill="1" applyBorder="1"/>
    <xf numFmtId="165" fontId="1" fillId="16" borderId="0" xfId="0" applyNumberFormat="1" applyFont="1" applyFill="1"/>
    <xf numFmtId="167" fontId="10" fillId="16" borderId="3" xfId="2" applyNumberFormat="1" applyFont="1" applyFill="1" applyBorder="1"/>
    <xf numFmtId="167" fontId="0" fillId="16" borderId="0" xfId="0" applyNumberFormat="1" applyFill="1"/>
    <xf numFmtId="2" fontId="0" fillId="16" borderId="0" xfId="0" applyNumberFormat="1" applyFill="1"/>
    <xf numFmtId="0" fontId="0" fillId="16" borderId="3" xfId="0" applyFill="1" applyBorder="1"/>
    <xf numFmtId="0" fontId="0" fillId="16" borderId="0" xfId="0" applyFill="1" applyAlignment="1">
      <alignment horizontal="right"/>
    </xf>
    <xf numFmtId="166" fontId="1" fillId="16" borderId="4" xfId="0" applyNumberFormat="1" applyFont="1" applyFill="1" applyBorder="1"/>
    <xf numFmtId="0" fontId="0" fillId="16" borderId="5" xfId="0" applyFill="1" applyBorder="1"/>
    <xf numFmtId="0" fontId="0" fillId="16" borderId="8" xfId="0" applyFill="1" applyBorder="1" applyAlignment="1">
      <alignment horizontal="right"/>
    </xf>
    <xf numFmtId="166" fontId="1" fillId="16" borderId="6" xfId="0" applyNumberFormat="1" applyFont="1" applyFill="1" applyBorder="1"/>
    <xf numFmtId="166" fontId="0" fillId="16" borderId="0" xfId="0" applyNumberFormat="1" applyFill="1"/>
    <xf numFmtId="167" fontId="10" fillId="16" borderId="5" xfId="2" applyNumberFormat="1" applyFont="1" applyFill="1" applyBorder="1"/>
    <xf numFmtId="167" fontId="0" fillId="16" borderId="8" xfId="0" applyNumberFormat="1" applyFill="1" applyBorder="1"/>
    <xf numFmtId="169" fontId="0" fillId="16" borderId="6" xfId="0" applyNumberFormat="1" applyFill="1" applyBorder="1"/>
    <xf numFmtId="0" fontId="0" fillId="17" borderId="1" xfId="0" applyFill="1" applyBorder="1"/>
    <xf numFmtId="0" fontId="3" fillId="17" borderId="7" xfId="0" applyFont="1" applyFill="1" applyBorder="1"/>
    <xf numFmtId="0" fontId="0" fillId="17" borderId="2" xfId="0" applyFill="1" applyBorder="1"/>
    <xf numFmtId="0" fontId="0" fillId="17" borderId="3" xfId="0" applyFill="1" applyBorder="1"/>
    <xf numFmtId="0" fontId="0" fillId="17" borderId="4" xfId="0" applyFill="1" applyBorder="1"/>
    <xf numFmtId="0" fontId="0" fillId="17" borderId="5" xfId="0" applyFill="1" applyBorder="1"/>
    <xf numFmtId="0" fontId="3" fillId="17" borderId="8" xfId="0" applyFont="1" applyFill="1" applyBorder="1"/>
    <xf numFmtId="0" fontId="0" fillId="17" borderId="6" xfId="0" applyFill="1" applyBorder="1"/>
    <xf numFmtId="167" fontId="10" fillId="11" borderId="1" xfId="2" applyNumberFormat="1" applyFont="1" applyFill="1" applyBorder="1"/>
    <xf numFmtId="167" fontId="0" fillId="11" borderId="7" xfId="0" applyNumberFormat="1" applyFill="1" applyBorder="1"/>
    <xf numFmtId="169" fontId="0" fillId="11" borderId="2" xfId="0" applyNumberFormat="1" applyFill="1" applyBorder="1"/>
    <xf numFmtId="167" fontId="0" fillId="11" borderId="3" xfId="0" applyNumberFormat="1" applyFill="1" applyBorder="1"/>
    <xf numFmtId="167" fontId="13" fillId="11" borderId="0" xfId="2" applyNumberFormat="1" applyFont="1" applyFill="1" applyBorder="1"/>
    <xf numFmtId="169" fontId="0" fillId="11" borderId="4" xfId="0" applyNumberFormat="1" applyFill="1" applyBorder="1"/>
    <xf numFmtId="0" fontId="0" fillId="11" borderId="7" xfId="0" applyFill="1" applyBorder="1" applyAlignment="1">
      <alignment horizontal="right"/>
    </xf>
    <xf numFmtId="167" fontId="10" fillId="11" borderId="3" xfId="2" applyNumberFormat="1" applyFont="1" applyFill="1" applyBorder="1"/>
    <xf numFmtId="0" fontId="0" fillId="11" borderId="3" xfId="0" applyFill="1" applyBorder="1"/>
    <xf numFmtId="0" fontId="0" fillId="11" borderId="0" xfId="0" applyFill="1" applyAlignment="1">
      <alignment horizontal="right"/>
    </xf>
    <xf numFmtId="166" fontId="1" fillId="11" borderId="4" xfId="0" applyNumberFormat="1" applyFont="1" applyFill="1" applyBorder="1"/>
    <xf numFmtId="0" fontId="0" fillId="11" borderId="5" xfId="0" applyFill="1" applyBorder="1"/>
    <xf numFmtId="0" fontId="0" fillId="11" borderId="8" xfId="0" applyFill="1" applyBorder="1" applyAlignment="1">
      <alignment horizontal="right"/>
    </xf>
    <xf numFmtId="166" fontId="1" fillId="11" borderId="6" xfId="0" applyNumberFormat="1" applyFont="1" applyFill="1" applyBorder="1"/>
    <xf numFmtId="172" fontId="0" fillId="11" borderId="0" xfId="0" applyNumberFormat="1" applyFill="1"/>
    <xf numFmtId="180" fontId="0" fillId="11" borderId="0" xfId="0" applyNumberFormat="1" applyFill="1"/>
    <xf numFmtId="166" fontId="0" fillId="11" borderId="0" xfId="0" applyNumberFormat="1" applyFill="1"/>
    <xf numFmtId="167" fontId="10" fillId="11" borderId="5" xfId="2" applyNumberFormat="1" applyFont="1" applyFill="1" applyBorder="1"/>
    <xf numFmtId="167" fontId="0" fillId="11" borderId="8" xfId="0" applyNumberFormat="1" applyFill="1" applyBorder="1"/>
    <xf numFmtId="169" fontId="0" fillId="11" borderId="6" xfId="0" applyNumberFormat="1" applyFill="1" applyBorder="1"/>
    <xf numFmtId="0" fontId="4" fillId="2" borderId="3" xfId="2" applyBorder="1"/>
    <xf numFmtId="165" fontId="1" fillId="0" borderId="6" xfId="0" applyNumberFormat="1" applyFont="1" applyBorder="1"/>
    <xf numFmtId="165" fontId="1" fillId="15" borderId="7" xfId="0" applyNumberFormat="1" applyFont="1" applyFill="1" applyBorder="1"/>
    <xf numFmtId="165" fontId="1" fillId="7" borderId="2" xfId="0" applyNumberFormat="1" applyFont="1" applyFill="1" applyBorder="1"/>
    <xf numFmtId="165" fontId="1" fillId="7" borderId="4" xfId="0" applyNumberFormat="1" applyFont="1" applyFill="1" applyBorder="1"/>
    <xf numFmtId="165" fontId="1" fillId="7" borderId="6" xfId="0" applyNumberFormat="1" applyFont="1" applyFill="1" applyBorder="1"/>
    <xf numFmtId="165" fontId="1" fillId="9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167" fontId="1" fillId="0" borderId="0" xfId="0" applyNumberFormat="1" applyFont="1" applyAlignment="1">
      <alignment horizontal="right"/>
    </xf>
    <xf numFmtId="171" fontId="1" fillId="10" borderId="5" xfId="0" applyNumberFormat="1" applyFont="1" applyFill="1" applyBorder="1"/>
    <xf numFmtId="191" fontId="0" fillId="10" borderId="0" xfId="0" applyNumberFormat="1" applyFill="1"/>
    <xf numFmtId="191" fontId="0" fillId="0" borderId="0" xfId="0" applyNumberFormat="1"/>
    <xf numFmtId="167" fontId="0" fillId="9" borderId="0" xfId="0" applyNumberFormat="1" applyFill="1"/>
    <xf numFmtId="182" fontId="1" fillId="7" borderId="2" xfId="0" applyNumberFormat="1" applyFont="1" applyFill="1" applyBorder="1"/>
    <xf numFmtId="0" fontId="5" fillId="3" borderId="3" xfId="3" applyBorder="1" applyAlignment="1">
      <alignment horizontal="right"/>
    </xf>
    <xf numFmtId="165" fontId="5" fillId="3" borderId="0" xfId="3" applyNumberFormat="1" applyBorder="1"/>
    <xf numFmtId="182" fontId="5" fillId="3" borderId="4" xfId="3" applyNumberFormat="1" applyBorder="1"/>
    <xf numFmtId="170" fontId="5" fillId="3" borderId="8" xfId="3" applyNumberFormat="1" applyBorder="1"/>
    <xf numFmtId="170" fontId="5" fillId="3" borderId="7" xfId="3" applyNumberFormat="1" applyBorder="1"/>
    <xf numFmtId="165" fontId="11" fillId="14" borderId="0" xfId="4" applyNumberFormat="1" applyFill="1" applyBorder="1"/>
    <xf numFmtId="165" fontId="4" fillId="12" borderId="0" xfId="2" applyNumberFormat="1" applyFill="1" applyBorder="1"/>
    <xf numFmtId="182" fontId="4" fillId="2" borderId="4" xfId="2" applyNumberFormat="1" applyBorder="1"/>
    <xf numFmtId="165" fontId="11" fillId="14" borderId="8" xfId="4" applyNumberFormat="1" applyFill="1" applyBorder="1"/>
    <xf numFmtId="165" fontId="4" fillId="12" borderId="8" xfId="2" applyNumberFormat="1" applyFill="1" applyBorder="1"/>
    <xf numFmtId="165" fontId="1" fillId="0" borderId="3" xfId="0" applyNumberFormat="1" applyFont="1" applyBorder="1"/>
    <xf numFmtId="165" fontId="7" fillId="3" borderId="4" xfId="3" applyNumberFormat="1" applyFont="1" applyBorder="1"/>
    <xf numFmtId="165" fontId="1" fillId="4" borderId="0" xfId="0" applyNumberFormat="1" applyFont="1" applyFill="1"/>
    <xf numFmtId="165" fontId="1" fillId="7" borderId="0" xfId="0" applyNumberFormat="1" applyFont="1" applyFill="1"/>
    <xf numFmtId="165" fontId="1" fillId="7" borderId="3" xfId="0" applyNumberFormat="1" applyFont="1" applyFill="1" applyBorder="1"/>
    <xf numFmtId="190" fontId="10" fillId="0" borderId="0" xfId="0" applyNumberFormat="1" applyFont="1"/>
    <xf numFmtId="0" fontId="0" fillId="17" borderId="0" xfId="0" applyFill="1"/>
    <xf numFmtId="0" fontId="3" fillId="17" borderId="0" xfId="0" applyFont="1" applyFill="1"/>
    <xf numFmtId="192" fontId="0" fillId="0" borderId="0" xfId="0" applyNumberFormat="1"/>
    <xf numFmtId="171" fontId="1" fillId="9" borderId="8" xfId="0" applyNumberFormat="1" applyFont="1" applyFill="1" applyBorder="1"/>
    <xf numFmtId="171" fontId="1" fillId="9" borderId="6" xfId="0" applyNumberFormat="1" applyFont="1" applyFill="1" applyBorder="1"/>
    <xf numFmtId="171" fontId="1" fillId="9" borderId="7" xfId="0" applyNumberFormat="1" applyFont="1" applyFill="1" applyBorder="1"/>
    <xf numFmtId="171" fontId="1" fillId="9" borderId="2" xfId="0" applyNumberFormat="1" applyFont="1" applyFill="1" applyBorder="1"/>
    <xf numFmtId="171" fontId="1" fillId="10" borderId="8" xfId="0" applyNumberFormat="1" applyFont="1" applyFill="1" applyBorder="1"/>
    <xf numFmtId="171" fontId="1" fillId="10" borderId="6" xfId="0" applyNumberFormat="1" applyFont="1" applyFill="1" applyBorder="1"/>
    <xf numFmtId="171" fontId="1" fillId="10" borderId="1" xfId="0" applyNumberFormat="1" applyFont="1" applyFill="1" applyBorder="1"/>
    <xf numFmtId="171" fontId="1" fillId="10" borderId="7" xfId="0" applyNumberFormat="1" applyFont="1" applyFill="1" applyBorder="1"/>
    <xf numFmtId="171" fontId="1" fillId="10" borderId="2" xfId="0" applyNumberFormat="1" applyFont="1" applyFill="1" applyBorder="1"/>
    <xf numFmtId="167" fontId="1" fillId="10" borderId="9" xfId="0" applyNumberFormat="1" applyFont="1" applyFill="1" applyBorder="1"/>
    <xf numFmtId="167" fontId="1" fillId="10" borderId="11" xfId="0" applyNumberFormat="1" applyFont="1" applyFill="1" applyBorder="1"/>
    <xf numFmtId="167" fontId="1" fillId="10" borderId="10" xfId="0" applyNumberFormat="1" applyFont="1" applyFill="1" applyBorder="1"/>
  </cellXfs>
  <cellStyles count="5">
    <cellStyle name="Bad" xfId="2" builtinId="27"/>
    <cellStyle name="Good" xfId="3" builtinId="26"/>
    <cellStyle name="Neutral" xfId="4" builtinId="28"/>
    <cellStyle name="Normal" xfId="0" builtinId="0"/>
    <cellStyle name="Normal 2" xfId="1" xr:uid="{A9035D68-A862-4108-AECE-CE414096C58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72701-AD9F-495E-B891-DCD122B56F50}">
  <dimension ref="B1:W52"/>
  <sheetViews>
    <sheetView topLeftCell="C1" zoomScale="75" zoomScaleNormal="75" workbookViewId="0">
      <selection activeCell="S13" sqref="S13"/>
    </sheetView>
  </sheetViews>
  <sheetFormatPr defaultRowHeight="15" x14ac:dyDescent="0.25"/>
  <cols>
    <col min="2" max="2" width="6.7109375" customWidth="1"/>
    <col min="3" max="3" width="25.5703125" customWidth="1"/>
    <col min="4" max="4" width="16.85546875" bestFit="1" customWidth="1"/>
    <col min="5" max="5" width="19" customWidth="1"/>
    <col min="6" max="6" width="9.140625" customWidth="1"/>
    <col min="10" max="10" width="13" customWidth="1"/>
    <col min="12" max="14" width="13.28515625" customWidth="1"/>
    <col min="15" max="15" width="16.7109375" customWidth="1"/>
    <col min="16" max="16" width="15.5703125" customWidth="1"/>
    <col min="17" max="17" width="22.85546875" customWidth="1"/>
    <col min="18" max="18" width="11.140625" customWidth="1"/>
    <col min="19" max="19" width="16.5703125" customWidth="1"/>
    <col min="20" max="21" width="15" customWidth="1"/>
    <col min="22" max="22" width="17.140625" customWidth="1"/>
    <col min="23" max="23" width="14.85546875" customWidth="1"/>
    <col min="24" max="25" width="11.42578125" customWidth="1"/>
    <col min="26" max="31" width="12" customWidth="1"/>
    <col min="32" max="32" width="12" bestFit="1" customWidth="1"/>
    <col min="33" max="33" width="12.5703125" bestFit="1" customWidth="1"/>
    <col min="34" max="34" width="11.42578125" customWidth="1"/>
    <col min="40" max="40" width="12" bestFit="1" customWidth="1"/>
    <col min="42" max="42" width="10.5703125" bestFit="1" customWidth="1"/>
    <col min="48" max="48" width="12" bestFit="1" customWidth="1"/>
    <col min="50" max="50" width="10.5703125" bestFit="1" customWidth="1"/>
  </cols>
  <sheetData>
    <row r="1" spans="2:23" x14ac:dyDescent="0.25">
      <c r="C1" s="1" t="s">
        <v>47</v>
      </c>
      <c r="J1" s="23"/>
      <c r="K1" s="24"/>
      <c r="M1" s="23"/>
      <c r="N1" s="24"/>
    </row>
    <row r="2" spans="2:23" x14ac:dyDescent="0.25">
      <c r="J2" s="25" t="s">
        <v>0</v>
      </c>
      <c r="K2" s="26"/>
      <c r="L2" s="2"/>
      <c r="M2" s="25" t="s">
        <v>83</v>
      </c>
      <c r="N2" s="26"/>
      <c r="O2" s="2" t="s">
        <v>90</v>
      </c>
      <c r="P2" s="2"/>
      <c r="Q2" s="2" t="s">
        <v>89</v>
      </c>
      <c r="R2" s="2"/>
      <c r="U2" s="2" t="s">
        <v>39</v>
      </c>
    </row>
    <row r="3" spans="2:23" ht="15.75" thickBot="1" x14ac:dyDescent="0.3">
      <c r="D3" s="2" t="s">
        <v>150</v>
      </c>
      <c r="E3" s="2"/>
      <c r="F3" s="2" t="s">
        <v>149</v>
      </c>
      <c r="G3" s="2" t="s">
        <v>85</v>
      </c>
      <c r="H3" s="2" t="s">
        <v>86</v>
      </c>
      <c r="I3" s="2" t="s">
        <v>33</v>
      </c>
      <c r="J3" s="25" t="s">
        <v>34</v>
      </c>
      <c r="K3" s="26" t="s">
        <v>35</v>
      </c>
      <c r="L3" s="2" t="s">
        <v>67</v>
      </c>
      <c r="M3" s="25" t="s">
        <v>31</v>
      </c>
      <c r="N3" s="26" t="s">
        <v>32</v>
      </c>
      <c r="O3" s="2" t="s">
        <v>29</v>
      </c>
      <c r="P3" s="2" t="s">
        <v>30</v>
      </c>
      <c r="Q3" s="2" t="s">
        <v>31</v>
      </c>
      <c r="R3" s="2" t="s">
        <v>32</v>
      </c>
      <c r="S3" s="2" t="s">
        <v>36</v>
      </c>
      <c r="T3" s="2" t="s">
        <v>37</v>
      </c>
      <c r="U3" s="2" t="s">
        <v>38</v>
      </c>
      <c r="V3" s="2" t="s">
        <v>82</v>
      </c>
      <c r="W3" s="2" t="s">
        <v>81</v>
      </c>
    </row>
    <row r="4" spans="2:23" x14ac:dyDescent="0.25">
      <c r="B4">
        <v>0</v>
      </c>
      <c r="C4" t="s">
        <v>1</v>
      </c>
      <c r="D4" s="251">
        <v>9990</v>
      </c>
      <c r="E4" s="252">
        <v>1621266400</v>
      </c>
      <c r="F4" s="253">
        <f>INT(100000000/(D4+450))-450</f>
        <v>9128</v>
      </c>
      <c r="G4">
        <v>2</v>
      </c>
      <c r="H4">
        <v>1</v>
      </c>
      <c r="I4">
        <v>0</v>
      </c>
      <c r="J4" s="279">
        <v>1</v>
      </c>
      <c r="K4" s="29">
        <v>0</v>
      </c>
      <c r="L4" s="308">
        <f ca="1">OFFSET(IF(J4&gt;0,D$4,F$4),I4,0)/10</f>
        <v>999</v>
      </c>
      <c r="M4" s="209">
        <f ca="1">($L4*J4/1000)</f>
        <v>0.999</v>
      </c>
      <c r="N4" s="210">
        <f ca="1">($L4*K4/1000)</f>
        <v>0</v>
      </c>
      <c r="O4" s="211">
        <f>J4</f>
        <v>1</v>
      </c>
      <c r="P4" s="211">
        <f>K4</f>
        <v>0</v>
      </c>
      <c r="Q4" s="11">
        <f ca="1">(J4*$L4/1000)</f>
        <v>0.999</v>
      </c>
      <c r="R4" s="11">
        <f ca="1">(K4*$L4/1000)</f>
        <v>0</v>
      </c>
      <c r="S4" s="202">
        <f ca="1">Q4-P4</f>
        <v>0.999</v>
      </c>
      <c r="T4" s="202">
        <f ca="1">R4-O4</f>
        <v>-1</v>
      </c>
      <c r="U4" s="202">
        <f ca="1">MAX(0,S4:T4)</f>
        <v>0.999</v>
      </c>
      <c r="V4" s="202">
        <f ca="1">U4</f>
        <v>0.999</v>
      </c>
      <c r="W4" s="202">
        <f>SUM(J4:K4)</f>
        <v>1</v>
      </c>
    </row>
    <row r="5" spans="2:23" x14ac:dyDescent="0.25">
      <c r="B5">
        <v>1</v>
      </c>
      <c r="C5" t="s">
        <v>17</v>
      </c>
      <c r="D5" s="254">
        <v>5000</v>
      </c>
      <c r="E5" s="310">
        <v>1621266400</v>
      </c>
      <c r="F5" s="255">
        <f t="shared" ref="F5:F35" si="0">INT(100000000/(D5+450))-450</f>
        <v>17898</v>
      </c>
      <c r="G5">
        <v>3</v>
      </c>
      <c r="H5">
        <v>1</v>
      </c>
      <c r="I5">
        <f>I4</f>
        <v>0</v>
      </c>
      <c r="J5" s="279">
        <v>0</v>
      </c>
      <c r="K5" s="29">
        <v>2</v>
      </c>
      <c r="L5" s="308">
        <f t="shared" ref="L5:L6" ca="1" si="1">OFFSET(IF(J5&gt;0,D$4,F$4),I5,0)/10</f>
        <v>912.8</v>
      </c>
      <c r="M5" s="209">
        <f t="shared" ref="M5:N6" ca="1" si="2">($L5*J5/1000)</f>
        <v>0</v>
      </c>
      <c r="N5" s="210">
        <f ca="1">($L5*K5/1000)</f>
        <v>1.8255999999999999</v>
      </c>
      <c r="O5" s="211">
        <f>J5+O4</f>
        <v>1</v>
      </c>
      <c r="P5" s="211">
        <f>K5+P4</f>
        <v>2</v>
      </c>
      <c r="Q5" s="11">
        <f ca="1">(J5*L5/1000)+Q4</f>
        <v>0.999</v>
      </c>
      <c r="R5" s="11">
        <f ca="1">(K5*L5/1000)+R4</f>
        <v>1.8255999999999999</v>
      </c>
      <c r="S5" s="202">
        <f ca="1">Q5-P5</f>
        <v>-1.0009999999999999</v>
      </c>
      <c r="T5" s="202">
        <f ca="1">R5-O5</f>
        <v>0.82559999999999989</v>
      </c>
      <c r="U5" s="202">
        <f t="shared" ref="U5" ca="1" si="3">MAX(0,S5:T5)</f>
        <v>0.82559999999999989</v>
      </c>
      <c r="V5" s="202">
        <f ca="1">V4+(U5-U4)</f>
        <v>0.82559999999999989</v>
      </c>
      <c r="W5" s="202">
        <f>SUM(J5:K5)+W4</f>
        <v>3</v>
      </c>
    </row>
    <row r="6" spans="2:23" x14ac:dyDescent="0.25">
      <c r="B6">
        <v>2</v>
      </c>
      <c r="C6" t="s">
        <v>3</v>
      </c>
      <c r="D6" s="254">
        <v>5000</v>
      </c>
      <c r="E6" s="310">
        <v>1621266400</v>
      </c>
      <c r="F6" s="255">
        <f t="shared" si="0"/>
        <v>17898</v>
      </c>
      <c r="G6">
        <v>2</v>
      </c>
      <c r="H6">
        <v>1</v>
      </c>
      <c r="I6">
        <v>0</v>
      </c>
      <c r="J6" s="279">
        <v>1</v>
      </c>
      <c r="K6" s="29">
        <v>0</v>
      </c>
      <c r="L6" s="308">
        <f t="shared" ca="1" si="1"/>
        <v>999</v>
      </c>
      <c r="M6" s="209">
        <f t="shared" ca="1" si="2"/>
        <v>0.999</v>
      </c>
      <c r="N6" s="210">
        <f t="shared" ca="1" si="2"/>
        <v>0</v>
      </c>
      <c r="O6" s="211">
        <f>J6+O5</f>
        <v>2</v>
      </c>
      <c r="P6" s="211">
        <f>K6+P5</f>
        <v>2</v>
      </c>
      <c r="Q6" s="11">
        <f ca="1">(J6*L6/1000)+Q5</f>
        <v>1.998</v>
      </c>
      <c r="R6" s="11">
        <f ca="1">(K6*L6/1000)+R5</f>
        <v>1.8255999999999999</v>
      </c>
      <c r="S6" s="202">
        <f ca="1">Q6-P6</f>
        <v>-2.0000000000000018E-3</v>
      </c>
      <c r="T6" s="202">
        <f ca="1">R6-O6</f>
        <v>-0.17440000000000011</v>
      </c>
      <c r="U6" s="202">
        <f ca="1">MAX(0,S6:T6)</f>
        <v>0</v>
      </c>
      <c r="V6" s="202">
        <f ca="1">V5+(U6-U5)</f>
        <v>0</v>
      </c>
      <c r="W6" s="202">
        <f>SUM(J6:K6)+W5</f>
        <v>4</v>
      </c>
    </row>
    <row r="7" spans="2:23" ht="15.75" thickBot="1" x14ac:dyDescent="0.3">
      <c r="B7">
        <v>3</v>
      </c>
      <c r="C7" t="s">
        <v>4</v>
      </c>
      <c r="D7" s="256">
        <v>9190</v>
      </c>
      <c r="E7" s="257">
        <v>1621266400</v>
      </c>
      <c r="F7" s="258">
        <f t="shared" si="0"/>
        <v>9923</v>
      </c>
      <c r="J7" s="218"/>
      <c r="K7" s="219"/>
      <c r="L7" s="208"/>
      <c r="M7" s="209"/>
      <c r="N7" s="210"/>
      <c r="O7" s="211"/>
      <c r="P7" s="211"/>
      <c r="Q7" s="11"/>
      <c r="R7" s="11"/>
      <c r="S7" s="202"/>
      <c r="T7" s="202"/>
      <c r="U7" s="202"/>
      <c r="V7" s="202"/>
      <c r="W7" s="202"/>
    </row>
    <row r="8" spans="2:23" x14ac:dyDescent="0.25">
      <c r="B8">
        <v>4</v>
      </c>
      <c r="C8" t="s">
        <v>5</v>
      </c>
      <c r="D8">
        <v>8800</v>
      </c>
      <c r="E8" s="5">
        <v>1621266400</v>
      </c>
      <c r="F8" s="309">
        <f t="shared" si="0"/>
        <v>10360</v>
      </c>
      <c r="J8" s="218"/>
      <c r="K8" s="219"/>
      <c r="L8" s="208"/>
      <c r="M8" s="209"/>
      <c r="N8" s="210"/>
      <c r="O8" s="211"/>
      <c r="P8" s="211"/>
      <c r="Q8" s="11"/>
      <c r="R8" s="11"/>
      <c r="S8" s="202"/>
      <c r="T8" s="202"/>
      <c r="U8" s="202"/>
      <c r="V8" s="202"/>
      <c r="W8" s="202"/>
    </row>
    <row r="9" spans="2:23" x14ac:dyDescent="0.25">
      <c r="B9">
        <v>5</v>
      </c>
      <c r="C9" t="s">
        <v>6</v>
      </c>
      <c r="D9">
        <v>8800</v>
      </c>
      <c r="E9" s="5">
        <v>1621266400</v>
      </c>
      <c r="F9" s="309">
        <f t="shared" si="0"/>
        <v>10360</v>
      </c>
      <c r="J9" s="218"/>
      <c r="K9" s="219"/>
      <c r="L9" s="208"/>
      <c r="M9" s="209"/>
      <c r="N9" s="210"/>
      <c r="O9" s="211"/>
      <c r="P9" s="211"/>
      <c r="Q9" s="11"/>
      <c r="R9" s="11"/>
      <c r="S9" s="202"/>
      <c r="T9" s="202"/>
      <c r="U9" s="202"/>
      <c r="V9" s="202"/>
      <c r="W9" s="202"/>
    </row>
    <row r="10" spans="2:23" x14ac:dyDescent="0.25">
      <c r="B10">
        <v>6</v>
      </c>
      <c r="C10" t="s">
        <v>7</v>
      </c>
      <c r="D10">
        <v>8800</v>
      </c>
      <c r="E10" s="5">
        <v>1621266400</v>
      </c>
      <c r="F10" s="309">
        <f t="shared" si="0"/>
        <v>10360</v>
      </c>
      <c r="I10" s="2"/>
      <c r="J10" s="205"/>
      <c r="K10" s="206"/>
      <c r="L10" s="207"/>
      <c r="M10" s="212"/>
      <c r="N10" s="213"/>
      <c r="O10" s="214"/>
      <c r="P10" s="214"/>
      <c r="Q10" s="203"/>
      <c r="R10" s="203"/>
      <c r="S10" s="203"/>
      <c r="T10" s="203"/>
      <c r="U10" s="203"/>
      <c r="V10" s="203"/>
      <c r="W10" s="203"/>
    </row>
    <row r="11" spans="2:23" x14ac:dyDescent="0.25">
      <c r="B11">
        <v>7</v>
      </c>
      <c r="C11" t="s">
        <v>8</v>
      </c>
      <c r="D11">
        <v>8800</v>
      </c>
      <c r="E11" s="5">
        <v>1621266400</v>
      </c>
      <c r="F11" s="309">
        <f t="shared" si="0"/>
        <v>10360</v>
      </c>
      <c r="J11" s="279"/>
      <c r="K11" s="29"/>
      <c r="L11" s="308"/>
      <c r="M11" s="209"/>
      <c r="N11" s="210"/>
      <c r="O11" s="211"/>
      <c r="P11" s="211"/>
      <c r="Q11" s="11"/>
      <c r="R11" s="11"/>
      <c r="S11" s="50">
        <v>100000000000000</v>
      </c>
      <c r="T11" s="202"/>
      <c r="U11" s="202"/>
      <c r="V11" s="202"/>
      <c r="W11" s="202"/>
    </row>
    <row r="12" spans="2:23" x14ac:dyDescent="0.25">
      <c r="B12">
        <v>8</v>
      </c>
      <c r="C12" t="s">
        <v>9</v>
      </c>
      <c r="D12">
        <v>8800</v>
      </c>
      <c r="E12" s="5">
        <v>1621266400</v>
      </c>
      <c r="F12" s="309">
        <f t="shared" si="0"/>
        <v>10360</v>
      </c>
      <c r="J12" s="279"/>
      <c r="K12" s="29"/>
      <c r="L12" s="308"/>
      <c r="M12" s="209"/>
      <c r="N12" s="210"/>
      <c r="O12" s="211"/>
      <c r="P12" s="211"/>
      <c r="Q12" s="11"/>
      <c r="R12" s="11"/>
      <c r="S12" s="202"/>
      <c r="T12" s="202"/>
      <c r="U12" s="202"/>
      <c r="V12" s="202"/>
      <c r="W12" s="202"/>
    </row>
    <row r="13" spans="2:23" x14ac:dyDescent="0.25">
      <c r="B13">
        <v>9</v>
      </c>
      <c r="C13" t="s">
        <v>10</v>
      </c>
      <c r="D13">
        <v>8800</v>
      </c>
      <c r="E13" s="5">
        <v>1621266400</v>
      </c>
      <c r="F13" s="309">
        <f t="shared" si="0"/>
        <v>10360</v>
      </c>
      <c r="J13" s="279"/>
      <c r="K13" s="29"/>
      <c r="L13" s="308"/>
      <c r="M13" s="209"/>
      <c r="N13" s="210"/>
      <c r="O13" s="211"/>
      <c r="P13" s="211"/>
      <c r="Q13" s="11"/>
      <c r="R13" s="11"/>
      <c r="S13" s="170">
        <v>1E+18</v>
      </c>
      <c r="T13" s="202"/>
      <c r="U13" s="202"/>
      <c r="V13" s="202"/>
      <c r="W13" s="202"/>
    </row>
    <row r="14" spans="2:23" x14ac:dyDescent="0.25">
      <c r="B14">
        <v>10</v>
      </c>
      <c r="C14" t="s">
        <v>11</v>
      </c>
      <c r="D14">
        <v>8800</v>
      </c>
      <c r="E14" s="5">
        <v>1621266400</v>
      </c>
      <c r="F14" s="309">
        <f t="shared" si="0"/>
        <v>10360</v>
      </c>
      <c r="J14" s="218"/>
      <c r="K14" s="219"/>
      <c r="L14" s="208"/>
      <c r="M14" s="209"/>
      <c r="N14" s="210"/>
      <c r="O14" s="211"/>
      <c r="P14" s="211"/>
      <c r="Q14" s="11"/>
      <c r="R14" s="11"/>
      <c r="S14" s="202"/>
      <c r="T14" s="202"/>
      <c r="U14" s="202"/>
      <c r="V14" s="202"/>
      <c r="W14" s="202"/>
    </row>
    <row r="15" spans="2:23" x14ac:dyDescent="0.25">
      <c r="B15">
        <v>11</v>
      </c>
      <c r="C15" t="s">
        <v>12</v>
      </c>
      <c r="D15">
        <v>8800</v>
      </c>
      <c r="E15" s="5">
        <v>1621266400</v>
      </c>
      <c r="F15" s="309">
        <f t="shared" si="0"/>
        <v>10360</v>
      </c>
      <c r="J15" s="218"/>
      <c r="K15" s="219"/>
      <c r="L15" s="208"/>
      <c r="M15" s="209"/>
      <c r="N15" s="210"/>
      <c r="O15" s="211"/>
      <c r="P15" s="215"/>
      <c r="Q15" s="50">
        <v>100000000000000</v>
      </c>
      <c r="R15" s="11"/>
      <c r="S15" s="202"/>
      <c r="T15" s="202"/>
      <c r="U15" s="202"/>
      <c r="V15" s="202"/>
      <c r="W15" s="202"/>
    </row>
    <row r="16" spans="2:23" x14ac:dyDescent="0.25">
      <c r="B16">
        <v>12</v>
      </c>
      <c r="C16" t="s">
        <v>13</v>
      </c>
      <c r="D16">
        <v>8800</v>
      </c>
      <c r="E16" s="5">
        <v>1621266400</v>
      </c>
      <c r="F16" s="309">
        <f t="shared" si="0"/>
        <v>10360</v>
      </c>
      <c r="J16" s="218"/>
      <c r="K16" s="219"/>
      <c r="L16" s="208"/>
      <c r="M16" s="209"/>
      <c r="N16" s="210"/>
      <c r="O16" s="211"/>
      <c r="P16" s="211"/>
      <c r="Q16" s="11"/>
      <c r="R16" s="11"/>
      <c r="S16" s="202"/>
      <c r="T16" s="202"/>
      <c r="U16" s="202"/>
      <c r="V16" s="202"/>
      <c r="W16" s="202"/>
    </row>
    <row r="17" spans="2:23" x14ac:dyDescent="0.25">
      <c r="B17">
        <v>13</v>
      </c>
      <c r="C17" t="s">
        <v>14</v>
      </c>
      <c r="D17">
        <v>8800</v>
      </c>
      <c r="E17" s="5">
        <v>1621266400</v>
      </c>
      <c r="F17" s="309">
        <f t="shared" si="0"/>
        <v>10360</v>
      </c>
      <c r="I17" s="2"/>
      <c r="J17" s="205"/>
      <c r="K17" s="206"/>
      <c r="L17" s="207"/>
      <c r="M17" s="212"/>
      <c r="N17" s="213"/>
      <c r="O17" s="214"/>
      <c r="P17" s="214"/>
      <c r="Q17" s="203"/>
      <c r="R17" s="203"/>
      <c r="S17" s="203"/>
      <c r="T17" s="203"/>
      <c r="U17" s="203"/>
      <c r="V17" s="203"/>
      <c r="W17" s="203"/>
    </row>
    <row r="18" spans="2:23" x14ac:dyDescent="0.25">
      <c r="B18">
        <v>14</v>
      </c>
      <c r="C18" t="s">
        <v>15</v>
      </c>
      <c r="D18">
        <v>8800</v>
      </c>
      <c r="E18" s="5">
        <v>1621266400</v>
      </c>
      <c r="F18" s="309">
        <f t="shared" si="0"/>
        <v>10360</v>
      </c>
      <c r="J18" s="30"/>
      <c r="K18" s="219"/>
      <c r="L18" s="308"/>
      <c r="M18" s="209"/>
      <c r="N18" s="210"/>
      <c r="O18" s="211"/>
      <c r="P18" s="211"/>
      <c r="Q18" s="11"/>
      <c r="R18" s="11"/>
      <c r="S18" s="202"/>
      <c r="T18" s="202"/>
      <c r="U18" s="202"/>
      <c r="V18" s="202"/>
      <c r="W18" s="202"/>
    </row>
    <row r="19" spans="2:23" x14ac:dyDescent="0.25">
      <c r="B19">
        <v>15</v>
      </c>
      <c r="C19" t="s">
        <v>16</v>
      </c>
      <c r="D19">
        <v>8800</v>
      </c>
      <c r="E19" s="5">
        <v>1621266400</v>
      </c>
      <c r="F19" s="309">
        <f t="shared" si="0"/>
        <v>10360</v>
      </c>
      <c r="J19" s="30"/>
      <c r="K19" s="219"/>
      <c r="L19" s="308"/>
      <c r="M19" s="209"/>
      <c r="N19" s="210"/>
      <c r="O19" s="211"/>
      <c r="P19" s="211"/>
      <c r="Q19" s="11"/>
      <c r="R19" s="11"/>
      <c r="S19" s="202"/>
      <c r="T19" s="202"/>
      <c r="U19" s="202"/>
      <c r="V19" s="202"/>
      <c r="W19" s="202"/>
    </row>
    <row r="20" spans="2:23" x14ac:dyDescent="0.25">
      <c r="B20">
        <v>16</v>
      </c>
      <c r="C20" t="s">
        <v>17</v>
      </c>
      <c r="D20">
        <v>8800</v>
      </c>
      <c r="E20" s="5">
        <v>1621266400</v>
      </c>
      <c r="F20" s="309">
        <f t="shared" si="0"/>
        <v>10360</v>
      </c>
      <c r="J20" s="30"/>
      <c r="K20" s="219"/>
      <c r="L20" s="308"/>
      <c r="M20" s="209"/>
      <c r="N20" s="210"/>
      <c r="O20" s="211"/>
      <c r="P20" s="211"/>
      <c r="Q20" s="11"/>
      <c r="R20" s="11"/>
      <c r="S20" s="202"/>
      <c r="T20" s="202"/>
      <c r="U20" s="202"/>
      <c r="V20" s="202"/>
      <c r="W20" s="202"/>
    </row>
    <row r="21" spans="2:23" x14ac:dyDescent="0.25">
      <c r="B21">
        <v>17</v>
      </c>
      <c r="C21" t="s">
        <v>18</v>
      </c>
      <c r="D21">
        <v>8800</v>
      </c>
      <c r="E21" s="5">
        <v>1621266400</v>
      </c>
      <c r="F21" s="309">
        <f t="shared" si="0"/>
        <v>10360</v>
      </c>
      <c r="J21" s="218"/>
      <c r="K21" s="219"/>
      <c r="L21" s="208"/>
      <c r="M21" s="209"/>
      <c r="N21" s="210"/>
      <c r="O21" s="211"/>
      <c r="P21" s="211"/>
      <c r="Q21" s="11"/>
      <c r="R21" s="11"/>
      <c r="S21" s="202"/>
      <c r="T21" s="202"/>
      <c r="U21" s="202"/>
      <c r="V21" s="202"/>
      <c r="W21" s="202"/>
    </row>
    <row r="22" spans="2:23" x14ac:dyDescent="0.25">
      <c r="B22">
        <v>18</v>
      </c>
      <c r="C22" t="s">
        <v>19</v>
      </c>
      <c r="D22">
        <v>8800</v>
      </c>
      <c r="E22" s="5">
        <v>1621266400</v>
      </c>
      <c r="F22" s="309">
        <f t="shared" si="0"/>
        <v>10360</v>
      </c>
      <c r="J22" s="218"/>
      <c r="K22" s="219"/>
      <c r="L22" s="208"/>
      <c r="M22" s="209"/>
      <c r="N22" s="210"/>
      <c r="O22" s="211"/>
      <c r="P22" s="211"/>
      <c r="Q22" s="11"/>
      <c r="R22" s="204"/>
      <c r="S22" s="202"/>
      <c r="T22" s="202"/>
      <c r="U22" s="202"/>
      <c r="V22" s="202"/>
      <c r="W22" s="202"/>
    </row>
    <row r="23" spans="2:23" x14ac:dyDescent="0.25">
      <c r="B23">
        <v>19</v>
      </c>
      <c r="C23" t="s">
        <v>20</v>
      </c>
      <c r="D23">
        <v>8800</v>
      </c>
      <c r="E23" s="5">
        <v>1621266400</v>
      </c>
      <c r="F23" s="309">
        <f t="shared" si="0"/>
        <v>10360</v>
      </c>
      <c r="J23" s="218"/>
      <c r="K23" s="219"/>
      <c r="L23" s="208"/>
      <c r="M23" s="209"/>
      <c r="N23" s="210"/>
      <c r="O23" s="211"/>
      <c r="P23" s="211"/>
      <c r="Q23" s="11"/>
      <c r="R23" s="11"/>
      <c r="S23" s="202"/>
      <c r="T23" s="202"/>
      <c r="U23" s="203"/>
      <c r="V23" s="202"/>
      <c r="W23" s="202"/>
    </row>
    <row r="24" spans="2:23" x14ac:dyDescent="0.25">
      <c r="B24">
        <v>20</v>
      </c>
      <c r="C24" t="s">
        <v>21</v>
      </c>
      <c r="D24">
        <v>8800</v>
      </c>
      <c r="E24" s="5">
        <v>1621266400</v>
      </c>
      <c r="F24" s="309">
        <f t="shared" si="0"/>
        <v>10360</v>
      </c>
      <c r="I24" s="2"/>
      <c r="J24" s="205"/>
      <c r="K24" s="206"/>
      <c r="L24" s="207"/>
      <c r="M24" s="212"/>
      <c r="N24" s="213"/>
      <c r="O24" s="214"/>
      <c r="P24" s="214"/>
      <c r="Q24" s="203"/>
      <c r="R24" s="203"/>
      <c r="S24" s="203"/>
      <c r="T24" s="203"/>
      <c r="U24" s="203"/>
      <c r="V24" s="203"/>
      <c r="W24" s="203"/>
    </row>
    <row r="25" spans="2:23" x14ac:dyDescent="0.25">
      <c r="B25">
        <v>21</v>
      </c>
      <c r="C25" t="s">
        <v>152</v>
      </c>
      <c r="D25">
        <v>8800</v>
      </c>
      <c r="E25" s="5">
        <v>1621266400</v>
      </c>
      <c r="F25" s="309">
        <f t="shared" si="0"/>
        <v>10360</v>
      </c>
      <c r="J25" s="220"/>
      <c r="K25" s="221"/>
      <c r="L25" s="308"/>
      <c r="M25" s="209"/>
      <c r="N25" s="210"/>
      <c r="O25" s="211"/>
      <c r="P25" s="211"/>
      <c r="Q25" s="11"/>
      <c r="R25" s="11"/>
      <c r="S25" s="202"/>
      <c r="T25" s="202"/>
      <c r="U25" s="202"/>
      <c r="V25" s="202"/>
      <c r="W25" s="202"/>
    </row>
    <row r="26" spans="2:23" x14ac:dyDescent="0.25">
      <c r="B26">
        <v>22</v>
      </c>
      <c r="C26" t="s">
        <v>153</v>
      </c>
      <c r="D26">
        <v>8800</v>
      </c>
      <c r="E26" s="5">
        <v>1621266400</v>
      </c>
      <c r="F26" s="309">
        <f t="shared" si="0"/>
        <v>10360</v>
      </c>
      <c r="J26" s="220"/>
      <c r="K26" s="221"/>
      <c r="L26" s="308"/>
      <c r="M26" s="209"/>
      <c r="N26" s="210"/>
      <c r="O26" s="211"/>
      <c r="P26" s="211"/>
      <c r="Q26" s="11"/>
      <c r="R26" s="11"/>
      <c r="S26" s="202"/>
      <c r="T26" s="202"/>
      <c r="U26" s="202"/>
      <c r="V26" s="202"/>
      <c r="W26" s="202"/>
    </row>
    <row r="27" spans="2:23" ht="15.75" thickBot="1" x14ac:dyDescent="0.3">
      <c r="B27">
        <v>23</v>
      </c>
      <c r="C27" t="s">
        <v>154</v>
      </c>
      <c r="D27">
        <v>8800</v>
      </c>
      <c r="E27" s="5">
        <v>1621266400</v>
      </c>
      <c r="F27" s="309">
        <f t="shared" si="0"/>
        <v>10360</v>
      </c>
      <c r="J27" s="222"/>
      <c r="K27" s="223"/>
      <c r="L27" s="308"/>
      <c r="M27" s="216"/>
      <c r="N27" s="217"/>
      <c r="O27" s="215"/>
      <c r="P27" s="215"/>
      <c r="Q27" s="11"/>
      <c r="R27" s="11"/>
      <c r="S27" s="202"/>
      <c r="T27" s="202"/>
      <c r="U27" s="202"/>
      <c r="V27" s="202"/>
      <c r="W27" s="202"/>
    </row>
    <row r="28" spans="2:23" x14ac:dyDescent="0.25">
      <c r="B28">
        <v>24</v>
      </c>
      <c r="C28" t="s">
        <v>155</v>
      </c>
      <c r="D28">
        <v>8800</v>
      </c>
      <c r="E28" s="5">
        <v>1621266400</v>
      </c>
      <c r="F28" s="309">
        <f t="shared" si="0"/>
        <v>10360</v>
      </c>
      <c r="J28" s="208"/>
      <c r="K28" s="208"/>
      <c r="L28" s="208"/>
      <c r="M28" s="208"/>
      <c r="N28" s="208"/>
      <c r="O28" s="208"/>
      <c r="P28" s="208"/>
      <c r="S28" s="1"/>
      <c r="T28" s="1"/>
      <c r="U28" s="1"/>
      <c r="V28" s="1"/>
      <c r="W28" s="1"/>
    </row>
    <row r="29" spans="2:23" x14ac:dyDescent="0.25">
      <c r="B29">
        <v>25</v>
      </c>
      <c r="C29" t="s">
        <v>156</v>
      </c>
      <c r="D29">
        <v>8800</v>
      </c>
      <c r="E29" s="5">
        <v>1621266400</v>
      </c>
      <c r="F29" s="309">
        <f t="shared" si="0"/>
        <v>10360</v>
      </c>
      <c r="P29">
        <v>32026</v>
      </c>
      <c r="Q29">
        <f>P29/100000</f>
        <v>0.32025999999999999</v>
      </c>
      <c r="U29" t="s">
        <v>60</v>
      </c>
      <c r="V29" s="6"/>
      <c r="W29" s="1"/>
    </row>
    <row r="30" spans="2:23" x14ac:dyDescent="0.25">
      <c r="B30">
        <v>26</v>
      </c>
      <c r="C30" t="s">
        <v>157</v>
      </c>
      <c r="D30">
        <v>8800</v>
      </c>
      <c r="E30" s="5">
        <v>1621266400</v>
      </c>
      <c r="F30" s="309">
        <f t="shared" si="0"/>
        <v>10360</v>
      </c>
      <c r="H30" s="51"/>
      <c r="J30" s="4"/>
      <c r="P30">
        <v>4967974</v>
      </c>
      <c r="Q30">
        <f>P30/100000</f>
        <v>49.679740000000002</v>
      </c>
      <c r="T30" s="2" t="s">
        <v>33</v>
      </c>
      <c r="U30" s="2" t="s">
        <v>206</v>
      </c>
      <c r="V30" s="6" t="s">
        <v>207</v>
      </c>
      <c r="W30" s="1"/>
    </row>
    <row r="31" spans="2:23" x14ac:dyDescent="0.25">
      <c r="B31">
        <v>27</v>
      </c>
      <c r="C31" t="s">
        <v>162</v>
      </c>
      <c r="D31">
        <v>8800</v>
      </c>
      <c r="E31" s="5">
        <v>1621266400</v>
      </c>
      <c r="F31" s="309">
        <f t="shared" si="0"/>
        <v>10360</v>
      </c>
      <c r="J31" s="3"/>
      <c r="K31" s="2"/>
      <c r="L31" s="2"/>
      <c r="M31" s="2"/>
      <c r="N31" s="2"/>
      <c r="O31" s="2"/>
      <c r="Q31" s="287">
        <f>Q30+Q29</f>
        <v>50</v>
      </c>
      <c r="R31" s="7"/>
      <c r="S31" s="7"/>
      <c r="T31" s="2">
        <v>0</v>
      </c>
      <c r="U31">
        <v>1</v>
      </c>
      <c r="V31">
        <v>0</v>
      </c>
    </row>
    <row r="32" spans="2:23" x14ac:dyDescent="0.25">
      <c r="B32">
        <v>28</v>
      </c>
      <c r="C32" t="s">
        <v>158</v>
      </c>
      <c r="D32">
        <v>8800</v>
      </c>
      <c r="E32" s="5">
        <v>1621266400</v>
      </c>
      <c r="F32" s="309">
        <f t="shared" si="0"/>
        <v>10360</v>
      </c>
      <c r="L32" s="1"/>
      <c r="M32" s="1"/>
      <c r="N32" s="1"/>
      <c r="O32" s="1"/>
      <c r="Q32" s="4"/>
      <c r="R32" s="6"/>
      <c r="S32" s="6"/>
      <c r="T32" s="2">
        <v>1</v>
      </c>
      <c r="U32">
        <v>1</v>
      </c>
      <c r="V32">
        <v>0</v>
      </c>
    </row>
    <row r="33" spans="2:22" x14ac:dyDescent="0.25">
      <c r="B33">
        <v>29</v>
      </c>
      <c r="C33" t="s">
        <v>159</v>
      </c>
      <c r="D33">
        <v>8800</v>
      </c>
      <c r="E33" s="5">
        <v>1621266400</v>
      </c>
      <c r="F33" s="309">
        <f t="shared" si="0"/>
        <v>10360</v>
      </c>
      <c r="L33" s="1"/>
      <c r="M33" s="1"/>
      <c r="N33" s="1"/>
      <c r="O33" s="1"/>
      <c r="P33" s="1"/>
      <c r="S33" s="6"/>
      <c r="T33" s="2">
        <v>2</v>
      </c>
      <c r="U33">
        <v>0</v>
      </c>
      <c r="V33">
        <v>2</v>
      </c>
    </row>
    <row r="34" spans="2:22" x14ac:dyDescent="0.25">
      <c r="B34">
        <v>30</v>
      </c>
      <c r="C34" t="s">
        <v>160</v>
      </c>
      <c r="D34">
        <v>8800</v>
      </c>
      <c r="E34" s="5">
        <v>1621266400</v>
      </c>
      <c r="F34" s="309">
        <f t="shared" si="0"/>
        <v>10360</v>
      </c>
      <c r="L34" s="1"/>
      <c r="M34" s="1"/>
      <c r="N34" s="1"/>
      <c r="O34" s="1"/>
      <c r="Q34" s="6"/>
      <c r="R34" s="6"/>
      <c r="S34" s="6"/>
      <c r="T34" s="2">
        <v>3</v>
      </c>
      <c r="U34" s="2">
        <v>2</v>
      </c>
      <c r="V34">
        <v>1</v>
      </c>
    </row>
    <row r="35" spans="2:22" ht="15.75" thickBot="1" x14ac:dyDescent="0.3">
      <c r="B35">
        <v>31</v>
      </c>
      <c r="C35" t="s">
        <v>161</v>
      </c>
      <c r="D35">
        <v>8800</v>
      </c>
      <c r="E35" s="5">
        <v>1621266400</v>
      </c>
      <c r="F35" s="309">
        <f t="shared" si="0"/>
        <v>10360</v>
      </c>
      <c r="J35" s="160"/>
      <c r="K35" s="160"/>
      <c r="L35" s="165"/>
      <c r="M35" s="165"/>
      <c r="N35" s="165"/>
      <c r="O35" s="165"/>
      <c r="P35" s="160"/>
      <c r="Q35" s="162" t="s">
        <v>88</v>
      </c>
      <c r="R35" s="161" t="s">
        <v>46</v>
      </c>
      <c r="S35" s="161" t="s">
        <v>123</v>
      </c>
      <c r="T35" s="160"/>
      <c r="U35" s="160"/>
    </row>
    <row r="36" spans="2:22" x14ac:dyDescent="0.25">
      <c r="J36" s="160"/>
      <c r="K36" s="160"/>
      <c r="L36" s="165"/>
      <c r="M36" s="165"/>
      <c r="N36" s="165"/>
      <c r="O36" s="165" t="s">
        <v>135</v>
      </c>
      <c r="P36" s="165" t="s">
        <v>84</v>
      </c>
      <c r="Q36" s="259">
        <v>30</v>
      </c>
      <c r="R36" s="260">
        <v>30</v>
      </c>
      <c r="S36" s="261">
        <f ca="1">(R36+R38-L38)</f>
        <v>30.174399999999999</v>
      </c>
      <c r="T36" s="160"/>
      <c r="U36" s="167" t="s">
        <v>205</v>
      </c>
    </row>
    <row r="37" spans="2:22" ht="15.75" thickBot="1" x14ac:dyDescent="0.3">
      <c r="C37" s="50"/>
      <c r="J37" s="160"/>
      <c r="K37" s="160"/>
      <c r="L37" s="160"/>
      <c r="M37" s="165"/>
      <c r="N37" s="165"/>
      <c r="O37" s="165" t="s">
        <v>136</v>
      </c>
      <c r="P37" s="165" t="s">
        <v>82</v>
      </c>
      <c r="Q37" s="262">
        <v>0</v>
      </c>
      <c r="R37" s="263">
        <f ca="1">U27+U20+U13+U6</f>
        <v>0</v>
      </c>
      <c r="S37" s="264">
        <v>0</v>
      </c>
      <c r="T37" s="160"/>
      <c r="U37" s="167"/>
    </row>
    <row r="38" spans="2:22" x14ac:dyDescent="0.25">
      <c r="J38" s="163"/>
      <c r="K38" s="265" t="s">
        <v>121</v>
      </c>
      <c r="L38" s="164">
        <f ca="1">$P$6+$R$6+$P$13+$R$13+$O$20+$Q$20+$O$27+$P$27</f>
        <v>3.8255999999999997</v>
      </c>
      <c r="M38" s="162"/>
      <c r="N38" s="165"/>
      <c r="O38" s="165" t="s">
        <v>137</v>
      </c>
      <c r="P38" s="165" t="s">
        <v>81</v>
      </c>
      <c r="Q38" s="266">
        <v>0</v>
      </c>
      <c r="R38" s="166">
        <f>SUM(J4:K28)</f>
        <v>4</v>
      </c>
      <c r="S38" s="264">
        <v>0</v>
      </c>
      <c r="T38" s="160"/>
      <c r="U38" s="167"/>
    </row>
    <row r="39" spans="2:22" x14ac:dyDescent="0.25">
      <c r="C39" s="2"/>
      <c r="D39" s="2"/>
      <c r="E39" s="76"/>
      <c r="J39" s="267"/>
      <c r="K39" s="268" t="s">
        <v>120</v>
      </c>
      <c r="L39" s="269">
        <f ca="1">+$R$6+$R$13+$Q$20</f>
        <v>1.8255999999999999</v>
      </c>
      <c r="M39" s="165"/>
      <c r="N39" s="165"/>
      <c r="O39" s="165"/>
      <c r="P39" s="165" t="s">
        <v>151</v>
      </c>
      <c r="Q39" s="266">
        <v>0</v>
      </c>
      <c r="R39" s="166">
        <v>0</v>
      </c>
      <c r="S39" s="264">
        <f ca="1">(R6+R13+Q20)*0.05</f>
        <v>9.128E-2</v>
      </c>
      <c r="T39" s="160"/>
      <c r="U39" s="167"/>
    </row>
    <row r="40" spans="2:22" ht="15.75" thickBot="1" x14ac:dyDescent="0.3">
      <c r="B40" s="1"/>
      <c r="C40" s="1"/>
      <c r="D40" s="2"/>
      <c r="E40" s="75"/>
      <c r="J40" s="270"/>
      <c r="K40" s="271" t="s">
        <v>41</v>
      </c>
      <c r="L40" s="272">
        <f ca="1">0.05*L39</f>
        <v>9.128E-2</v>
      </c>
      <c r="M40" s="165"/>
      <c r="N40" s="165"/>
      <c r="O40" s="165"/>
      <c r="P40" s="165" t="s">
        <v>91</v>
      </c>
      <c r="Q40" s="266">
        <v>50</v>
      </c>
      <c r="R40" s="166">
        <v>50</v>
      </c>
      <c r="S40" s="264">
        <f ca="1">R40-L40</f>
        <v>49.908720000000002</v>
      </c>
      <c r="T40" s="160"/>
      <c r="U40" s="273"/>
      <c r="V40" s="58"/>
    </row>
    <row r="41" spans="2:22" x14ac:dyDescent="0.25">
      <c r="B41" s="1"/>
      <c r="C41" s="1"/>
      <c r="D41" s="10"/>
      <c r="E41" s="75"/>
      <c r="J41" s="160"/>
      <c r="K41" s="160"/>
      <c r="L41" s="160"/>
      <c r="M41" s="160"/>
      <c r="N41" s="165"/>
      <c r="O41" s="162"/>
      <c r="P41" s="165" t="s">
        <v>93</v>
      </c>
      <c r="Q41" s="266">
        <v>10</v>
      </c>
      <c r="R41" s="166">
        <v>2</v>
      </c>
      <c r="S41" s="264">
        <f>(0.95*(M18+M20)-J6-J4-J11-J13+Q41)</f>
        <v>8</v>
      </c>
      <c r="T41" s="274"/>
      <c r="U41" s="160"/>
    </row>
    <row r="42" spans="2:22" ht="17.25" thickBot="1" x14ac:dyDescent="0.35">
      <c r="B42" s="1"/>
      <c r="D42" s="77"/>
      <c r="E42" s="78"/>
      <c r="J42" s="160"/>
      <c r="K42" s="160"/>
      <c r="L42" s="275"/>
      <c r="M42" s="160"/>
      <c r="N42" s="165"/>
      <c r="O42" s="162"/>
      <c r="P42" s="165" t="s">
        <v>122</v>
      </c>
      <c r="Q42" s="276">
        <v>10</v>
      </c>
      <c r="R42" s="277">
        <v>3</v>
      </c>
      <c r="S42" s="278">
        <f ca="1">(Q42+(N5+N12)*0.95-K19)</f>
        <v>11.73432</v>
      </c>
      <c r="T42" s="160"/>
      <c r="U42" s="160"/>
      <c r="V42" s="20"/>
    </row>
    <row r="43" spans="2:22" x14ac:dyDescent="0.25">
      <c r="B43" s="1"/>
      <c r="C43" s="1"/>
      <c r="E43" s="78"/>
      <c r="N43" s="1"/>
      <c r="S43" s="15"/>
      <c r="T43" s="20"/>
    </row>
    <row r="44" spans="2:22" ht="15.75" thickBot="1" x14ac:dyDescent="0.3">
      <c r="B44" s="1"/>
      <c r="C44" s="1"/>
      <c r="E44" s="78"/>
      <c r="L44" s="1"/>
      <c r="M44" s="1"/>
      <c r="N44" s="1"/>
      <c r="O44" s="1"/>
      <c r="Q44" s="4" t="s">
        <v>88</v>
      </c>
      <c r="R44" s="2" t="s">
        <v>46</v>
      </c>
      <c r="S44" s="2" t="s">
        <v>123</v>
      </c>
      <c r="T44" s="20"/>
    </row>
    <row r="45" spans="2:22" x14ac:dyDescent="0.25">
      <c r="B45" s="1"/>
      <c r="C45" s="1"/>
      <c r="D45" s="4"/>
      <c r="E45" s="78"/>
      <c r="J45" s="224"/>
      <c r="K45" s="224"/>
      <c r="L45" s="225"/>
      <c r="M45" s="225"/>
      <c r="N45" s="225"/>
      <c r="O45" s="225" t="s">
        <v>135</v>
      </c>
      <c r="P45" s="225" t="s">
        <v>84</v>
      </c>
      <c r="Q45" s="226">
        <v>30</v>
      </c>
      <c r="R45" s="227">
        <v>30</v>
      </c>
      <c r="S45" s="228">
        <f ca="1">(R45+R47-L47)</f>
        <v>30.001999999999999</v>
      </c>
      <c r="T45" s="224"/>
      <c r="U45" s="229" t="s">
        <v>204</v>
      </c>
    </row>
    <row r="46" spans="2:22" ht="15.75" thickBot="1" x14ac:dyDescent="0.3">
      <c r="B46" s="1"/>
      <c r="C46" s="1"/>
      <c r="J46" s="224"/>
      <c r="K46" s="224"/>
      <c r="L46" s="224"/>
      <c r="M46" s="225"/>
      <c r="N46" s="225"/>
      <c r="O46" s="225" t="s">
        <v>136</v>
      </c>
      <c r="P46" s="225" t="s">
        <v>82</v>
      </c>
      <c r="Q46" s="230">
        <v>0</v>
      </c>
      <c r="R46" s="231">
        <f ca="1">U27+U20+U13+U6</f>
        <v>0</v>
      </c>
      <c r="S46" s="232">
        <v>0</v>
      </c>
      <c r="T46" s="233"/>
      <c r="U46" s="229"/>
    </row>
    <row r="47" spans="2:22" x14ac:dyDescent="0.25">
      <c r="B47" s="1"/>
      <c r="C47" s="1"/>
      <c r="J47" s="234"/>
      <c r="K47" s="235" t="s">
        <v>121</v>
      </c>
      <c r="L47" s="236">
        <f ca="1">O6+Q6+O13+Q13+P20+O20+P27+R27</f>
        <v>3.9980000000000002</v>
      </c>
      <c r="M47" s="237"/>
      <c r="N47" s="225"/>
      <c r="O47" s="225" t="s">
        <v>137</v>
      </c>
      <c r="P47" s="225" t="s">
        <v>81</v>
      </c>
      <c r="Q47" s="238">
        <v>0</v>
      </c>
      <c r="R47" s="239">
        <f>SUM(J4:K28)</f>
        <v>4</v>
      </c>
      <c r="S47" s="232">
        <v>0</v>
      </c>
      <c r="T47" s="240"/>
      <c r="U47" s="229"/>
    </row>
    <row r="48" spans="2:22" x14ac:dyDescent="0.25">
      <c r="J48" s="241"/>
      <c r="K48" s="242" t="s">
        <v>120</v>
      </c>
      <c r="L48" s="243">
        <f ca="1">+Q6+Q13+R27</f>
        <v>1.998</v>
      </c>
      <c r="M48" s="225"/>
      <c r="N48" s="225"/>
      <c r="O48" s="225"/>
      <c r="P48" s="225" t="s">
        <v>151</v>
      </c>
      <c r="Q48" s="238">
        <v>0</v>
      </c>
      <c r="R48" s="239">
        <v>0</v>
      </c>
      <c r="S48" s="232">
        <f ca="1">(Q6+Q13+R27)*0.05</f>
        <v>9.9900000000000003E-2</v>
      </c>
      <c r="T48" s="224"/>
      <c r="U48" s="229"/>
    </row>
    <row r="49" spans="10:21" ht="15.75" thickBot="1" x14ac:dyDescent="0.3">
      <c r="J49" s="244"/>
      <c r="K49" s="245" t="s">
        <v>41</v>
      </c>
      <c r="L49" s="246">
        <f ca="1">0.05*L48</f>
        <v>9.9900000000000003E-2</v>
      </c>
      <c r="M49" s="225"/>
      <c r="N49" s="225"/>
      <c r="O49" s="225"/>
      <c r="P49" s="225" t="s">
        <v>91</v>
      </c>
      <c r="Q49" s="238">
        <v>50</v>
      </c>
      <c r="R49" s="239">
        <v>50</v>
      </c>
      <c r="S49" s="232">
        <f ca="1">R49-L49</f>
        <v>49.900100000000002</v>
      </c>
      <c r="T49" s="224"/>
      <c r="U49" s="229"/>
    </row>
    <row r="50" spans="10:21" x14ac:dyDescent="0.25">
      <c r="J50" s="224"/>
      <c r="K50" s="224"/>
      <c r="L50" s="224"/>
      <c r="M50" s="224"/>
      <c r="N50" s="225"/>
      <c r="O50" s="237"/>
      <c r="P50" s="225" t="s">
        <v>93</v>
      </c>
      <c r="Q50" s="238">
        <v>10</v>
      </c>
      <c r="R50" s="239">
        <v>2</v>
      </c>
      <c r="S50" s="232">
        <f ca="1">(0.95*(M4+M6+M11+M13)-J25-J26+Q50)</f>
        <v>11.898099999999999</v>
      </c>
      <c r="T50" s="224"/>
      <c r="U50" s="229"/>
    </row>
    <row r="51" spans="10:21" ht="15.75" thickBot="1" x14ac:dyDescent="0.3">
      <c r="J51" s="224"/>
      <c r="K51" s="224"/>
      <c r="L51" s="247"/>
      <c r="M51" s="224"/>
      <c r="N51" s="225"/>
      <c r="O51" s="237"/>
      <c r="P51" s="225" t="s">
        <v>122</v>
      </c>
      <c r="Q51" s="248">
        <v>10</v>
      </c>
      <c r="R51" s="249">
        <v>3</v>
      </c>
      <c r="S51" s="250">
        <f>(Q51+(N27)*0.95-K5-K12)</f>
        <v>8</v>
      </c>
      <c r="T51" s="224"/>
      <c r="U51" s="229"/>
    </row>
    <row r="52" spans="10:21" x14ac:dyDescent="0.25">
      <c r="N52" s="1"/>
      <c r="S52" s="15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W52"/>
  <sheetViews>
    <sheetView topLeftCell="C1" zoomScale="75" zoomScaleNormal="75" workbookViewId="0">
      <selection activeCell="N27" sqref="N27"/>
    </sheetView>
  </sheetViews>
  <sheetFormatPr defaultRowHeight="15" x14ac:dyDescent="0.25"/>
  <cols>
    <col min="2" max="2" width="6.7109375" customWidth="1"/>
    <col min="3" max="3" width="25.5703125" customWidth="1"/>
    <col min="4" max="4" width="16.85546875" bestFit="1" customWidth="1"/>
    <col min="5" max="5" width="19" customWidth="1"/>
    <col min="6" max="6" width="9.140625" customWidth="1"/>
    <col min="10" max="10" width="13" customWidth="1"/>
    <col min="12" max="14" width="13.28515625" customWidth="1"/>
    <col min="15" max="15" width="16.7109375" customWidth="1"/>
    <col min="16" max="16" width="15.5703125" customWidth="1"/>
    <col min="17" max="17" width="22.85546875" customWidth="1"/>
    <col min="18" max="18" width="11.140625" customWidth="1"/>
    <col min="19" max="19" width="16.5703125" customWidth="1"/>
    <col min="20" max="21" width="15" customWidth="1"/>
    <col min="22" max="22" width="17.140625" customWidth="1"/>
    <col min="23" max="23" width="14.85546875" customWidth="1"/>
    <col min="24" max="25" width="11.42578125" customWidth="1"/>
    <col min="26" max="31" width="12" customWidth="1"/>
    <col min="32" max="32" width="12" bestFit="1" customWidth="1"/>
    <col min="33" max="33" width="12.5703125" bestFit="1" customWidth="1"/>
    <col min="34" max="34" width="11.42578125" customWidth="1"/>
    <col min="40" max="40" width="12" bestFit="1" customWidth="1"/>
    <col min="42" max="42" width="10.5703125" bestFit="1" customWidth="1"/>
    <col min="48" max="48" width="12" bestFit="1" customWidth="1"/>
    <col min="50" max="50" width="10.5703125" bestFit="1" customWidth="1"/>
  </cols>
  <sheetData>
    <row r="1" spans="2:23" x14ac:dyDescent="0.25">
      <c r="C1" s="1" t="s">
        <v>47</v>
      </c>
      <c r="J1" s="23"/>
      <c r="K1" s="24"/>
      <c r="M1" s="23"/>
      <c r="N1" s="24"/>
    </row>
    <row r="2" spans="2:23" x14ac:dyDescent="0.25">
      <c r="J2" s="25" t="s">
        <v>0</v>
      </c>
      <c r="K2" s="26"/>
      <c r="L2" s="2"/>
      <c r="M2" s="25" t="s">
        <v>83</v>
      </c>
      <c r="N2" s="26"/>
      <c r="O2" s="2" t="s">
        <v>90</v>
      </c>
      <c r="P2" s="2"/>
      <c r="Q2" s="2" t="s">
        <v>89</v>
      </c>
      <c r="R2" s="2"/>
      <c r="U2" s="2" t="s">
        <v>39</v>
      </c>
    </row>
    <row r="3" spans="2:23" ht="15.75" thickBot="1" x14ac:dyDescent="0.3">
      <c r="D3" s="2" t="s">
        <v>150</v>
      </c>
      <c r="E3" s="2"/>
      <c r="F3" s="2" t="s">
        <v>149</v>
      </c>
      <c r="G3" s="2" t="s">
        <v>85</v>
      </c>
      <c r="H3" s="2" t="s">
        <v>86</v>
      </c>
      <c r="I3" s="2" t="s">
        <v>33</v>
      </c>
      <c r="J3" s="25" t="s">
        <v>34</v>
      </c>
      <c r="K3" s="26" t="s">
        <v>35</v>
      </c>
      <c r="L3" s="2" t="s">
        <v>67</v>
      </c>
      <c r="M3" s="25" t="s">
        <v>31</v>
      </c>
      <c r="N3" s="26" t="s">
        <v>32</v>
      </c>
      <c r="O3" s="2" t="s">
        <v>29</v>
      </c>
      <c r="P3" s="2" t="s">
        <v>30</v>
      </c>
      <c r="Q3" s="2" t="s">
        <v>31</v>
      </c>
      <c r="R3" s="2" t="s">
        <v>32</v>
      </c>
      <c r="S3" s="2" t="s">
        <v>36</v>
      </c>
      <c r="T3" s="2" t="s">
        <v>37</v>
      </c>
      <c r="U3" s="2" t="s">
        <v>38</v>
      </c>
      <c r="V3" s="2" t="s">
        <v>82</v>
      </c>
      <c r="W3" s="2" t="s">
        <v>81</v>
      </c>
    </row>
    <row r="4" spans="2:23" x14ac:dyDescent="0.25">
      <c r="B4">
        <v>0</v>
      </c>
      <c r="C4" t="s">
        <v>1</v>
      </c>
      <c r="D4" s="251">
        <v>9990</v>
      </c>
      <c r="E4" s="252">
        <v>1621266400</v>
      </c>
      <c r="F4" s="253">
        <f>INT(100000000/(D4+450))-450</f>
        <v>9128</v>
      </c>
      <c r="G4">
        <v>2</v>
      </c>
      <c r="H4">
        <v>1</v>
      </c>
      <c r="I4">
        <v>0</v>
      </c>
      <c r="J4" s="279">
        <v>1</v>
      </c>
      <c r="K4" s="29">
        <v>0</v>
      </c>
      <c r="L4" s="308">
        <f ca="1">OFFSET(IF(J4&gt;0,D$4,F$4),I4,0)/10</f>
        <v>999</v>
      </c>
      <c r="M4" s="209">
        <f ca="1">($L4*J4/1000)</f>
        <v>0.999</v>
      </c>
      <c r="N4" s="210">
        <f ca="1">($L4*K4/1000)</f>
        <v>0</v>
      </c>
      <c r="O4" s="211">
        <f>J4</f>
        <v>1</v>
      </c>
      <c r="P4" s="211">
        <f>K4</f>
        <v>0</v>
      </c>
      <c r="Q4" s="11">
        <f ca="1">(J4*$L4/1000)</f>
        <v>0.999</v>
      </c>
      <c r="R4" s="11">
        <f ca="1">(K4*$L4/1000)</f>
        <v>0</v>
      </c>
      <c r="S4" s="202">
        <f ca="1">Q4-P4</f>
        <v>0.999</v>
      </c>
      <c r="T4" s="202">
        <f ca="1">R4-O4</f>
        <v>-1</v>
      </c>
      <c r="U4" s="202">
        <f ca="1">MAX(0,S4:T4)</f>
        <v>0.999</v>
      </c>
      <c r="V4" s="202">
        <f ca="1">U4</f>
        <v>0.999</v>
      </c>
      <c r="W4" s="202">
        <f>SUM(J4:K4)</f>
        <v>1</v>
      </c>
    </row>
    <row r="5" spans="2:23" x14ac:dyDescent="0.25">
      <c r="B5">
        <v>1</v>
      </c>
      <c r="C5" t="s">
        <v>17</v>
      </c>
      <c r="D5" s="254">
        <v>5000</v>
      </c>
      <c r="E5" s="310">
        <v>1621266400</v>
      </c>
      <c r="F5" s="255">
        <f t="shared" ref="F5:F35" si="0">INT(100000000/(D5+450))-450</f>
        <v>17898</v>
      </c>
      <c r="G5">
        <v>3</v>
      </c>
      <c r="H5">
        <v>1</v>
      </c>
      <c r="I5">
        <f>I4</f>
        <v>0</v>
      </c>
      <c r="J5" s="279">
        <v>0</v>
      </c>
      <c r="K5" s="29">
        <v>2</v>
      </c>
      <c r="L5" s="308">
        <f t="shared" ref="L5:L6" ca="1" si="1">OFFSET(IF(J5&gt;0,D$4,F$4),I5,0)/10</f>
        <v>912.8</v>
      </c>
      <c r="M5" s="209">
        <f t="shared" ref="M5:N6" ca="1" si="2">($L5*J5/1000)</f>
        <v>0</v>
      </c>
      <c r="N5" s="210">
        <f ca="1">($L5*K5/1000)</f>
        <v>1.8255999999999999</v>
      </c>
      <c r="O5" s="211">
        <f>J5+O4</f>
        <v>1</v>
      </c>
      <c r="P5" s="211">
        <f>K5+P4</f>
        <v>2</v>
      </c>
      <c r="Q5" s="11">
        <f ca="1">(J5*L5/1000)+Q4</f>
        <v>0.999</v>
      </c>
      <c r="R5" s="11">
        <f ca="1">(K5*L5/1000)+R4</f>
        <v>1.8255999999999999</v>
      </c>
      <c r="S5" s="202">
        <f ca="1">Q5-P5</f>
        <v>-1.0009999999999999</v>
      </c>
      <c r="T5" s="202">
        <f ca="1">R5-O5</f>
        <v>0.82559999999999989</v>
      </c>
      <c r="U5" s="202">
        <f t="shared" ref="U5" ca="1" si="3">MAX(0,S5:T5)</f>
        <v>0.82559999999999989</v>
      </c>
      <c r="V5" s="202">
        <f ca="1">V4+(U5-U4)</f>
        <v>0.82559999999999989</v>
      </c>
      <c r="W5" s="202">
        <f>SUM(J5:K5)+W4</f>
        <v>3</v>
      </c>
    </row>
    <row r="6" spans="2:23" x14ac:dyDescent="0.25">
      <c r="B6">
        <v>2</v>
      </c>
      <c r="C6" t="s">
        <v>3</v>
      </c>
      <c r="D6" s="254">
        <v>5000</v>
      </c>
      <c r="E6" s="310">
        <v>1621266400</v>
      </c>
      <c r="F6" s="255">
        <f t="shared" si="0"/>
        <v>17898</v>
      </c>
      <c r="G6">
        <v>2</v>
      </c>
      <c r="H6">
        <v>1</v>
      </c>
      <c r="I6">
        <v>0</v>
      </c>
      <c r="J6" s="279">
        <v>1</v>
      </c>
      <c r="K6" s="29">
        <v>0</v>
      </c>
      <c r="L6" s="308">
        <f t="shared" ca="1" si="1"/>
        <v>999</v>
      </c>
      <c r="M6" s="209">
        <f t="shared" ca="1" si="2"/>
        <v>0.999</v>
      </c>
      <c r="N6" s="210">
        <f t="shared" ca="1" si="2"/>
        <v>0</v>
      </c>
      <c r="O6" s="211">
        <f>J6+O5</f>
        <v>2</v>
      </c>
      <c r="P6" s="211">
        <f>K6+P5</f>
        <v>2</v>
      </c>
      <c r="Q6" s="11">
        <f ca="1">(J6*L6/1000)+Q5</f>
        <v>1.998</v>
      </c>
      <c r="R6" s="11">
        <f ca="1">(K6*L6/1000)+R5</f>
        <v>1.8255999999999999</v>
      </c>
      <c r="S6" s="202">
        <f ca="1">Q6-P6</f>
        <v>-2.0000000000000018E-3</v>
      </c>
      <c r="T6" s="202">
        <f ca="1">R6-O6</f>
        <v>-0.17440000000000011</v>
      </c>
      <c r="U6" s="202">
        <f ca="1">MAX(0,S6:T6)</f>
        <v>0</v>
      </c>
      <c r="V6" s="202">
        <f ca="1">V5+(U6-U5)</f>
        <v>0</v>
      </c>
      <c r="W6" s="202">
        <f>SUM(J6:K6)+W5</f>
        <v>4</v>
      </c>
    </row>
    <row r="7" spans="2:23" ht="15.75" thickBot="1" x14ac:dyDescent="0.3">
      <c r="B7">
        <v>3</v>
      </c>
      <c r="C7" t="s">
        <v>4</v>
      </c>
      <c r="D7" s="256">
        <v>9190</v>
      </c>
      <c r="E7" s="257">
        <v>1621266400</v>
      </c>
      <c r="F7" s="258">
        <f t="shared" si="0"/>
        <v>9923</v>
      </c>
      <c r="J7" s="218"/>
      <c r="K7" s="219"/>
      <c r="L7" s="208"/>
      <c r="M7" s="209"/>
      <c r="N7" s="210"/>
      <c r="O7" s="211"/>
      <c r="P7" s="211"/>
      <c r="Q7" s="11"/>
      <c r="R7" s="11"/>
      <c r="S7" s="202"/>
      <c r="T7" s="202"/>
      <c r="U7" s="202"/>
      <c r="V7" s="202"/>
      <c r="W7" s="202"/>
    </row>
    <row r="8" spans="2:23" x14ac:dyDescent="0.25">
      <c r="B8">
        <v>4</v>
      </c>
      <c r="C8" t="s">
        <v>5</v>
      </c>
      <c r="D8">
        <v>8800</v>
      </c>
      <c r="E8" s="5">
        <v>1621266400</v>
      </c>
      <c r="F8" s="309">
        <f t="shared" si="0"/>
        <v>10360</v>
      </c>
      <c r="J8" s="218"/>
      <c r="K8" s="219"/>
      <c r="L8" s="208"/>
      <c r="M8" s="209"/>
      <c r="N8" s="210"/>
      <c r="O8" s="211"/>
      <c r="P8" s="211"/>
      <c r="Q8" s="11"/>
      <c r="R8" s="11"/>
      <c r="S8" s="202"/>
      <c r="T8" s="202"/>
      <c r="U8" s="202"/>
      <c r="V8" s="202"/>
      <c r="W8" s="202"/>
    </row>
    <row r="9" spans="2:23" x14ac:dyDescent="0.25">
      <c r="B9">
        <v>5</v>
      </c>
      <c r="C9" t="s">
        <v>6</v>
      </c>
      <c r="D9">
        <v>8800</v>
      </c>
      <c r="E9" s="5">
        <v>1621266400</v>
      </c>
      <c r="F9" s="309">
        <f t="shared" si="0"/>
        <v>10360</v>
      </c>
      <c r="J9" s="218"/>
      <c r="K9" s="219"/>
      <c r="L9" s="208"/>
      <c r="M9" s="209"/>
      <c r="N9" s="210"/>
      <c r="O9" s="211"/>
      <c r="P9" s="211"/>
      <c r="Q9" s="11"/>
      <c r="R9" s="11"/>
      <c r="S9" s="202"/>
      <c r="T9" s="202"/>
      <c r="U9" s="202"/>
      <c r="V9" s="202"/>
      <c r="W9" s="202"/>
    </row>
    <row r="10" spans="2:23" x14ac:dyDescent="0.25">
      <c r="B10">
        <v>6</v>
      </c>
      <c r="C10" t="s">
        <v>7</v>
      </c>
      <c r="D10">
        <v>8800</v>
      </c>
      <c r="E10" s="5">
        <v>1621266400</v>
      </c>
      <c r="F10" s="309">
        <f t="shared" si="0"/>
        <v>10360</v>
      </c>
      <c r="I10" s="2" t="s">
        <v>33</v>
      </c>
      <c r="J10" s="205" t="s">
        <v>34</v>
      </c>
      <c r="K10" s="206" t="s">
        <v>35</v>
      </c>
      <c r="L10" s="207" t="s">
        <v>28</v>
      </c>
      <c r="M10" s="212" t="s">
        <v>31</v>
      </c>
      <c r="N10" s="213" t="s">
        <v>32</v>
      </c>
      <c r="O10" s="214" t="s">
        <v>29</v>
      </c>
      <c r="P10" s="214" t="s">
        <v>30</v>
      </c>
      <c r="Q10" s="203" t="s">
        <v>31</v>
      </c>
      <c r="R10" s="203" t="s">
        <v>32</v>
      </c>
      <c r="S10" s="203" t="s">
        <v>36</v>
      </c>
      <c r="T10" s="203" t="s">
        <v>37</v>
      </c>
      <c r="U10" s="203" t="s">
        <v>38</v>
      </c>
      <c r="V10" s="203" t="s">
        <v>82</v>
      </c>
      <c r="W10" s="203" t="s">
        <v>81</v>
      </c>
    </row>
    <row r="11" spans="2:23" x14ac:dyDescent="0.25">
      <c r="B11">
        <v>7</v>
      </c>
      <c r="C11" t="s">
        <v>8</v>
      </c>
      <c r="D11">
        <v>8800</v>
      </c>
      <c r="E11" s="5">
        <v>1621266400</v>
      </c>
      <c r="F11" s="309">
        <f t="shared" si="0"/>
        <v>10360</v>
      </c>
      <c r="G11">
        <v>2</v>
      </c>
      <c r="H11">
        <v>1</v>
      </c>
      <c r="I11">
        <v>1</v>
      </c>
      <c r="J11" s="279">
        <v>1</v>
      </c>
      <c r="K11" s="29">
        <v>0</v>
      </c>
      <c r="L11" s="308">
        <f ca="1">OFFSET(IF(J11&gt;0,D$4,F$4),I11,0)/10</f>
        <v>500</v>
      </c>
      <c r="M11" s="209">
        <f t="shared" ref="M11:N13" ca="1" si="4">($L11*J11/1000)</f>
        <v>0.5</v>
      </c>
      <c r="N11" s="210">
        <f t="shared" ca="1" si="4"/>
        <v>0</v>
      </c>
      <c r="O11" s="211">
        <f>J11</f>
        <v>1</v>
      </c>
      <c r="P11" s="211">
        <f>K11</f>
        <v>0</v>
      </c>
      <c r="Q11" s="11">
        <f ca="1">(J11*L11/1000)</f>
        <v>0.5</v>
      </c>
      <c r="R11" s="11">
        <f ca="1">(K11*L11/1000)</f>
        <v>0</v>
      </c>
      <c r="S11" s="202">
        <f ca="1">Q11-P11</f>
        <v>0.5</v>
      </c>
      <c r="T11" s="202">
        <f ca="1">R11-O11</f>
        <v>-1</v>
      </c>
      <c r="U11" s="202">
        <f ca="1">MAX(0,S11:T11)</f>
        <v>0.5</v>
      </c>
      <c r="V11" s="202">
        <f ca="1">U11+V6</f>
        <v>0.5</v>
      </c>
      <c r="W11" s="202">
        <f>SUM(J11:K11)+W6</f>
        <v>5</v>
      </c>
    </row>
    <row r="12" spans="2:23" x14ac:dyDescent="0.25">
      <c r="B12">
        <v>8</v>
      </c>
      <c r="C12" t="s">
        <v>9</v>
      </c>
      <c r="D12">
        <v>8800</v>
      </c>
      <c r="E12" s="5">
        <v>1621266400</v>
      </c>
      <c r="F12" s="309">
        <f t="shared" si="0"/>
        <v>10360</v>
      </c>
      <c r="G12">
        <v>3</v>
      </c>
      <c r="H12">
        <v>1</v>
      </c>
      <c r="I12">
        <v>1</v>
      </c>
      <c r="J12" s="279">
        <v>0</v>
      </c>
      <c r="K12" s="29">
        <v>2</v>
      </c>
      <c r="L12" s="308">
        <f t="shared" ref="L12:L13" ca="1" si="5">OFFSET(IF(J12&gt;0,D$4,F$4),I12,0)/10</f>
        <v>1789.8</v>
      </c>
      <c r="M12" s="209">
        <f t="shared" ca="1" si="4"/>
        <v>0</v>
      </c>
      <c r="N12" s="210">
        <f t="shared" ca="1" si="4"/>
        <v>3.5796000000000001</v>
      </c>
      <c r="O12" s="211">
        <f>J12+O11</f>
        <v>1</v>
      </c>
      <c r="P12" s="211">
        <f>K12+P11</f>
        <v>2</v>
      </c>
      <c r="Q12" s="11">
        <f ca="1">(J12*L12/1000)+Q11</f>
        <v>0.5</v>
      </c>
      <c r="R12" s="11">
        <f ca="1">(K12*L12/1000)+R11</f>
        <v>3.5796000000000001</v>
      </c>
      <c r="S12" s="202">
        <f ca="1">Q12-P12</f>
        <v>-1.5</v>
      </c>
      <c r="T12" s="202">
        <f ca="1">R12-O12</f>
        <v>2.5796000000000001</v>
      </c>
      <c r="U12" s="202">
        <f t="shared" ref="U12:U13" ca="1" si="6">MAX(0,S12:T12)</f>
        <v>2.5796000000000001</v>
      </c>
      <c r="V12" s="202">
        <f ca="1">V11+(U12-U11)</f>
        <v>2.5796000000000001</v>
      </c>
      <c r="W12" s="202">
        <f>SUM(J12:K12)+W11</f>
        <v>7</v>
      </c>
    </row>
    <row r="13" spans="2:23" x14ac:dyDescent="0.25">
      <c r="B13">
        <v>9</v>
      </c>
      <c r="C13" t="s">
        <v>10</v>
      </c>
      <c r="D13">
        <v>8800</v>
      </c>
      <c r="E13" s="5">
        <v>1621266400</v>
      </c>
      <c r="F13" s="309">
        <f t="shared" si="0"/>
        <v>10360</v>
      </c>
      <c r="G13">
        <v>2</v>
      </c>
      <c r="H13">
        <v>1</v>
      </c>
      <c r="I13">
        <v>1</v>
      </c>
      <c r="J13" s="279">
        <v>1</v>
      </c>
      <c r="K13" s="29">
        <v>0</v>
      </c>
      <c r="L13" s="308">
        <f t="shared" ca="1" si="5"/>
        <v>500</v>
      </c>
      <c r="M13" s="209">
        <f t="shared" ca="1" si="4"/>
        <v>0.5</v>
      </c>
      <c r="N13" s="210">
        <f t="shared" ca="1" si="4"/>
        <v>0</v>
      </c>
      <c r="O13" s="211">
        <f>J13+O12</f>
        <v>2</v>
      </c>
      <c r="P13" s="211">
        <f>K13+P12</f>
        <v>2</v>
      </c>
      <c r="Q13" s="11">
        <f ca="1">(J13*L13/1000)+Q12</f>
        <v>1</v>
      </c>
      <c r="R13" s="11">
        <f ca="1">(K13*L13/1000)+R12</f>
        <v>3.5796000000000001</v>
      </c>
      <c r="S13" s="202">
        <f ca="1">Q13-P13</f>
        <v>-1</v>
      </c>
      <c r="T13" s="202">
        <f ca="1">R13-O13</f>
        <v>1.5796000000000001</v>
      </c>
      <c r="U13" s="202">
        <f t="shared" ca="1" si="6"/>
        <v>1.5796000000000001</v>
      </c>
      <c r="V13" s="202">
        <f ca="1">V12+(U13-U12)</f>
        <v>1.5796000000000001</v>
      </c>
      <c r="W13" s="202">
        <f>SUM(J13:K13)+W12</f>
        <v>8</v>
      </c>
    </row>
    <row r="14" spans="2:23" x14ac:dyDescent="0.25">
      <c r="B14">
        <v>10</v>
      </c>
      <c r="C14" t="s">
        <v>11</v>
      </c>
      <c r="D14">
        <v>8800</v>
      </c>
      <c r="E14" s="5">
        <v>1621266400</v>
      </c>
      <c r="F14" s="309">
        <f t="shared" si="0"/>
        <v>10360</v>
      </c>
      <c r="J14" s="218"/>
      <c r="K14" s="219"/>
      <c r="L14" s="208">
        <f>F5/1000*K12</f>
        <v>35.795999999999999</v>
      </c>
      <c r="M14" s="209"/>
      <c r="N14" s="210"/>
      <c r="O14" s="211"/>
      <c r="P14" s="211"/>
      <c r="Q14" s="11"/>
      <c r="R14" s="11"/>
      <c r="S14" s="202"/>
      <c r="T14" s="202"/>
      <c r="U14" s="202"/>
      <c r="V14" s="202"/>
      <c r="W14" s="202"/>
    </row>
    <row r="15" spans="2:23" x14ac:dyDescent="0.25">
      <c r="B15">
        <v>11</v>
      </c>
      <c r="C15" t="s">
        <v>12</v>
      </c>
      <c r="D15">
        <v>8800</v>
      </c>
      <c r="E15" s="5">
        <v>1621266400</v>
      </c>
      <c r="F15" s="309">
        <f t="shared" si="0"/>
        <v>10360</v>
      </c>
      <c r="J15" s="218"/>
      <c r="K15" s="219"/>
      <c r="L15" s="208"/>
      <c r="M15" s="209"/>
      <c r="N15" s="210"/>
      <c r="O15" s="211"/>
      <c r="P15" s="215"/>
      <c r="Q15" s="11"/>
      <c r="R15" s="11"/>
      <c r="S15" s="202"/>
      <c r="T15" s="202"/>
      <c r="U15" s="202" t="s">
        <v>40</v>
      </c>
      <c r="V15" s="202"/>
      <c r="W15" s="202"/>
    </row>
    <row r="16" spans="2:23" x14ac:dyDescent="0.25">
      <c r="B16">
        <v>12</v>
      </c>
      <c r="C16" t="s">
        <v>13</v>
      </c>
      <c r="D16">
        <v>8800</v>
      </c>
      <c r="E16" s="5">
        <v>1621266400</v>
      </c>
      <c r="F16" s="309">
        <f t="shared" si="0"/>
        <v>10360</v>
      </c>
      <c r="J16" s="218"/>
      <c r="K16" s="219"/>
      <c r="L16" s="208"/>
      <c r="M16" s="209"/>
      <c r="N16" s="210"/>
      <c r="O16" s="211"/>
      <c r="P16" s="211"/>
      <c r="Q16" s="11"/>
      <c r="R16" s="11"/>
      <c r="S16" s="202"/>
      <c r="T16" s="202"/>
      <c r="U16" s="202"/>
      <c r="V16" s="202"/>
      <c r="W16" s="202"/>
    </row>
    <row r="17" spans="2:23" x14ac:dyDescent="0.25">
      <c r="B17">
        <v>13</v>
      </c>
      <c r="C17" t="s">
        <v>14</v>
      </c>
      <c r="D17">
        <v>8800</v>
      </c>
      <c r="E17" s="5">
        <v>1621266400</v>
      </c>
      <c r="F17" s="309">
        <f t="shared" si="0"/>
        <v>10360</v>
      </c>
      <c r="I17" s="2" t="s">
        <v>33</v>
      </c>
      <c r="J17" s="205" t="s">
        <v>34</v>
      </c>
      <c r="K17" s="206" t="s">
        <v>35</v>
      </c>
      <c r="L17" s="207" t="s">
        <v>28</v>
      </c>
      <c r="M17" s="212" t="s">
        <v>31</v>
      </c>
      <c r="N17" s="213" t="s">
        <v>32</v>
      </c>
      <c r="O17" s="214" t="s">
        <v>29</v>
      </c>
      <c r="P17" s="214" t="s">
        <v>30</v>
      </c>
      <c r="Q17" s="203" t="s">
        <v>31</v>
      </c>
      <c r="R17" s="203" t="s">
        <v>32</v>
      </c>
      <c r="S17" s="203" t="s">
        <v>36</v>
      </c>
      <c r="T17" s="203" t="s">
        <v>37</v>
      </c>
      <c r="U17" s="203" t="s">
        <v>38</v>
      </c>
      <c r="V17" s="203" t="s">
        <v>82</v>
      </c>
      <c r="W17" s="203" t="s">
        <v>81</v>
      </c>
    </row>
    <row r="18" spans="2:23" x14ac:dyDescent="0.25">
      <c r="B18">
        <v>14</v>
      </c>
      <c r="C18" t="s">
        <v>15</v>
      </c>
      <c r="D18">
        <v>8800</v>
      </c>
      <c r="E18" s="5">
        <v>1621266400</v>
      </c>
      <c r="F18" s="309">
        <f t="shared" si="0"/>
        <v>10360</v>
      </c>
      <c r="G18">
        <v>2</v>
      </c>
      <c r="H18">
        <v>0</v>
      </c>
      <c r="I18">
        <v>2</v>
      </c>
      <c r="J18" s="30">
        <v>1</v>
      </c>
      <c r="K18" s="219">
        <v>0</v>
      </c>
      <c r="L18" s="308">
        <f ca="1">OFFSET(IF(J18&gt;0,D$4,F$4),I18,0)/10</f>
        <v>500</v>
      </c>
      <c r="M18" s="209">
        <f t="shared" ref="M18:N20" ca="1" si="7">($L18*J18/1000)</f>
        <v>0.5</v>
      </c>
      <c r="N18" s="210">
        <f t="shared" ca="1" si="7"/>
        <v>0</v>
      </c>
      <c r="O18" s="211">
        <f>J18</f>
        <v>1</v>
      </c>
      <c r="P18" s="211">
        <f>K18</f>
        <v>0</v>
      </c>
      <c r="Q18" s="11">
        <f ca="1">(J18*L18/1000)</f>
        <v>0.5</v>
      </c>
      <c r="R18" s="11">
        <f ca="1">(K18*L18/1000)</f>
        <v>0</v>
      </c>
      <c r="S18" s="202">
        <f ca="1">Q18-P18</f>
        <v>0.5</v>
      </c>
      <c r="T18" s="202">
        <f ca="1">R18-O18</f>
        <v>-1</v>
      </c>
      <c r="U18" s="202">
        <f ca="1">MAX(0,S18:T18)</f>
        <v>0.5</v>
      </c>
      <c r="V18" s="202">
        <f ca="1">U18+V13</f>
        <v>2.0796000000000001</v>
      </c>
      <c r="W18" s="202">
        <f>SUM(J18:K18)+W13</f>
        <v>9</v>
      </c>
    </row>
    <row r="19" spans="2:23" x14ac:dyDescent="0.25">
      <c r="B19">
        <v>15</v>
      </c>
      <c r="C19" t="s">
        <v>16</v>
      </c>
      <c r="D19">
        <v>8800</v>
      </c>
      <c r="E19" s="5">
        <v>1621266400</v>
      </c>
      <c r="F19" s="309">
        <f t="shared" si="0"/>
        <v>10360</v>
      </c>
      <c r="G19">
        <v>3</v>
      </c>
      <c r="H19">
        <v>0</v>
      </c>
      <c r="I19">
        <v>2</v>
      </c>
      <c r="J19" s="30">
        <v>0</v>
      </c>
      <c r="K19" s="219">
        <v>2</v>
      </c>
      <c r="L19" s="308">
        <f t="shared" ref="L19:L20" ca="1" si="8">OFFSET(IF(J19&gt;0,D$4,F$4),I19,0)/10</f>
        <v>1789.8</v>
      </c>
      <c r="M19" s="209">
        <f t="shared" ca="1" si="7"/>
        <v>0</v>
      </c>
      <c r="N19" s="210">
        <f t="shared" ca="1" si="7"/>
        <v>3.5796000000000001</v>
      </c>
      <c r="O19" s="211">
        <f>J19+O18</f>
        <v>1</v>
      </c>
      <c r="P19" s="211">
        <f>K19+P18</f>
        <v>2</v>
      </c>
      <c r="Q19" s="11">
        <f ca="1">(J19*L19/1000)+Q18</f>
        <v>0.5</v>
      </c>
      <c r="R19" s="11">
        <f ca="1">(K19*L19/1000)+R18</f>
        <v>3.5796000000000001</v>
      </c>
      <c r="S19" s="202">
        <f ca="1">Q19-P19</f>
        <v>-1.5</v>
      </c>
      <c r="T19" s="202">
        <f ca="1">R19-O19</f>
        <v>2.5796000000000001</v>
      </c>
      <c r="U19" s="202">
        <f t="shared" ref="U19" ca="1" si="9">MAX(0,S19:T19)</f>
        <v>2.5796000000000001</v>
      </c>
      <c r="V19" s="202">
        <f ca="1">V18+(U19-U18)</f>
        <v>4.1592000000000002</v>
      </c>
      <c r="W19" s="202">
        <f>SUM(J19:K19)+W18</f>
        <v>11</v>
      </c>
    </row>
    <row r="20" spans="2:23" x14ac:dyDescent="0.25">
      <c r="B20">
        <v>16</v>
      </c>
      <c r="C20" t="s">
        <v>17</v>
      </c>
      <c r="D20">
        <v>8800</v>
      </c>
      <c r="E20" s="5">
        <v>1621266400</v>
      </c>
      <c r="F20" s="309">
        <f t="shared" si="0"/>
        <v>10360</v>
      </c>
      <c r="G20">
        <v>2</v>
      </c>
      <c r="H20">
        <v>0</v>
      </c>
      <c r="I20">
        <v>2</v>
      </c>
      <c r="J20" s="30">
        <v>1</v>
      </c>
      <c r="K20" s="219">
        <v>0</v>
      </c>
      <c r="L20" s="308">
        <f t="shared" ca="1" si="8"/>
        <v>500</v>
      </c>
      <c r="M20" s="209">
        <f t="shared" ca="1" si="7"/>
        <v>0.5</v>
      </c>
      <c r="N20" s="210">
        <f t="shared" ca="1" si="7"/>
        <v>0</v>
      </c>
      <c r="O20" s="211">
        <f>J20+O19</f>
        <v>2</v>
      </c>
      <c r="P20" s="211">
        <f>K20+P19</f>
        <v>2</v>
      </c>
      <c r="Q20" s="11">
        <f ca="1">(J20*L20/1000)+Q19</f>
        <v>1</v>
      </c>
      <c r="R20" s="11">
        <f ca="1">(K20*L20/1000)+R19</f>
        <v>3.5796000000000001</v>
      </c>
      <c r="S20" s="202">
        <f ca="1">Q20-P20</f>
        <v>-1</v>
      </c>
      <c r="T20" s="202">
        <f ca="1">R20-O20</f>
        <v>1.5796000000000001</v>
      </c>
      <c r="U20" s="202">
        <f ca="1">MAX(0,S20:T20)</f>
        <v>1.5796000000000001</v>
      </c>
      <c r="V20" s="202">
        <f ca="1">V19+(U20-U19)</f>
        <v>3.1592000000000002</v>
      </c>
      <c r="W20" s="202">
        <f>SUM(J20:K20)+W19</f>
        <v>12</v>
      </c>
    </row>
    <row r="21" spans="2:23" x14ac:dyDescent="0.25">
      <c r="B21">
        <v>17</v>
      </c>
      <c r="C21" t="s">
        <v>18</v>
      </c>
      <c r="D21">
        <v>8800</v>
      </c>
      <c r="E21" s="5">
        <v>1621266400</v>
      </c>
      <c r="F21" s="309">
        <f t="shared" si="0"/>
        <v>10360</v>
      </c>
      <c r="J21" s="218"/>
      <c r="K21" s="219"/>
      <c r="L21" s="208"/>
      <c r="M21" s="209"/>
      <c r="N21" s="210"/>
      <c r="O21" s="211"/>
      <c r="P21" s="211"/>
      <c r="Q21" s="11"/>
      <c r="R21" s="11"/>
      <c r="S21" s="202"/>
      <c r="T21" s="202"/>
      <c r="U21" s="202"/>
      <c r="V21" s="202"/>
      <c r="W21" s="202"/>
    </row>
    <row r="22" spans="2:23" x14ac:dyDescent="0.25">
      <c r="B22">
        <v>18</v>
      </c>
      <c r="C22" t="s">
        <v>19</v>
      </c>
      <c r="D22">
        <v>8800</v>
      </c>
      <c r="E22" s="5">
        <v>1621266400</v>
      </c>
      <c r="F22" s="309">
        <f t="shared" si="0"/>
        <v>10360</v>
      </c>
      <c r="J22" s="218"/>
      <c r="K22" s="219"/>
      <c r="L22" s="208"/>
      <c r="M22" s="209"/>
      <c r="N22" s="210"/>
      <c r="O22" s="211"/>
      <c r="P22" s="211"/>
      <c r="Q22" s="11"/>
      <c r="R22" s="204"/>
      <c r="S22" s="202"/>
      <c r="T22" s="202"/>
      <c r="U22" s="202"/>
      <c r="V22" s="202"/>
      <c r="W22" s="202"/>
    </row>
    <row r="23" spans="2:23" x14ac:dyDescent="0.25">
      <c r="B23">
        <v>19</v>
      </c>
      <c r="C23" t="s">
        <v>20</v>
      </c>
      <c r="D23">
        <v>8800</v>
      </c>
      <c r="E23" s="5">
        <v>1621266400</v>
      </c>
      <c r="F23" s="309">
        <f t="shared" si="0"/>
        <v>10360</v>
      </c>
      <c r="J23" s="218"/>
      <c r="K23" s="219"/>
      <c r="L23" s="208"/>
      <c r="M23" s="209"/>
      <c r="N23" s="210"/>
      <c r="O23" s="211"/>
      <c r="P23" s="211"/>
      <c r="Q23" s="11"/>
      <c r="R23" s="11"/>
      <c r="S23" s="202"/>
      <c r="T23" s="202"/>
      <c r="U23" s="203"/>
      <c r="V23" s="202"/>
      <c r="W23" s="202"/>
    </row>
    <row r="24" spans="2:23" x14ac:dyDescent="0.25">
      <c r="B24">
        <v>20</v>
      </c>
      <c r="C24" t="s">
        <v>21</v>
      </c>
      <c r="D24">
        <v>8800</v>
      </c>
      <c r="E24" s="5">
        <v>1621266400</v>
      </c>
      <c r="F24" s="309">
        <f t="shared" si="0"/>
        <v>10360</v>
      </c>
      <c r="I24" s="2" t="s">
        <v>33</v>
      </c>
      <c r="J24" s="205" t="s">
        <v>34</v>
      </c>
      <c r="K24" s="206" t="s">
        <v>35</v>
      </c>
      <c r="L24" s="207" t="s">
        <v>28</v>
      </c>
      <c r="M24" s="212" t="s">
        <v>31</v>
      </c>
      <c r="N24" s="213" t="s">
        <v>32</v>
      </c>
      <c r="O24" s="214" t="s">
        <v>29</v>
      </c>
      <c r="P24" s="214" t="s">
        <v>30</v>
      </c>
      <c r="Q24" s="203" t="s">
        <v>31</v>
      </c>
      <c r="R24" s="203" t="s">
        <v>32</v>
      </c>
      <c r="S24" s="203" t="s">
        <v>36</v>
      </c>
      <c r="T24" s="203" t="s">
        <v>37</v>
      </c>
      <c r="U24" s="203" t="s">
        <v>38</v>
      </c>
      <c r="V24" s="203" t="s">
        <v>82</v>
      </c>
      <c r="W24" s="203" t="s">
        <v>81</v>
      </c>
    </row>
    <row r="25" spans="2:23" x14ac:dyDescent="0.25">
      <c r="B25">
        <v>21</v>
      </c>
      <c r="C25" t="s">
        <v>152</v>
      </c>
      <c r="D25">
        <v>8800</v>
      </c>
      <c r="E25" s="5">
        <v>1621266400</v>
      </c>
      <c r="F25" s="309">
        <f t="shared" si="0"/>
        <v>10360</v>
      </c>
      <c r="G25">
        <v>2</v>
      </c>
      <c r="H25" t="s">
        <v>148</v>
      </c>
      <c r="I25">
        <v>3</v>
      </c>
      <c r="J25" s="220">
        <v>1</v>
      </c>
      <c r="K25" s="221"/>
      <c r="L25" s="308">
        <f ca="1">OFFSET(IF(J25&gt;0,D$4,F$4),I25,0)/10</f>
        <v>919</v>
      </c>
      <c r="M25" s="209">
        <f t="shared" ref="M25:N27" ca="1" si="10">($L25*J25/1000)</f>
        <v>0.91900000000000004</v>
      </c>
      <c r="N25" s="210">
        <f t="shared" ca="1" si="10"/>
        <v>0</v>
      </c>
      <c r="O25" s="211">
        <f>J25</f>
        <v>1</v>
      </c>
      <c r="P25" s="211">
        <f>K25</f>
        <v>0</v>
      </c>
      <c r="Q25" s="11">
        <f ca="1">(J25*L25/1000)</f>
        <v>0.91900000000000004</v>
      </c>
      <c r="R25" s="11">
        <f ca="1">(K25*L25/1000)</f>
        <v>0</v>
      </c>
      <c r="S25" s="202">
        <f ca="1">Q25-P25</f>
        <v>0.91900000000000004</v>
      </c>
      <c r="T25" s="202">
        <f ca="1">R25-O25</f>
        <v>-1</v>
      </c>
      <c r="U25" s="202">
        <f ca="1">MAX(0,S25:T25)</f>
        <v>0.91900000000000004</v>
      </c>
      <c r="V25" s="202">
        <f ca="1">U25+V20</f>
        <v>4.0782000000000007</v>
      </c>
      <c r="W25" s="202">
        <f>SUM(J25:K25)+W20</f>
        <v>13</v>
      </c>
    </row>
    <row r="26" spans="2:23" x14ac:dyDescent="0.25">
      <c r="B26">
        <v>22</v>
      </c>
      <c r="C26" t="s">
        <v>153</v>
      </c>
      <c r="D26">
        <v>8800</v>
      </c>
      <c r="E26" s="5">
        <v>1621266400</v>
      </c>
      <c r="F26" s="309">
        <f t="shared" si="0"/>
        <v>10360</v>
      </c>
      <c r="G26">
        <v>2</v>
      </c>
      <c r="I26">
        <v>3</v>
      </c>
      <c r="J26" s="220">
        <v>1</v>
      </c>
      <c r="K26" s="221"/>
      <c r="L26" s="308">
        <f t="shared" ref="L26:L27" ca="1" si="11">OFFSET(IF(J26&gt;0,D$4,F$4),I26,0)/10</f>
        <v>919</v>
      </c>
      <c r="M26" s="209">
        <f t="shared" ca="1" si="10"/>
        <v>0.91900000000000004</v>
      </c>
      <c r="N26" s="210">
        <f t="shared" ca="1" si="10"/>
        <v>0</v>
      </c>
      <c r="O26" s="211">
        <f>J26+O25</f>
        <v>2</v>
      </c>
      <c r="P26" s="211">
        <f>K26+P25</f>
        <v>0</v>
      </c>
      <c r="Q26" s="11">
        <f ca="1">(J26*L26/1000)+Q25</f>
        <v>1.8380000000000001</v>
      </c>
      <c r="R26" s="11">
        <f ca="1">(K26*L26/1000)+R25</f>
        <v>0</v>
      </c>
      <c r="S26" s="202">
        <f ca="1">Q26-P26</f>
        <v>1.8380000000000001</v>
      </c>
      <c r="T26" s="202">
        <f ca="1">R26-O26</f>
        <v>-2</v>
      </c>
      <c r="U26" s="202">
        <f t="shared" ref="U26" ca="1" si="12">MAX(0,S26:T26)</f>
        <v>1.8380000000000001</v>
      </c>
      <c r="V26" s="202">
        <f ca="1">V25+(U26-U25)</f>
        <v>4.9972000000000012</v>
      </c>
      <c r="W26" s="202">
        <f>SUM(J26:K26)+W25</f>
        <v>14</v>
      </c>
    </row>
    <row r="27" spans="2:23" ht="15.75" thickBot="1" x14ac:dyDescent="0.3">
      <c r="B27">
        <v>23</v>
      </c>
      <c r="C27" t="s">
        <v>154</v>
      </c>
      <c r="D27">
        <v>8800</v>
      </c>
      <c r="E27" s="5">
        <v>1621266400</v>
      </c>
      <c r="F27" s="309">
        <f t="shared" si="0"/>
        <v>10360</v>
      </c>
      <c r="G27">
        <v>3</v>
      </c>
      <c r="I27">
        <v>3</v>
      </c>
      <c r="J27" s="222"/>
      <c r="K27" s="223">
        <v>1</v>
      </c>
      <c r="L27" s="308">
        <f t="shared" ca="1" si="11"/>
        <v>992.3</v>
      </c>
      <c r="M27" s="216">
        <f t="shared" ca="1" si="10"/>
        <v>0</v>
      </c>
      <c r="N27" s="217">
        <f t="shared" ca="1" si="10"/>
        <v>0.99229999999999996</v>
      </c>
      <c r="O27" s="215">
        <f>J27+O26</f>
        <v>2</v>
      </c>
      <c r="P27" s="215">
        <f>K27+P26</f>
        <v>1</v>
      </c>
      <c r="Q27" s="11">
        <f ca="1">(J27*L27/1000)+Q26</f>
        <v>1.8380000000000001</v>
      </c>
      <c r="R27" s="11">
        <f ca="1">(K27*L27/1000)+R26</f>
        <v>0.99229999999999996</v>
      </c>
      <c r="S27" s="202">
        <f ca="1">Q27-P27</f>
        <v>0.83800000000000008</v>
      </c>
      <c r="T27" s="202">
        <f ca="1">R27-O27</f>
        <v>-1.0077</v>
      </c>
      <c r="U27" s="202">
        <f ca="1">MAX(0,S27:T27)</f>
        <v>0.83800000000000008</v>
      </c>
      <c r="V27" s="202">
        <f ca="1">V26+(U27-U26)</f>
        <v>3.9972000000000012</v>
      </c>
      <c r="W27" s="202">
        <f>SUM(J27:K27)+W26</f>
        <v>15</v>
      </c>
    </row>
    <row r="28" spans="2:23" x14ac:dyDescent="0.25">
      <c r="B28">
        <v>24</v>
      </c>
      <c r="C28" t="s">
        <v>155</v>
      </c>
      <c r="D28">
        <v>8800</v>
      </c>
      <c r="E28" s="5">
        <v>1621266400</v>
      </c>
      <c r="F28" s="309">
        <f t="shared" si="0"/>
        <v>10360</v>
      </c>
      <c r="J28" s="208"/>
      <c r="K28" s="208"/>
      <c r="L28" s="208"/>
      <c r="M28" s="208"/>
      <c r="N28" s="208"/>
      <c r="O28" s="208"/>
      <c r="P28" s="208"/>
      <c r="S28" s="1"/>
      <c r="T28" s="1"/>
      <c r="U28" s="1"/>
      <c r="V28" s="1"/>
      <c r="W28" s="1"/>
    </row>
    <row r="29" spans="2:23" x14ac:dyDescent="0.25">
      <c r="B29">
        <v>25</v>
      </c>
      <c r="C29" t="s">
        <v>156</v>
      </c>
      <c r="D29">
        <v>8800</v>
      </c>
      <c r="E29" s="5">
        <v>1621266400</v>
      </c>
      <c r="F29" s="309">
        <f t="shared" si="0"/>
        <v>10360</v>
      </c>
      <c r="P29">
        <v>32026</v>
      </c>
      <c r="Q29">
        <f>P29/100000</f>
        <v>0.32025999999999999</v>
      </c>
      <c r="U29" t="s">
        <v>60</v>
      </c>
      <c r="V29" s="6"/>
      <c r="W29" s="1"/>
    </row>
    <row r="30" spans="2:23" x14ac:dyDescent="0.25">
      <c r="B30">
        <v>26</v>
      </c>
      <c r="C30" t="s">
        <v>157</v>
      </c>
      <c r="D30">
        <v>8800</v>
      </c>
      <c r="E30" s="5">
        <v>1621266400</v>
      </c>
      <c r="F30" s="309">
        <f t="shared" si="0"/>
        <v>10360</v>
      </c>
      <c r="H30" s="51"/>
      <c r="J30" s="4"/>
      <c r="P30">
        <v>4967974</v>
      </c>
      <c r="Q30">
        <f>P30/100000</f>
        <v>49.679740000000002</v>
      </c>
      <c r="T30" s="2" t="s">
        <v>33</v>
      </c>
      <c r="U30" s="2" t="s">
        <v>206</v>
      </c>
      <c r="V30" s="6" t="s">
        <v>207</v>
      </c>
      <c r="W30" s="1"/>
    </row>
    <row r="31" spans="2:23" x14ac:dyDescent="0.25">
      <c r="B31">
        <v>27</v>
      </c>
      <c r="C31" t="s">
        <v>162</v>
      </c>
      <c r="D31">
        <v>8800</v>
      </c>
      <c r="E31" s="5">
        <v>1621266400</v>
      </c>
      <c r="F31" s="309">
        <f t="shared" si="0"/>
        <v>10360</v>
      </c>
      <c r="J31" s="3"/>
      <c r="K31" s="2"/>
      <c r="L31" s="2"/>
      <c r="M31" s="2"/>
      <c r="N31" s="2"/>
      <c r="O31" s="2"/>
      <c r="Q31" s="287">
        <f>Q30+Q29</f>
        <v>50</v>
      </c>
      <c r="R31" s="7"/>
      <c r="S31" s="7"/>
      <c r="T31" s="2">
        <v>0</v>
      </c>
      <c r="U31">
        <v>1</v>
      </c>
      <c r="V31">
        <v>0</v>
      </c>
    </row>
    <row r="32" spans="2:23" x14ac:dyDescent="0.25">
      <c r="B32">
        <v>28</v>
      </c>
      <c r="C32" t="s">
        <v>158</v>
      </c>
      <c r="D32">
        <v>8800</v>
      </c>
      <c r="E32" s="5">
        <v>1621266400</v>
      </c>
      <c r="F32" s="309">
        <f t="shared" si="0"/>
        <v>10360</v>
      </c>
      <c r="L32" s="1"/>
      <c r="M32" s="1"/>
      <c r="N32" s="1"/>
      <c r="O32" s="1"/>
      <c r="Q32" s="4"/>
      <c r="R32" s="6"/>
      <c r="S32" s="6"/>
      <c r="T32" s="2">
        <v>1</v>
      </c>
      <c r="U32">
        <v>1</v>
      </c>
      <c r="V32">
        <v>0</v>
      </c>
    </row>
    <row r="33" spans="2:22" x14ac:dyDescent="0.25">
      <c r="B33">
        <v>29</v>
      </c>
      <c r="C33" t="s">
        <v>159</v>
      </c>
      <c r="D33">
        <v>8800</v>
      </c>
      <c r="E33" s="5">
        <v>1621266400</v>
      </c>
      <c r="F33" s="309">
        <f t="shared" si="0"/>
        <v>10360</v>
      </c>
      <c r="L33" s="1"/>
      <c r="M33" s="1"/>
      <c r="N33" s="1"/>
      <c r="O33" s="1"/>
      <c r="P33" s="1"/>
      <c r="S33" s="6"/>
      <c r="T33" s="2">
        <v>2</v>
      </c>
      <c r="U33">
        <v>0</v>
      </c>
      <c r="V33">
        <v>2</v>
      </c>
    </row>
    <row r="34" spans="2:22" x14ac:dyDescent="0.25">
      <c r="B34">
        <v>30</v>
      </c>
      <c r="C34" t="s">
        <v>160</v>
      </c>
      <c r="D34">
        <v>8800</v>
      </c>
      <c r="E34" s="5">
        <v>1621266400</v>
      </c>
      <c r="F34" s="309">
        <f t="shared" si="0"/>
        <v>10360</v>
      </c>
      <c r="L34" s="1"/>
      <c r="M34" s="1"/>
      <c r="N34" s="1"/>
      <c r="O34" s="1"/>
      <c r="Q34" s="6"/>
      <c r="R34" s="6"/>
      <c r="S34" s="6"/>
      <c r="T34" s="2">
        <v>3</v>
      </c>
      <c r="U34" s="2">
        <v>2</v>
      </c>
      <c r="V34">
        <v>1</v>
      </c>
    </row>
    <row r="35" spans="2:22" ht="15.75" thickBot="1" x14ac:dyDescent="0.3">
      <c r="B35">
        <v>31</v>
      </c>
      <c r="C35" t="s">
        <v>161</v>
      </c>
      <c r="D35">
        <v>8800</v>
      </c>
      <c r="E35" s="5">
        <v>1621266400</v>
      </c>
      <c r="F35" s="309">
        <f t="shared" si="0"/>
        <v>10360</v>
      </c>
      <c r="J35" s="160"/>
      <c r="K35" s="160"/>
      <c r="L35" s="165"/>
      <c r="M35" s="165"/>
      <c r="N35" s="165"/>
      <c r="O35" s="165"/>
      <c r="P35" s="160"/>
      <c r="Q35" s="162" t="s">
        <v>88</v>
      </c>
      <c r="R35" s="161" t="s">
        <v>46</v>
      </c>
      <c r="S35" s="161" t="s">
        <v>123</v>
      </c>
      <c r="T35" s="160"/>
      <c r="U35" s="160"/>
    </row>
    <row r="36" spans="2:22" x14ac:dyDescent="0.25">
      <c r="J36" s="160"/>
      <c r="K36" s="160"/>
      <c r="L36" s="165"/>
      <c r="M36" s="165"/>
      <c r="N36" s="165"/>
      <c r="O36" s="165" t="s">
        <v>135</v>
      </c>
      <c r="P36" s="165" t="s">
        <v>84</v>
      </c>
      <c r="Q36" s="259">
        <v>30</v>
      </c>
      <c r="R36" s="260">
        <v>30</v>
      </c>
      <c r="S36" s="261">
        <f ca="1">(R36+R38-L38)</f>
        <v>29.594799999999999</v>
      </c>
      <c r="T36" s="160"/>
      <c r="U36" s="167" t="s">
        <v>205</v>
      </c>
    </row>
    <row r="37" spans="2:22" ht="15.75" thickBot="1" x14ac:dyDescent="0.3">
      <c r="C37" s="50"/>
      <c r="J37" s="160"/>
      <c r="K37" s="160"/>
      <c r="L37" s="160"/>
      <c r="M37" s="165"/>
      <c r="N37" s="165"/>
      <c r="O37" s="165" t="s">
        <v>136</v>
      </c>
      <c r="P37" s="165" t="s">
        <v>82</v>
      </c>
      <c r="Q37" s="262">
        <v>0</v>
      </c>
      <c r="R37" s="263">
        <f ca="1">U27+U20+U13+U6</f>
        <v>3.9972000000000003</v>
      </c>
      <c r="S37" s="264">
        <v>0</v>
      </c>
      <c r="T37" s="160"/>
      <c r="U37" s="167"/>
    </row>
    <row r="38" spans="2:22" x14ac:dyDescent="0.25">
      <c r="J38" s="163"/>
      <c r="K38" s="265" t="s">
        <v>121</v>
      </c>
      <c r="L38" s="164">
        <f ca="1">$P$6+$R$6+$P$13+$R$13+$O$20+$Q$20+$O$27+$P$27</f>
        <v>15.405200000000001</v>
      </c>
      <c r="M38" s="162"/>
      <c r="N38" s="165"/>
      <c r="O38" s="165" t="s">
        <v>137</v>
      </c>
      <c r="P38" s="165" t="s">
        <v>81</v>
      </c>
      <c r="Q38" s="266">
        <v>0</v>
      </c>
      <c r="R38" s="166">
        <f>SUM(J4:K28)</f>
        <v>15</v>
      </c>
      <c r="S38" s="264">
        <v>0</v>
      </c>
      <c r="T38" s="160"/>
      <c r="U38" s="167"/>
    </row>
    <row r="39" spans="2:22" x14ac:dyDescent="0.25">
      <c r="C39" s="2"/>
      <c r="D39" s="2"/>
      <c r="E39" s="76"/>
      <c r="J39" s="267"/>
      <c r="K39" s="268" t="s">
        <v>120</v>
      </c>
      <c r="L39" s="269">
        <f ca="1">+$R$6+$R$13+$Q$20</f>
        <v>6.4051999999999998</v>
      </c>
      <c r="M39" s="165"/>
      <c r="N39" s="165"/>
      <c r="O39" s="165"/>
      <c r="P39" s="165" t="s">
        <v>151</v>
      </c>
      <c r="Q39" s="266">
        <v>0</v>
      </c>
      <c r="R39" s="166">
        <v>0</v>
      </c>
      <c r="S39" s="264">
        <f ca="1">(R6+R13+Q20)*0.05</f>
        <v>0.32025999999999999</v>
      </c>
      <c r="T39" s="160"/>
      <c r="U39" s="167"/>
    </row>
    <row r="40" spans="2:22" ht="15.75" thickBot="1" x14ac:dyDescent="0.3">
      <c r="B40" s="1"/>
      <c r="C40" s="1"/>
      <c r="D40" s="2"/>
      <c r="E40" s="75"/>
      <c r="J40" s="270"/>
      <c r="K40" s="271" t="s">
        <v>41</v>
      </c>
      <c r="L40" s="272">
        <f ca="1">0.05*L39</f>
        <v>0.32025999999999999</v>
      </c>
      <c r="M40" s="165"/>
      <c r="N40" s="165"/>
      <c r="O40" s="165"/>
      <c r="P40" s="165" t="s">
        <v>91</v>
      </c>
      <c r="Q40" s="266">
        <v>50</v>
      </c>
      <c r="R40" s="166">
        <v>50</v>
      </c>
      <c r="S40" s="264">
        <f ca="1">R40-L40</f>
        <v>49.679740000000002</v>
      </c>
      <c r="T40" s="160"/>
      <c r="U40" s="273"/>
      <c r="V40" s="58"/>
    </row>
    <row r="41" spans="2:22" x14ac:dyDescent="0.25">
      <c r="B41" s="1"/>
      <c r="C41" s="1"/>
      <c r="D41" s="10"/>
      <c r="E41" s="75"/>
      <c r="J41" s="160"/>
      <c r="K41" s="160"/>
      <c r="L41" s="160"/>
      <c r="M41" s="160"/>
      <c r="N41" s="165"/>
      <c r="O41" s="162"/>
      <c r="P41" s="165" t="s">
        <v>93</v>
      </c>
      <c r="Q41" s="266">
        <v>10</v>
      </c>
      <c r="R41" s="166">
        <v>2</v>
      </c>
      <c r="S41" s="264">
        <f ca="1">(0.95*(M18+M20)-J6-J4-J11-J13+Q41)</f>
        <v>6.95</v>
      </c>
      <c r="T41" s="274"/>
      <c r="U41" s="160"/>
    </row>
    <row r="42" spans="2:22" ht="17.25" thickBot="1" x14ac:dyDescent="0.35">
      <c r="B42" s="1"/>
      <c r="D42" s="77"/>
      <c r="E42" s="78"/>
      <c r="J42" s="160"/>
      <c r="K42" s="160"/>
      <c r="L42" s="275"/>
      <c r="M42" s="160"/>
      <c r="N42" s="165"/>
      <c r="O42" s="162"/>
      <c r="P42" s="165" t="s">
        <v>122</v>
      </c>
      <c r="Q42" s="276">
        <v>10</v>
      </c>
      <c r="R42" s="277">
        <v>3</v>
      </c>
      <c r="S42" s="278">
        <f ca="1">(Q42+(N5+N12)*0.95-K19)</f>
        <v>13.13494</v>
      </c>
      <c r="T42" s="160"/>
      <c r="U42" s="160"/>
      <c r="V42" s="20"/>
    </row>
    <row r="43" spans="2:22" x14ac:dyDescent="0.25">
      <c r="B43" s="1"/>
      <c r="C43" s="1"/>
      <c r="E43" s="78"/>
      <c r="N43" s="1"/>
      <c r="S43" s="15"/>
      <c r="T43" s="20"/>
    </row>
    <row r="44" spans="2:22" ht="15.75" thickBot="1" x14ac:dyDescent="0.3">
      <c r="B44" s="1"/>
      <c r="C44" s="1"/>
      <c r="E44" s="78"/>
      <c r="L44" s="1"/>
      <c r="M44" s="1"/>
      <c r="N44" s="1"/>
      <c r="O44" s="1"/>
      <c r="Q44" s="4" t="s">
        <v>88</v>
      </c>
      <c r="R44" s="2" t="s">
        <v>46</v>
      </c>
      <c r="S44" s="2" t="s">
        <v>123</v>
      </c>
      <c r="T44" s="20"/>
    </row>
    <row r="45" spans="2:22" x14ac:dyDescent="0.25">
      <c r="B45" s="1"/>
      <c r="C45" s="1"/>
      <c r="D45" s="4"/>
      <c r="E45" s="78"/>
      <c r="J45" s="224"/>
      <c r="K45" s="224"/>
      <c r="L45" s="225"/>
      <c r="M45" s="225"/>
      <c r="N45" s="225"/>
      <c r="O45" s="225" t="s">
        <v>135</v>
      </c>
      <c r="P45" s="225" t="s">
        <v>84</v>
      </c>
      <c r="Q45" s="226">
        <v>30</v>
      </c>
      <c r="R45" s="227">
        <v>30</v>
      </c>
      <c r="S45" s="228">
        <f ca="1">(R45+R47-L47)</f>
        <v>32.009699999999995</v>
      </c>
      <c r="T45" s="224"/>
      <c r="U45" s="229" t="s">
        <v>204</v>
      </c>
    </row>
    <row r="46" spans="2:22" ht="15.75" thickBot="1" x14ac:dyDescent="0.3">
      <c r="B46" s="1"/>
      <c r="C46" s="1"/>
      <c r="J46" s="224"/>
      <c r="K46" s="224"/>
      <c r="L46" s="224"/>
      <c r="M46" s="225"/>
      <c r="N46" s="225"/>
      <c r="O46" s="225" t="s">
        <v>136</v>
      </c>
      <c r="P46" s="225" t="s">
        <v>82</v>
      </c>
      <c r="Q46" s="230">
        <v>0</v>
      </c>
      <c r="R46" s="231">
        <f ca="1">U27+U20+U13+U6</f>
        <v>3.9972000000000003</v>
      </c>
      <c r="S46" s="232">
        <v>0</v>
      </c>
      <c r="T46" s="233"/>
      <c r="U46" s="229"/>
    </row>
    <row r="47" spans="2:22" x14ac:dyDescent="0.25">
      <c r="B47" s="1"/>
      <c r="C47" s="1"/>
      <c r="J47" s="234"/>
      <c r="K47" s="235" t="s">
        <v>121</v>
      </c>
      <c r="L47" s="236">
        <f ca="1">O6+Q6+O13+Q13+P20+O20+P27+R27</f>
        <v>12.990300000000001</v>
      </c>
      <c r="M47" s="237"/>
      <c r="N47" s="225"/>
      <c r="O47" s="225" t="s">
        <v>137</v>
      </c>
      <c r="P47" s="225" t="s">
        <v>81</v>
      </c>
      <c r="Q47" s="238">
        <v>0</v>
      </c>
      <c r="R47" s="239">
        <f>SUM(J4:K28)</f>
        <v>15</v>
      </c>
      <c r="S47" s="232">
        <v>0</v>
      </c>
      <c r="T47" s="240"/>
      <c r="U47" s="229"/>
    </row>
    <row r="48" spans="2:22" x14ac:dyDescent="0.25">
      <c r="J48" s="241"/>
      <c r="K48" s="242" t="s">
        <v>120</v>
      </c>
      <c r="L48" s="243">
        <f ca="1">+Q6+Q13+R27</f>
        <v>3.9903000000000004</v>
      </c>
      <c r="M48" s="225"/>
      <c r="N48" s="225"/>
      <c r="O48" s="225"/>
      <c r="P48" s="225" t="s">
        <v>151</v>
      </c>
      <c r="Q48" s="238">
        <v>0</v>
      </c>
      <c r="R48" s="239">
        <v>0</v>
      </c>
      <c r="S48" s="232">
        <f ca="1">(Q6+Q13+R27)*0.05</f>
        <v>0.19951500000000003</v>
      </c>
      <c r="T48" s="224"/>
      <c r="U48" s="229"/>
    </row>
    <row r="49" spans="10:21" ht="15.75" thickBot="1" x14ac:dyDescent="0.3">
      <c r="J49" s="244"/>
      <c r="K49" s="245" t="s">
        <v>41</v>
      </c>
      <c r="L49" s="246">
        <f ca="1">0.05*L48</f>
        <v>0.19951500000000003</v>
      </c>
      <c r="M49" s="225"/>
      <c r="N49" s="225"/>
      <c r="O49" s="225"/>
      <c r="P49" s="225" t="s">
        <v>91</v>
      </c>
      <c r="Q49" s="238">
        <v>50</v>
      </c>
      <c r="R49" s="239">
        <v>50</v>
      </c>
      <c r="S49" s="232">
        <f ca="1">R49-L49</f>
        <v>49.800485000000002</v>
      </c>
      <c r="T49" s="224"/>
      <c r="U49" s="229"/>
    </row>
    <row r="50" spans="10:21" x14ac:dyDescent="0.25">
      <c r="J50" s="224"/>
      <c r="K50" s="224"/>
      <c r="L50" s="224"/>
      <c r="M50" s="224"/>
      <c r="N50" s="225"/>
      <c r="O50" s="237"/>
      <c r="P50" s="225" t="s">
        <v>93</v>
      </c>
      <c r="Q50" s="238">
        <v>10</v>
      </c>
      <c r="R50" s="239">
        <v>2</v>
      </c>
      <c r="S50" s="232">
        <f ca="1">(0.95*(M4+M6+M11+M13)-J25-J26+Q50)</f>
        <v>10.848100000000001</v>
      </c>
      <c r="T50" s="224"/>
      <c r="U50" s="229"/>
    </row>
    <row r="51" spans="10:21" ht="15.75" thickBot="1" x14ac:dyDescent="0.3">
      <c r="J51" s="224"/>
      <c r="K51" s="224"/>
      <c r="L51" s="247"/>
      <c r="M51" s="224"/>
      <c r="N51" s="225"/>
      <c r="O51" s="237"/>
      <c r="P51" s="225" t="s">
        <v>122</v>
      </c>
      <c r="Q51" s="248">
        <v>10</v>
      </c>
      <c r="R51" s="249">
        <v>3</v>
      </c>
      <c r="S51" s="250">
        <f ca="1">(Q51+(N27)*0.95-K5-K12)</f>
        <v>6.9426849999999991</v>
      </c>
      <c r="T51" s="224"/>
      <c r="U51" s="229"/>
    </row>
    <row r="52" spans="10:21" x14ac:dyDescent="0.25">
      <c r="N52" s="1"/>
      <c r="S52" s="1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A6C5E-91EE-4299-8FE0-BE203C94C1B8}">
  <sheetPr codeName="Sheet9"/>
  <dimension ref="A1:AA45"/>
  <sheetViews>
    <sheetView topLeftCell="D1" zoomScale="75" zoomScaleNormal="75" workbookViewId="0">
      <selection activeCell="L10" sqref="L10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6" width="9.140625" customWidth="1"/>
    <col min="7" max="7" width="11.85546875" customWidth="1"/>
    <col min="9" max="9" width="12.7109375" customWidth="1"/>
    <col min="10" max="10" width="13" customWidth="1"/>
    <col min="11" max="11" width="13.28515625" customWidth="1"/>
    <col min="12" max="12" width="16.7109375" customWidth="1"/>
    <col min="13" max="13" width="23.5703125" customWidth="1"/>
    <col min="14" max="14" width="16.85546875" customWidth="1"/>
    <col min="15" max="15" width="23.7109375" bestFit="1" customWidth="1"/>
    <col min="16" max="16" width="20.5703125" customWidth="1"/>
    <col min="17" max="17" width="18.5703125" customWidth="1"/>
    <col min="18" max="18" width="15" customWidth="1"/>
    <col min="19" max="19" width="17.140625" customWidth="1"/>
    <col min="20" max="20" width="12.7109375" customWidth="1"/>
    <col min="21" max="21" width="11.28515625" customWidth="1"/>
    <col min="22" max="22" width="12.140625" customWidth="1"/>
    <col min="23" max="23" width="14.7109375" customWidth="1"/>
    <col min="24" max="24" width="11" customWidth="1"/>
    <col min="26" max="28" width="10.28515625" bestFit="1" customWidth="1"/>
    <col min="29" max="31" width="11.42578125" customWidth="1"/>
    <col min="32" max="37" width="12" customWidth="1"/>
    <col min="38" max="38" width="12" bestFit="1" customWidth="1"/>
    <col min="39" max="39" width="12.5703125" bestFit="1" customWidth="1"/>
    <col min="40" max="40" width="11.42578125" customWidth="1"/>
    <col min="46" max="46" width="12" bestFit="1" customWidth="1"/>
    <col min="48" max="48" width="10.5703125" bestFit="1" customWidth="1"/>
    <col min="54" max="54" width="12" bestFit="1" customWidth="1"/>
    <col min="56" max="56" width="10.5703125" bestFit="1" customWidth="1"/>
  </cols>
  <sheetData>
    <row r="1" spans="1:27" x14ac:dyDescent="0.25">
      <c r="C1" s="1" t="s">
        <v>49</v>
      </c>
    </row>
    <row r="2" spans="1:27" x14ac:dyDescent="0.25">
      <c r="I2" t="s">
        <v>0</v>
      </c>
      <c r="J2" t="s">
        <v>0</v>
      </c>
      <c r="R2" s="2"/>
    </row>
    <row r="3" spans="1:27" x14ac:dyDescent="0.25">
      <c r="G3" s="2" t="s">
        <v>107</v>
      </c>
      <c r="H3" s="2" t="s">
        <v>33</v>
      </c>
      <c r="I3" s="2" t="s">
        <v>139</v>
      </c>
      <c r="J3" s="2" t="s">
        <v>140</v>
      </c>
      <c r="K3" s="2" t="s">
        <v>28</v>
      </c>
      <c r="L3" s="2" t="s">
        <v>87</v>
      </c>
      <c r="M3" s="2" t="s">
        <v>61</v>
      </c>
      <c r="N3" s="2" t="s">
        <v>134</v>
      </c>
      <c r="O3" s="2" t="s">
        <v>147</v>
      </c>
      <c r="P3" s="2"/>
      <c r="Q3" s="2"/>
      <c r="R3" s="2"/>
      <c r="S3" s="2"/>
      <c r="T3" s="2"/>
      <c r="U3" s="2"/>
      <c r="V3" s="2"/>
      <c r="W3" s="2"/>
      <c r="Z3" s="2"/>
      <c r="AA3" s="2"/>
    </row>
    <row r="4" spans="1:27" x14ac:dyDescent="0.25">
      <c r="A4">
        <f t="shared" ref="A4:A35" si="0">INT(100000/(1+D4/1000))</f>
        <v>80000</v>
      </c>
      <c r="B4">
        <v>0</v>
      </c>
      <c r="C4" t="s">
        <v>1</v>
      </c>
      <c r="D4">
        <v>250</v>
      </c>
      <c r="E4" s="5">
        <v>1611266400</v>
      </c>
      <c r="F4">
        <f>INT(1000000/(D4+45))-45</f>
        <v>3344</v>
      </c>
      <c r="G4">
        <v>3</v>
      </c>
      <c r="H4">
        <v>0</v>
      </c>
      <c r="I4">
        <v>0</v>
      </c>
      <c r="J4">
        <v>10000</v>
      </c>
      <c r="K4">
        <f>MOD(D4,10000)</f>
        <v>250</v>
      </c>
      <c r="L4">
        <f>J4*K4/1000</f>
        <v>2500</v>
      </c>
      <c r="M4" t="b">
        <v>0</v>
      </c>
      <c r="N4">
        <v>0</v>
      </c>
      <c r="O4">
        <v>0</v>
      </c>
      <c r="P4" s="32"/>
      <c r="Q4" s="32"/>
      <c r="R4" s="6"/>
      <c r="S4" s="6"/>
      <c r="T4" s="6"/>
      <c r="U4" s="6"/>
      <c r="V4" s="6"/>
      <c r="W4" s="6"/>
      <c r="X4" s="6"/>
    </row>
    <row r="5" spans="1:27" x14ac:dyDescent="0.25">
      <c r="A5">
        <f t="shared" si="0"/>
        <v>66666</v>
      </c>
      <c r="B5">
        <v>1</v>
      </c>
      <c r="C5" t="s">
        <v>17</v>
      </c>
      <c r="D5">
        <v>500</v>
      </c>
      <c r="E5" s="5">
        <v>1611266400</v>
      </c>
      <c r="F5">
        <f t="shared" ref="F5:F35" si="1">INT(1000000/(D5+45))-45</f>
        <v>1789</v>
      </c>
      <c r="G5">
        <v>3</v>
      </c>
      <c r="H5">
        <v>1</v>
      </c>
      <c r="I5">
        <v>0</v>
      </c>
      <c r="J5">
        <v>10000</v>
      </c>
      <c r="K5">
        <f>MOD(D5,10000)</f>
        <v>500</v>
      </c>
      <c r="L5">
        <f t="shared" ref="L5:L6" si="2">J5*K5/1000</f>
        <v>5000</v>
      </c>
      <c r="M5" t="b">
        <v>1</v>
      </c>
      <c r="N5" s="3">
        <f>L5*0.05</f>
        <v>250</v>
      </c>
      <c r="O5" s="20">
        <f>L5-N5+J5</f>
        <v>14750</v>
      </c>
      <c r="P5" s="59"/>
      <c r="Q5" s="32"/>
      <c r="R5" s="6"/>
      <c r="S5" s="6"/>
      <c r="T5" s="6"/>
      <c r="U5" s="6"/>
      <c r="V5" s="6"/>
      <c r="W5" s="6"/>
      <c r="X5" s="6"/>
    </row>
    <row r="6" spans="1:27" x14ac:dyDescent="0.25">
      <c r="A6">
        <f t="shared" si="0"/>
        <v>83333</v>
      </c>
      <c r="B6">
        <v>2</v>
      </c>
      <c r="C6" t="s">
        <v>3</v>
      </c>
      <c r="D6">
        <v>200</v>
      </c>
      <c r="E6" s="5">
        <v>1611266400</v>
      </c>
      <c r="F6">
        <f t="shared" si="1"/>
        <v>4036</v>
      </c>
      <c r="G6">
        <v>3</v>
      </c>
      <c r="H6">
        <v>3</v>
      </c>
      <c r="I6">
        <v>1</v>
      </c>
      <c r="J6">
        <v>10000</v>
      </c>
      <c r="K6">
        <f>MOD(F7,10000)</f>
        <v>992</v>
      </c>
      <c r="L6">
        <f t="shared" si="2"/>
        <v>9920</v>
      </c>
      <c r="M6" t="s">
        <v>62</v>
      </c>
      <c r="N6">
        <v>0</v>
      </c>
      <c r="O6">
        <f>J6</f>
        <v>10000</v>
      </c>
      <c r="P6" s="32"/>
      <c r="Q6" s="32"/>
      <c r="R6" s="6"/>
      <c r="T6" s="6"/>
      <c r="U6" s="6"/>
      <c r="V6" s="6"/>
      <c r="W6" s="6"/>
      <c r="X6" s="6"/>
    </row>
    <row r="7" spans="1:27" x14ac:dyDescent="0.25">
      <c r="A7">
        <f t="shared" si="0"/>
        <v>52110</v>
      </c>
      <c r="B7">
        <v>3</v>
      </c>
      <c r="C7" t="s">
        <v>4</v>
      </c>
      <c r="D7">
        <v>919</v>
      </c>
      <c r="E7" s="5">
        <v>1611266400</v>
      </c>
      <c r="F7">
        <f t="shared" si="1"/>
        <v>992</v>
      </c>
      <c r="T7" s="6"/>
      <c r="U7" s="6"/>
      <c r="V7" s="6"/>
      <c r="W7" s="6"/>
      <c r="X7" s="6"/>
    </row>
    <row r="8" spans="1:27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1611266400</v>
      </c>
      <c r="F8">
        <f t="shared" si="1"/>
        <v>1003</v>
      </c>
      <c r="P8" s="32"/>
      <c r="Q8" s="32"/>
      <c r="R8" s="6"/>
      <c r="S8" s="6"/>
      <c r="T8" s="2"/>
      <c r="U8" s="2"/>
      <c r="V8" s="6"/>
      <c r="W8" s="6"/>
      <c r="X8" s="6"/>
    </row>
    <row r="9" spans="1:27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1609290000</v>
      </c>
      <c r="F9">
        <f t="shared" si="1"/>
        <v>1138</v>
      </c>
      <c r="O9" s="11"/>
      <c r="P9" s="32">
        <f>2^16</f>
        <v>65536</v>
      </c>
      <c r="Q9" s="32"/>
      <c r="R9" s="6"/>
      <c r="S9" s="6"/>
      <c r="T9" s="6"/>
      <c r="U9" s="6"/>
      <c r="V9" s="6"/>
      <c r="W9" s="6"/>
      <c r="X9" s="6"/>
    </row>
    <row r="10" spans="1:27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1611266400</v>
      </c>
      <c r="F10">
        <f t="shared" si="1"/>
        <v>1756</v>
      </c>
      <c r="G10" s="2" t="s">
        <v>107</v>
      </c>
      <c r="H10" s="2" t="s">
        <v>33</v>
      </c>
      <c r="I10" s="2" t="s">
        <v>139</v>
      </c>
      <c r="J10" s="2" t="s">
        <v>140</v>
      </c>
      <c r="K10" s="2" t="s">
        <v>28</v>
      </c>
      <c r="L10" s="2" t="s">
        <v>87</v>
      </c>
      <c r="M10" s="2" t="s">
        <v>61</v>
      </c>
      <c r="N10" s="2" t="s">
        <v>134</v>
      </c>
      <c r="O10" s="2" t="s">
        <v>147</v>
      </c>
      <c r="P10" s="33"/>
      <c r="Q10" s="33"/>
      <c r="R10" s="2"/>
      <c r="S10" s="2"/>
      <c r="T10" s="6"/>
      <c r="U10" s="6"/>
      <c r="V10" s="6"/>
      <c r="W10" s="6"/>
      <c r="X10" s="6"/>
      <c r="Z10" s="2"/>
      <c r="AA10" s="2"/>
    </row>
    <row r="11" spans="1:27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1611266400</v>
      </c>
      <c r="F11">
        <f t="shared" si="1"/>
        <v>1230</v>
      </c>
      <c r="G11">
        <v>2</v>
      </c>
      <c r="H11">
        <v>0</v>
      </c>
      <c r="I11">
        <v>1</v>
      </c>
      <c r="J11">
        <v>10000</v>
      </c>
      <c r="K11">
        <f>MOD(F4,10000)</f>
        <v>3344</v>
      </c>
      <c r="L11">
        <f>K11/1000*J11</f>
        <v>33440</v>
      </c>
      <c r="M11" t="b">
        <v>1</v>
      </c>
      <c r="N11" s="3">
        <f>L11*0.05</f>
        <v>1672</v>
      </c>
      <c r="O11" s="15">
        <f>L11-N11+J11</f>
        <v>41768</v>
      </c>
      <c r="P11" s="61"/>
      <c r="Q11" s="32"/>
      <c r="R11" s="6"/>
      <c r="S11" s="6"/>
      <c r="T11" s="6"/>
      <c r="U11" s="6"/>
      <c r="V11" s="6"/>
      <c r="W11" s="6"/>
      <c r="X11" s="6"/>
    </row>
    <row r="12" spans="1:27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1611266400</v>
      </c>
      <c r="F12">
        <f t="shared" si="1"/>
        <v>1458</v>
      </c>
      <c r="G12">
        <v>2</v>
      </c>
      <c r="H12">
        <v>2</v>
      </c>
      <c r="I12">
        <v>1</v>
      </c>
      <c r="J12">
        <v>10000</v>
      </c>
      <c r="K12">
        <f>MOD(F6,10000)</f>
        <v>4036</v>
      </c>
      <c r="L12">
        <f>K12/1000*J12</f>
        <v>40359.999999999993</v>
      </c>
      <c r="M12" t="b">
        <v>1</v>
      </c>
      <c r="N12" s="3">
        <f>(L12*0.05)</f>
        <v>2017.9999999999998</v>
      </c>
      <c r="O12">
        <f t="shared" ref="O12" si="3">L12-N12+J12</f>
        <v>48341.999999999993</v>
      </c>
      <c r="P12" s="60"/>
      <c r="Q12" s="32"/>
      <c r="R12" s="6"/>
      <c r="S12" s="6"/>
      <c r="T12" s="6"/>
      <c r="U12" s="6"/>
      <c r="V12" s="6"/>
      <c r="W12" s="6"/>
      <c r="X12" s="6"/>
    </row>
    <row r="13" spans="1:27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1611266400</v>
      </c>
      <c r="F13">
        <f t="shared" si="1"/>
        <v>950</v>
      </c>
      <c r="O13" s="4"/>
      <c r="P13" s="6"/>
      <c r="Q13" s="6"/>
      <c r="R13" s="34"/>
      <c r="S13" s="6"/>
      <c r="T13" s="6"/>
      <c r="U13" s="6"/>
      <c r="V13" s="6"/>
      <c r="W13" s="6"/>
      <c r="X13" s="6"/>
    </row>
    <row r="14" spans="1:27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1609290000</v>
      </c>
      <c r="F14">
        <f t="shared" si="1"/>
        <v>1393</v>
      </c>
      <c r="N14" s="2" t="s">
        <v>144</v>
      </c>
      <c r="O14" s="2" t="s">
        <v>145</v>
      </c>
      <c r="R14" s="2"/>
      <c r="S14" s="6"/>
      <c r="T14" s="7"/>
      <c r="U14" s="7"/>
      <c r="V14" s="6"/>
      <c r="W14" s="6"/>
    </row>
    <row r="15" spans="1:27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1611266400</v>
      </c>
      <c r="F15">
        <f t="shared" si="1"/>
        <v>1319</v>
      </c>
      <c r="I15" s="50">
        <v>1E+18</v>
      </c>
      <c r="J15" s="50">
        <v>1E+18</v>
      </c>
      <c r="L15" s="41"/>
      <c r="M15" t="s">
        <v>138</v>
      </c>
      <c r="N15" s="4">
        <v>300000</v>
      </c>
      <c r="O15" s="4">
        <f>N15+SUM(J4:J12)-J5-J6-J11-J12-L11-L12</f>
        <v>236200</v>
      </c>
      <c r="S15" s="6"/>
      <c r="T15" s="6"/>
      <c r="U15" s="6"/>
      <c r="V15" s="7"/>
      <c r="W15" s="6"/>
    </row>
    <row r="16" spans="1:27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1611266400</v>
      </c>
      <c r="F16">
        <f t="shared" si="1"/>
        <v>940</v>
      </c>
      <c r="J16">
        <v>3000000000000000</v>
      </c>
      <c r="M16" t="s">
        <v>64</v>
      </c>
      <c r="N16" s="4">
        <v>20000</v>
      </c>
      <c r="O16" s="3">
        <f>INT(N16+L11+L12-N11-N12)</f>
        <v>90110</v>
      </c>
      <c r="P16" s="15"/>
      <c r="S16" s="7"/>
      <c r="T16" s="6"/>
      <c r="U16" s="6"/>
      <c r="V16" s="6"/>
      <c r="W16" s="6"/>
    </row>
    <row r="17" spans="1:27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1611266400</v>
      </c>
      <c r="F17">
        <f t="shared" si="1"/>
        <v>1245</v>
      </c>
      <c r="J17" s="1"/>
      <c r="K17" s="1"/>
      <c r="M17" t="s">
        <v>65</v>
      </c>
      <c r="N17" s="4">
        <v>30000</v>
      </c>
      <c r="O17" s="4">
        <f>N17-J4-J5-J6+O5+O6</f>
        <v>24750</v>
      </c>
      <c r="P17" s="6"/>
      <c r="Q17" s="6"/>
      <c r="S17" s="6"/>
      <c r="T17" s="6"/>
      <c r="U17" s="6"/>
      <c r="V17" s="6"/>
      <c r="W17" s="6"/>
      <c r="Z17" s="2"/>
      <c r="AA17" s="2"/>
    </row>
    <row r="18" spans="1:27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1611266400</v>
      </c>
      <c r="F18">
        <f t="shared" si="1"/>
        <v>1299</v>
      </c>
      <c r="J18" s="1"/>
      <c r="K18" s="1"/>
      <c r="M18" s="50"/>
      <c r="S18" s="6"/>
      <c r="T18" s="6"/>
      <c r="U18" s="6"/>
      <c r="V18" s="6"/>
      <c r="W18" s="6"/>
      <c r="X18" s="7"/>
    </row>
    <row r="19" spans="1:27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1609290000</v>
      </c>
      <c r="F19">
        <f t="shared" si="1"/>
        <v>1031</v>
      </c>
      <c r="J19" s="50">
        <v>100000000000000</v>
      </c>
      <c r="K19" s="1"/>
      <c r="M19" s="50"/>
      <c r="N19" s="4"/>
      <c r="O19" s="4"/>
      <c r="S19" s="6"/>
      <c r="T19" s="6"/>
      <c r="U19" s="6"/>
      <c r="W19" s="6"/>
      <c r="X19" s="6"/>
    </row>
    <row r="20" spans="1:27" x14ac:dyDescent="0.25">
      <c r="A20">
        <f t="shared" si="0"/>
        <v>65789</v>
      </c>
      <c r="B20">
        <v>16</v>
      </c>
      <c r="C20" t="s">
        <v>17</v>
      </c>
      <c r="D20">
        <v>520</v>
      </c>
      <c r="E20" s="5">
        <v>1611266400</v>
      </c>
      <c r="F20">
        <f t="shared" si="1"/>
        <v>1724</v>
      </c>
      <c r="J20" s="17"/>
      <c r="M20" t="s">
        <v>143</v>
      </c>
      <c r="N20">
        <v>200</v>
      </c>
      <c r="O20" s="47">
        <v>1000000000</v>
      </c>
      <c r="S20" s="6"/>
      <c r="T20" s="7"/>
      <c r="U20" s="7"/>
      <c r="W20" s="6"/>
      <c r="X20" s="6"/>
    </row>
    <row r="21" spans="1:27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1611266400</v>
      </c>
      <c r="F21">
        <f t="shared" si="1"/>
        <v>1012</v>
      </c>
      <c r="J21" s="17"/>
      <c r="M21" t="s">
        <v>50</v>
      </c>
      <c r="N21" s="4">
        <v>33574</v>
      </c>
      <c r="S21" s="6"/>
      <c r="T21" s="6"/>
      <c r="U21" s="6"/>
      <c r="W21" s="6"/>
      <c r="X21" s="6"/>
    </row>
    <row r="22" spans="1:27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1611266400</v>
      </c>
      <c r="F22">
        <f t="shared" si="1"/>
        <v>1458</v>
      </c>
      <c r="G22" s="2"/>
      <c r="H22">
        <v>64</v>
      </c>
      <c r="I22">
        <v>2</v>
      </c>
      <c r="J22" s="17">
        <f>H22*I22</f>
        <v>128</v>
      </c>
      <c r="M22" t="s">
        <v>63</v>
      </c>
      <c r="N22" s="46">
        <f>N21*N20*O20/O22</f>
        <v>6.7147999999999999E-3</v>
      </c>
      <c r="O22" s="47">
        <v>1E+18</v>
      </c>
      <c r="S22" s="7"/>
      <c r="X22" s="6"/>
    </row>
    <row r="23" spans="1:27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1611266400</v>
      </c>
      <c r="F23">
        <f t="shared" si="1"/>
        <v>1191</v>
      </c>
      <c r="H23">
        <v>32</v>
      </c>
      <c r="I23">
        <v>32</v>
      </c>
      <c r="J23" s="17">
        <f t="shared" ref="J23:J25" si="4">H23*I23</f>
        <v>1024</v>
      </c>
      <c r="K23" s="311">
        <f>J23/256</f>
        <v>4</v>
      </c>
      <c r="M23" s="3"/>
      <c r="S23" s="6"/>
      <c r="T23" s="2"/>
      <c r="U23" s="13"/>
      <c r="V23" s="7"/>
      <c r="X23" s="6"/>
    </row>
    <row r="24" spans="1:27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1609290000</v>
      </c>
      <c r="F24">
        <f t="shared" si="1"/>
        <v>1071</v>
      </c>
      <c r="H24">
        <v>8</v>
      </c>
      <c r="I24">
        <v>32</v>
      </c>
      <c r="J24" s="17">
        <f t="shared" si="4"/>
        <v>256</v>
      </c>
      <c r="M24" t="s">
        <v>141</v>
      </c>
      <c r="N24" s="62">
        <f>(N11+N12+N5)/10000</f>
        <v>0.39400000000000002</v>
      </c>
      <c r="S24" s="34"/>
      <c r="T24" s="6"/>
      <c r="U24" s="6"/>
      <c r="V24" s="6"/>
      <c r="X24" s="6"/>
      <c r="Z24" s="2"/>
      <c r="AA24" s="2"/>
    </row>
    <row r="25" spans="1:27" x14ac:dyDescent="0.25">
      <c r="A25">
        <f t="shared" si="0"/>
        <v>54945</v>
      </c>
      <c r="B25">
        <v>21</v>
      </c>
      <c r="C25" t="s">
        <v>152</v>
      </c>
      <c r="D25">
        <v>820</v>
      </c>
      <c r="E25" s="5">
        <v>1611266400</v>
      </c>
      <c r="F25">
        <f t="shared" si="1"/>
        <v>1111</v>
      </c>
      <c r="H25">
        <v>16</v>
      </c>
      <c r="I25">
        <v>32</v>
      </c>
      <c r="J25" s="17">
        <f t="shared" si="4"/>
        <v>512</v>
      </c>
      <c r="M25" t="s">
        <v>142</v>
      </c>
      <c r="N25" s="11">
        <f>(N17+N16+N15)/10000-N24</f>
        <v>34.606000000000002</v>
      </c>
      <c r="O25" t="s">
        <v>163</v>
      </c>
      <c r="T25" s="3"/>
      <c r="U25" s="3"/>
      <c r="V25" s="6"/>
      <c r="X25" s="6"/>
    </row>
    <row r="26" spans="1:27" x14ac:dyDescent="0.25">
      <c r="A26">
        <f t="shared" si="0"/>
        <v>56497</v>
      </c>
      <c r="B26">
        <v>22</v>
      </c>
      <c r="C26" t="s">
        <v>153</v>
      </c>
      <c r="D26">
        <v>770</v>
      </c>
      <c r="E26" s="5">
        <v>1611266400</v>
      </c>
      <c r="F26">
        <f t="shared" si="1"/>
        <v>1181</v>
      </c>
      <c r="M26" t="s">
        <v>142</v>
      </c>
      <c r="N26" s="62">
        <f>N25-O16/10000</f>
        <v>25.595000000000002</v>
      </c>
      <c r="O26" t="s">
        <v>146</v>
      </c>
      <c r="S26" s="16"/>
      <c r="T26" s="3"/>
      <c r="U26" s="3"/>
      <c r="V26" s="6"/>
      <c r="W26" s="7"/>
    </row>
    <row r="27" spans="1:27" x14ac:dyDescent="0.25">
      <c r="A27">
        <f t="shared" si="0"/>
        <v>55865</v>
      </c>
      <c r="B27">
        <v>23</v>
      </c>
      <c r="C27" t="s">
        <v>154</v>
      </c>
      <c r="D27">
        <v>790</v>
      </c>
      <c r="E27" s="5">
        <v>1611266400</v>
      </c>
      <c r="F27">
        <f t="shared" si="1"/>
        <v>1152</v>
      </c>
      <c r="M27" s="8" t="s">
        <v>165</v>
      </c>
      <c r="N27" s="11">
        <f>(N16-J11-J12+O11+O12)/10000</f>
        <v>9.0109999999999992</v>
      </c>
      <c r="S27" s="16"/>
      <c r="T27" s="6"/>
      <c r="U27" s="6"/>
      <c r="W27" s="6"/>
    </row>
    <row r="28" spans="1:27" x14ac:dyDescent="0.25">
      <c r="A28">
        <f t="shared" si="0"/>
        <v>57803</v>
      </c>
      <c r="B28">
        <v>24</v>
      </c>
      <c r="C28" t="s">
        <v>155</v>
      </c>
      <c r="D28">
        <v>730</v>
      </c>
      <c r="E28" s="5">
        <v>1611266400</v>
      </c>
      <c r="F28">
        <f t="shared" si="1"/>
        <v>1245</v>
      </c>
      <c r="L28" s="3"/>
      <c r="M28" t="s">
        <v>164</v>
      </c>
      <c r="N28" s="62">
        <f>N27-N22</f>
        <v>9.0042852</v>
      </c>
      <c r="P28" s="40"/>
      <c r="Q28" s="9"/>
      <c r="T28" s="3"/>
      <c r="U28" s="3"/>
      <c r="W28" s="6"/>
    </row>
    <row r="29" spans="1:27" x14ac:dyDescent="0.25">
      <c r="A29">
        <f t="shared" si="0"/>
        <v>59171</v>
      </c>
      <c r="B29">
        <v>25</v>
      </c>
      <c r="C29" t="s">
        <v>156</v>
      </c>
      <c r="D29">
        <v>690</v>
      </c>
      <c r="E29" s="5">
        <v>1609290000</v>
      </c>
      <c r="F29">
        <f t="shared" si="1"/>
        <v>1315</v>
      </c>
      <c r="N29" s="41"/>
      <c r="P29" s="8"/>
      <c r="Q29" s="8"/>
      <c r="T29" s="3"/>
      <c r="U29" s="3"/>
      <c r="W29" s="6"/>
    </row>
    <row r="30" spans="1:27" x14ac:dyDescent="0.25">
      <c r="A30">
        <f t="shared" si="0"/>
        <v>50761</v>
      </c>
      <c r="B30">
        <v>26</v>
      </c>
      <c r="C30" t="s">
        <v>157</v>
      </c>
      <c r="D30">
        <v>970</v>
      </c>
      <c r="E30" s="5">
        <v>1611266400</v>
      </c>
      <c r="F30">
        <f t="shared" si="1"/>
        <v>940</v>
      </c>
      <c r="K30" s="12"/>
      <c r="P30" s="8"/>
      <c r="Q30" s="8"/>
      <c r="X30" s="6"/>
    </row>
    <row r="31" spans="1:27" x14ac:dyDescent="0.25">
      <c r="A31">
        <f t="shared" si="0"/>
        <v>56818</v>
      </c>
      <c r="B31">
        <v>27</v>
      </c>
      <c r="C31" t="s">
        <v>162</v>
      </c>
      <c r="D31">
        <v>760</v>
      </c>
      <c r="E31" s="5">
        <v>1611266400</v>
      </c>
      <c r="F31">
        <f t="shared" si="1"/>
        <v>1197</v>
      </c>
      <c r="M31" s="54"/>
      <c r="P31" s="8"/>
      <c r="Q31" s="8"/>
      <c r="T31" s="9"/>
      <c r="Z31" s="2"/>
      <c r="AA31" s="2"/>
    </row>
    <row r="32" spans="1:27" x14ac:dyDescent="0.25">
      <c r="A32">
        <f t="shared" si="0"/>
        <v>52110</v>
      </c>
      <c r="B32">
        <v>28</v>
      </c>
      <c r="C32" t="s">
        <v>158</v>
      </c>
      <c r="D32">
        <v>919</v>
      </c>
      <c r="E32" s="5">
        <v>1611266400</v>
      </c>
      <c r="F32">
        <f t="shared" si="1"/>
        <v>992</v>
      </c>
      <c r="M32" s="54"/>
      <c r="O32" s="1"/>
      <c r="P32" s="8"/>
      <c r="Q32" s="8"/>
      <c r="T32" s="9"/>
    </row>
    <row r="33" spans="1:23" x14ac:dyDescent="0.25">
      <c r="A33">
        <f t="shared" si="0"/>
        <v>58139</v>
      </c>
      <c r="B33">
        <v>29</v>
      </c>
      <c r="C33" t="s">
        <v>159</v>
      </c>
      <c r="D33">
        <v>720</v>
      </c>
      <c r="E33" s="5">
        <v>1611266400</v>
      </c>
      <c r="F33">
        <f t="shared" si="1"/>
        <v>1262</v>
      </c>
      <c r="I33" s="1"/>
      <c r="J33" s="1"/>
      <c r="K33" s="10"/>
      <c r="L33" s="14"/>
      <c r="O33" s="1"/>
      <c r="P33" s="8"/>
      <c r="Q33" s="8"/>
      <c r="T33" s="3"/>
    </row>
    <row r="34" spans="1:23" x14ac:dyDescent="0.25">
      <c r="A34">
        <f t="shared" si="0"/>
        <v>59808</v>
      </c>
      <c r="B34">
        <v>30</v>
      </c>
      <c r="C34" t="s">
        <v>160</v>
      </c>
      <c r="D34">
        <v>672</v>
      </c>
      <c r="E34" s="5">
        <v>1609290000</v>
      </c>
      <c r="F34">
        <f t="shared" si="1"/>
        <v>1349</v>
      </c>
      <c r="I34" s="1"/>
      <c r="J34" s="1"/>
      <c r="K34" s="10"/>
      <c r="L34" s="14"/>
      <c r="O34" s="2"/>
      <c r="P34" s="3"/>
      <c r="Q34" s="3"/>
      <c r="T34" s="3"/>
    </row>
    <row r="35" spans="1:23" x14ac:dyDescent="0.25">
      <c r="A35">
        <f t="shared" si="0"/>
        <v>55555</v>
      </c>
      <c r="B35">
        <v>31</v>
      </c>
      <c r="C35" t="s">
        <v>161</v>
      </c>
      <c r="D35">
        <v>800</v>
      </c>
      <c r="E35" s="5">
        <v>1611266400</v>
      </c>
      <c r="F35">
        <f t="shared" si="1"/>
        <v>1138</v>
      </c>
      <c r="I35" s="1"/>
      <c r="J35" s="1"/>
      <c r="K35" s="10"/>
      <c r="L35" s="1"/>
      <c r="T35" s="3"/>
      <c r="U35" s="6"/>
      <c r="V35" s="6"/>
    </row>
    <row r="36" spans="1:23" x14ac:dyDescent="0.25">
      <c r="I36" s="1"/>
      <c r="J36" s="1"/>
      <c r="K36" s="10"/>
      <c r="L36" s="1"/>
      <c r="T36" s="3"/>
    </row>
    <row r="37" spans="1:23" x14ac:dyDescent="0.25">
      <c r="I37" s="1"/>
      <c r="J37" s="1"/>
      <c r="K37" s="2"/>
      <c r="L37" s="1"/>
      <c r="T37" s="3"/>
    </row>
    <row r="38" spans="1:23" x14ac:dyDescent="0.25">
      <c r="E38" s="5"/>
      <c r="W38" s="6"/>
    </row>
    <row r="39" spans="1:23" x14ac:dyDescent="0.25">
      <c r="K39" s="9"/>
      <c r="L39" s="9"/>
    </row>
    <row r="40" spans="1:23" x14ac:dyDescent="0.25">
      <c r="K40" s="1"/>
      <c r="L40" s="8"/>
    </row>
    <row r="41" spans="1:23" x14ac:dyDescent="0.25">
      <c r="K41" s="1"/>
      <c r="L41" s="8"/>
    </row>
    <row r="42" spans="1:23" x14ac:dyDescent="0.25">
      <c r="K42" s="1"/>
      <c r="L42" s="8"/>
    </row>
    <row r="43" spans="1:23" x14ac:dyDescent="0.25">
      <c r="K43" s="1"/>
      <c r="L43" s="8"/>
    </row>
    <row r="44" spans="1:23" x14ac:dyDescent="0.25">
      <c r="I44" s="4"/>
      <c r="K44" s="1"/>
      <c r="L44" s="8"/>
    </row>
    <row r="45" spans="1:23" x14ac:dyDescent="0.25">
      <c r="D45" s="4"/>
      <c r="K45" s="2"/>
      <c r="L45" s="3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2BF86-6420-482C-86D0-E244820A1612}">
  <sheetPr codeName="Sheet6"/>
  <dimension ref="C1:E22"/>
  <sheetViews>
    <sheetView zoomScale="75" zoomScaleNormal="75" workbookViewId="0">
      <selection activeCell="E39" sqref="E39"/>
    </sheetView>
  </sheetViews>
  <sheetFormatPr defaultRowHeight="15" x14ac:dyDescent="0.25"/>
  <cols>
    <col min="3" max="3" width="28.28515625" bestFit="1" customWidth="1"/>
    <col min="4" max="4" width="16" customWidth="1"/>
    <col min="5" max="5" width="51.5703125" bestFit="1" customWidth="1"/>
  </cols>
  <sheetData>
    <row r="1" spans="3:5" x14ac:dyDescent="0.25">
      <c r="C1" s="1" t="s">
        <v>66</v>
      </c>
    </row>
    <row r="3" spans="3:5" x14ac:dyDescent="0.25">
      <c r="C3" t="s">
        <v>53</v>
      </c>
    </row>
    <row r="4" spans="3:5" x14ac:dyDescent="0.25">
      <c r="C4" t="s">
        <v>54</v>
      </c>
      <c r="D4" t="s">
        <v>54</v>
      </c>
    </row>
    <row r="5" spans="3:5" x14ac:dyDescent="0.25">
      <c r="C5" t="s">
        <v>55</v>
      </c>
      <c r="D5" t="s">
        <v>55</v>
      </c>
    </row>
    <row r="6" spans="3:5" x14ac:dyDescent="0.25">
      <c r="C6" t="s">
        <v>56</v>
      </c>
      <c r="D6" t="s">
        <v>56</v>
      </c>
    </row>
    <row r="7" spans="3:5" x14ac:dyDescent="0.25">
      <c r="C7" t="s">
        <v>57</v>
      </c>
      <c r="D7" t="s">
        <v>57</v>
      </c>
    </row>
    <row r="8" spans="3:5" x14ac:dyDescent="0.25">
      <c r="C8" t="s">
        <v>58</v>
      </c>
      <c r="D8" t="s">
        <v>58</v>
      </c>
    </row>
    <row r="9" spans="3:5" x14ac:dyDescent="0.25">
      <c r="C9" t="s">
        <v>59</v>
      </c>
      <c r="D9" t="s">
        <v>59</v>
      </c>
    </row>
    <row r="11" spans="3:5" x14ac:dyDescent="0.25">
      <c r="D11" t="s">
        <v>42</v>
      </c>
      <c r="E11" s="52" t="s">
        <v>201</v>
      </c>
    </row>
    <row r="12" spans="3:5" x14ac:dyDescent="0.25">
      <c r="D12" t="s">
        <v>43</v>
      </c>
      <c r="E12" s="52" t="s">
        <v>202</v>
      </c>
    </row>
    <row r="13" spans="3:5" x14ac:dyDescent="0.25">
      <c r="D13" t="s">
        <v>44</v>
      </c>
      <c r="E13" s="52" t="s">
        <v>203</v>
      </c>
    </row>
    <row r="17" spans="3:3" x14ac:dyDescent="0.25">
      <c r="C17" t="s">
        <v>208</v>
      </c>
    </row>
    <row r="18" spans="3:3" x14ac:dyDescent="0.25">
      <c r="C18" t="s">
        <v>209</v>
      </c>
    </row>
    <row r="19" spans="3:3" x14ac:dyDescent="0.25">
      <c r="C19" t="s">
        <v>210</v>
      </c>
    </row>
    <row r="20" spans="3:3" x14ac:dyDescent="0.25">
      <c r="C20" t="s">
        <v>211</v>
      </c>
    </row>
    <row r="21" spans="3:3" x14ac:dyDescent="0.25">
      <c r="C21" t="s">
        <v>212</v>
      </c>
    </row>
    <row r="22" spans="3:3" x14ac:dyDescent="0.25">
      <c r="C22" t="s">
        <v>213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CD9A8-F3D2-400D-982F-614074AF76AB}">
  <sheetPr codeName="Sheet8"/>
  <dimension ref="B2:T44"/>
  <sheetViews>
    <sheetView zoomScale="75" zoomScaleNormal="75" workbookViewId="0">
      <selection activeCell="C18" sqref="C18"/>
    </sheetView>
  </sheetViews>
  <sheetFormatPr defaultRowHeight="15" x14ac:dyDescent="0.25"/>
  <cols>
    <col min="2" max="4" width="15.7109375" customWidth="1"/>
    <col min="5" max="5" width="18.42578125" customWidth="1"/>
    <col min="6" max="11" width="15.7109375" customWidth="1"/>
    <col min="12" max="15" width="25.140625" customWidth="1"/>
    <col min="16" max="17" width="17.7109375" bestFit="1" customWidth="1"/>
    <col min="18" max="18" width="13.42578125" bestFit="1" customWidth="1"/>
    <col min="19" max="19" width="17.7109375" bestFit="1" customWidth="1"/>
    <col min="20" max="20" width="17.7109375" style="3" bestFit="1" customWidth="1"/>
    <col min="21" max="21" width="11" customWidth="1"/>
    <col min="22" max="22" width="11.85546875" customWidth="1"/>
  </cols>
  <sheetData>
    <row r="2" spans="2:20" x14ac:dyDescent="0.25">
      <c r="B2" s="4"/>
      <c r="T2"/>
    </row>
    <row r="3" spans="2:20" x14ac:dyDescent="0.25">
      <c r="B3" t="s">
        <v>118</v>
      </c>
      <c r="C3" t="s">
        <v>177</v>
      </c>
      <c r="D3" s="2" t="s">
        <v>169</v>
      </c>
      <c r="E3" s="2" t="s">
        <v>170</v>
      </c>
      <c r="F3" s="2" t="s">
        <v>171</v>
      </c>
      <c r="G3" s="2" t="s">
        <v>172</v>
      </c>
      <c r="H3" s="2" t="s">
        <v>173</v>
      </c>
      <c r="I3" s="2" t="s">
        <v>174</v>
      </c>
      <c r="J3" s="2" t="s">
        <v>175</v>
      </c>
      <c r="K3" s="2" t="s">
        <v>176</v>
      </c>
      <c r="T3"/>
    </row>
    <row r="4" spans="2:20" x14ac:dyDescent="0.25">
      <c r="P4" s="20"/>
      <c r="T4"/>
    </row>
    <row r="5" spans="2:20" x14ac:dyDescent="0.25">
      <c r="B5" t="s">
        <v>109</v>
      </c>
      <c r="C5">
        <v>0</v>
      </c>
      <c r="P5" s="20"/>
      <c r="T5"/>
    </row>
    <row r="6" spans="2:20" ht="15.75" thickBot="1" x14ac:dyDescent="0.3">
      <c r="B6" t="s">
        <v>71</v>
      </c>
      <c r="C6" s="4">
        <v>1</v>
      </c>
      <c r="D6" s="4">
        <v>2</v>
      </c>
      <c r="E6" s="4">
        <v>3</v>
      </c>
      <c r="F6" s="4"/>
      <c r="G6" s="4">
        <v>4</v>
      </c>
      <c r="H6" s="4">
        <v>12.85</v>
      </c>
      <c r="I6" s="4">
        <v>5</v>
      </c>
      <c r="J6" s="4">
        <v>6</v>
      </c>
      <c r="K6" s="4"/>
      <c r="T6"/>
    </row>
    <row r="7" spans="2:20" x14ac:dyDescent="0.25">
      <c r="B7" s="23" t="s">
        <v>111</v>
      </c>
      <c r="C7" s="42">
        <v>600000</v>
      </c>
      <c r="D7" s="42">
        <f>C7</f>
        <v>600000</v>
      </c>
      <c r="E7" s="42">
        <f>D7</f>
        <v>600000</v>
      </c>
      <c r="F7" s="42">
        <v>500000</v>
      </c>
      <c r="G7" s="42">
        <f>F7</f>
        <v>500000</v>
      </c>
      <c r="H7" s="42">
        <f>G7</f>
        <v>500000</v>
      </c>
      <c r="I7" s="42">
        <f>H7</f>
        <v>500000</v>
      </c>
      <c r="J7" s="43">
        <f>H7</f>
        <v>500000</v>
      </c>
      <c r="K7" s="19"/>
      <c r="T7"/>
    </row>
    <row r="8" spans="2:20" x14ac:dyDescent="0.25">
      <c r="B8" s="27" t="s">
        <v>112</v>
      </c>
      <c r="C8" s="4">
        <v>400000</v>
      </c>
      <c r="D8" s="4">
        <f>C8</f>
        <v>400000</v>
      </c>
      <c r="E8" s="4">
        <f>D8</f>
        <v>400000</v>
      </c>
      <c r="F8" s="4">
        <v>350000</v>
      </c>
      <c r="G8" s="4">
        <f>F8</f>
        <v>350000</v>
      </c>
      <c r="H8" s="4">
        <f>G8</f>
        <v>350000</v>
      </c>
      <c r="I8" s="4">
        <f t="shared" ref="I8:I9" si="0">H8</f>
        <v>350000</v>
      </c>
      <c r="J8" s="44">
        <f t="shared" ref="J8:J9" si="1">H8</f>
        <v>350000</v>
      </c>
      <c r="K8" s="19"/>
      <c r="T8"/>
    </row>
    <row r="9" spans="2:20" ht="15.75" thickBot="1" x14ac:dyDescent="0.3">
      <c r="B9" s="31" t="s">
        <v>114</v>
      </c>
      <c r="C9" s="45"/>
      <c r="D9" s="45"/>
      <c r="E9" s="45"/>
      <c r="F9" s="45"/>
      <c r="G9" s="45"/>
      <c r="H9" s="45">
        <f>INT(H13/G15)</f>
        <v>172588</v>
      </c>
      <c r="I9" s="45">
        <f t="shared" si="0"/>
        <v>172588</v>
      </c>
      <c r="J9" s="280">
        <f t="shared" si="1"/>
        <v>172588</v>
      </c>
      <c r="K9" s="19"/>
      <c r="T9"/>
    </row>
    <row r="10" spans="2:20" ht="15.75" thickBot="1" x14ac:dyDescent="0.3">
      <c r="B10" s="31" t="s">
        <v>110</v>
      </c>
      <c r="C10" s="45">
        <f t="shared" ref="C10:J10" si="2">SUM(C7:C9)</f>
        <v>1000000</v>
      </c>
      <c r="D10" s="45">
        <f t="shared" si="2"/>
        <v>1000000</v>
      </c>
      <c r="E10" s="45">
        <f t="shared" si="2"/>
        <v>1000000</v>
      </c>
      <c r="F10" s="45">
        <f t="shared" si="2"/>
        <v>850000</v>
      </c>
      <c r="G10" s="45">
        <f t="shared" si="2"/>
        <v>850000</v>
      </c>
      <c r="H10" s="45">
        <f t="shared" si="2"/>
        <v>1022588</v>
      </c>
      <c r="I10" s="45">
        <f t="shared" si="2"/>
        <v>1022588</v>
      </c>
      <c r="J10" s="45">
        <f t="shared" si="2"/>
        <v>1022588</v>
      </c>
      <c r="T10"/>
    </row>
    <row r="11" spans="2:20" x14ac:dyDescent="0.25">
      <c r="B11" s="27" t="s">
        <v>115</v>
      </c>
      <c r="C11" s="3">
        <v>60</v>
      </c>
      <c r="D11" s="3">
        <f>D7/D10*D14</f>
        <v>63</v>
      </c>
      <c r="E11" s="3">
        <f t="shared" ref="E11:J11" si="3">E7/E10*E14</f>
        <v>66</v>
      </c>
      <c r="F11" s="3">
        <f>F7/F10*F14</f>
        <v>55</v>
      </c>
      <c r="G11" s="3">
        <f t="shared" si="3"/>
        <v>57.941176470588239</v>
      </c>
      <c r="H11" s="3">
        <f t="shared" si="3"/>
        <v>57.941223640410414</v>
      </c>
      <c r="I11" s="3">
        <f t="shared" si="3"/>
        <v>60.386001009204101</v>
      </c>
      <c r="J11" s="48">
        <f t="shared" si="3"/>
        <v>62.830778377997788</v>
      </c>
      <c r="K11" s="179" t="s">
        <v>115</v>
      </c>
      <c r="P11" s="20"/>
      <c r="T11"/>
    </row>
    <row r="12" spans="2:20" x14ac:dyDescent="0.25">
      <c r="B12" s="27" t="s">
        <v>116</v>
      </c>
      <c r="C12" s="3">
        <v>40</v>
      </c>
      <c r="D12" s="3">
        <f>D8/D10*D14</f>
        <v>42</v>
      </c>
      <c r="E12" s="3">
        <f t="shared" ref="E12:J12" si="4">E8/E10*E14</f>
        <v>44</v>
      </c>
      <c r="F12" s="3">
        <f t="shared" si="4"/>
        <v>38.5</v>
      </c>
      <c r="G12" s="3">
        <f t="shared" si="4"/>
        <v>40.558823529411761</v>
      </c>
      <c r="H12" s="3">
        <f t="shared" si="4"/>
        <v>40.558856548287281</v>
      </c>
      <c r="I12" s="3">
        <f t="shared" si="4"/>
        <v>42.270200706442864</v>
      </c>
      <c r="J12" s="48">
        <f t="shared" si="4"/>
        <v>43.981544864598447</v>
      </c>
      <c r="K12" s="180" t="s">
        <v>116</v>
      </c>
      <c r="P12" s="20"/>
      <c r="T12"/>
    </row>
    <row r="13" spans="2:20" ht="15.75" thickBot="1" x14ac:dyDescent="0.3">
      <c r="B13" s="64" t="s">
        <v>117</v>
      </c>
      <c r="C13" s="79"/>
      <c r="D13" s="79"/>
      <c r="E13" s="79"/>
      <c r="F13" s="79"/>
      <c r="G13" s="79"/>
      <c r="H13" s="79">
        <v>20</v>
      </c>
      <c r="I13" s="79">
        <f>I9/I10*I14</f>
        <v>20.843798284353035</v>
      </c>
      <c r="J13" s="81">
        <f>J9/J10*J14</f>
        <v>21.687676757403764</v>
      </c>
      <c r="K13" s="181" t="s">
        <v>117</v>
      </c>
      <c r="P13" s="20"/>
      <c r="T13"/>
    </row>
    <row r="14" spans="2:20" x14ac:dyDescent="0.25">
      <c r="B14" s="27" t="s">
        <v>108</v>
      </c>
      <c r="C14" s="3">
        <f>SUM(C11:C13)</f>
        <v>100</v>
      </c>
      <c r="D14" s="3">
        <f>C14+D16</f>
        <v>105</v>
      </c>
      <c r="E14" s="3">
        <f>D14+E16</f>
        <v>110</v>
      </c>
      <c r="F14" s="48">
        <f>E14+(F7-E7)*E15+(F8-E8)*E15</f>
        <v>93.5</v>
      </c>
      <c r="G14" s="36">
        <f>F14+G16</f>
        <v>98.5</v>
      </c>
      <c r="H14" s="36">
        <f>G14+H13</f>
        <v>118.5</v>
      </c>
      <c r="I14" s="36">
        <f>H14+I16</f>
        <v>123.5</v>
      </c>
      <c r="J14" s="36">
        <f>I14+J16</f>
        <v>128.5</v>
      </c>
      <c r="L14" s="37"/>
      <c r="T14"/>
    </row>
    <row r="15" spans="2:20" ht="15.75" thickBot="1" x14ac:dyDescent="0.3">
      <c r="B15" s="31" t="s">
        <v>113</v>
      </c>
      <c r="C15" s="80">
        <f>C14/C10</f>
        <v>1E-4</v>
      </c>
      <c r="D15" s="177">
        <f>D14/D10</f>
        <v>1.05E-4</v>
      </c>
      <c r="E15" s="80">
        <f t="shared" ref="E15" si="5">E14/E10</f>
        <v>1.1E-4</v>
      </c>
      <c r="F15" s="80">
        <f>F14/F10</f>
        <v>1.1E-4</v>
      </c>
      <c r="G15" s="80">
        <f>G14/G10</f>
        <v>1.1588235294117647E-4</v>
      </c>
      <c r="H15" s="80">
        <f>H14/H10</f>
        <v>1.1588244728082082E-4</v>
      </c>
      <c r="I15" s="80">
        <f>I14/I10</f>
        <v>1.207720020184082E-4</v>
      </c>
      <c r="J15" s="80">
        <f>J14/J10</f>
        <v>1.2566155675599558E-4</v>
      </c>
      <c r="T15"/>
    </row>
    <row r="16" spans="2:20" ht="15.75" thickBot="1" x14ac:dyDescent="0.3">
      <c r="B16" s="27" t="s">
        <v>200</v>
      </c>
      <c r="C16" s="4"/>
      <c r="D16" s="178">
        <v>5</v>
      </c>
      <c r="E16" s="178">
        <v>5</v>
      </c>
      <c r="F16" s="178">
        <f t="shared" ref="F16" si="6">F15/E15-1</f>
        <v>0</v>
      </c>
      <c r="G16" s="178">
        <v>5</v>
      </c>
      <c r="H16" s="178">
        <v>0</v>
      </c>
      <c r="I16" s="178">
        <v>5</v>
      </c>
      <c r="J16" s="178">
        <v>5</v>
      </c>
      <c r="R16" s="57"/>
      <c r="T16"/>
    </row>
    <row r="17" spans="2:20" x14ac:dyDescent="0.25">
      <c r="B17" s="23" t="s">
        <v>166</v>
      </c>
      <c r="C17" s="42">
        <v>0</v>
      </c>
      <c r="D17" s="42">
        <f>C7/C10*30000000+C17</f>
        <v>18000000</v>
      </c>
      <c r="E17" s="42">
        <f>0*D7/D10*30000000+D17</f>
        <v>18000000</v>
      </c>
      <c r="F17" s="42">
        <f>E17</f>
        <v>18000000</v>
      </c>
      <c r="G17" s="42">
        <f>G7/G10*30000000+F17</f>
        <v>35647058.823529407</v>
      </c>
      <c r="H17" s="42">
        <f>G17</f>
        <v>35647058.823529407</v>
      </c>
      <c r="I17" s="281">
        <f>H17</f>
        <v>35647058.823529407</v>
      </c>
      <c r="J17" s="282">
        <f>I17</f>
        <v>35647058.823529407</v>
      </c>
      <c r="K17" s="173" t="s">
        <v>166</v>
      </c>
      <c r="L17" s="4"/>
      <c r="P17" s="20"/>
      <c r="R17" s="57"/>
      <c r="T17"/>
    </row>
    <row r="18" spans="2:20" x14ac:dyDescent="0.25">
      <c r="B18" s="27" t="s">
        <v>167</v>
      </c>
      <c r="C18" s="4"/>
      <c r="D18" s="4">
        <f>C18+C8/C10*30000000</f>
        <v>12000000</v>
      </c>
      <c r="E18" s="4">
        <f>D18+0*D8/D10*30000000</f>
        <v>12000000</v>
      </c>
      <c r="F18" s="4">
        <f>E18</f>
        <v>12000000</v>
      </c>
      <c r="G18" s="4">
        <f>F18+G8/G10*30000000</f>
        <v>24352941.176470585</v>
      </c>
      <c r="H18" s="4">
        <f>G18</f>
        <v>24352941.176470585</v>
      </c>
      <c r="I18" s="4">
        <f>H18+I8/I10*30000000</f>
        <v>34621006.125404075</v>
      </c>
      <c r="J18" s="283">
        <f>I18</f>
        <v>34621006.125404075</v>
      </c>
      <c r="K18" s="174" t="s">
        <v>167</v>
      </c>
      <c r="L18" s="4"/>
      <c r="P18" s="20"/>
      <c r="T18"/>
    </row>
    <row r="19" spans="2:20" ht="15.75" thickBot="1" x14ac:dyDescent="0.3">
      <c r="B19" s="31" t="s">
        <v>168</v>
      </c>
      <c r="C19" s="45"/>
      <c r="D19" s="45"/>
      <c r="E19" s="45"/>
      <c r="F19" s="45"/>
      <c r="G19" s="45"/>
      <c r="H19" s="45"/>
      <c r="I19" s="45">
        <f>INT(I9)/I10*30000000</f>
        <v>5063270.8383043809</v>
      </c>
      <c r="J19" s="284">
        <f>I19</f>
        <v>5063270.8383043809</v>
      </c>
      <c r="K19" s="175" t="s">
        <v>168</v>
      </c>
      <c r="L19" s="4"/>
      <c r="T19"/>
    </row>
    <row r="20" spans="2:20" ht="15.75" thickBot="1" x14ac:dyDescent="0.3">
      <c r="B20" s="31" t="s">
        <v>179</v>
      </c>
      <c r="C20" s="45">
        <f>SUM(C17:C19)</f>
        <v>0</v>
      </c>
      <c r="D20" s="45">
        <f t="shared" ref="D20:J20" si="7">SUM(D17:D19)</f>
        <v>30000000</v>
      </c>
      <c r="E20" s="45">
        <f t="shared" si="7"/>
        <v>30000000</v>
      </c>
      <c r="F20" s="45">
        <f t="shared" si="7"/>
        <v>30000000</v>
      </c>
      <c r="G20" s="45">
        <f t="shared" si="7"/>
        <v>59999999.999999993</v>
      </c>
      <c r="H20" s="45">
        <f t="shared" si="7"/>
        <v>59999999.999999993</v>
      </c>
      <c r="I20" s="45">
        <f t="shared" si="7"/>
        <v>75331335.787237868</v>
      </c>
      <c r="J20" s="45">
        <f t="shared" si="7"/>
        <v>75331335.787237868</v>
      </c>
      <c r="L20" s="4"/>
      <c r="T20"/>
    </row>
    <row r="21" spans="2:20" x14ac:dyDescent="0.25">
      <c r="B21" s="23" t="s">
        <v>178</v>
      </c>
      <c r="C21" s="42">
        <f>C17</f>
        <v>0</v>
      </c>
      <c r="D21" s="42">
        <f>D17-C17</f>
        <v>18000000</v>
      </c>
      <c r="E21" s="42">
        <f>E17-D17</f>
        <v>0</v>
      </c>
      <c r="F21" s="42">
        <f t="shared" ref="F21:F23" si="8">F17-E17</f>
        <v>0</v>
      </c>
      <c r="G21" s="42">
        <f t="shared" ref="G21:G23" si="9">G17-F17</f>
        <v>17647058.823529407</v>
      </c>
      <c r="H21" s="42">
        <f t="shared" ref="H21:H23" si="10">H17-G17</f>
        <v>0</v>
      </c>
      <c r="I21" s="42">
        <f t="shared" ref="I21:I23" si="11">I17-H17</f>
        <v>0</v>
      </c>
      <c r="J21" s="42">
        <f t="shared" ref="J21:J23" si="12">J17-I17</f>
        <v>0</v>
      </c>
      <c r="T21"/>
    </row>
    <row r="22" spans="2:20" x14ac:dyDescent="0.25">
      <c r="B22" s="27" t="s">
        <v>180</v>
      </c>
      <c r="C22" s="4">
        <v>0</v>
      </c>
      <c r="D22" s="4">
        <f t="shared" ref="D22:E22" si="13">D18-C18</f>
        <v>12000000</v>
      </c>
      <c r="E22" s="4">
        <f t="shared" si="13"/>
        <v>0</v>
      </c>
      <c r="F22" s="4">
        <f t="shared" si="8"/>
        <v>0</v>
      </c>
      <c r="G22" s="4">
        <f t="shared" si="9"/>
        <v>12352941.176470585</v>
      </c>
      <c r="H22" s="4">
        <f t="shared" si="10"/>
        <v>0</v>
      </c>
      <c r="I22" s="4">
        <f t="shared" si="11"/>
        <v>10268064.94893349</v>
      </c>
      <c r="J22" s="4">
        <f t="shared" si="12"/>
        <v>0</v>
      </c>
      <c r="T22"/>
    </row>
    <row r="23" spans="2:20" x14ac:dyDescent="0.25">
      <c r="B23" s="64" t="s">
        <v>181</v>
      </c>
      <c r="C23" s="65"/>
      <c r="D23" s="65">
        <f t="shared" ref="D23:E23" si="14">D19-C19</f>
        <v>0</v>
      </c>
      <c r="E23" s="65">
        <f t="shared" si="14"/>
        <v>0</v>
      </c>
      <c r="F23" s="65">
        <f t="shared" si="8"/>
        <v>0</v>
      </c>
      <c r="G23" s="65">
        <f t="shared" si="9"/>
        <v>0</v>
      </c>
      <c r="H23" s="65">
        <f t="shared" si="10"/>
        <v>0</v>
      </c>
      <c r="I23" s="65">
        <f t="shared" si="11"/>
        <v>5063270.8383043809</v>
      </c>
      <c r="J23" s="65">
        <f t="shared" si="12"/>
        <v>0</v>
      </c>
      <c r="T23"/>
    </row>
    <row r="24" spans="2:20" ht="15.75" thickBot="1" x14ac:dyDescent="0.3">
      <c r="B24" s="63"/>
      <c r="C24" s="45">
        <f>SUM(C21:C23)</f>
        <v>0</v>
      </c>
      <c r="D24" s="66">
        <f t="shared" ref="D24:J24" si="15">SUM(D21:D23)</f>
        <v>30000000</v>
      </c>
      <c r="E24" s="66">
        <f>SUM(E21:E23)</f>
        <v>0</v>
      </c>
      <c r="F24" s="66">
        <f t="shared" si="15"/>
        <v>0</v>
      </c>
      <c r="G24" s="66">
        <f t="shared" ref="G24" si="16">SUM(G21:G23)</f>
        <v>29999999.999999993</v>
      </c>
      <c r="H24" s="66">
        <f t="shared" si="15"/>
        <v>0</v>
      </c>
      <c r="I24" s="66">
        <f t="shared" si="15"/>
        <v>15331335.787237871</v>
      </c>
      <c r="J24" s="66">
        <f t="shared" si="15"/>
        <v>0</v>
      </c>
      <c r="T24"/>
    </row>
    <row r="25" spans="2:20" x14ac:dyDescent="0.25">
      <c r="B25" s="47"/>
      <c r="C25" s="4"/>
      <c r="D25" s="4"/>
      <c r="E25" s="4"/>
      <c r="F25" s="4"/>
      <c r="G25" s="4"/>
      <c r="H25" s="4"/>
      <c r="I25" s="4"/>
      <c r="J25" s="4"/>
      <c r="T25"/>
    </row>
    <row r="26" spans="2:20" x14ac:dyDescent="0.25">
      <c r="B26" s="47"/>
      <c r="C26" s="4"/>
      <c r="D26" s="3"/>
      <c r="E26" s="50"/>
      <c r="F26" s="3"/>
      <c r="G26" s="3"/>
      <c r="H26" s="3"/>
      <c r="I26" s="4"/>
      <c r="J26" s="171"/>
      <c r="T26"/>
    </row>
    <row r="27" spans="2:20" x14ac:dyDescent="0.25">
      <c r="C27" s="4"/>
      <c r="D27" s="4" t="s">
        <v>214</v>
      </c>
      <c r="E27" s="172"/>
      <c r="F27" s="19"/>
      <c r="G27" s="4" t="s">
        <v>214</v>
      </c>
      <c r="H27" s="4"/>
      <c r="I27" s="4" t="s">
        <v>215</v>
      </c>
      <c r="J27" s="4"/>
      <c r="T27"/>
    </row>
    <row r="28" spans="2:20" x14ac:dyDescent="0.25">
      <c r="C28" s="172"/>
      <c r="D28" s="170"/>
      <c r="E28" s="172"/>
      <c r="F28" s="19"/>
      <c r="G28" s="170"/>
      <c r="H28" s="3"/>
      <c r="I28" s="4"/>
      <c r="J28" s="4"/>
      <c r="T28"/>
    </row>
    <row r="29" spans="2:20" ht="16.5" x14ac:dyDescent="0.3">
      <c r="B29" s="47"/>
      <c r="C29" s="4"/>
      <c r="D29" s="4"/>
      <c r="E29" s="1"/>
      <c r="F29" s="19"/>
      <c r="G29" s="36"/>
      <c r="H29" s="77"/>
      <c r="I29" s="4"/>
      <c r="J29" s="4"/>
      <c r="T29"/>
    </row>
    <row r="30" spans="2:20" x14ac:dyDescent="0.25">
      <c r="B30" s="67"/>
      <c r="C30" s="172"/>
      <c r="D30" s="4"/>
      <c r="E30" s="3"/>
      <c r="F30" s="19"/>
      <c r="G30" s="8"/>
      <c r="H30" s="4"/>
      <c r="I30" s="4"/>
      <c r="K30" s="8"/>
      <c r="T30"/>
    </row>
    <row r="31" spans="2:20" x14ac:dyDescent="0.25">
      <c r="C31" s="4"/>
      <c r="D31" s="4"/>
      <c r="E31" s="54"/>
      <c r="F31" s="19"/>
      <c r="G31" s="36"/>
      <c r="H31" s="4"/>
      <c r="I31" s="4"/>
      <c r="T31"/>
    </row>
    <row r="32" spans="2:20" x14ac:dyDescent="0.25">
      <c r="B32" s="47"/>
      <c r="C32" s="4"/>
      <c r="D32" s="4"/>
      <c r="E32" s="4"/>
      <c r="F32" s="19"/>
      <c r="G32" s="36"/>
      <c r="H32" s="4"/>
      <c r="I32" s="4"/>
      <c r="J32" s="4"/>
      <c r="K32" s="20"/>
      <c r="T32"/>
    </row>
    <row r="33" spans="2:20" x14ac:dyDescent="0.25">
      <c r="C33" s="4"/>
      <c r="D33" s="4"/>
      <c r="E33" s="172"/>
      <c r="F33" s="19"/>
      <c r="G33" s="36"/>
      <c r="H33" s="4"/>
      <c r="I33" s="4"/>
      <c r="T33"/>
    </row>
    <row r="34" spans="2:20" x14ac:dyDescent="0.25">
      <c r="B34" s="4"/>
      <c r="C34" s="4"/>
      <c r="D34" s="4"/>
      <c r="E34" s="4"/>
      <c r="F34" s="19"/>
      <c r="G34" s="36"/>
      <c r="H34" s="4"/>
      <c r="I34" s="4"/>
    </row>
    <row r="35" spans="2:20" x14ac:dyDescent="0.25">
      <c r="D35" s="32"/>
      <c r="E35" s="172"/>
      <c r="F35" s="36"/>
      <c r="G35" s="36"/>
      <c r="J35" s="3"/>
    </row>
    <row r="36" spans="2:20" x14ac:dyDescent="0.25">
      <c r="F36" s="36"/>
      <c r="G36" s="36"/>
      <c r="I36" s="4"/>
      <c r="J36" s="4"/>
    </row>
    <row r="37" spans="2:20" x14ac:dyDescent="0.25">
      <c r="B37" s="55"/>
      <c r="I37" s="4"/>
    </row>
    <row r="42" spans="2:20" x14ac:dyDescent="0.25">
      <c r="B42" s="4"/>
    </row>
    <row r="43" spans="2:20" x14ac:dyDescent="0.25">
      <c r="B43" s="4"/>
    </row>
    <row r="44" spans="2:20" x14ac:dyDescent="0.25">
      <c r="B44" s="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C9CB9-2A86-4AEB-8D2D-B9964CF528A2}">
  <sheetPr codeName="Sheet12"/>
  <dimension ref="B1:V121"/>
  <sheetViews>
    <sheetView tabSelected="1" topLeftCell="A18" zoomScale="75" zoomScaleNormal="75" workbookViewId="0">
      <selection activeCell="T48" sqref="T48"/>
    </sheetView>
  </sheetViews>
  <sheetFormatPr defaultRowHeight="15" x14ac:dyDescent="0.25"/>
  <cols>
    <col min="2" max="2" width="11.5703125" bestFit="1" customWidth="1"/>
    <col min="3" max="3" width="13.28515625" customWidth="1"/>
    <col min="4" max="4" width="17.85546875" customWidth="1"/>
    <col min="5" max="5" width="14.5703125" bestFit="1" customWidth="1"/>
    <col min="6" max="6" width="12" customWidth="1"/>
    <col min="7" max="12" width="10.7109375" customWidth="1"/>
    <col min="13" max="13" width="13.85546875" bestFit="1" customWidth="1"/>
    <col min="14" max="14" width="7.85546875" style="12" customWidth="1"/>
    <col min="15" max="16" width="9.28515625" bestFit="1" customWidth="1"/>
    <col min="17" max="17" width="10.28515625" customWidth="1"/>
    <col min="18" max="18" width="11.7109375" customWidth="1"/>
    <col min="19" max="19" width="15.5703125" customWidth="1"/>
    <col min="20" max="20" width="15.85546875" customWidth="1"/>
    <col min="21" max="21" width="20" bestFit="1" customWidth="1"/>
    <col min="22" max="22" width="9.140625" style="2"/>
    <col min="23" max="23" width="16.85546875" bestFit="1" customWidth="1"/>
  </cols>
  <sheetData>
    <row r="1" spans="2:22" x14ac:dyDescent="0.25">
      <c r="B1" s="1" t="s">
        <v>45</v>
      </c>
      <c r="F1" s="50">
        <v>1E+18</v>
      </c>
    </row>
    <row r="2" spans="2:22" x14ac:dyDescent="0.25">
      <c r="D2" s="4">
        <f>25*1000</f>
        <v>25000</v>
      </c>
      <c r="E2" t="s">
        <v>182</v>
      </c>
      <c r="K2" t="s">
        <v>79</v>
      </c>
      <c r="O2" t="s">
        <v>80</v>
      </c>
    </row>
    <row r="3" spans="2:22" x14ac:dyDescent="0.25">
      <c r="B3" s="1" t="s">
        <v>52</v>
      </c>
      <c r="D3" s="20">
        <f>D2*0.8</f>
        <v>20000</v>
      </c>
      <c r="E3">
        <f>0.05*D3</f>
        <v>1000</v>
      </c>
      <c r="U3" s="47">
        <v>1000000000</v>
      </c>
    </row>
    <row r="4" spans="2:22" ht="15.75" thickBot="1" x14ac:dyDescent="0.3">
      <c r="C4" s="2" t="s">
        <v>72</v>
      </c>
      <c r="D4" s="2" t="s">
        <v>191</v>
      </c>
      <c r="E4" s="2" t="s">
        <v>71</v>
      </c>
      <c r="F4" s="2" t="s">
        <v>130</v>
      </c>
      <c r="G4" s="2" t="s">
        <v>131</v>
      </c>
      <c r="H4" s="2" t="s">
        <v>51</v>
      </c>
      <c r="I4" s="2" t="s">
        <v>69</v>
      </c>
      <c r="J4" s="2" t="s">
        <v>70</v>
      </c>
      <c r="K4" s="2" t="s">
        <v>130</v>
      </c>
      <c r="L4" s="2" t="s">
        <v>131</v>
      </c>
      <c r="M4" s="2" t="s">
        <v>51</v>
      </c>
      <c r="N4" s="2" t="s">
        <v>216</v>
      </c>
      <c r="O4" s="2" t="s">
        <v>68</v>
      </c>
      <c r="P4" s="2" t="s">
        <v>92</v>
      </c>
      <c r="Q4" s="2" t="s">
        <v>93</v>
      </c>
      <c r="R4" s="2"/>
      <c r="T4" s="2" t="s">
        <v>132</v>
      </c>
      <c r="U4" s="2" t="s">
        <v>133</v>
      </c>
    </row>
    <row r="5" spans="2:22" s="82" customFormat="1" x14ac:dyDescent="0.25">
      <c r="E5" s="83" t="s">
        <v>124</v>
      </c>
      <c r="F5" s="201">
        <v>150</v>
      </c>
      <c r="G5" s="197">
        <v>125</v>
      </c>
      <c r="H5" s="84">
        <v>0</v>
      </c>
      <c r="I5" s="84">
        <f>SUM(F5:H5)</f>
        <v>275</v>
      </c>
      <c r="J5" s="72">
        <v>0</v>
      </c>
      <c r="K5" s="85"/>
      <c r="L5" s="85"/>
      <c r="M5" s="86"/>
      <c r="N5" s="87" t="s">
        <v>188</v>
      </c>
      <c r="S5" s="87" t="s">
        <v>119</v>
      </c>
      <c r="T5" s="87" t="s">
        <v>134</v>
      </c>
      <c r="U5" s="87"/>
      <c r="V5" s="88"/>
    </row>
    <row r="6" spans="2:22" s="82" customFormat="1" ht="15.75" thickBot="1" x14ac:dyDescent="0.3">
      <c r="C6" s="89">
        <v>2</v>
      </c>
      <c r="D6" s="89">
        <v>0.1</v>
      </c>
      <c r="E6" s="191">
        <v>1</v>
      </c>
      <c r="F6" s="298">
        <v>150</v>
      </c>
      <c r="G6" s="299">
        <v>125</v>
      </c>
      <c r="H6" s="192">
        <v>0</v>
      </c>
      <c r="I6" s="192">
        <f t="shared" ref="I6:I14" si="0">SUM(F6:H6)</f>
        <v>275</v>
      </c>
      <c r="J6" s="300">
        <f>(D6*1000000000000/(I6*1000000))</f>
        <v>363.63636363636363</v>
      </c>
      <c r="K6" s="190">
        <f>(O6*$D6)</f>
        <v>5.4545454545454543E-2</v>
      </c>
      <c r="L6" s="70">
        <f>P6*$D6</f>
        <v>4.5454545454545456E-2</v>
      </c>
      <c r="M6" s="71">
        <f>Q6*$D6</f>
        <v>0</v>
      </c>
      <c r="N6" s="87" t="s">
        <v>188</v>
      </c>
      <c r="O6" s="91">
        <f>F6/$I6</f>
        <v>0.54545454545454541</v>
      </c>
      <c r="P6" s="91">
        <f>G6/$I6</f>
        <v>0.45454545454545453</v>
      </c>
      <c r="Q6" s="91">
        <f>H6/$I6</f>
        <v>0</v>
      </c>
      <c r="R6" s="91">
        <f>SUM(O6:Q6)</f>
        <v>1</v>
      </c>
      <c r="S6" s="92"/>
      <c r="U6" s="93"/>
      <c r="V6" s="88"/>
    </row>
    <row r="7" spans="2:22" s="82" customFormat="1" x14ac:dyDescent="0.25">
      <c r="C7" s="94"/>
      <c r="D7" s="89"/>
      <c r="E7" s="83" t="s">
        <v>125</v>
      </c>
      <c r="F7" s="201">
        <v>150</v>
      </c>
      <c r="G7" s="197">
        <v>125</v>
      </c>
      <c r="H7" s="84">
        <v>0</v>
      </c>
      <c r="I7" s="84">
        <f t="shared" si="0"/>
        <v>275</v>
      </c>
      <c r="J7" s="72">
        <f>J6</f>
        <v>363.63636363636363</v>
      </c>
      <c r="K7" s="189"/>
      <c r="L7" s="73"/>
      <c r="M7" s="74"/>
      <c r="N7" s="87" t="s">
        <v>188</v>
      </c>
      <c r="O7" s="91">
        <f>F7/$I7</f>
        <v>0.54545454545454541</v>
      </c>
      <c r="P7" s="91">
        <f t="shared" ref="O7:Q14" si="1">G7/$I7</f>
        <v>0.45454545454545453</v>
      </c>
      <c r="Q7" s="91">
        <f t="shared" si="1"/>
        <v>0</v>
      </c>
      <c r="R7" s="91">
        <f t="shared" ref="R7:R14" si="2">SUM(O7:Q7)</f>
        <v>1</v>
      </c>
      <c r="S7" s="92">
        <v>150</v>
      </c>
      <c r="T7" s="196">
        <f>(L6+L8+L10+L12)*1000</f>
        <v>157.57575757575756</v>
      </c>
      <c r="U7" s="176">
        <f>S7*INT((J12-J6))/U$3</f>
        <v>1.3439999999999999E-4</v>
      </c>
      <c r="V7" s="88"/>
    </row>
    <row r="8" spans="2:22" s="82" customFormat="1" ht="15.75" thickBot="1" x14ac:dyDescent="0.3">
      <c r="C8" s="89">
        <v>2</v>
      </c>
      <c r="D8" s="89">
        <v>0.1</v>
      </c>
      <c r="E8" s="90">
        <v>2</v>
      </c>
      <c r="F8" s="301">
        <v>150</v>
      </c>
      <c r="G8" s="302">
        <v>125</v>
      </c>
      <c r="H8" s="68">
        <v>0</v>
      </c>
      <c r="I8" s="68">
        <f t="shared" si="0"/>
        <v>275</v>
      </c>
      <c r="J8" s="69">
        <f>(D8*1000000000000/(I8*1000000))+J6</f>
        <v>727.27272727272725</v>
      </c>
      <c r="K8" s="190">
        <f>(O8*$D8)</f>
        <v>5.4545454545454543E-2</v>
      </c>
      <c r="L8" s="70">
        <f>P8*$D8</f>
        <v>4.5454545454545456E-2</v>
      </c>
      <c r="M8" s="71">
        <f>Q8*$D8</f>
        <v>0</v>
      </c>
      <c r="N8" s="87" t="s">
        <v>188</v>
      </c>
      <c r="O8" s="91">
        <f t="shared" si="1"/>
        <v>0.54545454545454541</v>
      </c>
      <c r="P8" s="91">
        <f t="shared" si="1"/>
        <v>0.45454545454545453</v>
      </c>
      <c r="Q8" s="91">
        <f t="shared" si="1"/>
        <v>0</v>
      </c>
      <c r="R8" s="91">
        <f t="shared" si="2"/>
        <v>1</v>
      </c>
      <c r="S8" s="92">
        <v>125</v>
      </c>
      <c r="T8" s="185">
        <f>SUM(K6:K14)*1000</f>
        <v>249.09090909090912</v>
      </c>
      <c r="U8" s="176">
        <f>S8*((J14-J5))/U3</f>
        <v>2.075757575757576E-4</v>
      </c>
      <c r="V8" s="88"/>
    </row>
    <row r="9" spans="2:22" s="82" customFormat="1" ht="15.75" thickBot="1" x14ac:dyDescent="0.3">
      <c r="C9" s="94"/>
      <c r="D9" s="89"/>
      <c r="E9" s="191" t="s">
        <v>126</v>
      </c>
      <c r="F9" s="298">
        <v>150</v>
      </c>
      <c r="G9" s="299">
        <v>125</v>
      </c>
      <c r="H9" s="199">
        <v>100</v>
      </c>
      <c r="I9" s="192">
        <f t="shared" si="0"/>
        <v>375</v>
      </c>
      <c r="J9" s="300">
        <f>J8</f>
        <v>727.27272727272725</v>
      </c>
      <c r="K9" s="189"/>
      <c r="L9" s="73"/>
      <c r="M9" s="74"/>
      <c r="N9" s="87" t="s">
        <v>188</v>
      </c>
      <c r="O9" s="91">
        <f t="shared" si="1"/>
        <v>0.4</v>
      </c>
      <c r="P9" s="91">
        <f t="shared" si="1"/>
        <v>0.33333333333333331</v>
      </c>
      <c r="Q9" s="91">
        <f t="shared" si="1"/>
        <v>0.26666666666666666</v>
      </c>
      <c r="R9" s="91">
        <f t="shared" si="2"/>
        <v>1</v>
      </c>
      <c r="S9" s="92">
        <v>100</v>
      </c>
      <c r="T9" s="188">
        <f>(M10+M12+M14)*1000</f>
        <v>93.333333333333357</v>
      </c>
      <c r="U9" s="176">
        <f>S9*INT((J14-J8))/U3</f>
        <v>9.3300000000000005E-5</v>
      </c>
      <c r="V9" s="88"/>
    </row>
    <row r="10" spans="2:22" s="82" customFormat="1" ht="15.75" thickBot="1" x14ac:dyDescent="0.3">
      <c r="C10" s="89">
        <v>2</v>
      </c>
      <c r="D10" s="89">
        <v>0.1</v>
      </c>
      <c r="E10" s="191">
        <v>3</v>
      </c>
      <c r="F10" s="298">
        <v>150</v>
      </c>
      <c r="G10" s="299">
        <v>125</v>
      </c>
      <c r="H10" s="199">
        <v>100</v>
      </c>
      <c r="I10" s="192">
        <f t="shared" si="0"/>
        <v>375</v>
      </c>
      <c r="J10" s="300">
        <f>(D10*1000000000000/(I10*1000000))+J8</f>
        <v>993.93939393939399</v>
      </c>
      <c r="K10" s="190">
        <f>(O10*$D10)</f>
        <v>4.0000000000000008E-2</v>
      </c>
      <c r="L10" s="70">
        <f>P10*$D10</f>
        <v>3.3333333333333333E-2</v>
      </c>
      <c r="M10" s="71">
        <f>Q10*$D10</f>
        <v>2.6666666666666668E-2</v>
      </c>
      <c r="N10" s="87" t="s">
        <v>188</v>
      </c>
      <c r="O10" s="91">
        <f t="shared" si="1"/>
        <v>0.4</v>
      </c>
      <c r="P10" s="91">
        <f t="shared" si="1"/>
        <v>0.33333333333333331</v>
      </c>
      <c r="Q10" s="91">
        <f t="shared" si="1"/>
        <v>0.26666666666666666</v>
      </c>
      <c r="R10" s="91">
        <f t="shared" si="2"/>
        <v>1</v>
      </c>
      <c r="S10" s="92"/>
      <c r="T10" s="93">
        <f>SUM(T6:T9)</f>
        <v>500.00000000000006</v>
      </c>
      <c r="U10" s="93">
        <f>SUM(U6:U9)</f>
        <v>4.3527575757575755E-4</v>
      </c>
      <c r="V10" s="88"/>
    </row>
    <row r="11" spans="2:22" s="82" customFormat="1" x14ac:dyDescent="0.25">
      <c r="C11" s="94"/>
      <c r="D11" s="89"/>
      <c r="E11" s="83" t="s">
        <v>127</v>
      </c>
      <c r="F11" s="201">
        <v>150</v>
      </c>
      <c r="G11" s="197">
        <v>125</v>
      </c>
      <c r="H11" s="198">
        <v>100</v>
      </c>
      <c r="I11" s="84">
        <f t="shared" si="0"/>
        <v>375</v>
      </c>
      <c r="J11" s="72">
        <f>J10</f>
        <v>993.93939393939399</v>
      </c>
      <c r="K11" s="189"/>
      <c r="L11" s="73"/>
      <c r="M11" s="74"/>
      <c r="N11" s="87" t="s">
        <v>188</v>
      </c>
      <c r="O11" s="91">
        <f t="shared" si="1"/>
        <v>0.4</v>
      </c>
      <c r="P11" s="91">
        <f t="shared" si="1"/>
        <v>0.33333333333333331</v>
      </c>
      <c r="Q11" s="91">
        <f t="shared" si="1"/>
        <v>0.26666666666666666</v>
      </c>
      <c r="R11" s="91">
        <f t="shared" si="2"/>
        <v>1</v>
      </c>
      <c r="V11" s="88"/>
    </row>
    <row r="12" spans="2:22" s="82" customFormat="1" ht="15.75" thickBot="1" x14ac:dyDescent="0.3">
      <c r="C12" s="89">
        <v>2</v>
      </c>
      <c r="D12" s="89">
        <v>0.1</v>
      </c>
      <c r="E12" s="90">
        <v>4</v>
      </c>
      <c r="F12" s="301">
        <v>150</v>
      </c>
      <c r="G12" s="302">
        <v>125</v>
      </c>
      <c r="H12" s="200">
        <v>100</v>
      </c>
      <c r="I12" s="68">
        <f t="shared" si="0"/>
        <v>375</v>
      </c>
      <c r="J12" s="69">
        <f>(D12*1000000000000/(I12*1000000))+J10</f>
        <v>1260.6060606060607</v>
      </c>
      <c r="K12" s="190">
        <f>(O12*$D12)</f>
        <v>4.0000000000000008E-2</v>
      </c>
      <c r="L12" s="70">
        <f>P12*$D12</f>
        <v>3.3333333333333333E-2</v>
      </c>
      <c r="M12" s="71">
        <f>Q12*$D12</f>
        <v>2.6666666666666668E-2</v>
      </c>
      <c r="N12" s="87" t="s">
        <v>188</v>
      </c>
      <c r="O12" s="91">
        <f t="shared" si="1"/>
        <v>0.4</v>
      </c>
      <c r="P12" s="91">
        <f t="shared" si="1"/>
        <v>0.33333333333333331</v>
      </c>
      <c r="Q12" s="91">
        <f t="shared" si="1"/>
        <v>0.26666666666666666</v>
      </c>
      <c r="R12" s="91">
        <f t="shared" si="2"/>
        <v>1</v>
      </c>
      <c r="T12" s="94"/>
      <c r="V12" s="88"/>
    </row>
    <row r="13" spans="2:22" s="82" customFormat="1" x14ac:dyDescent="0.25">
      <c r="C13" s="94"/>
      <c r="D13" s="89"/>
      <c r="E13" s="191" t="s">
        <v>128</v>
      </c>
      <c r="F13" s="298">
        <v>150</v>
      </c>
      <c r="G13" s="192">
        <v>0</v>
      </c>
      <c r="H13" s="199">
        <v>100</v>
      </c>
      <c r="I13" s="192">
        <f t="shared" si="0"/>
        <v>250</v>
      </c>
      <c r="J13" s="300">
        <f>J12</f>
        <v>1260.6060606060607</v>
      </c>
      <c r="K13" s="189"/>
      <c r="L13" s="73"/>
      <c r="M13" s="74"/>
      <c r="N13" s="87" t="s">
        <v>188</v>
      </c>
      <c r="O13" s="91">
        <f t="shared" si="1"/>
        <v>0.6</v>
      </c>
      <c r="P13" s="91">
        <f t="shared" si="1"/>
        <v>0</v>
      </c>
      <c r="Q13" s="91">
        <f t="shared" si="1"/>
        <v>0.4</v>
      </c>
      <c r="R13" s="91">
        <f t="shared" si="2"/>
        <v>1</v>
      </c>
      <c r="V13" s="88"/>
    </row>
    <row r="14" spans="2:22" s="82" customFormat="1" ht="15.75" thickBot="1" x14ac:dyDescent="0.3">
      <c r="C14" s="89">
        <v>2</v>
      </c>
      <c r="D14" s="89">
        <v>0.1</v>
      </c>
      <c r="E14" s="90">
        <v>5</v>
      </c>
      <c r="F14" s="301">
        <v>150</v>
      </c>
      <c r="G14" s="68">
        <v>0</v>
      </c>
      <c r="H14" s="200">
        <v>100</v>
      </c>
      <c r="I14" s="68">
        <f t="shared" si="0"/>
        <v>250</v>
      </c>
      <c r="J14" s="69">
        <f>(D14*1000000000000/(I14*1000000))+J12</f>
        <v>1660.6060606060607</v>
      </c>
      <c r="K14" s="190">
        <f>(O14*$D14)</f>
        <v>0.06</v>
      </c>
      <c r="L14" s="70">
        <f>P14*$D14</f>
        <v>0</v>
      </c>
      <c r="M14" s="71">
        <f>Q14*$D14</f>
        <v>4.0000000000000008E-2</v>
      </c>
      <c r="N14" s="87" t="s">
        <v>188</v>
      </c>
      <c r="O14" s="91">
        <f t="shared" si="1"/>
        <v>0.6</v>
      </c>
      <c r="P14" s="91">
        <f t="shared" si="1"/>
        <v>0</v>
      </c>
      <c r="Q14" s="91">
        <f t="shared" si="1"/>
        <v>0.4</v>
      </c>
      <c r="R14" s="91">
        <f t="shared" si="2"/>
        <v>1</v>
      </c>
      <c r="T14" s="89"/>
      <c r="V14" s="88"/>
    </row>
    <row r="15" spans="2:22" s="82" customFormat="1" x14ac:dyDescent="0.25">
      <c r="C15" s="94"/>
      <c r="D15" s="89"/>
      <c r="E15" s="87" t="s">
        <v>129</v>
      </c>
      <c r="F15" s="92">
        <v>0</v>
      </c>
      <c r="G15" s="92">
        <v>0</v>
      </c>
      <c r="H15" s="92">
        <v>0</v>
      </c>
      <c r="I15" s="92">
        <v>0</v>
      </c>
      <c r="J15" s="95">
        <f>J14</f>
        <v>1660.6060606060607</v>
      </c>
      <c r="N15" s="87" t="s">
        <v>188</v>
      </c>
      <c r="V15" s="88"/>
    </row>
    <row r="16" spans="2:22" x14ac:dyDescent="0.25">
      <c r="B16" s="1"/>
      <c r="C16" s="8"/>
      <c r="D16" s="36"/>
      <c r="E16" s="2"/>
      <c r="F16" s="4"/>
      <c r="G16" s="4"/>
      <c r="H16" s="4"/>
      <c r="I16" s="4"/>
      <c r="J16" s="56"/>
      <c r="K16" s="11"/>
    </row>
    <row r="17" spans="2:22" x14ac:dyDescent="0.25">
      <c r="B17" s="1"/>
      <c r="C17" t="s">
        <v>184</v>
      </c>
      <c r="E17" t="s">
        <v>183</v>
      </c>
      <c r="G17" s="50">
        <v>100000000000000</v>
      </c>
      <c r="K17" t="s">
        <v>79</v>
      </c>
      <c r="O17" t="s">
        <v>80</v>
      </c>
    </row>
    <row r="19" spans="2:22" s="96" customFormat="1" ht="15.75" thickBot="1" x14ac:dyDescent="0.3">
      <c r="C19" s="97" t="s">
        <v>72</v>
      </c>
      <c r="D19" s="97" t="s">
        <v>73</v>
      </c>
      <c r="E19" s="97" t="s">
        <v>71</v>
      </c>
      <c r="F19" s="97" t="s">
        <v>130</v>
      </c>
      <c r="G19" s="97" t="s">
        <v>131</v>
      </c>
      <c r="H19" s="97" t="s">
        <v>51</v>
      </c>
      <c r="I19" s="97" t="s">
        <v>69</v>
      </c>
      <c r="J19" s="97" t="s">
        <v>70</v>
      </c>
      <c r="K19" s="97" t="s">
        <v>130</v>
      </c>
      <c r="L19" s="97" t="s">
        <v>131</v>
      </c>
      <c r="M19" s="97" t="s">
        <v>51</v>
      </c>
      <c r="N19" s="97" t="s">
        <v>187</v>
      </c>
      <c r="O19" s="97" t="s">
        <v>68</v>
      </c>
      <c r="P19" s="97" t="s">
        <v>92</v>
      </c>
      <c r="Q19" s="97" t="s">
        <v>93</v>
      </c>
      <c r="R19" s="97"/>
      <c r="T19" s="97" t="s">
        <v>132</v>
      </c>
      <c r="U19" s="97"/>
      <c r="V19" s="98"/>
    </row>
    <row r="20" spans="2:22" s="96" customFormat="1" ht="15.75" thickBot="1" x14ac:dyDescent="0.3">
      <c r="D20" s="96">
        <v>0</v>
      </c>
      <c r="E20" s="99" t="s">
        <v>124</v>
      </c>
      <c r="F20" s="100">
        <v>150</v>
      </c>
      <c r="G20" s="100">
        <v>125</v>
      </c>
      <c r="H20" s="100">
        <v>0</v>
      </c>
      <c r="I20" s="100">
        <f>SUM(F20:H20)</f>
        <v>275</v>
      </c>
      <c r="J20" s="101">
        <v>0</v>
      </c>
      <c r="K20" s="102"/>
      <c r="L20" s="102"/>
      <c r="M20" s="103"/>
      <c r="N20" s="97" t="s">
        <v>187</v>
      </c>
      <c r="S20" s="97" t="s">
        <v>119</v>
      </c>
      <c r="T20" s="97" t="s">
        <v>134</v>
      </c>
      <c r="U20" s="97"/>
      <c r="V20" s="98">
        <v>80</v>
      </c>
    </row>
    <row r="21" spans="2:22" s="96" customFormat="1" ht="15.75" thickBot="1" x14ac:dyDescent="0.3">
      <c r="C21" s="104">
        <v>2</v>
      </c>
      <c r="D21" s="104">
        <f>C21*0.05</f>
        <v>0.1</v>
      </c>
      <c r="E21" s="293">
        <v>1</v>
      </c>
      <c r="F21" s="294">
        <v>150</v>
      </c>
      <c r="G21" s="294">
        <v>125</v>
      </c>
      <c r="H21" s="294">
        <v>0</v>
      </c>
      <c r="I21" s="294">
        <f t="shared" ref="I21:I29" si="3">SUM(F21:H21)</f>
        <v>275</v>
      </c>
      <c r="J21" s="295">
        <f>D21/I21</f>
        <v>3.6363636363636367E-4</v>
      </c>
      <c r="K21" s="108">
        <f>O21*$D21</f>
        <v>5.4545454545454543E-2</v>
      </c>
      <c r="L21" s="108">
        <f>P21*$D21</f>
        <v>4.5454545454545456E-2</v>
      </c>
      <c r="M21" s="109">
        <f>Q21*$D21</f>
        <v>0</v>
      </c>
      <c r="N21" s="97" t="s">
        <v>187</v>
      </c>
      <c r="O21" s="110">
        <f>F21/$I21</f>
        <v>0.54545454545454541</v>
      </c>
      <c r="P21" s="110">
        <f>G21/$I21</f>
        <v>0.45454545454545453</v>
      </c>
      <c r="Q21" s="110">
        <f>H21/$I21</f>
        <v>0</v>
      </c>
      <c r="R21" s="110">
        <f>SUM(O21:Q21)</f>
        <v>1</v>
      </c>
      <c r="S21" s="111">
        <v>50</v>
      </c>
      <c r="T21" s="182">
        <f>(K21+K23+K25)*1000</f>
        <v>149.09090909090909</v>
      </c>
      <c r="U21" s="112"/>
      <c r="V21" s="98">
        <v>100</v>
      </c>
    </row>
    <row r="22" spans="2:22" s="96" customFormat="1" x14ac:dyDescent="0.25">
      <c r="C22" s="113"/>
      <c r="D22" s="113">
        <v>1</v>
      </c>
      <c r="E22" s="99" t="s">
        <v>125</v>
      </c>
      <c r="F22" s="100">
        <v>150</v>
      </c>
      <c r="G22" s="100">
        <v>125</v>
      </c>
      <c r="H22" s="100">
        <v>0</v>
      </c>
      <c r="I22" s="100">
        <f t="shared" si="3"/>
        <v>275</v>
      </c>
      <c r="J22" s="101">
        <f>J21</f>
        <v>3.6363636363636367E-4</v>
      </c>
      <c r="K22" s="114"/>
      <c r="L22" s="114"/>
      <c r="M22" s="115"/>
      <c r="N22" s="97" t="s">
        <v>187</v>
      </c>
      <c r="O22" s="110">
        <f t="shared" ref="O22:O29" si="4">F22/$I22</f>
        <v>0.54545454545454541</v>
      </c>
      <c r="P22" s="110">
        <f t="shared" ref="P22:P29" si="5">G22/$I22</f>
        <v>0.45454545454545453</v>
      </c>
      <c r="Q22" s="110">
        <f t="shared" ref="Q22:Q29" si="6">H22/$I22</f>
        <v>0</v>
      </c>
      <c r="R22" s="110">
        <f t="shared" ref="R22:R29" si="7">SUM(O22:Q22)</f>
        <v>1</v>
      </c>
      <c r="S22" s="111">
        <v>125</v>
      </c>
      <c r="T22" s="183">
        <f>(L21+L23+L25+L27)*1000</f>
        <v>162.7039627039627</v>
      </c>
      <c r="U22" s="112"/>
      <c r="V22" s="98">
        <f>V21/20</f>
        <v>5</v>
      </c>
    </row>
    <row r="23" spans="2:22" s="96" customFormat="1" ht="15.75" thickBot="1" x14ac:dyDescent="0.3">
      <c r="C23" s="104">
        <v>2</v>
      </c>
      <c r="D23" s="104">
        <f>C23*0.05</f>
        <v>0.1</v>
      </c>
      <c r="E23" s="293">
        <v>2</v>
      </c>
      <c r="F23" s="294">
        <v>150</v>
      </c>
      <c r="G23" s="294">
        <v>125</v>
      </c>
      <c r="H23" s="294">
        <v>0</v>
      </c>
      <c r="I23" s="294">
        <f t="shared" si="3"/>
        <v>275</v>
      </c>
      <c r="J23" s="295">
        <f>D23/I23+J21</f>
        <v>7.2727272727272734E-4</v>
      </c>
      <c r="K23" s="108">
        <f>O23*$D23</f>
        <v>5.4545454545454543E-2</v>
      </c>
      <c r="L23" s="108">
        <f>P23*$D23</f>
        <v>4.5454545454545456E-2</v>
      </c>
      <c r="M23" s="109">
        <f>Q23*$D23</f>
        <v>0</v>
      </c>
      <c r="N23" s="97" t="s">
        <v>187</v>
      </c>
      <c r="O23" s="110">
        <f t="shared" si="4"/>
        <v>0.54545454545454541</v>
      </c>
      <c r="P23" s="110">
        <f t="shared" si="5"/>
        <v>0.45454545454545453</v>
      </c>
      <c r="Q23" s="110">
        <f t="shared" si="6"/>
        <v>0</v>
      </c>
      <c r="R23" s="110">
        <f t="shared" si="7"/>
        <v>1</v>
      </c>
      <c r="S23" s="111">
        <v>100</v>
      </c>
      <c r="T23" s="183">
        <f>(K27+K29)*1000</f>
        <v>80.769230769230774</v>
      </c>
      <c r="U23" s="112"/>
      <c r="V23" s="98"/>
    </row>
    <row r="24" spans="2:22" s="96" customFormat="1" ht="15.75" thickBot="1" x14ac:dyDescent="0.3">
      <c r="C24" s="113"/>
      <c r="D24" s="113">
        <v>1</v>
      </c>
      <c r="E24" s="99" t="s">
        <v>126</v>
      </c>
      <c r="F24" s="100">
        <v>150</v>
      </c>
      <c r="G24" s="100">
        <v>125</v>
      </c>
      <c r="H24" s="100">
        <v>100</v>
      </c>
      <c r="I24" s="100">
        <f t="shared" si="3"/>
        <v>375</v>
      </c>
      <c r="J24" s="101">
        <f>J23</f>
        <v>7.2727272727272734E-4</v>
      </c>
      <c r="K24" s="114"/>
      <c r="L24" s="114"/>
      <c r="M24" s="115"/>
      <c r="N24" s="97" t="s">
        <v>187</v>
      </c>
      <c r="O24" s="110">
        <f t="shared" si="4"/>
        <v>0.4</v>
      </c>
      <c r="P24" s="110">
        <f t="shared" si="5"/>
        <v>0.33333333333333331</v>
      </c>
      <c r="Q24" s="110">
        <f t="shared" si="6"/>
        <v>0.26666666666666666</v>
      </c>
      <c r="R24" s="110">
        <f t="shared" si="7"/>
        <v>1</v>
      </c>
      <c r="S24" s="111">
        <v>100</v>
      </c>
      <c r="T24" s="184">
        <f>(M25+M27+M29)*1000</f>
        <v>107.43589743589745</v>
      </c>
      <c r="U24" s="112"/>
      <c r="V24" s="98"/>
    </row>
    <row r="25" spans="2:22" s="96" customFormat="1" ht="15.75" thickBot="1" x14ac:dyDescent="0.3">
      <c r="C25" s="104">
        <v>2</v>
      </c>
      <c r="D25" s="104">
        <f>C25*0.05</f>
        <v>0.1</v>
      </c>
      <c r="E25" s="105">
        <v>3</v>
      </c>
      <c r="F25" s="106">
        <v>150</v>
      </c>
      <c r="G25" s="106">
        <v>125</v>
      </c>
      <c r="H25" s="106">
        <v>100</v>
      </c>
      <c r="I25" s="106">
        <f t="shared" si="3"/>
        <v>375</v>
      </c>
      <c r="J25" s="107">
        <f>D25/I25+J23</f>
        <v>9.9393939393939402E-4</v>
      </c>
      <c r="K25" s="108">
        <f>O25*$D25</f>
        <v>4.0000000000000008E-2</v>
      </c>
      <c r="L25" s="108">
        <f>P25*$D25</f>
        <v>3.3333333333333333E-2</v>
      </c>
      <c r="M25" s="109">
        <f>Q25*$D25</f>
        <v>2.6666666666666668E-2</v>
      </c>
      <c r="N25" s="97" t="s">
        <v>187</v>
      </c>
      <c r="O25" s="110">
        <f t="shared" si="4"/>
        <v>0.4</v>
      </c>
      <c r="P25" s="110">
        <f t="shared" si="5"/>
        <v>0.33333333333333331</v>
      </c>
      <c r="Q25" s="110">
        <f t="shared" si="6"/>
        <v>0.26666666666666666</v>
      </c>
      <c r="R25" s="110">
        <f t="shared" si="7"/>
        <v>1</v>
      </c>
      <c r="S25" s="111"/>
      <c r="T25" s="112">
        <f>SUM(T21:T24)</f>
        <v>500.00000000000006</v>
      </c>
      <c r="U25" s="116"/>
      <c r="V25" s="98"/>
    </row>
    <row r="26" spans="2:22" s="96" customFormat="1" x14ac:dyDescent="0.25">
      <c r="C26" s="113"/>
      <c r="D26" s="113">
        <v>3</v>
      </c>
      <c r="E26" s="293" t="s">
        <v>127</v>
      </c>
      <c r="F26" s="294">
        <v>100</v>
      </c>
      <c r="G26" s="294">
        <v>125</v>
      </c>
      <c r="H26" s="294">
        <v>100</v>
      </c>
      <c r="I26" s="294">
        <f t="shared" si="3"/>
        <v>325</v>
      </c>
      <c r="J26" s="295">
        <f>J25</f>
        <v>9.9393939393939402E-4</v>
      </c>
      <c r="K26" s="114"/>
      <c r="L26" s="114"/>
      <c r="M26" s="115"/>
      <c r="N26" s="97" t="s">
        <v>187</v>
      </c>
      <c r="O26" s="110">
        <f t="shared" si="4"/>
        <v>0.30769230769230771</v>
      </c>
      <c r="P26" s="110">
        <f t="shared" si="5"/>
        <v>0.38461538461538464</v>
      </c>
      <c r="Q26" s="110">
        <f t="shared" si="6"/>
        <v>0.30769230769230771</v>
      </c>
      <c r="R26" s="110">
        <f t="shared" si="7"/>
        <v>1</v>
      </c>
      <c r="V26" s="98"/>
    </row>
    <row r="27" spans="2:22" s="96" customFormat="1" ht="15.75" thickBot="1" x14ac:dyDescent="0.3">
      <c r="C27" s="104">
        <v>2</v>
      </c>
      <c r="D27" s="104">
        <f>C27*0.05</f>
        <v>0.1</v>
      </c>
      <c r="E27" s="293">
        <v>4</v>
      </c>
      <c r="F27" s="294">
        <v>100</v>
      </c>
      <c r="G27" s="294">
        <v>125</v>
      </c>
      <c r="H27" s="294">
        <v>100</v>
      </c>
      <c r="I27" s="294">
        <f t="shared" si="3"/>
        <v>325</v>
      </c>
      <c r="J27" s="295">
        <f>(D27)/I27+J25</f>
        <v>1.3016317016317017E-3</v>
      </c>
      <c r="K27" s="296">
        <f>O27*$D27</f>
        <v>3.0769230769230771E-2</v>
      </c>
      <c r="L27" s="108">
        <f>P27*$D27</f>
        <v>3.8461538461538464E-2</v>
      </c>
      <c r="M27" s="109">
        <f>Q27*$D27</f>
        <v>3.0769230769230771E-2</v>
      </c>
      <c r="N27" s="97" t="s">
        <v>187</v>
      </c>
      <c r="O27" s="110">
        <f t="shared" si="4"/>
        <v>0.30769230769230771</v>
      </c>
      <c r="P27" s="110">
        <f t="shared" si="5"/>
        <v>0.38461538461538464</v>
      </c>
      <c r="Q27" s="110">
        <f t="shared" si="6"/>
        <v>0.30769230769230771</v>
      </c>
      <c r="R27" s="110">
        <f t="shared" si="7"/>
        <v>1</v>
      </c>
      <c r="V27" s="98"/>
    </row>
    <row r="28" spans="2:22" s="96" customFormat="1" x14ac:dyDescent="0.25">
      <c r="C28" s="113"/>
      <c r="D28" s="113">
        <v>4</v>
      </c>
      <c r="E28" s="99" t="s">
        <v>128</v>
      </c>
      <c r="F28" s="100">
        <v>100</v>
      </c>
      <c r="G28" s="100">
        <v>0</v>
      </c>
      <c r="H28" s="100">
        <v>100</v>
      </c>
      <c r="I28" s="100">
        <f t="shared" si="3"/>
        <v>200</v>
      </c>
      <c r="J28" s="101">
        <f>J27</f>
        <v>1.3016317016317017E-3</v>
      </c>
      <c r="K28" s="297"/>
      <c r="L28" s="114"/>
      <c r="M28" s="115"/>
      <c r="N28" s="97" t="s">
        <v>187</v>
      </c>
      <c r="O28" s="110">
        <f t="shared" si="4"/>
        <v>0.5</v>
      </c>
      <c r="P28" s="110">
        <f t="shared" si="5"/>
        <v>0</v>
      </c>
      <c r="Q28" s="110">
        <f t="shared" si="6"/>
        <v>0.5</v>
      </c>
      <c r="R28" s="110">
        <f t="shared" si="7"/>
        <v>1</v>
      </c>
      <c r="V28" s="98"/>
    </row>
    <row r="29" spans="2:22" s="96" customFormat="1" ht="15.75" thickBot="1" x14ac:dyDescent="0.3">
      <c r="C29" s="104">
        <v>2</v>
      </c>
      <c r="D29" s="104">
        <f>C29*0.05</f>
        <v>0.1</v>
      </c>
      <c r="E29" s="105">
        <v>5</v>
      </c>
      <c r="F29" s="106">
        <v>100</v>
      </c>
      <c r="G29" s="106">
        <v>0</v>
      </c>
      <c r="H29" s="106">
        <v>100</v>
      </c>
      <c r="I29" s="106">
        <f t="shared" si="3"/>
        <v>200</v>
      </c>
      <c r="J29" s="107">
        <f>D29/I29+J27</f>
        <v>1.8016317016317017E-3</v>
      </c>
      <c r="K29" s="296">
        <f>O29*$D29</f>
        <v>0.05</v>
      </c>
      <c r="L29" s="108">
        <f>P29*$D29</f>
        <v>0</v>
      </c>
      <c r="M29" s="109">
        <f>Q29*$D29</f>
        <v>0.05</v>
      </c>
      <c r="N29" s="97" t="s">
        <v>187</v>
      </c>
      <c r="O29" s="110">
        <f t="shared" si="4"/>
        <v>0.5</v>
      </c>
      <c r="P29" s="110">
        <f t="shared" si="5"/>
        <v>0</v>
      </c>
      <c r="Q29" s="110">
        <f t="shared" si="6"/>
        <v>0.5</v>
      </c>
      <c r="R29" s="110">
        <f t="shared" si="7"/>
        <v>1</v>
      </c>
      <c r="V29" s="98"/>
    </row>
    <row r="30" spans="2:22" s="96" customFormat="1" x14ac:dyDescent="0.25">
      <c r="C30" s="113"/>
      <c r="D30" s="113">
        <v>5</v>
      </c>
      <c r="E30" s="97" t="s">
        <v>129</v>
      </c>
      <c r="F30" s="111">
        <v>0</v>
      </c>
      <c r="G30" s="111">
        <v>0</v>
      </c>
      <c r="H30" s="111">
        <v>0</v>
      </c>
      <c r="I30" s="111">
        <v>0</v>
      </c>
      <c r="J30" s="117">
        <f>J29</f>
        <v>1.8016317016317017E-3</v>
      </c>
      <c r="N30" s="97" t="s">
        <v>187</v>
      </c>
      <c r="V30" s="98"/>
    </row>
    <row r="31" spans="2:22" x14ac:dyDescent="0.25">
      <c r="C31" s="8"/>
      <c r="D31" s="8"/>
      <c r="E31" s="2"/>
      <c r="F31" s="4"/>
      <c r="G31" s="4"/>
      <c r="H31" s="4"/>
      <c r="I31" s="4"/>
      <c r="J31" s="56"/>
    </row>
    <row r="32" spans="2:22" x14ac:dyDescent="0.25">
      <c r="C32" s="8"/>
      <c r="D32" s="8"/>
      <c r="E32" s="2"/>
      <c r="F32" s="4"/>
      <c r="G32" s="4"/>
      <c r="H32" s="4"/>
      <c r="I32" s="4"/>
      <c r="J32" s="56"/>
    </row>
    <row r="33" spans="2:22" s="118" customFormat="1" x14ac:dyDescent="0.25">
      <c r="C33" s="118" t="s">
        <v>185</v>
      </c>
      <c r="F33" s="119"/>
      <c r="G33" s="119"/>
      <c r="H33" s="119"/>
      <c r="J33" s="120"/>
      <c r="K33" s="120"/>
      <c r="L33" s="120"/>
      <c r="M33" s="120"/>
      <c r="N33" s="285" t="s">
        <v>186</v>
      </c>
      <c r="V33" s="121"/>
    </row>
    <row r="34" spans="2:22" s="118" customFormat="1" x14ac:dyDescent="0.25">
      <c r="D34" s="122"/>
      <c r="F34" s="119"/>
      <c r="G34" s="119"/>
      <c r="H34" s="119"/>
      <c r="I34" s="123"/>
      <c r="J34" s="120"/>
      <c r="N34" s="285" t="s">
        <v>186</v>
      </c>
      <c r="V34" s="121"/>
    </row>
    <row r="35" spans="2:22" s="118" customFormat="1" ht="15.75" thickBot="1" x14ac:dyDescent="0.3">
      <c r="C35" s="121" t="s">
        <v>72</v>
      </c>
      <c r="D35" s="121" t="s">
        <v>73</v>
      </c>
      <c r="E35" s="121" t="s">
        <v>71</v>
      </c>
      <c r="F35" s="121" t="s">
        <v>130</v>
      </c>
      <c r="G35" s="121" t="s">
        <v>131</v>
      </c>
      <c r="H35" s="121" t="s">
        <v>51</v>
      </c>
      <c r="I35" s="121" t="s">
        <v>69</v>
      </c>
      <c r="J35" s="121" t="s">
        <v>70</v>
      </c>
      <c r="K35" s="121" t="s">
        <v>130</v>
      </c>
      <c r="L35" s="121" t="s">
        <v>131</v>
      </c>
      <c r="M35" s="121" t="s">
        <v>51</v>
      </c>
      <c r="N35" s="285" t="s">
        <v>186</v>
      </c>
      <c r="O35" s="121" t="s">
        <v>68</v>
      </c>
      <c r="P35" s="121" t="s">
        <v>92</v>
      </c>
      <c r="Q35" s="121" t="s">
        <v>93</v>
      </c>
      <c r="R35" s="121"/>
      <c r="U35" s="124"/>
      <c r="V35" s="121"/>
    </row>
    <row r="36" spans="2:22" s="118" customFormat="1" x14ac:dyDescent="0.25">
      <c r="D36" s="118">
        <v>0</v>
      </c>
      <c r="E36" s="125" t="s">
        <v>124</v>
      </c>
      <c r="F36" s="126">
        <v>110</v>
      </c>
      <c r="G36" s="127">
        <v>125</v>
      </c>
      <c r="H36" s="127">
        <v>0</v>
      </c>
      <c r="I36" s="127">
        <f>SUM(F36:H36)</f>
        <v>235</v>
      </c>
      <c r="J36" s="128">
        <v>0</v>
      </c>
      <c r="K36" s="129"/>
      <c r="L36" s="129"/>
      <c r="M36" s="130"/>
      <c r="N36" s="285" t="s">
        <v>186</v>
      </c>
      <c r="T36" s="121" t="s">
        <v>132</v>
      </c>
      <c r="U36" s="121"/>
      <c r="V36" s="121"/>
    </row>
    <row r="37" spans="2:22" s="118" customFormat="1" ht="15.75" thickBot="1" x14ac:dyDescent="0.3">
      <c r="C37" s="123">
        <v>2</v>
      </c>
      <c r="D37" s="123">
        <f>C37*0.05</f>
        <v>0.1</v>
      </c>
      <c r="E37" s="193">
        <v>1</v>
      </c>
      <c r="F37" s="194">
        <v>110</v>
      </c>
      <c r="G37" s="119">
        <v>125</v>
      </c>
      <c r="H37" s="119">
        <v>0</v>
      </c>
      <c r="I37" s="119">
        <f t="shared" ref="I37:I45" si="8">SUM(F37:H37)</f>
        <v>235</v>
      </c>
      <c r="J37" s="195">
        <f>D37/I37</f>
        <v>4.2553191489361707E-4</v>
      </c>
      <c r="K37" s="312">
        <f>O37*$D37</f>
        <v>4.6808510638297877E-2</v>
      </c>
      <c r="L37" s="312">
        <f>P37*$D37</f>
        <v>5.3191489361702128E-2</v>
      </c>
      <c r="M37" s="313">
        <f>Q37*$D37</f>
        <v>0</v>
      </c>
      <c r="N37" s="285" t="s">
        <v>186</v>
      </c>
      <c r="O37" s="134">
        <f>F37/$I37</f>
        <v>0.46808510638297873</v>
      </c>
      <c r="P37" s="134">
        <f>G37/$I37</f>
        <v>0.53191489361702127</v>
      </c>
      <c r="Q37" s="134">
        <f>H37/$I37</f>
        <v>0</v>
      </c>
      <c r="R37" s="135">
        <f>SUM(O37:Q37)</f>
        <v>1</v>
      </c>
      <c r="S37" s="121" t="s">
        <v>119</v>
      </c>
      <c r="T37" s="121" t="s">
        <v>134</v>
      </c>
      <c r="U37" s="121"/>
      <c r="V37" s="121"/>
    </row>
    <row r="38" spans="2:22" s="118" customFormat="1" x14ac:dyDescent="0.25">
      <c r="C38" s="136"/>
      <c r="D38" s="136">
        <v>1</v>
      </c>
      <c r="E38" s="125" t="s">
        <v>125</v>
      </c>
      <c r="F38" s="126">
        <v>110</v>
      </c>
      <c r="G38" s="126">
        <v>125</v>
      </c>
      <c r="H38" s="127">
        <v>0</v>
      </c>
      <c r="I38" s="127">
        <f t="shared" si="8"/>
        <v>235</v>
      </c>
      <c r="J38" s="146">
        <f>J37</f>
        <v>4.2553191489361707E-4</v>
      </c>
      <c r="K38" s="314"/>
      <c r="L38" s="314"/>
      <c r="M38" s="315"/>
      <c r="N38" s="285" t="s">
        <v>186</v>
      </c>
      <c r="O38" s="134">
        <f t="shared" ref="O38:O45" si="9">F38/$I38</f>
        <v>0.46808510638297873</v>
      </c>
      <c r="P38" s="134">
        <f t="shared" ref="P38:P45" si="10">G38/$I38</f>
        <v>0.53191489361702127</v>
      </c>
      <c r="Q38" s="134">
        <f t="shared" ref="Q38:Q45" si="11">H38/$I38</f>
        <v>0</v>
      </c>
      <c r="R38" s="135">
        <f t="shared" ref="R38:R45" si="12">SUM(O38:Q38)</f>
        <v>1</v>
      </c>
      <c r="S38" s="119">
        <v>-50</v>
      </c>
      <c r="T38" s="186">
        <f>SUM(K37:K41)*1000</f>
        <v>126.45284217211814</v>
      </c>
      <c r="U38" s="137"/>
      <c r="V38" s="121"/>
    </row>
    <row r="39" spans="2:22" s="118" customFormat="1" ht="15.75" thickBot="1" x14ac:dyDescent="0.3">
      <c r="C39" s="123">
        <v>2</v>
      </c>
      <c r="D39" s="123">
        <f>C39*0.05</f>
        <v>0.1</v>
      </c>
      <c r="E39" s="193">
        <v>2</v>
      </c>
      <c r="F39" s="194">
        <v>110</v>
      </c>
      <c r="G39" s="194">
        <v>125</v>
      </c>
      <c r="H39" s="119">
        <v>0</v>
      </c>
      <c r="I39" s="119">
        <f t="shared" si="8"/>
        <v>235</v>
      </c>
      <c r="J39" s="195">
        <f>D39/I39+J37</f>
        <v>8.5106382978723414E-4</v>
      </c>
      <c r="K39" s="312">
        <f>O39*$D39</f>
        <v>4.6808510638297877E-2</v>
      </c>
      <c r="L39" s="312">
        <f>P39*$D39</f>
        <v>5.3191489361702128E-2</v>
      </c>
      <c r="M39" s="313">
        <f>Q39*$D39</f>
        <v>0</v>
      </c>
      <c r="N39" s="285" t="s">
        <v>186</v>
      </c>
      <c r="O39" s="134">
        <f t="shared" si="9"/>
        <v>0.46808510638297873</v>
      </c>
      <c r="P39" s="134">
        <f t="shared" si="10"/>
        <v>0.53191489361702127</v>
      </c>
      <c r="Q39" s="134">
        <f t="shared" si="11"/>
        <v>0</v>
      </c>
      <c r="R39" s="135">
        <f t="shared" si="12"/>
        <v>1</v>
      </c>
      <c r="S39" s="119">
        <v>125</v>
      </c>
      <c r="T39" s="168">
        <f>SUM(L37:L43)*1000</f>
        <v>177.02974489255848</v>
      </c>
      <c r="U39" s="137"/>
      <c r="V39" s="121"/>
    </row>
    <row r="40" spans="2:22" s="118" customFormat="1" x14ac:dyDescent="0.25">
      <c r="C40" s="136"/>
      <c r="D40" s="136">
        <v>1</v>
      </c>
      <c r="E40" s="125" t="s">
        <v>126</v>
      </c>
      <c r="F40" s="126">
        <v>110</v>
      </c>
      <c r="G40" s="126">
        <v>125</v>
      </c>
      <c r="H40" s="126">
        <v>100</v>
      </c>
      <c r="I40" s="127">
        <f t="shared" si="8"/>
        <v>335</v>
      </c>
      <c r="J40" s="146">
        <f>J39</f>
        <v>8.5106382978723414E-4</v>
      </c>
      <c r="K40" s="314"/>
      <c r="L40" s="314"/>
      <c r="M40" s="315"/>
      <c r="N40" s="285" t="s">
        <v>186</v>
      </c>
      <c r="O40" s="134">
        <f t="shared" si="9"/>
        <v>0.32835820895522388</v>
      </c>
      <c r="P40" s="134">
        <f t="shared" si="10"/>
        <v>0.37313432835820898</v>
      </c>
      <c r="Q40" s="134">
        <f t="shared" si="11"/>
        <v>0.29850746268656714</v>
      </c>
      <c r="R40" s="135">
        <f t="shared" si="12"/>
        <v>1</v>
      </c>
      <c r="S40" s="119">
        <v>150</v>
      </c>
      <c r="T40" s="168">
        <f>(K43+K45)*1000</f>
        <v>100</v>
      </c>
      <c r="U40" s="137"/>
      <c r="V40" s="121"/>
    </row>
    <row r="41" spans="2:22" s="118" customFormat="1" ht="15.75" thickBot="1" x14ac:dyDescent="0.3">
      <c r="C41" s="123">
        <v>2</v>
      </c>
      <c r="D41" s="123">
        <f>C41*0.05</f>
        <v>0.1</v>
      </c>
      <c r="E41" s="193">
        <v>3</v>
      </c>
      <c r="F41" s="194">
        <v>110</v>
      </c>
      <c r="G41" s="194">
        <v>125</v>
      </c>
      <c r="H41" s="194">
        <v>100</v>
      </c>
      <c r="I41" s="119">
        <f t="shared" si="8"/>
        <v>335</v>
      </c>
      <c r="J41" s="195">
        <f>D41/I41+J39</f>
        <v>1.1495712924738013E-3</v>
      </c>
      <c r="K41" s="312">
        <f>O41*$D41</f>
        <v>3.2835820895522387E-2</v>
      </c>
      <c r="L41" s="312">
        <f>P41*$D41</f>
        <v>3.7313432835820899E-2</v>
      </c>
      <c r="M41" s="313">
        <f>Q41*$D41</f>
        <v>2.9850746268656716E-2</v>
      </c>
      <c r="N41" s="285" t="s">
        <v>186</v>
      </c>
      <c r="O41" s="134">
        <f t="shared" si="9"/>
        <v>0.32835820895522388</v>
      </c>
      <c r="P41" s="134">
        <f t="shared" si="10"/>
        <v>0.37313432835820898</v>
      </c>
      <c r="Q41" s="134">
        <f t="shared" si="11"/>
        <v>0.29850746268656714</v>
      </c>
      <c r="R41" s="135">
        <f t="shared" si="12"/>
        <v>1</v>
      </c>
      <c r="S41" s="119">
        <v>100</v>
      </c>
      <c r="T41" s="187">
        <f>(M41+M43+M45)*1000</f>
        <v>96.517412935323392</v>
      </c>
      <c r="U41" s="137"/>
      <c r="V41" s="121"/>
    </row>
    <row r="42" spans="2:22" s="118" customFormat="1" x14ac:dyDescent="0.25">
      <c r="C42" s="136"/>
      <c r="D42" s="136">
        <v>3</v>
      </c>
      <c r="E42" s="125" t="s">
        <v>127</v>
      </c>
      <c r="F42" s="126">
        <v>150</v>
      </c>
      <c r="G42" s="126">
        <v>125</v>
      </c>
      <c r="H42" s="126">
        <v>100</v>
      </c>
      <c r="I42" s="127">
        <f t="shared" si="8"/>
        <v>375</v>
      </c>
      <c r="J42" s="146">
        <f>J41</f>
        <v>1.1495712924738013E-3</v>
      </c>
      <c r="K42" s="314"/>
      <c r="L42" s="314"/>
      <c r="M42" s="315"/>
      <c r="N42" s="285" t="s">
        <v>186</v>
      </c>
      <c r="O42" s="134">
        <f t="shared" si="9"/>
        <v>0.4</v>
      </c>
      <c r="P42" s="134">
        <f t="shared" si="10"/>
        <v>0.33333333333333331</v>
      </c>
      <c r="Q42" s="134">
        <f t="shared" si="11"/>
        <v>0.26666666666666666</v>
      </c>
      <c r="R42" s="135">
        <f t="shared" si="12"/>
        <v>1</v>
      </c>
      <c r="S42" s="119"/>
      <c r="T42" s="137">
        <f>SUM(T38:T41)</f>
        <v>500</v>
      </c>
      <c r="U42" s="120"/>
      <c r="V42" s="121"/>
    </row>
    <row r="43" spans="2:22" s="118" customFormat="1" ht="15.75" thickBot="1" x14ac:dyDescent="0.3">
      <c r="C43" s="123">
        <v>2</v>
      </c>
      <c r="D43" s="123">
        <f>C43*0.05</f>
        <v>0.1</v>
      </c>
      <c r="E43" s="193">
        <v>4</v>
      </c>
      <c r="F43" s="194">
        <v>150</v>
      </c>
      <c r="G43" s="194">
        <v>125</v>
      </c>
      <c r="H43" s="194">
        <v>100</v>
      </c>
      <c r="I43" s="119">
        <f t="shared" si="8"/>
        <v>375</v>
      </c>
      <c r="J43" s="195">
        <f>(D43)/I43+J41</f>
        <v>1.4162379591404679E-3</v>
      </c>
      <c r="K43" s="312">
        <f>O43*$D43</f>
        <v>4.0000000000000008E-2</v>
      </c>
      <c r="L43" s="312">
        <f>P43*$D43</f>
        <v>3.3333333333333333E-2</v>
      </c>
      <c r="M43" s="313">
        <f>Q43*$D43</f>
        <v>2.6666666666666668E-2</v>
      </c>
      <c r="N43" s="285" t="s">
        <v>186</v>
      </c>
      <c r="O43" s="134">
        <f t="shared" si="9"/>
        <v>0.4</v>
      </c>
      <c r="P43" s="134">
        <f t="shared" si="10"/>
        <v>0.33333333333333331</v>
      </c>
      <c r="Q43" s="134">
        <f t="shared" si="11"/>
        <v>0.26666666666666666</v>
      </c>
      <c r="R43" s="135">
        <f t="shared" si="12"/>
        <v>1</v>
      </c>
      <c r="S43" s="124"/>
      <c r="T43" s="124"/>
      <c r="V43" s="121"/>
    </row>
    <row r="44" spans="2:22" s="118" customFormat="1" x14ac:dyDescent="0.25">
      <c r="C44" s="136"/>
      <c r="D44" s="136">
        <v>4</v>
      </c>
      <c r="E44" s="125" t="s">
        <v>128</v>
      </c>
      <c r="F44" s="126">
        <v>150</v>
      </c>
      <c r="G44" s="126">
        <v>0</v>
      </c>
      <c r="H44" s="126">
        <v>100</v>
      </c>
      <c r="I44" s="127">
        <f t="shared" si="8"/>
        <v>250</v>
      </c>
      <c r="J44" s="146">
        <f>J43</f>
        <v>1.4162379591404679E-3</v>
      </c>
      <c r="K44" s="314"/>
      <c r="L44" s="314"/>
      <c r="M44" s="315"/>
      <c r="N44" s="285" t="s">
        <v>186</v>
      </c>
      <c r="O44" s="134">
        <f t="shared" si="9"/>
        <v>0.6</v>
      </c>
      <c r="P44" s="134">
        <f t="shared" si="10"/>
        <v>0</v>
      </c>
      <c r="Q44" s="134">
        <f t="shared" si="11"/>
        <v>0.4</v>
      </c>
      <c r="R44" s="135">
        <f t="shared" si="12"/>
        <v>1</v>
      </c>
      <c r="V44" s="121"/>
    </row>
    <row r="45" spans="2:22" s="118" customFormat="1" ht="15.75" thickBot="1" x14ac:dyDescent="0.3">
      <c r="C45" s="123">
        <v>2</v>
      </c>
      <c r="D45" s="123">
        <f>C45*0.05</f>
        <v>0.1</v>
      </c>
      <c r="E45" s="131">
        <v>5</v>
      </c>
      <c r="F45" s="132">
        <v>150</v>
      </c>
      <c r="G45" s="133">
        <v>0</v>
      </c>
      <c r="H45" s="132">
        <v>100</v>
      </c>
      <c r="I45" s="133">
        <f t="shared" si="8"/>
        <v>250</v>
      </c>
      <c r="J45" s="153">
        <f>D45/I45+J43</f>
        <v>1.8162379591404678E-3</v>
      </c>
      <c r="K45" s="312">
        <f>O45*$D45</f>
        <v>0.06</v>
      </c>
      <c r="L45" s="312">
        <f>P45*$D45</f>
        <v>0</v>
      </c>
      <c r="M45" s="313">
        <f>Q45*$D45</f>
        <v>4.0000000000000008E-2</v>
      </c>
      <c r="N45" s="285" t="s">
        <v>186</v>
      </c>
      <c r="O45" s="134">
        <f t="shared" si="9"/>
        <v>0.6</v>
      </c>
      <c r="P45" s="134">
        <f t="shared" si="10"/>
        <v>0</v>
      </c>
      <c r="Q45" s="134">
        <f t="shared" si="11"/>
        <v>0.4</v>
      </c>
      <c r="R45" s="135">
        <f t="shared" si="12"/>
        <v>1</v>
      </c>
      <c r="V45" s="121"/>
    </row>
    <row r="46" spans="2:22" s="118" customFormat="1" x14ac:dyDescent="0.25">
      <c r="C46" s="136"/>
      <c r="D46" s="136">
        <v>5</v>
      </c>
      <c r="E46" s="121" t="s">
        <v>129</v>
      </c>
      <c r="F46" s="119">
        <v>0</v>
      </c>
      <c r="G46" s="119">
        <v>0</v>
      </c>
      <c r="H46" s="119">
        <v>0</v>
      </c>
      <c r="I46" s="119">
        <v>0</v>
      </c>
      <c r="J46" s="138">
        <f>J45</f>
        <v>1.8162379591404678E-3</v>
      </c>
      <c r="L46" s="291">
        <f>SUM(L39:L43)</f>
        <v>0.12383825553085637</v>
      </c>
      <c r="N46" s="285" t="s">
        <v>186</v>
      </c>
      <c r="V46" s="121"/>
    </row>
    <row r="47" spans="2:22" x14ac:dyDescent="0.25">
      <c r="D47" s="32"/>
      <c r="F47" s="4"/>
      <c r="G47" s="4"/>
      <c r="H47" s="4"/>
      <c r="I47" s="36"/>
      <c r="J47" s="3"/>
    </row>
    <row r="48" spans="2:22" s="140" customFormat="1" ht="15.75" thickBot="1" x14ac:dyDescent="0.3">
      <c r="B48" s="139"/>
      <c r="C48" s="141" t="s">
        <v>72</v>
      </c>
      <c r="D48" s="141" t="s">
        <v>73</v>
      </c>
      <c r="E48" s="141" t="s">
        <v>71</v>
      </c>
      <c r="F48" s="141" t="s">
        <v>130</v>
      </c>
      <c r="G48" s="141" t="s">
        <v>131</v>
      </c>
      <c r="H48" s="141" t="s">
        <v>51</v>
      </c>
      <c r="I48" s="141" t="s">
        <v>69</v>
      </c>
      <c r="J48" s="141" t="s">
        <v>70</v>
      </c>
      <c r="K48" s="141" t="s">
        <v>130</v>
      </c>
      <c r="L48" s="141" t="s">
        <v>131</v>
      </c>
      <c r="M48" s="141" t="s">
        <v>51</v>
      </c>
      <c r="N48" s="286" t="s">
        <v>190</v>
      </c>
      <c r="O48" s="141" t="s">
        <v>68</v>
      </c>
      <c r="P48" s="141" t="s">
        <v>92</v>
      </c>
      <c r="Q48" s="141" t="s">
        <v>93</v>
      </c>
      <c r="R48" s="141"/>
      <c r="S48" s="140" t="s">
        <v>219</v>
      </c>
      <c r="U48" s="142"/>
      <c r="V48" s="141"/>
    </row>
    <row r="49" spans="2:22" s="140" customFormat="1" x14ac:dyDescent="0.25">
      <c r="D49" s="140">
        <v>0</v>
      </c>
      <c r="E49" s="144" t="s">
        <v>124</v>
      </c>
      <c r="F49" s="126">
        <v>110</v>
      </c>
      <c r="G49" s="127">
        <v>125</v>
      </c>
      <c r="H49" s="127">
        <v>0</v>
      </c>
      <c r="I49" s="145">
        <f>SUM(F49:H49)</f>
        <v>235</v>
      </c>
      <c r="J49" s="146">
        <v>0</v>
      </c>
      <c r="K49" s="147"/>
      <c r="L49" s="148"/>
      <c r="M49" s="149"/>
      <c r="N49" s="286" t="s">
        <v>190</v>
      </c>
      <c r="T49" s="141"/>
      <c r="U49" s="141"/>
      <c r="V49" s="141"/>
    </row>
    <row r="50" spans="2:22" s="140" customFormat="1" ht="15.75" thickBot="1" x14ac:dyDescent="0.3">
      <c r="B50" s="139"/>
      <c r="C50" s="150">
        <v>2</v>
      </c>
      <c r="D50" s="150">
        <f>C50*0.05</f>
        <v>0.1</v>
      </c>
      <c r="E50" s="151">
        <v>1</v>
      </c>
      <c r="F50" s="194">
        <v>110</v>
      </c>
      <c r="G50" s="119">
        <v>125</v>
      </c>
      <c r="H50" s="119">
        <v>0</v>
      </c>
      <c r="I50" s="152">
        <f t="shared" ref="I50:I58" si="13">SUM(F50:H50)</f>
        <v>235</v>
      </c>
      <c r="J50" s="153">
        <f>D50/I50</f>
        <v>4.2553191489361707E-4</v>
      </c>
      <c r="K50" s="288">
        <f>O50*$D50</f>
        <v>4.6808510638297877E-2</v>
      </c>
      <c r="L50" s="316">
        <f>P50*$D50</f>
        <v>5.3191489361702128E-2</v>
      </c>
      <c r="M50" s="317">
        <f>Q50*$D50</f>
        <v>0</v>
      </c>
      <c r="N50" s="286" t="s">
        <v>190</v>
      </c>
      <c r="O50" s="154">
        <f>F50/$I50</f>
        <v>0.46808510638297873</v>
      </c>
      <c r="P50" s="154">
        <f>G50/$I50</f>
        <v>0.53191489361702127</v>
      </c>
      <c r="Q50" s="154">
        <f>H50/$I50</f>
        <v>0</v>
      </c>
      <c r="R50" s="155">
        <f>SUM(O50:Q50)</f>
        <v>1</v>
      </c>
      <c r="S50" s="141" t="s">
        <v>119</v>
      </c>
      <c r="T50" s="141" t="s">
        <v>217</v>
      </c>
      <c r="V50" s="141"/>
    </row>
    <row r="51" spans="2:22" s="140" customFormat="1" x14ac:dyDescent="0.25">
      <c r="C51" s="156"/>
      <c r="D51" s="156">
        <v>1</v>
      </c>
      <c r="E51" s="144" t="s">
        <v>125</v>
      </c>
      <c r="F51" s="126">
        <v>110</v>
      </c>
      <c r="G51" s="126">
        <v>125</v>
      </c>
      <c r="H51" s="127">
        <v>0</v>
      </c>
      <c r="I51" s="145">
        <f t="shared" si="13"/>
        <v>235</v>
      </c>
      <c r="J51" s="146">
        <f>J50</f>
        <v>4.2553191489361707E-4</v>
      </c>
      <c r="K51" s="318"/>
      <c r="L51" s="319"/>
      <c r="M51" s="320"/>
      <c r="N51" s="286" t="s">
        <v>190</v>
      </c>
      <c r="O51" s="154">
        <f t="shared" ref="O51:O58" si="14">F51/$I51</f>
        <v>0.46808510638297873</v>
      </c>
      <c r="P51" s="154">
        <f t="shared" ref="P51:P58" si="15">G51/$I51</f>
        <v>0.53191489361702127</v>
      </c>
      <c r="Q51" s="154">
        <f t="shared" ref="Q51:Q58" si="16">H51/$I51</f>
        <v>0</v>
      </c>
      <c r="R51" s="155">
        <f t="shared" ref="R51:R58" si="17">SUM(O51:Q51)</f>
        <v>1</v>
      </c>
      <c r="S51" s="119">
        <v>-50</v>
      </c>
      <c r="T51" s="321">
        <f>110*(J54-J49)*1000</f>
        <v>126.45284217211814</v>
      </c>
      <c r="V51" s="141"/>
    </row>
    <row r="52" spans="2:22" s="140" customFormat="1" ht="15.75" thickBot="1" x14ac:dyDescent="0.3">
      <c r="B52" s="139"/>
      <c r="C52" s="150">
        <v>2</v>
      </c>
      <c r="D52" s="150">
        <f>C52*0.05</f>
        <v>0.1</v>
      </c>
      <c r="E52" s="151">
        <v>2</v>
      </c>
      <c r="F52" s="194">
        <v>110</v>
      </c>
      <c r="G52" s="194">
        <v>125</v>
      </c>
      <c r="H52" s="119">
        <v>0</v>
      </c>
      <c r="I52" s="152">
        <f t="shared" si="13"/>
        <v>235</v>
      </c>
      <c r="J52" s="153">
        <f>D52/I52+J50</f>
        <v>8.5106382978723414E-4</v>
      </c>
      <c r="K52" s="288">
        <f>O52*$D52</f>
        <v>4.6808510638297877E-2</v>
      </c>
      <c r="L52" s="316">
        <f>P52*$D52</f>
        <v>5.3191489361702128E-2</v>
      </c>
      <c r="M52" s="317">
        <f>Q52*$D52</f>
        <v>0</v>
      </c>
      <c r="N52" s="286" t="s">
        <v>190</v>
      </c>
      <c r="O52" s="154">
        <f t="shared" si="14"/>
        <v>0.46808510638297873</v>
      </c>
      <c r="P52" s="154">
        <f t="shared" si="15"/>
        <v>0.53191489361702127</v>
      </c>
      <c r="Q52" s="154">
        <f t="shared" si="16"/>
        <v>0</v>
      </c>
      <c r="R52" s="155">
        <f t="shared" si="17"/>
        <v>1</v>
      </c>
      <c r="S52" s="119">
        <v>125</v>
      </c>
      <c r="T52" s="322">
        <f>G56*(J56-J49)*1000*11/14</f>
        <v>139.09479955843881</v>
      </c>
      <c r="V52" s="141"/>
    </row>
    <row r="53" spans="2:22" s="140" customFormat="1" x14ac:dyDescent="0.25">
      <c r="C53" s="156"/>
      <c r="D53" s="156">
        <v>1</v>
      </c>
      <c r="E53" s="144" t="s">
        <v>126</v>
      </c>
      <c r="F53" s="126">
        <v>110</v>
      </c>
      <c r="G53" s="126">
        <v>125</v>
      </c>
      <c r="H53" s="126">
        <v>100</v>
      </c>
      <c r="I53" s="145">
        <f t="shared" si="13"/>
        <v>335</v>
      </c>
      <c r="J53" s="146">
        <f>J52</f>
        <v>8.5106382978723414E-4</v>
      </c>
      <c r="K53" s="318"/>
      <c r="L53" s="319"/>
      <c r="M53" s="320"/>
      <c r="N53" s="286" t="s">
        <v>190</v>
      </c>
      <c r="O53" s="154">
        <f t="shared" si="14"/>
        <v>0.32835820895522388</v>
      </c>
      <c r="P53" s="154">
        <f t="shared" si="15"/>
        <v>0.37313432835820898</v>
      </c>
      <c r="Q53" s="154">
        <f t="shared" si="16"/>
        <v>0.29850746268656714</v>
      </c>
      <c r="R53" s="155">
        <f t="shared" si="17"/>
        <v>1</v>
      </c>
      <c r="S53" s="119">
        <v>150</v>
      </c>
      <c r="T53" s="322">
        <f>F58*(J58-J54)*1000</f>
        <v>122.76096720047182</v>
      </c>
      <c r="V53" s="141"/>
    </row>
    <row r="54" spans="2:22" s="140" customFormat="1" ht="15.75" thickBot="1" x14ac:dyDescent="0.3">
      <c r="C54" s="150">
        <v>2</v>
      </c>
      <c r="D54" s="150">
        <f>C54*0.05</f>
        <v>0.1</v>
      </c>
      <c r="E54" s="151">
        <v>3</v>
      </c>
      <c r="F54" s="194">
        <v>110</v>
      </c>
      <c r="G54" s="194">
        <v>125</v>
      </c>
      <c r="H54" s="194">
        <v>100</v>
      </c>
      <c r="I54" s="152">
        <f t="shared" si="13"/>
        <v>335</v>
      </c>
      <c r="J54" s="153">
        <f>D54/I54+J52</f>
        <v>1.1495712924738013E-3</v>
      </c>
      <c r="K54" s="288">
        <f>O54*$D54</f>
        <v>3.2835820895522387E-2</v>
      </c>
      <c r="L54" s="316">
        <f>P54*$D54</f>
        <v>3.7313432835820899E-2</v>
      </c>
      <c r="M54" s="317">
        <f>Q54*$D54</f>
        <v>2.9850746268656716E-2</v>
      </c>
      <c r="N54" s="286" t="s">
        <v>190</v>
      </c>
      <c r="O54" s="154">
        <f t="shared" si="14"/>
        <v>0.32835820895522388</v>
      </c>
      <c r="P54" s="154">
        <f t="shared" si="15"/>
        <v>0.37313432835820898</v>
      </c>
      <c r="Q54" s="154">
        <f t="shared" si="16"/>
        <v>0.29850746268656714</v>
      </c>
      <c r="R54" s="155">
        <f t="shared" si="17"/>
        <v>1</v>
      </c>
      <c r="S54" s="119">
        <v>100</v>
      </c>
      <c r="T54" s="323">
        <f>100*(J58-J52)*1000</f>
        <v>111.69139106897126</v>
      </c>
      <c r="V54" s="141"/>
    </row>
    <row r="55" spans="2:22" s="140" customFormat="1" x14ac:dyDescent="0.25">
      <c r="B55" s="139"/>
      <c r="C55" s="156"/>
      <c r="D55" s="156">
        <v>3</v>
      </c>
      <c r="E55" s="144" t="s">
        <v>127</v>
      </c>
      <c r="F55" s="126">
        <v>150</v>
      </c>
      <c r="G55" s="126">
        <v>125</v>
      </c>
      <c r="H55" s="126">
        <v>100</v>
      </c>
      <c r="I55" s="145">
        <f t="shared" si="13"/>
        <v>375</v>
      </c>
      <c r="J55" s="146">
        <f>J54</f>
        <v>1.1495712924738013E-3</v>
      </c>
      <c r="K55" s="318"/>
      <c r="L55" s="319"/>
      <c r="M55" s="320"/>
      <c r="N55" s="286" t="s">
        <v>190</v>
      </c>
      <c r="O55" s="154">
        <f t="shared" si="14"/>
        <v>0.4</v>
      </c>
      <c r="P55" s="154">
        <f t="shared" si="15"/>
        <v>0.33333333333333331</v>
      </c>
      <c r="Q55" s="154">
        <f t="shared" si="16"/>
        <v>0.26666666666666666</v>
      </c>
      <c r="R55" s="155">
        <f t="shared" si="17"/>
        <v>1</v>
      </c>
      <c r="S55" s="157"/>
      <c r="T55" s="158">
        <f>SUM(T51:T54)</f>
        <v>500.00000000000006</v>
      </c>
      <c r="V55" s="141"/>
    </row>
    <row r="56" spans="2:22" s="140" customFormat="1" ht="15.75" thickBot="1" x14ac:dyDescent="0.3">
      <c r="C56" s="150">
        <v>2</v>
      </c>
      <c r="D56" s="150">
        <f>C56*0.05</f>
        <v>0.1</v>
      </c>
      <c r="E56" s="151">
        <v>4</v>
      </c>
      <c r="F56" s="194">
        <v>150</v>
      </c>
      <c r="G56" s="194">
        <v>125</v>
      </c>
      <c r="H56" s="194">
        <v>100</v>
      </c>
      <c r="I56" s="152">
        <f t="shared" si="13"/>
        <v>375</v>
      </c>
      <c r="J56" s="153">
        <f>(D56)/I56+J54</f>
        <v>1.4162379591404679E-3</v>
      </c>
      <c r="K56" s="288">
        <f>O56*$D56</f>
        <v>4.0000000000000008E-2</v>
      </c>
      <c r="L56" s="316">
        <f>P56*$D56</f>
        <v>3.3333333333333333E-2</v>
      </c>
      <c r="M56" s="317">
        <f>Q56*$D56</f>
        <v>2.6666666666666668E-2</v>
      </c>
      <c r="N56" s="286" t="s">
        <v>190</v>
      </c>
      <c r="O56" s="154">
        <f t="shared" si="14"/>
        <v>0.4</v>
      </c>
      <c r="P56" s="154">
        <f t="shared" si="15"/>
        <v>0.33333333333333331</v>
      </c>
      <c r="Q56" s="154">
        <f t="shared" si="16"/>
        <v>0.26666666666666666</v>
      </c>
      <c r="R56" s="155">
        <f t="shared" si="17"/>
        <v>1</v>
      </c>
      <c r="S56" s="142"/>
      <c r="T56" s="158"/>
      <c r="V56" s="141"/>
    </row>
    <row r="57" spans="2:22" s="140" customFormat="1" x14ac:dyDescent="0.25">
      <c r="C57" s="156"/>
      <c r="D57" s="156">
        <v>4</v>
      </c>
      <c r="E57" s="144" t="s">
        <v>128</v>
      </c>
      <c r="F57" s="126">
        <v>150</v>
      </c>
      <c r="G57" s="126">
        <v>0</v>
      </c>
      <c r="H57" s="126">
        <v>100</v>
      </c>
      <c r="I57" s="145">
        <f t="shared" si="13"/>
        <v>250</v>
      </c>
      <c r="J57" s="292">
        <f>J56+3/14*SUM(L50:L56)/I57</f>
        <v>1.5679777404769466E-3</v>
      </c>
      <c r="K57" s="318"/>
      <c r="L57" s="319"/>
      <c r="M57" s="320"/>
      <c r="N57" s="286" t="s">
        <v>190</v>
      </c>
      <c r="O57" s="154">
        <f t="shared" si="14"/>
        <v>0.6</v>
      </c>
      <c r="P57" s="154">
        <f t="shared" si="15"/>
        <v>0</v>
      </c>
      <c r="Q57" s="154">
        <f t="shared" si="16"/>
        <v>0.4</v>
      </c>
      <c r="R57" s="155">
        <f t="shared" si="17"/>
        <v>1</v>
      </c>
      <c r="T57" s="159"/>
      <c r="U57" s="289"/>
      <c r="V57" s="141"/>
    </row>
    <row r="58" spans="2:22" s="140" customFormat="1" ht="15.75" thickBot="1" x14ac:dyDescent="0.3">
      <c r="B58" s="139"/>
      <c r="C58" s="150">
        <v>2</v>
      </c>
      <c r="D58" s="150">
        <f>C58*0.05+0*(L56+L54+L52)/2</f>
        <v>0.1</v>
      </c>
      <c r="E58" s="151">
        <v>5</v>
      </c>
      <c r="F58" s="132">
        <v>150</v>
      </c>
      <c r="G58" s="133">
        <v>0</v>
      </c>
      <c r="H58" s="132">
        <v>100</v>
      </c>
      <c r="I58" s="152">
        <f t="shared" si="13"/>
        <v>250</v>
      </c>
      <c r="J58" s="153">
        <f>D58/I58+J57</f>
        <v>1.9679777404769468E-3</v>
      </c>
      <c r="K58" s="288">
        <f>O58*$D58</f>
        <v>0.06</v>
      </c>
      <c r="L58" s="316">
        <f>P58*$D58</f>
        <v>0</v>
      </c>
      <c r="M58" s="317">
        <f>Q58*$D58</f>
        <v>4.0000000000000008E-2</v>
      </c>
      <c r="N58" s="286" t="s">
        <v>190</v>
      </c>
      <c r="O58" s="154">
        <f t="shared" si="14"/>
        <v>0.6</v>
      </c>
      <c r="P58" s="154">
        <f t="shared" si="15"/>
        <v>0</v>
      </c>
      <c r="Q58" s="154">
        <f t="shared" si="16"/>
        <v>0.4</v>
      </c>
      <c r="R58" s="155">
        <f t="shared" si="17"/>
        <v>1</v>
      </c>
      <c r="T58" s="159"/>
      <c r="U58" s="289"/>
      <c r="V58" s="141"/>
    </row>
    <row r="59" spans="2:22" s="140" customFormat="1" x14ac:dyDescent="0.25">
      <c r="C59" s="156"/>
      <c r="D59" s="156">
        <v>5</v>
      </c>
      <c r="E59" s="141" t="s">
        <v>129</v>
      </c>
      <c r="F59" s="157">
        <v>0</v>
      </c>
      <c r="G59" s="157">
        <v>0</v>
      </c>
      <c r="H59" s="157">
        <v>0</v>
      </c>
      <c r="I59" s="157">
        <v>0</v>
      </c>
      <c r="J59" s="143">
        <f>J58</f>
        <v>1.9679777404769468E-3</v>
      </c>
      <c r="N59" s="286" t="s">
        <v>190</v>
      </c>
      <c r="T59" s="159"/>
      <c r="U59" s="159"/>
      <c r="V59" s="141"/>
    </row>
    <row r="60" spans="2:22" x14ac:dyDescent="0.25">
      <c r="N60"/>
      <c r="U60" s="290"/>
      <c r="V60"/>
    </row>
    <row r="61" spans="2:22" x14ac:dyDescent="0.25">
      <c r="C61" s="140" t="s">
        <v>218</v>
      </c>
      <c r="L61" s="18"/>
      <c r="N61"/>
      <c r="V61"/>
    </row>
    <row r="62" spans="2:22" x14ac:dyDescent="0.25">
      <c r="C62" s="140" t="s">
        <v>189</v>
      </c>
      <c r="N62"/>
      <c r="V62"/>
    </row>
    <row r="63" spans="2:22" x14ac:dyDescent="0.25">
      <c r="N63"/>
      <c r="V63"/>
    </row>
    <row r="64" spans="2:22" x14ac:dyDescent="0.25">
      <c r="N64"/>
      <c r="V64"/>
    </row>
    <row r="65" spans="2:22" x14ac:dyDescent="0.25">
      <c r="N65"/>
      <c r="V65"/>
    </row>
    <row r="66" spans="2:22" x14ac:dyDescent="0.25">
      <c r="N66"/>
      <c r="V66"/>
    </row>
    <row r="67" spans="2:22" x14ac:dyDescent="0.25">
      <c r="N67"/>
      <c r="V67"/>
    </row>
    <row r="68" spans="2:22" x14ac:dyDescent="0.25">
      <c r="N68"/>
      <c r="V68"/>
    </row>
    <row r="69" spans="2:22" x14ac:dyDescent="0.25">
      <c r="N69"/>
      <c r="V69"/>
    </row>
    <row r="70" spans="2:22" x14ac:dyDescent="0.25">
      <c r="N70"/>
      <c r="V70"/>
    </row>
    <row r="71" spans="2:22" x14ac:dyDescent="0.25">
      <c r="N71"/>
      <c r="V71"/>
    </row>
    <row r="72" spans="2:22" x14ac:dyDescent="0.25">
      <c r="N72"/>
      <c r="V72"/>
    </row>
    <row r="73" spans="2:22" x14ac:dyDescent="0.25">
      <c r="N73"/>
      <c r="V73"/>
    </row>
    <row r="74" spans="2:22" x14ac:dyDescent="0.25">
      <c r="N74"/>
      <c r="V74"/>
    </row>
    <row r="75" spans="2:22" x14ac:dyDescent="0.25">
      <c r="V75"/>
    </row>
    <row r="76" spans="2:22" x14ac:dyDescent="0.25">
      <c r="B76" s="1"/>
      <c r="V76"/>
    </row>
    <row r="77" spans="2:22" x14ac:dyDescent="0.25">
      <c r="V77"/>
    </row>
    <row r="78" spans="2:22" x14ac:dyDescent="0.25">
      <c r="V78"/>
    </row>
    <row r="79" spans="2:22" x14ac:dyDescent="0.25">
      <c r="V79"/>
    </row>
    <row r="80" spans="2:22" x14ac:dyDescent="0.25">
      <c r="V80"/>
    </row>
    <row r="81" spans="22:22" x14ac:dyDescent="0.25">
      <c r="V81"/>
    </row>
    <row r="82" spans="22:22" x14ac:dyDescent="0.25">
      <c r="V82"/>
    </row>
    <row r="83" spans="22:22" x14ac:dyDescent="0.25">
      <c r="V83"/>
    </row>
    <row r="84" spans="22:22" x14ac:dyDescent="0.25">
      <c r="V84"/>
    </row>
    <row r="85" spans="22:22" x14ac:dyDescent="0.25">
      <c r="V85"/>
    </row>
    <row r="86" spans="22:22" x14ac:dyDescent="0.25">
      <c r="V86"/>
    </row>
    <row r="87" spans="22:22" x14ac:dyDescent="0.25">
      <c r="V87"/>
    </row>
    <row r="88" spans="22:22" x14ac:dyDescent="0.25">
      <c r="V88"/>
    </row>
    <row r="89" spans="22:22" x14ac:dyDescent="0.25">
      <c r="V89"/>
    </row>
    <row r="90" spans="22:22" x14ac:dyDescent="0.25">
      <c r="V90"/>
    </row>
    <row r="91" spans="22:22" x14ac:dyDescent="0.25">
      <c r="V91"/>
    </row>
    <row r="92" spans="22:22" x14ac:dyDescent="0.25">
      <c r="V92"/>
    </row>
    <row r="93" spans="22:22" x14ac:dyDescent="0.25">
      <c r="V93"/>
    </row>
    <row r="94" spans="22:22" x14ac:dyDescent="0.25">
      <c r="V94"/>
    </row>
    <row r="95" spans="22:22" x14ac:dyDescent="0.25">
      <c r="V95"/>
    </row>
    <row r="96" spans="22:22" x14ac:dyDescent="0.25">
      <c r="V96"/>
    </row>
    <row r="97" spans="2:22" x14ac:dyDescent="0.25">
      <c r="B97" s="1"/>
      <c r="V97"/>
    </row>
    <row r="98" spans="2:22" x14ac:dyDescent="0.25">
      <c r="V98"/>
    </row>
    <row r="99" spans="2:22" x14ac:dyDescent="0.25">
      <c r="B99" s="1"/>
      <c r="V99"/>
    </row>
    <row r="100" spans="2:22" x14ac:dyDescent="0.25">
      <c r="V100"/>
    </row>
    <row r="101" spans="2:22" x14ac:dyDescent="0.25">
      <c r="B101" s="1"/>
      <c r="V101"/>
    </row>
    <row r="102" spans="2:22" x14ac:dyDescent="0.25">
      <c r="V102"/>
    </row>
    <row r="103" spans="2:22" x14ac:dyDescent="0.25">
      <c r="V103"/>
    </row>
    <row r="104" spans="2:22" x14ac:dyDescent="0.25">
      <c r="B104" s="1"/>
      <c r="V104"/>
    </row>
    <row r="105" spans="2:22" x14ac:dyDescent="0.25">
      <c r="V105"/>
    </row>
    <row r="106" spans="2:22" x14ac:dyDescent="0.25">
      <c r="V106"/>
    </row>
    <row r="107" spans="2:22" x14ac:dyDescent="0.25">
      <c r="B107" s="1"/>
      <c r="V107"/>
    </row>
    <row r="108" spans="2:22" x14ac:dyDescent="0.25">
      <c r="V108"/>
    </row>
    <row r="109" spans="2:22" x14ac:dyDescent="0.25">
      <c r="V109"/>
    </row>
    <row r="110" spans="2:22" x14ac:dyDescent="0.25">
      <c r="V110"/>
    </row>
    <row r="111" spans="2:22" x14ac:dyDescent="0.25">
      <c r="V111"/>
    </row>
    <row r="112" spans="2:22" x14ac:dyDescent="0.25">
      <c r="V112"/>
    </row>
    <row r="113" spans="3:22" x14ac:dyDescent="0.25">
      <c r="V113"/>
    </row>
    <row r="114" spans="3:22" x14ac:dyDescent="0.25">
      <c r="V114"/>
    </row>
    <row r="115" spans="3:22" x14ac:dyDescent="0.25">
      <c r="V115"/>
    </row>
    <row r="116" spans="3:22" x14ac:dyDescent="0.25">
      <c r="C116" s="3"/>
      <c r="D116" s="3"/>
      <c r="E116" s="4"/>
      <c r="F116" s="169"/>
      <c r="G116" s="169"/>
      <c r="H116" s="169"/>
      <c r="J116" s="4"/>
      <c r="K116" s="1"/>
      <c r="L116" s="4"/>
      <c r="M116" s="4"/>
      <c r="N116" s="35"/>
      <c r="O116" s="4"/>
      <c r="P116" s="4"/>
      <c r="Q116" s="4"/>
      <c r="R116" s="21"/>
      <c r="S116" s="22"/>
      <c r="T116" s="22"/>
    </row>
    <row r="117" spans="3:22" x14ac:dyDescent="0.25">
      <c r="D117" s="15"/>
      <c r="E117" s="4"/>
      <c r="F117" s="1"/>
      <c r="M117" s="4"/>
      <c r="O117" s="4"/>
      <c r="P117" s="4"/>
      <c r="S117" s="22"/>
      <c r="T117" s="22"/>
    </row>
    <row r="118" spans="3:22" x14ac:dyDescent="0.25">
      <c r="E118" s="4"/>
      <c r="F118" s="1"/>
      <c r="J118" s="19"/>
      <c r="K118" s="19"/>
      <c r="L118" s="19"/>
      <c r="M118" s="4"/>
      <c r="N118" s="287"/>
      <c r="O118" s="4"/>
      <c r="P118" s="4"/>
      <c r="Q118" s="3"/>
      <c r="R118" s="3"/>
      <c r="S118" s="22"/>
      <c r="T118" s="22"/>
    </row>
    <row r="119" spans="3:22" x14ac:dyDescent="0.25">
      <c r="E119" s="4"/>
      <c r="F119" s="1"/>
      <c r="J119" s="19"/>
      <c r="K119" s="1"/>
      <c r="L119" s="19"/>
      <c r="N119" s="287"/>
      <c r="Q119" s="3"/>
      <c r="R119" s="3"/>
    </row>
    <row r="120" spans="3:22" x14ac:dyDescent="0.25">
      <c r="E120" s="4"/>
      <c r="F120" s="1"/>
      <c r="J120" s="19"/>
      <c r="K120" s="19"/>
      <c r="L120" s="19"/>
      <c r="M120" s="4"/>
      <c r="N120" s="287"/>
      <c r="O120" s="4"/>
      <c r="P120" s="4"/>
      <c r="Q120" s="3"/>
      <c r="R120" s="3"/>
    </row>
    <row r="121" spans="3:22" x14ac:dyDescent="0.25">
      <c r="E121" s="4"/>
      <c r="F121" s="1"/>
      <c r="J121" s="19"/>
      <c r="K121" s="19"/>
      <c r="L121" s="19"/>
      <c r="N121" s="287"/>
      <c r="Q121" s="3"/>
      <c r="R121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AB272-D94F-4011-9858-A8CDADC50F7C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2144-F2B1-4120-B2CF-B59CFCAF2486}">
  <sheetPr codeName="Sheet7"/>
  <dimension ref="B2:K29"/>
  <sheetViews>
    <sheetView workbookViewId="0">
      <selection activeCell="K23" sqref="K23"/>
    </sheetView>
  </sheetViews>
  <sheetFormatPr defaultRowHeight="15" x14ac:dyDescent="0.25"/>
  <cols>
    <col min="2" max="2" width="18" customWidth="1"/>
    <col min="5" max="5" width="14.140625" bestFit="1" customWidth="1"/>
    <col min="6" max="6" width="12.7109375" bestFit="1" customWidth="1"/>
  </cols>
  <sheetData>
    <row r="2" spans="2:11" x14ac:dyDescent="0.25">
      <c r="B2" t="s">
        <v>192</v>
      </c>
      <c r="C2">
        <v>97</v>
      </c>
    </row>
    <row r="3" spans="2:11" x14ac:dyDescent="0.25">
      <c r="B3" t="s">
        <v>193</v>
      </c>
      <c r="C3">
        <v>184</v>
      </c>
      <c r="D3" t="s">
        <v>194</v>
      </c>
    </row>
    <row r="4" spans="2:11" x14ac:dyDescent="0.25">
      <c r="B4" t="s">
        <v>197</v>
      </c>
      <c r="C4">
        <v>195</v>
      </c>
      <c r="D4" t="s">
        <v>194</v>
      </c>
    </row>
    <row r="5" spans="2:11" x14ac:dyDescent="0.25">
      <c r="B5" t="s">
        <v>196</v>
      </c>
      <c r="C5">
        <v>204</v>
      </c>
      <c r="D5" t="s">
        <v>194</v>
      </c>
      <c r="G5">
        <f>2^16</f>
        <v>65536</v>
      </c>
    </row>
    <row r="6" spans="2:11" x14ac:dyDescent="0.25">
      <c r="B6" t="s">
        <v>193</v>
      </c>
      <c r="C6">
        <v>208</v>
      </c>
      <c r="D6" t="s">
        <v>199</v>
      </c>
    </row>
    <row r="7" spans="2:11" x14ac:dyDescent="0.25">
      <c r="B7" t="s">
        <v>192</v>
      </c>
      <c r="C7">
        <v>233</v>
      </c>
      <c r="K7">
        <v>1000000</v>
      </c>
    </row>
    <row r="8" spans="2:11" x14ac:dyDescent="0.25">
      <c r="B8" s="1" t="s">
        <v>193</v>
      </c>
      <c r="C8" s="1">
        <v>317</v>
      </c>
      <c r="K8">
        <v>86400</v>
      </c>
    </row>
    <row r="9" spans="2:11" x14ac:dyDescent="0.25">
      <c r="B9" t="s">
        <v>197</v>
      </c>
      <c r="C9">
        <v>341</v>
      </c>
      <c r="G9" s="50">
        <v>1E+18</v>
      </c>
      <c r="K9">
        <f>K7/K8</f>
        <v>11.574074074074074</v>
      </c>
    </row>
    <row r="10" spans="2:11" x14ac:dyDescent="0.25">
      <c r="B10" t="s">
        <v>198</v>
      </c>
      <c r="C10">
        <v>354</v>
      </c>
      <c r="D10" t="s">
        <v>194</v>
      </c>
      <c r="F10" s="4"/>
    </row>
    <row r="11" spans="2:11" x14ac:dyDescent="0.25">
      <c r="B11" t="s">
        <v>192</v>
      </c>
      <c r="C11">
        <v>365</v>
      </c>
      <c r="D11" t="s">
        <v>194</v>
      </c>
      <c r="F11" s="4"/>
    </row>
    <row r="12" spans="2:11" x14ac:dyDescent="0.25">
      <c r="B12" t="s">
        <v>198</v>
      </c>
      <c r="C12">
        <v>455</v>
      </c>
      <c r="D12" t="s">
        <v>199</v>
      </c>
    </row>
    <row r="13" spans="2:11" x14ac:dyDescent="0.25">
      <c r="B13" t="s">
        <v>197</v>
      </c>
      <c r="C13">
        <v>477</v>
      </c>
    </row>
    <row r="14" spans="2:11" x14ac:dyDescent="0.25">
      <c r="B14" t="s">
        <v>198</v>
      </c>
      <c r="C14">
        <v>491</v>
      </c>
    </row>
    <row r="15" spans="2:11" x14ac:dyDescent="0.25">
      <c r="B15" t="s">
        <v>195</v>
      </c>
      <c r="C15">
        <v>528</v>
      </c>
    </row>
    <row r="16" spans="2:11" x14ac:dyDescent="0.25">
      <c r="B16" t="s">
        <v>193</v>
      </c>
      <c r="C16">
        <v>542</v>
      </c>
      <c r="D16" t="s">
        <v>194</v>
      </c>
    </row>
    <row r="17" spans="2:4" x14ac:dyDescent="0.25">
      <c r="B17" t="s">
        <v>198</v>
      </c>
      <c r="C17">
        <v>543</v>
      </c>
      <c r="D17" t="s">
        <v>194</v>
      </c>
    </row>
    <row r="18" spans="2:4" x14ac:dyDescent="0.25">
      <c r="B18" t="s">
        <v>197</v>
      </c>
      <c r="C18">
        <v>545</v>
      </c>
      <c r="D18" t="s">
        <v>194</v>
      </c>
    </row>
    <row r="19" spans="2:4" x14ac:dyDescent="0.25">
      <c r="B19" t="s">
        <v>196</v>
      </c>
      <c r="C19">
        <v>556</v>
      </c>
      <c r="D19" t="s">
        <v>199</v>
      </c>
    </row>
    <row r="20" spans="2:4" x14ac:dyDescent="0.25">
      <c r="B20" t="s">
        <v>195</v>
      </c>
      <c r="C20">
        <v>581</v>
      </c>
    </row>
    <row r="21" spans="2:4" x14ac:dyDescent="0.25">
      <c r="B21" t="s">
        <v>196</v>
      </c>
      <c r="C21">
        <v>599</v>
      </c>
      <c r="D21" t="s">
        <v>199</v>
      </c>
    </row>
    <row r="22" spans="2:4" x14ac:dyDescent="0.25">
      <c r="B22" t="s">
        <v>195</v>
      </c>
      <c r="C22">
        <v>623</v>
      </c>
    </row>
    <row r="23" spans="2:4" x14ac:dyDescent="0.25">
      <c r="B23" t="s">
        <v>196</v>
      </c>
      <c r="C23">
        <v>640</v>
      </c>
    </row>
    <row r="24" spans="2:4" x14ac:dyDescent="0.25">
      <c r="B24" t="s">
        <v>192</v>
      </c>
      <c r="C24">
        <v>662</v>
      </c>
    </row>
    <row r="25" spans="2:4" x14ac:dyDescent="0.25">
      <c r="B25" t="s">
        <v>193</v>
      </c>
      <c r="C25">
        <v>743</v>
      </c>
    </row>
    <row r="26" spans="2:4" x14ac:dyDescent="0.25">
      <c r="B26" t="s">
        <v>197</v>
      </c>
      <c r="C26">
        <v>763</v>
      </c>
    </row>
    <row r="27" spans="2:4" x14ac:dyDescent="0.25">
      <c r="B27" t="s">
        <v>198</v>
      </c>
      <c r="C27">
        <v>772</v>
      </c>
    </row>
    <row r="28" spans="2:4" x14ac:dyDescent="0.25">
      <c r="B28" t="s">
        <v>195</v>
      </c>
      <c r="C28">
        <v>811</v>
      </c>
    </row>
    <row r="29" spans="2:4" x14ac:dyDescent="0.25">
      <c r="B29" t="s">
        <v>196</v>
      </c>
      <c r="C29">
        <v>819</v>
      </c>
    </row>
  </sheetData>
  <sortState xmlns:xlrd2="http://schemas.microsoft.com/office/spreadsheetml/2017/richdata2" ref="B2:D36">
    <sortCondition ref="C2:C36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398E8-E6F0-4309-B203-F52646A84471}">
  <sheetPr codeName="Sheet3"/>
  <dimension ref="B1:Z48"/>
  <sheetViews>
    <sheetView topLeftCell="D1" zoomScale="75" zoomScaleNormal="75" workbookViewId="0">
      <selection activeCell="J15" sqref="J15"/>
    </sheetView>
  </sheetViews>
  <sheetFormatPr defaultRowHeight="15" x14ac:dyDescent="0.25"/>
  <cols>
    <col min="2" max="2" width="6.7109375" customWidth="1"/>
    <col min="3" max="3" width="25.5703125" customWidth="1"/>
    <col min="4" max="4" width="16.85546875" bestFit="1" customWidth="1"/>
    <col min="5" max="5" width="19" customWidth="1"/>
    <col min="6" max="6" width="9.140625" customWidth="1"/>
    <col min="10" max="10" width="13" customWidth="1"/>
    <col min="12" max="12" width="8.7109375" customWidth="1"/>
    <col min="13" max="14" width="13.28515625" customWidth="1"/>
    <col min="15" max="15" width="16.7109375" customWidth="1"/>
    <col min="16" max="16" width="15.5703125" customWidth="1"/>
    <col min="17" max="17" width="22.85546875" customWidth="1"/>
    <col min="18" max="18" width="11.140625" customWidth="1"/>
    <col min="19" max="19" width="16.5703125" customWidth="1"/>
    <col min="20" max="21" width="15" customWidth="1"/>
    <col min="22" max="22" width="17.140625" customWidth="1"/>
    <col min="23" max="23" width="14.85546875" customWidth="1"/>
    <col min="24" max="25" width="10.28515625" bestFit="1" customWidth="1"/>
    <col min="26" max="28" width="11.42578125" customWidth="1"/>
    <col min="29" max="34" width="12" customWidth="1"/>
    <col min="35" max="35" width="12" bestFit="1" customWidth="1"/>
    <col min="36" max="36" width="12.5703125" bestFit="1" customWidth="1"/>
    <col min="37" max="37" width="11.42578125" customWidth="1"/>
    <col min="43" max="43" width="12" bestFit="1" customWidth="1"/>
    <col min="45" max="45" width="10.5703125" bestFit="1" customWidth="1"/>
    <col min="51" max="51" width="12" bestFit="1" customWidth="1"/>
    <col min="53" max="53" width="10.5703125" bestFit="1" customWidth="1"/>
  </cols>
  <sheetData>
    <row r="1" spans="2:26" x14ac:dyDescent="0.25">
      <c r="C1" s="1" t="s">
        <v>47</v>
      </c>
      <c r="J1" s="23"/>
      <c r="K1" s="24"/>
      <c r="M1" s="23"/>
      <c r="N1" s="24"/>
      <c r="X1" s="23"/>
      <c r="Y1" s="24"/>
    </row>
    <row r="2" spans="2:26" x14ac:dyDescent="0.25">
      <c r="J2" s="25" t="s">
        <v>0</v>
      </c>
      <c r="K2" s="26"/>
      <c r="L2" s="2"/>
      <c r="M2" s="25" t="s">
        <v>83</v>
      </c>
      <c r="N2" s="26"/>
      <c r="O2" s="2" t="s">
        <v>90</v>
      </c>
      <c r="P2" s="2"/>
      <c r="Q2" s="2" t="s">
        <v>89</v>
      </c>
      <c r="R2" s="2"/>
      <c r="U2" s="2" t="s">
        <v>39</v>
      </c>
      <c r="X2" s="25" t="s">
        <v>0</v>
      </c>
      <c r="Y2" s="26"/>
      <c r="Z2">
        <v>30000</v>
      </c>
    </row>
    <row r="3" spans="2:26" x14ac:dyDescent="0.25">
      <c r="D3" s="2" t="s">
        <v>150</v>
      </c>
      <c r="E3" s="2"/>
      <c r="F3" s="2" t="s">
        <v>149</v>
      </c>
      <c r="G3" s="2" t="s">
        <v>85</v>
      </c>
      <c r="H3" s="2" t="s">
        <v>86</v>
      </c>
      <c r="I3" s="2" t="s">
        <v>33</v>
      </c>
      <c r="J3" s="25" t="s">
        <v>34</v>
      </c>
      <c r="K3" s="26" t="s">
        <v>35</v>
      </c>
      <c r="L3" s="2" t="s">
        <v>67</v>
      </c>
      <c r="M3" s="25" t="s">
        <v>31</v>
      </c>
      <c r="N3" s="26" t="s">
        <v>32</v>
      </c>
      <c r="O3" s="2" t="s">
        <v>29</v>
      </c>
      <c r="P3" s="2" t="s">
        <v>30</v>
      </c>
      <c r="Q3" s="2" t="s">
        <v>31</v>
      </c>
      <c r="R3" s="2" t="s">
        <v>32</v>
      </c>
      <c r="S3" s="2" t="s">
        <v>36</v>
      </c>
      <c r="T3" s="2" t="s">
        <v>37</v>
      </c>
      <c r="U3" s="2" t="s">
        <v>38</v>
      </c>
      <c r="V3" s="2" t="s">
        <v>82</v>
      </c>
      <c r="W3" s="2" t="s">
        <v>81</v>
      </c>
      <c r="X3" s="25" t="s">
        <v>34</v>
      </c>
      <c r="Y3" s="26" t="s">
        <v>35</v>
      </c>
      <c r="Z3">
        <f>Z2/5</f>
        <v>6000</v>
      </c>
    </row>
    <row r="4" spans="2:26" x14ac:dyDescent="0.25">
      <c r="B4">
        <v>0</v>
      </c>
      <c r="C4" t="s">
        <v>1</v>
      </c>
      <c r="D4">
        <v>999</v>
      </c>
      <c r="E4" s="5">
        <v>1621266400</v>
      </c>
      <c r="F4">
        <f>INT(1000000/(D4+45))-45</f>
        <v>912</v>
      </c>
      <c r="G4">
        <v>2</v>
      </c>
      <c r="H4">
        <v>1</v>
      </c>
      <c r="I4">
        <v>0</v>
      </c>
      <c r="J4" s="303">
        <v>60062</v>
      </c>
      <c r="K4" s="44">
        <v>0</v>
      </c>
      <c r="L4">
        <f ca="1">MOD(OFFSET(IF(J4&gt;0,D$4,F$4),I4,0),10000)</f>
        <v>999</v>
      </c>
      <c r="M4" s="27">
        <f t="shared" ref="M4:N8" ca="1" si="0">INT($L4*J4/1000)</f>
        <v>60001</v>
      </c>
      <c r="N4" s="28">
        <f t="shared" ca="1" si="0"/>
        <v>0</v>
      </c>
      <c r="O4" s="4">
        <f>J4</f>
        <v>60062</v>
      </c>
      <c r="P4" s="4">
        <f>K4</f>
        <v>0</v>
      </c>
      <c r="Q4" s="306">
        <f ca="1">INT(J4*$L4/1000)</f>
        <v>60001</v>
      </c>
      <c r="R4" s="4">
        <v>0</v>
      </c>
      <c r="S4" s="4">
        <f ca="1">Q4-P4</f>
        <v>60001</v>
      </c>
      <c r="T4" s="4"/>
      <c r="U4" s="4">
        <f ca="1">MAX(0,S4:T4)</f>
        <v>60001</v>
      </c>
      <c r="V4" s="4">
        <f ca="1">U4</f>
        <v>60001</v>
      </c>
      <c r="W4" s="1">
        <f>SUM(J4:K4)</f>
        <v>60062</v>
      </c>
      <c r="X4" s="27">
        <v>1000</v>
      </c>
      <c r="Y4" s="28">
        <v>0</v>
      </c>
    </row>
    <row r="5" spans="2:26" x14ac:dyDescent="0.25">
      <c r="B5">
        <v>1</v>
      </c>
      <c r="C5" t="s">
        <v>17</v>
      </c>
      <c r="D5">
        <v>999</v>
      </c>
      <c r="E5" s="5">
        <v>1621266400</v>
      </c>
      <c r="F5">
        <f t="shared" ref="F5:F35" si="1">INT(1000000/(D5+45))-45</f>
        <v>912</v>
      </c>
      <c r="G5">
        <v>2</v>
      </c>
      <c r="H5">
        <v>1</v>
      </c>
      <c r="I5">
        <v>0</v>
      </c>
      <c r="J5" s="303">
        <v>60061</v>
      </c>
      <c r="K5" s="44">
        <v>0</v>
      </c>
      <c r="L5">
        <f ca="1">MOD(OFFSET(IF(J5&gt;0,D$4,F$4),I5,0),10000)</f>
        <v>999</v>
      </c>
      <c r="M5" s="27">
        <f t="shared" ca="1" si="0"/>
        <v>60000</v>
      </c>
      <c r="N5" s="28">
        <f t="shared" ca="1" si="0"/>
        <v>0</v>
      </c>
      <c r="O5" s="4">
        <f>J5</f>
        <v>60061</v>
      </c>
      <c r="P5" s="4">
        <f>K5</f>
        <v>0</v>
      </c>
      <c r="Q5" s="4">
        <f ca="1">INT(J5*$L5/1000)</f>
        <v>60000</v>
      </c>
      <c r="R5" s="4">
        <v>0</v>
      </c>
      <c r="S5" s="4">
        <f ca="1">Q5-P5</f>
        <v>60000</v>
      </c>
      <c r="T5" s="4">
        <f>R5-O5</f>
        <v>-60061</v>
      </c>
      <c r="U5" s="4">
        <f ca="1">MAX(0,S5:T5)</f>
        <v>60000</v>
      </c>
      <c r="V5" s="4">
        <f ca="1">U5</f>
        <v>60000</v>
      </c>
      <c r="W5" s="1">
        <f>SUM(J5:K5)</f>
        <v>60061</v>
      </c>
      <c r="X5" s="27">
        <v>1000</v>
      </c>
      <c r="Y5" s="28">
        <v>0</v>
      </c>
    </row>
    <row r="6" spans="2:26" x14ac:dyDescent="0.25">
      <c r="B6">
        <v>2</v>
      </c>
      <c r="C6" t="s">
        <v>3</v>
      </c>
      <c r="D6">
        <v>999</v>
      </c>
      <c r="E6" s="5">
        <v>1621266400</v>
      </c>
      <c r="F6">
        <f t="shared" si="1"/>
        <v>912</v>
      </c>
      <c r="G6">
        <v>3</v>
      </c>
      <c r="H6">
        <v>1</v>
      </c>
      <c r="I6">
        <f>I4</f>
        <v>0</v>
      </c>
      <c r="J6" s="303">
        <v>0</v>
      </c>
      <c r="K6" s="304">
        <v>120000</v>
      </c>
      <c r="L6">
        <f ca="1">MOD(OFFSET(IF(J6&gt;0,D$4,F$4),I6,0),10000)</f>
        <v>912</v>
      </c>
      <c r="M6" s="27">
        <f t="shared" ca="1" si="0"/>
        <v>0</v>
      </c>
      <c r="N6" s="28">
        <f t="shared" ca="1" si="0"/>
        <v>109440</v>
      </c>
      <c r="O6" s="4">
        <f>J6+O5</f>
        <v>60061</v>
      </c>
      <c r="P6" s="4">
        <f>K6+P4</f>
        <v>120000</v>
      </c>
      <c r="Q6" s="4">
        <f ca="1">INT(J6*L6/1000)+Q5</f>
        <v>60000</v>
      </c>
      <c r="R6" s="4">
        <f ca="1">INT(K6*L6/1000)+R4</f>
        <v>109440</v>
      </c>
      <c r="S6" s="4">
        <f ca="1">Q6-P6</f>
        <v>-60000</v>
      </c>
      <c r="T6" s="4">
        <f ca="1">R6-O6</f>
        <v>49379</v>
      </c>
      <c r="U6" s="4">
        <f t="shared" ref="U6:U7" ca="1" si="2">MAX(0,S6:T6)</f>
        <v>49379</v>
      </c>
      <c r="V6" s="4">
        <f ca="1">V4+(U6-U4)</f>
        <v>49379</v>
      </c>
      <c r="W6" s="1">
        <f>SUM(J6:K6)+W4</f>
        <v>180062</v>
      </c>
      <c r="X6" s="27">
        <v>0</v>
      </c>
      <c r="Y6" s="29">
        <v>2000</v>
      </c>
    </row>
    <row r="7" spans="2:26" x14ac:dyDescent="0.25">
      <c r="B7">
        <v>3</v>
      </c>
      <c r="C7" t="s">
        <v>4</v>
      </c>
      <c r="D7">
        <v>999</v>
      </c>
      <c r="E7" s="5">
        <v>1621266400</v>
      </c>
      <c r="F7">
        <f t="shared" si="1"/>
        <v>912</v>
      </c>
      <c r="G7">
        <v>2</v>
      </c>
      <c r="H7">
        <v>1</v>
      </c>
      <c r="I7">
        <v>0</v>
      </c>
      <c r="J7" s="307">
        <v>120121</v>
      </c>
      <c r="K7" s="44">
        <v>0</v>
      </c>
      <c r="L7">
        <f ca="1">MOD(OFFSET(IF(J7&gt;0,D$4,F$4),I7,0),10000)</f>
        <v>999</v>
      </c>
      <c r="M7" s="27">
        <f t="shared" ca="1" si="0"/>
        <v>120000</v>
      </c>
      <c r="N7" s="28">
        <f t="shared" ca="1" si="0"/>
        <v>0</v>
      </c>
      <c r="O7" s="4">
        <f>J7+O6</f>
        <v>180182</v>
      </c>
      <c r="P7" s="305">
        <f>K7+P6</f>
        <v>120000</v>
      </c>
      <c r="Q7" s="4">
        <f ca="1">INT(J7*L7/1000)+Q6</f>
        <v>180000</v>
      </c>
      <c r="R7" s="4">
        <f ca="1">INT(K7*L7/1000)+R6</f>
        <v>109440</v>
      </c>
      <c r="S7" s="4">
        <f ca="1">Q7-P7</f>
        <v>60000</v>
      </c>
      <c r="T7" s="4">
        <f ca="1">R7-O7</f>
        <v>-70742</v>
      </c>
      <c r="U7" s="4">
        <f t="shared" ca="1" si="2"/>
        <v>60000</v>
      </c>
      <c r="V7" s="4">
        <f ca="1">V6+(U7-U6)</f>
        <v>60000</v>
      </c>
      <c r="W7" s="1">
        <f>SUM(J7:K7)+W6</f>
        <v>300183</v>
      </c>
      <c r="X7" s="27">
        <v>1000</v>
      </c>
      <c r="Y7" s="28">
        <v>0</v>
      </c>
    </row>
    <row r="8" spans="2:26" x14ac:dyDescent="0.25">
      <c r="B8">
        <v>4</v>
      </c>
      <c r="C8" t="s">
        <v>5</v>
      </c>
      <c r="D8">
        <v>999</v>
      </c>
      <c r="E8" s="5">
        <v>1621266400</v>
      </c>
      <c r="F8">
        <f t="shared" si="1"/>
        <v>912</v>
      </c>
      <c r="G8">
        <v>3</v>
      </c>
      <c r="H8">
        <v>1</v>
      </c>
      <c r="I8">
        <v>0</v>
      </c>
      <c r="J8" s="303">
        <v>0</v>
      </c>
      <c r="K8" s="44"/>
      <c r="L8">
        <f ca="1">MOD(OFFSET(IF(J8&gt;0,D$4,F$4),I8,0),10000)</f>
        <v>912</v>
      </c>
      <c r="M8" s="27">
        <f t="shared" ca="1" si="0"/>
        <v>0</v>
      </c>
      <c r="N8" s="28">
        <f t="shared" ca="1" si="0"/>
        <v>0</v>
      </c>
      <c r="O8" s="4">
        <f>J8+O7</f>
        <v>180182</v>
      </c>
      <c r="P8" s="305">
        <f>K8+P7</f>
        <v>120000</v>
      </c>
      <c r="Q8" s="4">
        <f ca="1">INT(J8*L8/1000)+Q7</f>
        <v>180000</v>
      </c>
      <c r="R8" s="4">
        <f ca="1">INT(K8*L8/1000)+R7</f>
        <v>109440</v>
      </c>
      <c r="S8" s="4">
        <f ca="1">Q8-P8</f>
        <v>60000</v>
      </c>
      <c r="T8" s="4">
        <f ca="1">R8-O8</f>
        <v>-70742</v>
      </c>
      <c r="U8" s="4">
        <f t="shared" ref="U8" ca="1" si="3">MAX(0,S8:T8)</f>
        <v>60000</v>
      </c>
      <c r="V8" s="4">
        <f ca="1">V7+(U8-U7)</f>
        <v>60000</v>
      </c>
      <c r="W8" s="1">
        <f>SUM(J8:K8)+W7</f>
        <v>300183</v>
      </c>
      <c r="X8" s="27">
        <v>1000</v>
      </c>
      <c r="Y8" s="28">
        <v>0</v>
      </c>
    </row>
    <row r="9" spans="2:26" x14ac:dyDescent="0.25">
      <c r="B9">
        <v>5</v>
      </c>
      <c r="C9" t="s">
        <v>6</v>
      </c>
      <c r="D9">
        <v>999</v>
      </c>
      <c r="E9" s="5">
        <v>1621266400</v>
      </c>
      <c r="F9">
        <f t="shared" si="1"/>
        <v>912</v>
      </c>
      <c r="J9" s="303"/>
      <c r="K9" s="44"/>
      <c r="M9" s="27"/>
      <c r="N9" s="28"/>
      <c r="O9" s="4"/>
      <c r="P9" s="4"/>
      <c r="Q9" s="4"/>
      <c r="R9" s="4"/>
      <c r="S9" s="4"/>
      <c r="T9" s="4"/>
      <c r="U9" s="1"/>
      <c r="V9" s="1"/>
      <c r="W9" s="1"/>
      <c r="X9" s="27"/>
      <c r="Y9" s="28"/>
    </row>
    <row r="10" spans="2:26" x14ac:dyDescent="0.25">
      <c r="B10">
        <v>6</v>
      </c>
      <c r="C10" t="s">
        <v>7</v>
      </c>
      <c r="D10">
        <v>999</v>
      </c>
      <c r="E10" s="5">
        <v>1621266400</v>
      </c>
      <c r="F10">
        <f t="shared" si="1"/>
        <v>912</v>
      </c>
    </row>
    <row r="11" spans="2:26" x14ac:dyDescent="0.25">
      <c r="B11">
        <v>7</v>
      </c>
      <c r="C11" t="s">
        <v>8</v>
      </c>
      <c r="D11">
        <v>999</v>
      </c>
      <c r="E11" s="5">
        <v>1621266400</v>
      </c>
      <c r="F11">
        <f t="shared" si="1"/>
        <v>912</v>
      </c>
    </row>
    <row r="12" spans="2:26" x14ac:dyDescent="0.25">
      <c r="B12">
        <v>8</v>
      </c>
      <c r="C12" t="s">
        <v>9</v>
      </c>
      <c r="D12">
        <v>620</v>
      </c>
      <c r="E12" s="5">
        <v>1621266400</v>
      </c>
      <c r="F12">
        <f t="shared" si="1"/>
        <v>1458</v>
      </c>
    </row>
    <row r="13" spans="2:26" x14ac:dyDescent="0.25">
      <c r="B13">
        <v>9</v>
      </c>
      <c r="C13" t="s">
        <v>10</v>
      </c>
      <c r="D13">
        <v>960</v>
      </c>
      <c r="E13" s="5">
        <v>1621266400</v>
      </c>
      <c r="F13">
        <f t="shared" si="1"/>
        <v>950</v>
      </c>
    </row>
    <row r="14" spans="2:26" x14ac:dyDescent="0.25">
      <c r="B14">
        <v>10</v>
      </c>
      <c r="C14" t="s">
        <v>11</v>
      </c>
      <c r="D14">
        <v>500</v>
      </c>
      <c r="E14" s="5">
        <v>1621266400</v>
      </c>
      <c r="F14">
        <f t="shared" si="1"/>
        <v>1789</v>
      </c>
      <c r="N14" s="50">
        <v>1E+18</v>
      </c>
    </row>
    <row r="15" spans="2:26" x14ac:dyDescent="0.25">
      <c r="B15">
        <v>11</v>
      </c>
      <c r="C15" t="s">
        <v>12</v>
      </c>
      <c r="D15">
        <v>600</v>
      </c>
      <c r="E15" s="5">
        <v>1621266400</v>
      </c>
      <c r="F15">
        <f t="shared" si="1"/>
        <v>1505</v>
      </c>
    </row>
    <row r="16" spans="2:26" x14ac:dyDescent="0.25">
      <c r="B16">
        <v>12</v>
      </c>
      <c r="C16" t="s">
        <v>13</v>
      </c>
      <c r="D16">
        <v>700</v>
      </c>
      <c r="E16" s="5">
        <v>1621266400</v>
      </c>
      <c r="F16">
        <f t="shared" si="1"/>
        <v>1297</v>
      </c>
    </row>
    <row r="17" spans="2:15" x14ac:dyDescent="0.25">
      <c r="B17">
        <v>13</v>
      </c>
      <c r="C17" t="s">
        <v>14</v>
      </c>
      <c r="D17">
        <v>730</v>
      </c>
      <c r="E17" s="5">
        <v>1621266400</v>
      </c>
      <c r="F17">
        <f t="shared" si="1"/>
        <v>1245</v>
      </c>
    </row>
    <row r="18" spans="2:15" x14ac:dyDescent="0.25">
      <c r="B18">
        <v>14</v>
      </c>
      <c r="C18" t="s">
        <v>15</v>
      </c>
      <c r="D18">
        <v>699</v>
      </c>
      <c r="E18" s="5">
        <v>1621266400</v>
      </c>
      <c r="F18">
        <f t="shared" si="1"/>
        <v>1299</v>
      </c>
      <c r="K18" s="2"/>
      <c r="L18" s="11"/>
    </row>
    <row r="19" spans="2:15" x14ac:dyDescent="0.25">
      <c r="B19">
        <v>15</v>
      </c>
      <c r="C19" t="s">
        <v>16</v>
      </c>
      <c r="D19">
        <v>884</v>
      </c>
      <c r="E19" s="5">
        <v>1621266400</v>
      </c>
      <c r="F19">
        <f t="shared" si="1"/>
        <v>1031</v>
      </c>
      <c r="K19" s="12"/>
    </row>
    <row r="20" spans="2:15" x14ac:dyDescent="0.25">
      <c r="B20">
        <v>16</v>
      </c>
      <c r="C20" t="s">
        <v>17</v>
      </c>
      <c r="D20">
        <v>800</v>
      </c>
      <c r="E20" s="5">
        <v>1621266400</v>
      </c>
      <c r="F20">
        <f t="shared" si="1"/>
        <v>1138</v>
      </c>
      <c r="K20" s="12"/>
      <c r="L20" s="11"/>
    </row>
    <row r="21" spans="2:15" x14ac:dyDescent="0.25">
      <c r="B21">
        <v>17</v>
      </c>
      <c r="C21" t="s">
        <v>18</v>
      </c>
      <c r="D21">
        <v>901</v>
      </c>
      <c r="E21" s="5">
        <v>1621266400</v>
      </c>
      <c r="F21">
        <f t="shared" si="1"/>
        <v>1012</v>
      </c>
      <c r="K21" s="12"/>
    </row>
    <row r="22" spans="2:15" x14ac:dyDescent="0.25">
      <c r="B22">
        <v>18</v>
      </c>
      <c r="C22" t="s">
        <v>19</v>
      </c>
      <c r="D22">
        <v>620</v>
      </c>
      <c r="E22" s="5">
        <v>1621266400</v>
      </c>
      <c r="F22">
        <f t="shared" si="1"/>
        <v>1458</v>
      </c>
      <c r="K22" s="12"/>
      <c r="L22" s="11"/>
    </row>
    <row r="23" spans="2:15" x14ac:dyDescent="0.25">
      <c r="B23">
        <v>19</v>
      </c>
      <c r="C23" t="s">
        <v>20</v>
      </c>
      <c r="D23">
        <v>764</v>
      </c>
      <c r="E23" s="5">
        <v>1621266400</v>
      </c>
      <c r="F23">
        <f t="shared" si="1"/>
        <v>1191</v>
      </c>
      <c r="K23" s="12"/>
      <c r="O23" s="11"/>
    </row>
    <row r="24" spans="2:15" x14ac:dyDescent="0.25">
      <c r="B24">
        <v>20</v>
      </c>
      <c r="C24" t="s">
        <v>21</v>
      </c>
      <c r="D24">
        <v>851</v>
      </c>
      <c r="E24" s="5">
        <v>1621266400</v>
      </c>
      <c r="F24">
        <f t="shared" si="1"/>
        <v>1071</v>
      </c>
      <c r="K24" s="12"/>
      <c r="L24" s="11"/>
    </row>
    <row r="25" spans="2:15" x14ac:dyDescent="0.25">
      <c r="B25">
        <v>21</v>
      </c>
      <c r="C25" t="s">
        <v>152</v>
      </c>
      <c r="D25">
        <v>820</v>
      </c>
      <c r="E25" s="5">
        <v>1621266400</v>
      </c>
      <c r="F25">
        <f t="shared" si="1"/>
        <v>1111</v>
      </c>
      <c r="K25" s="12"/>
    </row>
    <row r="26" spans="2:15" x14ac:dyDescent="0.25">
      <c r="B26">
        <v>22</v>
      </c>
      <c r="C26" t="s">
        <v>153</v>
      </c>
      <c r="D26">
        <v>770</v>
      </c>
      <c r="E26" s="5">
        <v>1621266400</v>
      </c>
      <c r="F26">
        <f t="shared" si="1"/>
        <v>1181</v>
      </c>
      <c r="K26" s="12"/>
    </row>
    <row r="27" spans="2:15" x14ac:dyDescent="0.25">
      <c r="B27">
        <v>23</v>
      </c>
      <c r="C27" t="s">
        <v>154</v>
      </c>
      <c r="D27">
        <v>790</v>
      </c>
      <c r="E27" s="5">
        <v>1621266400</v>
      </c>
      <c r="F27">
        <f t="shared" si="1"/>
        <v>1152</v>
      </c>
    </row>
    <row r="28" spans="2:15" x14ac:dyDescent="0.25">
      <c r="B28">
        <v>24</v>
      </c>
      <c r="C28" t="s">
        <v>155</v>
      </c>
      <c r="D28">
        <v>730</v>
      </c>
      <c r="E28" s="5">
        <v>1621266400</v>
      </c>
      <c r="F28">
        <f t="shared" si="1"/>
        <v>1245</v>
      </c>
    </row>
    <row r="29" spans="2:15" x14ac:dyDescent="0.25">
      <c r="B29">
        <v>25</v>
      </c>
      <c r="C29" t="s">
        <v>156</v>
      </c>
      <c r="D29">
        <v>690</v>
      </c>
      <c r="E29" s="5">
        <v>1621266400</v>
      </c>
      <c r="F29">
        <f t="shared" si="1"/>
        <v>1315</v>
      </c>
    </row>
    <row r="30" spans="2:15" x14ac:dyDescent="0.25">
      <c r="B30">
        <v>26</v>
      </c>
      <c r="C30" t="s">
        <v>157</v>
      </c>
      <c r="D30">
        <v>970</v>
      </c>
      <c r="E30" s="5">
        <v>1621266400</v>
      </c>
      <c r="F30">
        <f t="shared" si="1"/>
        <v>940</v>
      </c>
    </row>
    <row r="31" spans="2:15" x14ac:dyDescent="0.25">
      <c r="B31">
        <v>27</v>
      </c>
      <c r="C31" t="s">
        <v>162</v>
      </c>
      <c r="D31">
        <v>760</v>
      </c>
      <c r="E31" s="5">
        <v>1621266400</v>
      </c>
      <c r="F31">
        <f t="shared" si="1"/>
        <v>1197</v>
      </c>
      <c r="J31" s="50"/>
    </row>
    <row r="32" spans="2:15" x14ac:dyDescent="0.25">
      <c r="B32">
        <v>28</v>
      </c>
      <c r="C32" t="s">
        <v>158</v>
      </c>
      <c r="D32">
        <v>919</v>
      </c>
      <c r="E32" s="5">
        <v>1621266400</v>
      </c>
      <c r="F32">
        <f t="shared" si="1"/>
        <v>992</v>
      </c>
    </row>
    <row r="33" spans="2:21" x14ac:dyDescent="0.25">
      <c r="B33">
        <v>29</v>
      </c>
      <c r="C33" t="s">
        <v>159</v>
      </c>
      <c r="D33">
        <v>720</v>
      </c>
      <c r="E33" s="5">
        <v>1621266400</v>
      </c>
      <c r="F33">
        <f t="shared" si="1"/>
        <v>1262</v>
      </c>
    </row>
    <row r="34" spans="2:21" x14ac:dyDescent="0.25">
      <c r="B34">
        <v>30</v>
      </c>
      <c r="C34" t="s">
        <v>160</v>
      </c>
      <c r="D34">
        <v>672</v>
      </c>
      <c r="E34" s="5">
        <v>1621266400</v>
      </c>
      <c r="F34">
        <f t="shared" si="1"/>
        <v>1349</v>
      </c>
    </row>
    <row r="35" spans="2:21" x14ac:dyDescent="0.25">
      <c r="B35">
        <v>31</v>
      </c>
      <c r="C35" t="s">
        <v>161</v>
      </c>
      <c r="D35">
        <v>957</v>
      </c>
      <c r="E35" s="5">
        <v>1621266400</v>
      </c>
      <c r="F35">
        <f t="shared" si="1"/>
        <v>953</v>
      </c>
    </row>
    <row r="37" spans="2:21" x14ac:dyDescent="0.25">
      <c r="C37" s="50"/>
    </row>
    <row r="39" spans="2:21" x14ac:dyDescent="0.25">
      <c r="C39" s="2"/>
      <c r="D39" s="2"/>
      <c r="E39" s="76"/>
    </row>
    <row r="40" spans="2:21" x14ac:dyDescent="0.25">
      <c r="B40" s="1"/>
      <c r="C40" s="1"/>
      <c r="D40" s="2"/>
      <c r="E40" s="75"/>
    </row>
    <row r="41" spans="2:21" x14ac:dyDescent="0.25">
      <c r="B41" s="1"/>
      <c r="C41" s="1"/>
      <c r="D41" s="10"/>
      <c r="E41" s="75"/>
    </row>
    <row r="42" spans="2:21" ht="16.5" x14ac:dyDescent="0.3">
      <c r="B42" s="1"/>
      <c r="D42" s="77"/>
      <c r="E42" s="78"/>
    </row>
    <row r="43" spans="2:21" x14ac:dyDescent="0.25">
      <c r="B43" s="1"/>
      <c r="C43" s="1">
        <v>1690588800</v>
      </c>
      <c r="E43" s="78"/>
    </row>
    <row r="44" spans="2:21" x14ac:dyDescent="0.25">
      <c r="B44" s="1"/>
      <c r="C44" s="1"/>
      <c r="E44" s="78"/>
    </row>
    <row r="45" spans="2:21" x14ac:dyDescent="0.25">
      <c r="B45" s="1"/>
      <c r="C45" s="1"/>
      <c r="D45" s="4"/>
      <c r="E45" s="78"/>
      <c r="Q45" s="20"/>
      <c r="R45" s="20"/>
      <c r="S45" s="37"/>
      <c r="U45" s="20"/>
    </row>
    <row r="46" spans="2:21" x14ac:dyDescent="0.25">
      <c r="B46" s="1"/>
      <c r="C46" s="1"/>
      <c r="S46" s="4"/>
      <c r="T46" s="20"/>
    </row>
    <row r="47" spans="2:21" x14ac:dyDescent="0.25">
      <c r="B47" s="1"/>
      <c r="C47" s="1"/>
      <c r="S47" s="20"/>
      <c r="T47" s="53"/>
    </row>
    <row r="48" spans="2:21" x14ac:dyDescent="0.25">
      <c r="S48" s="15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FD826-D4D0-457C-AC8A-868B458B6EC2}">
  <sheetPr codeName="Sheet11"/>
  <dimension ref="A1:Z39"/>
  <sheetViews>
    <sheetView topLeftCell="B1" zoomScale="75" zoomScaleNormal="75" workbookViewId="0">
      <selection activeCell="M38" sqref="M38"/>
    </sheetView>
  </sheetViews>
  <sheetFormatPr defaultRowHeight="15" x14ac:dyDescent="0.25"/>
  <cols>
    <col min="2" max="2" width="27.140625" bestFit="1" customWidth="1"/>
    <col min="3" max="3" width="17.42578125" customWidth="1"/>
    <col min="4" max="4" width="13.28515625" customWidth="1"/>
    <col min="5" max="5" width="9.140625" customWidth="1"/>
    <col min="8" max="8" width="15.5703125" customWidth="1"/>
    <col min="9" max="9" width="11.42578125" bestFit="1" customWidth="1"/>
    <col min="10" max="11" width="16.7109375" customWidth="1"/>
    <col min="12" max="12" width="13.28515625" customWidth="1"/>
    <col min="13" max="13" width="21.28515625" customWidth="1"/>
    <col min="14" max="14" width="16.85546875" customWidth="1"/>
    <col min="15" max="15" width="24.7109375" bestFit="1" customWidth="1"/>
    <col min="16" max="16" width="15" customWidth="1"/>
    <col min="17" max="17" width="17.42578125" customWidth="1"/>
    <col min="18" max="18" width="17.140625" customWidth="1"/>
    <col min="19" max="19" width="12.7109375" customWidth="1"/>
    <col min="20" max="20" width="11.28515625" customWidth="1"/>
    <col min="21" max="21" width="12.140625" customWidth="1"/>
    <col min="22" max="22" width="14.7109375" customWidth="1"/>
    <col min="23" max="23" width="11" customWidth="1"/>
    <col min="25" max="27" width="10.28515625" bestFit="1" customWidth="1"/>
    <col min="28" max="30" width="11.42578125" customWidth="1"/>
    <col min="31" max="36" width="12" customWidth="1"/>
    <col min="37" max="37" width="12" bestFit="1" customWidth="1"/>
    <col min="38" max="38" width="12.5703125" bestFit="1" customWidth="1"/>
    <col min="39" max="39" width="11.42578125" customWidth="1"/>
    <col min="45" max="45" width="12" bestFit="1" customWidth="1"/>
    <col min="47" max="47" width="10.5703125" bestFit="1" customWidth="1"/>
    <col min="53" max="53" width="12" bestFit="1" customWidth="1"/>
    <col min="55" max="55" width="10.5703125" bestFit="1" customWidth="1"/>
  </cols>
  <sheetData>
    <row r="1" spans="1:26" x14ac:dyDescent="0.25">
      <c r="C1" s="1" t="s">
        <v>48</v>
      </c>
    </row>
    <row r="2" spans="1:26" x14ac:dyDescent="0.25">
      <c r="Q2" s="2"/>
    </row>
    <row r="3" spans="1:26" x14ac:dyDescent="0.25">
      <c r="K3" t="s">
        <v>104</v>
      </c>
      <c r="O3" s="2"/>
      <c r="P3" s="2"/>
      <c r="Q3" s="2"/>
      <c r="R3" s="2"/>
      <c r="S3" s="2"/>
      <c r="T3" s="2"/>
      <c r="U3" s="2"/>
      <c r="V3" s="2"/>
      <c r="Y3" s="2"/>
      <c r="Z3" s="2"/>
    </row>
    <row r="4" spans="1:26" x14ac:dyDescent="0.25">
      <c r="A4">
        <v>0</v>
      </c>
      <c r="B4" t="s">
        <v>1</v>
      </c>
      <c r="C4">
        <v>800</v>
      </c>
      <c r="D4">
        <f>INT(1000000/(C4+41)-41)</f>
        <v>1148</v>
      </c>
      <c r="K4">
        <v>900</v>
      </c>
      <c r="L4">
        <f>INT(1000000/(K4+41)-41)</f>
        <v>1021</v>
      </c>
      <c r="O4" s="6"/>
      <c r="P4" s="6"/>
      <c r="Q4" s="1"/>
      <c r="R4" s="1"/>
      <c r="S4" s="1"/>
      <c r="T4" s="6"/>
      <c r="U4" s="6"/>
      <c r="V4" s="6"/>
      <c r="W4" s="6"/>
    </row>
    <row r="5" spans="1:26" x14ac:dyDescent="0.25">
      <c r="A5">
        <v>1</v>
      </c>
      <c r="B5" t="s">
        <v>2</v>
      </c>
      <c r="C5">
        <v>801</v>
      </c>
      <c r="D5">
        <f t="shared" ref="D5:D35" si="0">INT(1000000/(C5+41)-41)</f>
        <v>1146</v>
      </c>
      <c r="H5" t="s">
        <v>94</v>
      </c>
      <c r="K5">
        <v>901</v>
      </c>
      <c r="L5">
        <f t="shared" ref="L5:L35" si="1">INT(1000000/(K5+41)-41)</f>
        <v>1020</v>
      </c>
      <c r="N5" t="s">
        <v>105</v>
      </c>
      <c r="O5" s="6"/>
      <c r="P5" s="6"/>
      <c r="Q5" s="1"/>
      <c r="R5" s="1"/>
      <c r="S5" s="1"/>
      <c r="T5" s="6"/>
      <c r="U5" s="6"/>
      <c r="V5" s="6"/>
      <c r="W5" s="6"/>
    </row>
    <row r="6" spans="1:26" x14ac:dyDescent="0.25">
      <c r="A6">
        <v>2</v>
      </c>
      <c r="B6" t="s">
        <v>3</v>
      </c>
      <c r="C6">
        <v>802</v>
      </c>
      <c r="D6">
        <f t="shared" si="0"/>
        <v>1145</v>
      </c>
      <c r="H6" t="s">
        <v>103</v>
      </c>
      <c r="K6">
        <v>902</v>
      </c>
      <c r="L6">
        <f t="shared" si="1"/>
        <v>1019</v>
      </c>
      <c r="N6" t="s">
        <v>106</v>
      </c>
      <c r="O6" s="6"/>
      <c r="P6" s="6"/>
      <c r="Q6" s="1"/>
      <c r="R6" s="1"/>
      <c r="S6" s="1"/>
      <c r="T6" s="6"/>
      <c r="U6" s="6"/>
      <c r="V6" s="6"/>
      <c r="W6" s="6"/>
    </row>
    <row r="7" spans="1:26" x14ac:dyDescent="0.25">
      <c r="A7">
        <v>3</v>
      </c>
      <c r="B7" t="s">
        <v>4</v>
      </c>
      <c r="C7">
        <v>803</v>
      </c>
      <c r="D7">
        <f t="shared" si="0"/>
        <v>1143</v>
      </c>
      <c r="H7" t="s">
        <v>95</v>
      </c>
      <c r="K7">
        <v>903</v>
      </c>
      <c r="L7">
        <f t="shared" si="1"/>
        <v>1018</v>
      </c>
      <c r="R7" s="6"/>
      <c r="S7" s="6"/>
      <c r="T7" s="6"/>
      <c r="U7" s="6"/>
      <c r="V7" s="6"/>
      <c r="W7" s="6"/>
    </row>
    <row r="8" spans="1:26" x14ac:dyDescent="0.25">
      <c r="A8">
        <v>4</v>
      </c>
      <c r="B8" t="s">
        <v>5</v>
      </c>
      <c r="C8">
        <v>804</v>
      </c>
      <c r="D8">
        <f t="shared" si="0"/>
        <v>1142</v>
      </c>
      <c r="G8">
        <v>0</v>
      </c>
      <c r="H8" t="s">
        <v>96</v>
      </c>
      <c r="I8" s="38">
        <v>1000</v>
      </c>
      <c r="K8">
        <v>904</v>
      </c>
      <c r="L8">
        <f t="shared" si="1"/>
        <v>1017</v>
      </c>
      <c r="N8" t="s">
        <v>96</v>
      </c>
      <c r="O8" s="38">
        <v>1000</v>
      </c>
      <c r="P8" s="6"/>
      <c r="Q8" s="6"/>
      <c r="R8" s="6"/>
      <c r="S8" s="1"/>
      <c r="T8" s="6"/>
      <c r="U8" s="6"/>
      <c r="V8" s="6"/>
      <c r="W8" s="6"/>
    </row>
    <row r="9" spans="1:26" x14ac:dyDescent="0.25">
      <c r="A9">
        <v>5</v>
      </c>
      <c r="B9" t="s">
        <v>6</v>
      </c>
      <c r="C9">
        <v>805</v>
      </c>
      <c r="D9">
        <f t="shared" si="0"/>
        <v>1141</v>
      </c>
      <c r="G9">
        <v>1</v>
      </c>
      <c r="H9" t="s">
        <v>97</v>
      </c>
      <c r="I9" s="38">
        <v>500</v>
      </c>
      <c r="K9">
        <v>905</v>
      </c>
      <c r="L9">
        <f t="shared" si="1"/>
        <v>1016</v>
      </c>
      <c r="N9" t="s">
        <v>97</v>
      </c>
      <c r="O9" s="38">
        <v>500</v>
      </c>
      <c r="P9" s="6"/>
      <c r="Q9" s="6"/>
      <c r="R9" s="6"/>
      <c r="S9" s="1"/>
      <c r="T9" s="6"/>
      <c r="U9" s="6"/>
      <c r="V9" s="6"/>
      <c r="W9" s="6"/>
    </row>
    <row r="10" spans="1:26" x14ac:dyDescent="0.25">
      <c r="A10">
        <v>6</v>
      </c>
      <c r="B10" t="s">
        <v>7</v>
      </c>
      <c r="C10">
        <v>806</v>
      </c>
      <c r="D10">
        <f t="shared" si="0"/>
        <v>1139</v>
      </c>
      <c r="G10">
        <v>2</v>
      </c>
      <c r="H10" t="s">
        <v>98</v>
      </c>
      <c r="I10" s="38">
        <v>807</v>
      </c>
      <c r="K10">
        <v>906</v>
      </c>
      <c r="L10">
        <f t="shared" si="1"/>
        <v>1014</v>
      </c>
      <c r="N10" t="s">
        <v>98</v>
      </c>
      <c r="O10" s="38">
        <v>807</v>
      </c>
      <c r="P10" s="18"/>
      <c r="Q10" s="7"/>
      <c r="R10" s="6"/>
      <c r="S10" s="1"/>
      <c r="W10" s="6"/>
      <c r="Y10" s="2"/>
      <c r="Z10" s="2"/>
    </row>
    <row r="11" spans="1:26" x14ac:dyDescent="0.25">
      <c r="A11">
        <v>7</v>
      </c>
      <c r="B11" t="s">
        <v>8</v>
      </c>
      <c r="C11" s="39">
        <v>807</v>
      </c>
      <c r="D11" s="39">
        <f t="shared" si="0"/>
        <v>1138</v>
      </c>
      <c r="G11">
        <v>3</v>
      </c>
      <c r="H11" t="s">
        <v>99</v>
      </c>
      <c r="I11" s="38">
        <v>569</v>
      </c>
      <c r="K11" s="39">
        <v>907</v>
      </c>
      <c r="L11" s="39">
        <f t="shared" si="1"/>
        <v>1013</v>
      </c>
      <c r="N11" t="s">
        <v>99</v>
      </c>
      <c r="O11" s="38">
        <v>569</v>
      </c>
      <c r="P11" s="18"/>
      <c r="Q11" s="3"/>
      <c r="W11" s="6"/>
    </row>
    <row r="12" spans="1:26" x14ac:dyDescent="0.25">
      <c r="A12">
        <v>8</v>
      </c>
      <c r="B12" t="s">
        <v>9</v>
      </c>
      <c r="C12">
        <v>550</v>
      </c>
      <c r="D12">
        <f t="shared" si="0"/>
        <v>1651</v>
      </c>
      <c r="G12">
        <v>4</v>
      </c>
      <c r="H12" t="s">
        <v>102</v>
      </c>
      <c r="I12" s="38">
        <v>1672488000</v>
      </c>
      <c r="K12">
        <v>908</v>
      </c>
      <c r="L12">
        <f t="shared" si="1"/>
        <v>1012</v>
      </c>
      <c r="N12" t="s">
        <v>102</v>
      </c>
      <c r="O12" s="38">
        <v>1672488000</v>
      </c>
      <c r="W12" s="6"/>
    </row>
    <row r="13" spans="1:26" x14ac:dyDescent="0.25">
      <c r="A13">
        <v>9</v>
      </c>
      <c r="B13" t="s">
        <v>10</v>
      </c>
      <c r="C13">
        <v>540</v>
      </c>
      <c r="D13">
        <f t="shared" si="0"/>
        <v>1680</v>
      </c>
      <c r="G13">
        <v>5</v>
      </c>
      <c r="H13" t="s">
        <v>100</v>
      </c>
      <c r="I13" s="39">
        <v>807</v>
      </c>
      <c r="K13">
        <v>909</v>
      </c>
      <c r="L13">
        <f t="shared" si="1"/>
        <v>1011</v>
      </c>
      <c r="N13" t="s">
        <v>100</v>
      </c>
      <c r="O13" s="39">
        <f>K11</f>
        <v>907</v>
      </c>
      <c r="W13" s="6"/>
    </row>
    <row r="14" spans="1:26" x14ac:dyDescent="0.25">
      <c r="A14">
        <v>10</v>
      </c>
      <c r="B14" t="s">
        <v>11</v>
      </c>
      <c r="C14">
        <v>1260</v>
      </c>
      <c r="D14">
        <f t="shared" si="0"/>
        <v>727</v>
      </c>
      <c r="G14">
        <v>6</v>
      </c>
      <c r="H14" t="s">
        <v>101</v>
      </c>
      <c r="I14" s="39">
        <v>1138</v>
      </c>
      <c r="K14">
        <v>1260</v>
      </c>
      <c r="L14">
        <f t="shared" si="1"/>
        <v>727</v>
      </c>
      <c r="N14" t="s">
        <v>101</v>
      </c>
      <c r="O14" s="39">
        <f>L11</f>
        <v>1013</v>
      </c>
      <c r="W14" s="6"/>
    </row>
    <row r="15" spans="1:26" x14ac:dyDescent="0.25">
      <c r="A15">
        <v>11</v>
      </c>
      <c r="B15" t="s">
        <v>12</v>
      </c>
      <c r="C15">
        <v>1290</v>
      </c>
      <c r="D15">
        <f t="shared" si="0"/>
        <v>710</v>
      </c>
      <c r="K15">
        <v>1290</v>
      </c>
      <c r="L15">
        <f t="shared" si="1"/>
        <v>710</v>
      </c>
      <c r="W15" s="6"/>
    </row>
    <row r="16" spans="1:26" x14ac:dyDescent="0.25">
      <c r="A16">
        <v>12</v>
      </c>
      <c r="B16" t="s">
        <v>13</v>
      </c>
      <c r="C16">
        <v>880</v>
      </c>
      <c r="D16">
        <f t="shared" si="0"/>
        <v>1044</v>
      </c>
      <c r="I16">
        <v>80000</v>
      </c>
      <c r="K16">
        <v>880</v>
      </c>
      <c r="L16">
        <f t="shared" si="1"/>
        <v>1044</v>
      </c>
      <c r="W16" s="6"/>
    </row>
    <row r="17" spans="1:26" x14ac:dyDescent="0.25">
      <c r="A17">
        <v>13</v>
      </c>
      <c r="B17" t="s">
        <v>14</v>
      </c>
      <c r="C17">
        <v>1410</v>
      </c>
      <c r="D17">
        <f t="shared" si="0"/>
        <v>648</v>
      </c>
      <c r="H17" s="1"/>
      <c r="I17">
        <v>64.3</v>
      </c>
      <c r="K17">
        <v>1410</v>
      </c>
      <c r="L17">
        <f t="shared" si="1"/>
        <v>648</v>
      </c>
      <c r="W17" s="6"/>
      <c r="Y17" s="2"/>
      <c r="Z17" s="2"/>
    </row>
    <row r="18" spans="1:26" x14ac:dyDescent="0.25">
      <c r="A18">
        <v>14</v>
      </c>
      <c r="B18" t="s">
        <v>15</v>
      </c>
      <c r="C18">
        <v>1080</v>
      </c>
      <c r="D18">
        <f t="shared" si="0"/>
        <v>851</v>
      </c>
      <c r="K18">
        <v>1080</v>
      </c>
      <c r="L18">
        <f t="shared" si="1"/>
        <v>851</v>
      </c>
      <c r="M18" s="20"/>
      <c r="W18" s="6"/>
    </row>
    <row r="19" spans="1:26" x14ac:dyDescent="0.25">
      <c r="A19">
        <v>15</v>
      </c>
      <c r="B19" t="s">
        <v>16</v>
      </c>
      <c r="C19">
        <v>850</v>
      </c>
      <c r="D19">
        <f t="shared" si="0"/>
        <v>1081</v>
      </c>
      <c r="I19" s="4">
        <f>I16*I17</f>
        <v>5144000</v>
      </c>
      <c r="K19">
        <v>850</v>
      </c>
      <c r="L19">
        <f t="shared" si="1"/>
        <v>1081</v>
      </c>
      <c r="W19" s="6"/>
    </row>
    <row r="20" spans="1:26" x14ac:dyDescent="0.25">
      <c r="A20">
        <v>16</v>
      </c>
      <c r="B20" t="s">
        <v>17</v>
      </c>
      <c r="C20">
        <v>1390</v>
      </c>
      <c r="D20">
        <f t="shared" si="0"/>
        <v>657</v>
      </c>
      <c r="K20">
        <v>1390</v>
      </c>
      <c r="L20">
        <f t="shared" si="1"/>
        <v>657</v>
      </c>
      <c r="W20" s="6"/>
    </row>
    <row r="21" spans="1:26" x14ac:dyDescent="0.25">
      <c r="A21">
        <v>17</v>
      </c>
      <c r="B21" t="s">
        <v>17</v>
      </c>
      <c r="C21">
        <v>980</v>
      </c>
      <c r="D21">
        <f t="shared" si="0"/>
        <v>938</v>
      </c>
      <c r="K21">
        <v>980</v>
      </c>
      <c r="L21">
        <f t="shared" si="1"/>
        <v>938</v>
      </c>
      <c r="W21" s="6"/>
    </row>
    <row r="22" spans="1:26" x14ac:dyDescent="0.25">
      <c r="A22">
        <v>18</v>
      </c>
      <c r="B22" t="s">
        <v>18</v>
      </c>
      <c r="C22">
        <v>840</v>
      </c>
      <c r="D22">
        <f t="shared" si="0"/>
        <v>1094</v>
      </c>
      <c r="K22">
        <v>840</v>
      </c>
      <c r="L22">
        <f t="shared" si="1"/>
        <v>1094</v>
      </c>
      <c r="W22" s="6"/>
    </row>
    <row r="23" spans="1:26" x14ac:dyDescent="0.25">
      <c r="A23">
        <v>19</v>
      </c>
      <c r="B23" t="s">
        <v>19</v>
      </c>
      <c r="C23">
        <v>1320</v>
      </c>
      <c r="D23">
        <f t="shared" si="0"/>
        <v>693</v>
      </c>
      <c r="H23">
        <v>183</v>
      </c>
      <c r="K23">
        <v>1320</v>
      </c>
      <c r="L23">
        <f t="shared" si="1"/>
        <v>693</v>
      </c>
    </row>
    <row r="24" spans="1:26" x14ac:dyDescent="0.25">
      <c r="A24">
        <v>20</v>
      </c>
      <c r="B24" t="s">
        <v>20</v>
      </c>
      <c r="C24">
        <v>1280</v>
      </c>
      <c r="D24">
        <f t="shared" si="0"/>
        <v>716</v>
      </c>
      <c r="H24">
        <v>89</v>
      </c>
      <c r="I24" s="49">
        <f>H24/H23-1</f>
        <v>-0.51366120218579236</v>
      </c>
      <c r="K24">
        <v>1280</v>
      </c>
      <c r="L24">
        <f t="shared" si="1"/>
        <v>716</v>
      </c>
    </row>
    <row r="25" spans="1:26" x14ac:dyDescent="0.25">
      <c r="A25">
        <v>21</v>
      </c>
      <c r="B25" t="s">
        <v>21</v>
      </c>
      <c r="C25">
        <v>540</v>
      </c>
      <c r="D25">
        <f t="shared" si="0"/>
        <v>1680</v>
      </c>
      <c r="H25">
        <v>129</v>
      </c>
      <c r="I25" s="49">
        <f t="shared" ref="I25:I26" si="2">H25/H24-1</f>
        <v>0.449438202247191</v>
      </c>
      <c r="K25">
        <v>540</v>
      </c>
      <c r="L25">
        <f t="shared" si="1"/>
        <v>1680</v>
      </c>
    </row>
    <row r="26" spans="1:26" x14ac:dyDescent="0.25">
      <c r="A26">
        <v>22</v>
      </c>
      <c r="B26" t="s">
        <v>74</v>
      </c>
      <c r="C26">
        <v>790</v>
      </c>
      <c r="D26">
        <f t="shared" si="0"/>
        <v>1162</v>
      </c>
      <c r="H26">
        <v>82</v>
      </c>
      <c r="I26" s="49">
        <f t="shared" si="2"/>
        <v>-0.36434108527131781</v>
      </c>
      <c r="K26">
        <v>790</v>
      </c>
      <c r="L26">
        <f t="shared" si="1"/>
        <v>1162</v>
      </c>
    </row>
    <row r="27" spans="1:26" x14ac:dyDescent="0.25">
      <c r="A27">
        <v>23</v>
      </c>
      <c r="B27" t="s">
        <v>75</v>
      </c>
      <c r="C27">
        <v>1300</v>
      </c>
      <c r="D27">
        <f t="shared" si="0"/>
        <v>704</v>
      </c>
      <c r="K27">
        <v>1300</v>
      </c>
      <c r="L27">
        <f t="shared" si="1"/>
        <v>704</v>
      </c>
    </row>
    <row r="28" spans="1:26" x14ac:dyDescent="0.25">
      <c r="A28">
        <v>24</v>
      </c>
      <c r="B28" t="s">
        <v>76</v>
      </c>
      <c r="C28">
        <v>1300</v>
      </c>
      <c r="D28">
        <f t="shared" si="0"/>
        <v>704</v>
      </c>
      <c r="K28">
        <v>1300</v>
      </c>
      <c r="L28">
        <f t="shared" si="1"/>
        <v>704</v>
      </c>
    </row>
    <row r="29" spans="1:26" x14ac:dyDescent="0.25">
      <c r="A29">
        <v>25</v>
      </c>
      <c r="B29" t="s">
        <v>77</v>
      </c>
      <c r="C29">
        <v>980</v>
      </c>
      <c r="D29">
        <f t="shared" si="0"/>
        <v>938</v>
      </c>
      <c r="K29">
        <v>980</v>
      </c>
      <c r="L29">
        <f t="shared" si="1"/>
        <v>938</v>
      </c>
    </row>
    <row r="30" spans="1:26" x14ac:dyDescent="0.25">
      <c r="A30">
        <v>26</v>
      </c>
      <c r="B30" t="s">
        <v>78</v>
      </c>
      <c r="C30">
        <v>860</v>
      </c>
      <c r="D30">
        <f t="shared" si="0"/>
        <v>1068</v>
      </c>
      <c r="K30">
        <v>860</v>
      </c>
      <c r="L30">
        <f t="shared" si="1"/>
        <v>1068</v>
      </c>
    </row>
    <row r="31" spans="1:26" x14ac:dyDescent="0.25">
      <c r="A31">
        <v>27</v>
      </c>
      <c r="B31" t="s">
        <v>22</v>
      </c>
      <c r="C31">
        <v>630</v>
      </c>
      <c r="D31">
        <f t="shared" si="0"/>
        <v>1449</v>
      </c>
      <c r="H31" s="50">
        <v>1671948000</v>
      </c>
      <c r="K31">
        <v>630</v>
      </c>
      <c r="L31">
        <f t="shared" si="1"/>
        <v>1449</v>
      </c>
    </row>
    <row r="32" spans="1:26" x14ac:dyDescent="0.25">
      <c r="A32">
        <v>28</v>
      </c>
      <c r="B32" t="s">
        <v>23</v>
      </c>
      <c r="C32">
        <v>1430</v>
      </c>
      <c r="D32">
        <f t="shared" si="0"/>
        <v>638</v>
      </c>
      <c r="K32">
        <v>1430</v>
      </c>
      <c r="L32">
        <f t="shared" si="1"/>
        <v>638</v>
      </c>
    </row>
    <row r="33" spans="1:12" x14ac:dyDescent="0.25">
      <c r="A33">
        <v>29</v>
      </c>
      <c r="B33" t="s">
        <v>24</v>
      </c>
      <c r="C33">
        <v>970</v>
      </c>
      <c r="D33">
        <f t="shared" si="0"/>
        <v>948</v>
      </c>
      <c r="J33" s="9"/>
      <c r="K33">
        <v>970</v>
      </c>
      <c r="L33">
        <f t="shared" si="1"/>
        <v>948</v>
      </c>
    </row>
    <row r="34" spans="1:12" x14ac:dyDescent="0.25">
      <c r="A34">
        <v>30</v>
      </c>
      <c r="B34" t="s">
        <v>25</v>
      </c>
      <c r="C34">
        <v>930</v>
      </c>
      <c r="D34">
        <f t="shared" si="0"/>
        <v>988</v>
      </c>
      <c r="J34" s="1"/>
      <c r="K34">
        <v>930</v>
      </c>
      <c r="L34">
        <f t="shared" si="1"/>
        <v>988</v>
      </c>
    </row>
    <row r="35" spans="1:12" x14ac:dyDescent="0.25">
      <c r="A35">
        <v>31</v>
      </c>
      <c r="B35" t="s">
        <v>26</v>
      </c>
      <c r="C35">
        <v>1440</v>
      </c>
      <c r="D35">
        <f t="shared" si="0"/>
        <v>634</v>
      </c>
      <c r="J35" s="1"/>
      <c r="K35">
        <v>1440</v>
      </c>
      <c r="L35">
        <f t="shared" si="1"/>
        <v>634</v>
      </c>
    </row>
    <row r="36" spans="1:12" x14ac:dyDescent="0.25">
      <c r="B36" t="s">
        <v>27</v>
      </c>
      <c r="C36">
        <v>1111</v>
      </c>
      <c r="D36">
        <f>INT(1000000/C36)</f>
        <v>900</v>
      </c>
      <c r="J36" s="1"/>
      <c r="K36" s="8"/>
    </row>
    <row r="37" spans="1:12" x14ac:dyDescent="0.25">
      <c r="C37">
        <v>2001</v>
      </c>
      <c r="D37">
        <f>C37*C36/1000</f>
        <v>2223.1109999999999</v>
      </c>
      <c r="J37" s="1"/>
      <c r="K37" s="8"/>
    </row>
    <row r="38" spans="1:12" x14ac:dyDescent="0.25">
      <c r="C38">
        <f>2223</f>
        <v>2223</v>
      </c>
      <c r="D38">
        <v>2001</v>
      </c>
      <c r="J38" s="1"/>
      <c r="K38" s="8"/>
    </row>
    <row r="39" spans="1:12" x14ac:dyDescent="0.25">
      <c r="C39" s="17">
        <f>C38/C37</f>
        <v>1.1109445277361318</v>
      </c>
      <c r="D39" s="17">
        <f>D38/D37</f>
        <v>0.90009000900090019</v>
      </c>
      <c r="J39" s="2"/>
      <c r="K39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test1BasicMargining (2)</vt:lpstr>
      <vt:lpstr>test1BasicMargining</vt:lpstr>
      <vt:lpstr>test2Redemptions</vt:lpstr>
      <vt:lpstr>test3Voting</vt:lpstr>
      <vt:lpstr>test4LpRevRewards</vt:lpstr>
      <vt:lpstr>test8OracleRevenue</vt:lpstr>
      <vt:lpstr>Sheet1</vt:lpstr>
      <vt:lpstr>test9sequence</vt:lpstr>
      <vt:lpstr>test10betLimits</vt:lpstr>
      <vt:lpstr>test10bitDecoding</vt:lpstr>
      <vt:lpstr>test10betLimits!Print_Area</vt:lpstr>
      <vt:lpstr>test1BasicMargining!Print_Area</vt:lpstr>
      <vt:lpstr>'test1BasicMargining (2)'!Print_Area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 Falkenstein</cp:lastModifiedBy>
  <cp:lastPrinted>2021-03-09T17:35:38Z</cp:lastPrinted>
  <dcterms:created xsi:type="dcterms:W3CDTF">2019-05-02T19:42:25Z</dcterms:created>
  <dcterms:modified xsi:type="dcterms:W3CDTF">2023-09-21T19:52:46Z</dcterms:modified>
</cp:coreProperties>
</file>