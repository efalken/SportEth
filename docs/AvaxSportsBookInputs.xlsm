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2C1A1216-A680-4464-A188-C83F99DFCD68}" xr6:coauthVersionLast="47" xr6:coauthVersionMax="47" xr10:uidLastSave="{00000000-0000-0000-0000-000000000000}"/>
  <bookViews>
    <workbookView xWindow="3915" yWindow="1320" windowWidth="22890" windowHeight="13710" activeTab="7" xr2:uid="{1230EDBB-7CF7-4CB6-8A8B-436EE42A5ED4}"/>
  </bookViews>
  <sheets>
    <sheet name="initData" sheetId="3" r:id="rId1"/>
    <sheet name="OddsAlgorithm" sheetId="10" r:id="rId2"/>
    <sheet name="faq" sheetId="8" r:id="rId3"/>
    <sheet name="Sheet2" sheetId="9" r:id="rId4"/>
    <sheet name="initcsv" sheetId="5" r:id="rId5"/>
    <sheet name="updatecsv" sheetId="6" r:id="rId6"/>
    <sheet name="resultscsv" sheetId="7" r:id="rId7"/>
    <sheet name="MLtoDEC" sheetId="4" r:id="rId8"/>
  </sheets>
  <externalReferences>
    <externalReference r:id="rId9"/>
  </externalReference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4" l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17" i="4"/>
  <c r="F16" i="4"/>
  <c r="E16" i="4"/>
  <c r="D16" i="4"/>
  <c r="J11" i="10" l="1"/>
  <c r="J12" i="10" s="1"/>
  <c r="K12" i="10" s="1"/>
  <c r="K11" i="10" s="1"/>
  <c r="K10" i="10" s="1"/>
  <c r="J24" i="10" l="1"/>
  <c r="L12" i="10"/>
  <c r="K13" i="10"/>
  <c r="J14" i="10" s="1"/>
  <c r="J15" i="10" s="1"/>
  <c r="J16" i="10" s="1"/>
  <c r="J18" i="10" l="1"/>
  <c r="K17" i="10"/>
  <c r="K18" i="10" s="1"/>
  <c r="K20" i="10" l="1"/>
  <c r="K22" i="10" s="1"/>
  <c r="K19" i="10"/>
  <c r="J20" i="10"/>
  <c r="J19" i="10"/>
  <c r="J22" i="10" l="1"/>
  <c r="J25" i="10"/>
  <c r="L20" i="10"/>
  <c r="J7" i="3" l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E10" i="10" l="1"/>
  <c r="E11" i="10" s="1"/>
  <c r="E12" i="10" s="1"/>
  <c r="F12" i="10" s="1"/>
  <c r="D10" i="10"/>
  <c r="D11" i="10" s="1"/>
  <c r="D12" i="10" s="1"/>
  <c r="U7" i="3"/>
  <c r="K9" i="4"/>
  <c r="O9" i="4" s="1"/>
  <c r="J9" i="4"/>
  <c r="L9" i="4" s="1"/>
  <c r="K7" i="4"/>
  <c r="W15" i="8"/>
  <c r="W16" i="8" s="1"/>
  <c r="W17" i="8" s="1"/>
  <c r="W18" i="8" s="1"/>
  <c r="W19" i="8" s="1"/>
  <c r="W12" i="8"/>
  <c r="W14" i="8" s="1"/>
  <c r="W8" i="8"/>
  <c r="L20" i="8"/>
  <c r="F20" i="8"/>
  <c r="L19" i="8"/>
  <c r="F19" i="8"/>
  <c r="L18" i="8"/>
  <c r="F18" i="8"/>
  <c r="L17" i="8"/>
  <c r="F17" i="8"/>
  <c r="L16" i="8"/>
  <c r="F16" i="8"/>
  <c r="L15" i="8"/>
  <c r="F15" i="8"/>
  <c r="L14" i="8"/>
  <c r="F14" i="8"/>
  <c r="L13" i="8"/>
  <c r="F13" i="8"/>
  <c r="L12" i="8"/>
  <c r="F12" i="8"/>
  <c r="L11" i="8"/>
  <c r="F11" i="8"/>
  <c r="L10" i="8"/>
  <c r="F10" i="8"/>
  <c r="L9" i="8"/>
  <c r="F9" i="8"/>
  <c r="L8" i="8"/>
  <c r="F8" i="8"/>
  <c r="L7" i="8"/>
  <c r="F7" i="8"/>
  <c r="L6" i="8"/>
  <c r="F6" i="8"/>
  <c r="L5" i="8"/>
  <c r="F5" i="8"/>
  <c r="E13" i="10" l="1"/>
  <c r="D14" i="10" s="1"/>
  <c r="D15" i="10" s="1"/>
  <c r="D16" i="10" s="1"/>
  <c r="D18" i="10" s="1"/>
  <c r="E17" i="10"/>
  <c r="E18" i="10" s="1"/>
  <c r="L10" i="4"/>
  <c r="L11" i="4" s="1"/>
  <c r="P10" i="4"/>
  <c r="AI9" i="3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D19" i="10" l="1"/>
  <c r="D20" i="10"/>
  <c r="E19" i="10"/>
  <c r="E20" i="10"/>
  <c r="K11" i="4"/>
  <c r="N10" i="4"/>
  <c r="J8" i="4"/>
  <c r="Y8" i="4"/>
  <c r="W5" i="4"/>
  <c r="K8" i="4"/>
  <c r="T9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K6" i="4"/>
  <c r="J7" i="4"/>
  <c r="L7" i="4" s="1"/>
  <c r="M9" i="4"/>
  <c r="J5" i="4"/>
  <c r="L5" i="4" s="1"/>
  <c r="P5" i="4" s="1"/>
  <c r="Q5" i="4" s="1"/>
  <c r="E41" i="4" a="1"/>
  <c r="D41" i="4" a="1"/>
  <c r="F20" i="10" l="1"/>
  <c r="N9" i="4"/>
  <c r="P9" i="4"/>
  <c r="N6" i="4"/>
  <c r="P6" i="4"/>
  <c r="M6" i="4"/>
  <c r="O6" i="4"/>
  <c r="M8" i="4"/>
  <c r="O8" i="4"/>
  <c r="T8" i="4" s="1"/>
  <c r="N7" i="4"/>
  <c r="P7" i="4"/>
  <c r="M7" i="4"/>
  <c r="O7" i="4"/>
  <c r="Z8" i="4"/>
  <c r="L8" i="4"/>
  <c r="D41" i="4"/>
  <c r="E41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Q9" i="4" l="1"/>
  <c r="U9" i="4"/>
  <c r="Q6" i="4"/>
  <c r="N8" i="4"/>
  <c r="P8" i="4"/>
  <c r="Q7" i="4"/>
  <c r="S28" i="4"/>
  <c r="U28" i="4" s="1"/>
  <c r="O28" i="4" s="1"/>
  <c r="J30" i="4"/>
  <c r="V28" i="4"/>
  <c r="P27" i="4"/>
  <c r="P26" i="4"/>
  <c r="P20" i="4"/>
  <c r="O20" i="4"/>
  <c r="A36" i="5"/>
  <c r="V9" i="4" l="1"/>
  <c r="R9" i="4"/>
  <c r="W9" i="4" s="1"/>
  <c r="Q8" i="4"/>
  <c r="V8" i="4"/>
  <c r="P28" i="4"/>
  <c r="D13" i="4"/>
  <c r="F13" i="4"/>
  <c r="D12" i="4"/>
  <c r="F12" i="4"/>
  <c r="P11" i="3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V10" i="4" l="1"/>
  <c r="W8" i="4"/>
  <c r="X8" i="4" s="1"/>
  <c r="R8" i="4"/>
  <c r="S8" i="3"/>
  <c r="V8" i="3" s="1"/>
  <c r="U8" i="3"/>
  <c r="E13" i="4"/>
  <c r="E12" i="4"/>
  <c r="N5" i="4"/>
  <c r="X8" i="3" l="1"/>
  <c r="K8" i="3" s="1"/>
  <c r="W8" i="3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G18" i="4" s="1"/>
  <c r="F18" i="4"/>
  <c r="E19" i="4"/>
  <c r="F19" i="4"/>
  <c r="E20" i="4"/>
  <c r="G20" i="4" s="1"/>
  <c r="F20" i="4"/>
  <c r="E21" i="4"/>
  <c r="G21" i="4" s="1"/>
  <c r="F21" i="4"/>
  <c r="E22" i="4"/>
  <c r="G22" i="4" s="1"/>
  <c r="F22" i="4"/>
  <c r="E23" i="4"/>
  <c r="F23" i="4"/>
  <c r="E24" i="4"/>
  <c r="G24" i="4" s="1"/>
  <c r="F24" i="4"/>
  <c r="E25" i="4"/>
  <c r="G25" i="4" s="1"/>
  <c r="F25" i="4"/>
  <c r="E26" i="4"/>
  <c r="G26" i="4" s="1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3" i="4"/>
  <c r="F3" i="4"/>
  <c r="D4" i="4"/>
  <c r="G4" i="4" s="1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G19" i="4" l="1"/>
  <c r="G23" i="4"/>
  <c r="G17" i="4"/>
  <c r="W36" i="3"/>
  <c r="X36" i="3"/>
  <c r="W37" i="3"/>
  <c r="X37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E14" i="4"/>
  <c r="E1" i="4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<sst xmlns="http://schemas.openxmlformats.org/spreadsheetml/2006/main" count="382" uniqueCount="215">
  <si>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</si>
  <si>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</si>
  <si>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</si>
  <si>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</si>
  <si>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</si>
  <si>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</si>
  <si>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</si>
  <si>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</si>
  <si>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</si>
  <si>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</si>
  <si>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</si>
  <si>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</si>
  <si>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</si>
  <si>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</si>
  <si>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</si>
  <si>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</si>
  <si>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</si>
  <si>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</si>
  <si>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</si>
  <si>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</si>
  <si>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</si>
  <si>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</si>
  <si>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</si>
  <si>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</si>
  <si>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</si>
  <si>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</si>
  <si>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</si>
  <si>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</si>
  <si>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</si>
  <si>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</si>
  <si>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</si>
  <si>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</si>
  <si>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</si>
  <si>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</si>
  <si>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</si>
  <si>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</si>
  <si>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</si>
  <si>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</si>
  <si>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</si>
  <si>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</si>
  <si>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</si>
  <si>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</si>
  <si>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</si>
  <si>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</si>
  <si>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</si>
  <si>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</si>
  <si>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</si>
  <si>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</si>
  <si>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</si>
  <si>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</si>
  <si>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</si>
  <si>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</si>
  <si>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</si>
  <si>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</si>
  <si>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</si>
  <si>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</si>
  <si>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</si>
  <si>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</si>
  <si>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</si>
  <si>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</si>
  <si>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</si>
  <si>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</si>
  <si>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</si>
  <si>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</si>
  <si>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</si>
  <si>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</si>
  <si>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</si>
  <si>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</si>
  <si>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</si>
  <si>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</si>
  <si>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</si>
  <si>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</si>
  <si>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</si>
  <si>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</si>
  <si>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</si>
  <si>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</si>
  <si>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</si>
  <si>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</si>
  <si>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</si>
  <si>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</si>
  <si>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</si>
  <si>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</si>
  <si>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</si>
  <si>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</si>
  <si>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</si>
  <si>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</si>
  <si>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</si>
  <si>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</si>
  <si>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</si>
  <si>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</si>
  <si>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</si>
  <si>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</si>
  <si>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</si>
  <si>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</si>
  <si>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</si>
  <si>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</si>
  <si>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</si>
  <si>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</si>
  <si>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</si>
  <si>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</si>
  <si>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</si>
  <si>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</si>
  <si>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</si>
  <si>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</si>
  <si>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output</t>
  </si>
  <si>
    <t>input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</si>
  <si>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</si>
  <si>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</si>
  <si>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</si>
  <si>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</si>
  <si>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</si>
  <si>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</si>
  <si>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</si>
  <si>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</si>
  <si>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</si>
  <si>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</si>
  <si>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</si>
  <si>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</si>
  <si>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contract</t>
  </si>
  <si>
    <t>function</t>
  </si>
  <si>
    <t>gas</t>
  </si>
  <si>
    <t>oracle</t>
  </si>
  <si>
    <t>initialPost</t>
  </si>
  <si>
    <t>inital voteProcess</t>
  </si>
  <si>
    <t>params</t>
  </si>
  <si>
    <t>reviewStatus</t>
  </si>
  <si>
    <t>update Post</t>
  </si>
  <si>
    <t>epoch</t>
  </si>
  <si>
    <t>ready for initial post of schedule&amp;odds</t>
  </si>
  <si>
    <t>update voteProcess</t>
  </si>
  <si>
    <t>concentration param</t>
  </si>
  <si>
    <t>ready for update or settlement post</t>
  </si>
  <si>
    <t>settle Post</t>
  </si>
  <si>
    <t>nonce</t>
  </si>
  <si>
    <t>ready for processing initial post</t>
  </si>
  <si>
    <t>settle voteProcess</t>
  </si>
  <si>
    <t>weekend start time utc</t>
  </si>
  <si>
    <t>ready for processing updated odds post</t>
  </si>
  <si>
    <t>vote</t>
  </si>
  <si>
    <t>ready for processing settlement</t>
  </si>
  <si>
    <t>depositTokens</t>
  </si>
  <si>
    <t>margin</t>
  </si>
  <si>
    <t>wdTokens</t>
  </si>
  <si>
    <t>total LP capital</t>
  </si>
  <si>
    <t>feeData</t>
  </si>
  <si>
    <t>bet</t>
  </si>
  <si>
    <t>locked LP capital</t>
  </si>
  <si>
    <t>total claimed Tokens in oracle contract</t>
  </si>
  <si>
    <t>depositBook</t>
  </si>
  <si>
    <t>bettor capital</t>
  </si>
  <si>
    <t xml:space="preserve">cumulative oracle rev/tokens </t>
  </si>
  <si>
    <t>depositBettor</t>
  </si>
  <si>
    <t>LP shares</t>
  </si>
  <si>
    <t>wdBook</t>
  </si>
  <si>
    <t>propResults</t>
  </si>
  <si>
    <t>wdBettor</t>
  </si>
  <si>
    <t>betData</t>
  </si>
  <si>
    <t>team 0 won</t>
  </si>
  <si>
    <t>tokenRewards</t>
  </si>
  <si>
    <t>betLong0</t>
  </si>
  <si>
    <t>team 1 won</t>
  </si>
  <si>
    <t>redeem</t>
  </si>
  <si>
    <t>betLong1</t>
  </si>
  <si>
    <t>tie or no contest</t>
  </si>
  <si>
    <t>Token</t>
  </si>
  <si>
    <t>Betting</t>
  </si>
  <si>
    <t>Oracle</t>
  </si>
  <si>
    <t>0xEaFE27B34650ff68b085928541e567A9873216A9</t>
  </si>
  <si>
    <t>0xB17452c78bdA4ddea7F3Da60BF381d6230a2Dbc6</t>
  </si>
  <si>
    <t>0x55210ffc90fB44AE08983A1D87De7A9AdaE04BC1</t>
  </si>
  <si>
    <t>Sunday</t>
  </si>
  <si>
    <t>Saturday</t>
  </si>
  <si>
    <t>t</t>
  </si>
  <si>
    <t>probWin</t>
  </si>
  <si>
    <t>all times 12:00-13:00 GMT</t>
  </si>
  <si>
    <t>Data</t>
  </si>
  <si>
    <t>Tuesday</t>
  </si>
  <si>
    <t>Initial slate</t>
  </si>
  <si>
    <t>pass</t>
  </si>
  <si>
    <t>odds update</t>
  </si>
  <si>
    <t>Monday</t>
  </si>
  <si>
    <t>settlement</t>
  </si>
  <si>
    <t>Tues</t>
  </si>
  <si>
    <t>nothing</t>
  </si>
  <si>
    <t>Wednesday*</t>
  </si>
  <si>
    <t>Thursday*</t>
  </si>
  <si>
    <t>Friday*</t>
  </si>
  <si>
    <t>translate to decimal</t>
  </si>
  <si>
    <t>translate to prob(win)</t>
  </si>
  <si>
    <t>calculate spread</t>
  </si>
  <si>
    <t>New prob(win)</t>
  </si>
  <si>
    <t>translate to decimal odds</t>
  </si>
  <si>
    <t>translate to contract input</t>
  </si>
  <si>
    <t>translate to net decimal odds</t>
  </si>
  <si>
    <t>translate to net moneyline</t>
  </si>
  <si>
    <t>Moneyline</t>
  </si>
  <si>
    <t>team[0] &lt; team[1]</t>
  </si>
  <si>
    <t>51.1% + spread/2</t>
  </si>
  <si>
    <t>1/prob(win)</t>
  </si>
  <si>
    <t>1000*(decOdds - 1)</t>
  </si>
  <si>
    <t>1e6/(decOdds[fave] + 45) -45</t>
  </si>
  <si>
    <t>1+decOdds/1000 * 0.95</t>
  </si>
  <si>
    <t>move favorite first</t>
  </si>
  <si>
    <t>what this means for team[1]/dog</t>
  </si>
  <si>
    <t xml:space="preserve"> IF decOdds&lt;2, -100/(decOdds-1); else (decOdds-1)*100</t>
  </si>
  <si>
    <t>IF moneyOdds&lt; 0, -(100-moneyOdds)/moneyOdds; else, moneyOdds/100+1</t>
  </si>
  <si>
    <t>Toronto</t>
  </si>
  <si>
    <t>London</t>
  </si>
  <si>
    <t>fail</t>
  </si>
  <si>
    <t xml:space="preserve">Wednesday </t>
  </si>
  <si>
    <t>team[0]</t>
  </si>
  <si>
    <t>team[1]</t>
  </si>
  <si>
    <t>12:00 GMT is 7:00 AM New York Time in winter</t>
  </si>
  <si>
    <t>12:00 GMT is 8:00 AM New York Time in summer</t>
  </si>
  <si>
    <t>prob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</si>
</sst>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E+00;[Red]0E+00"/>
    <numFmt numFmtId="174" formatCode="0.000%"/>
    <numFmt numFmtId="175" formatCode="0.000E+00;[Red]0.000E+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39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67" fontId="0" fillId="0" borderId="0" xfId="0" applyNumberFormat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171" fontId="4" fillId="7" borderId="0" xfId="3" applyNumberFormat="1" applyFill="1" applyBorder="1"/>
    <xf numFmtId="171" fontId="4" fillId="7" borderId="8" xfId="3" applyNumberFormat="1" applyFill="1" applyBorder="1"/>
    <xf numFmtId="170" fontId="2" fillId="0" borderId="0" xfId="0" applyNumberFormat="1" applyFont="1"/>
    <xf numFmtId="164" fontId="12" fillId="0" borderId="0" xfId="0" applyNumberFormat="1" applyFont="1"/>
    <xf numFmtId="167" fontId="12" fillId="0" borderId="3" xfId="0" applyNumberFormat="1" applyFont="1" applyBorder="1"/>
    <xf numFmtId="167" fontId="12" fillId="0" borderId="4" xfId="0" applyNumberFormat="1" applyFont="1" applyBorder="1"/>
    <xf numFmtId="165" fontId="12" fillId="0" borderId="0" xfId="0" applyNumberFormat="1" applyFont="1"/>
    <xf numFmtId="164" fontId="8" fillId="0" borderId="0" xfId="3" applyNumberFormat="1" applyFont="1" applyFill="1"/>
    <xf numFmtId="167" fontId="8" fillId="0" borderId="3" xfId="3" applyNumberFormat="1" applyFont="1" applyFill="1" applyBorder="1"/>
    <xf numFmtId="167" fontId="8" fillId="0" borderId="4" xfId="3" applyNumberFormat="1" applyFont="1" applyFill="1" applyBorder="1"/>
    <xf numFmtId="165" fontId="8" fillId="0" borderId="0" xfId="3" applyNumberFormat="1" applyFont="1" applyFill="1"/>
    <xf numFmtId="0" fontId="10" fillId="0" borderId="0" xfId="3" applyFont="1" applyFill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3" fontId="0" fillId="0" borderId="0" xfId="0" applyNumberFormat="1"/>
    <xf numFmtId="170" fontId="0" fillId="0" borderId="0" xfId="0" applyNumberFormat="1"/>
    <xf numFmtId="173" fontId="2" fillId="0" borderId="0" xfId="0" applyNumberFormat="1" applyFont="1"/>
    <xf numFmtId="166" fontId="2" fillId="3" borderId="0" xfId="0" applyNumberFormat="1" applyFont="1" applyFill="1"/>
    <xf numFmtId="166" fontId="0" fillId="0" borderId="0" xfId="0" applyNumberFormat="1"/>
    <xf numFmtId="0" fontId="0" fillId="0" borderId="0" xfId="0" applyAlignment="1">
      <alignment horizontal="right"/>
    </xf>
    <xf numFmtId="17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75" fontId="2" fillId="0" borderId="0" xfId="0" applyNumberFormat="1" applyFont="1"/>
    <xf numFmtId="0" fontId="0" fillId="8" borderId="1" xfId="0" applyFill="1" applyBorder="1"/>
    <xf numFmtId="0" fontId="0" fillId="8" borderId="5" xfId="0" applyFill="1" applyBorder="1"/>
    <xf numFmtId="0" fontId="0" fillId="8" borderId="3" xfId="0" applyFill="1" applyBorder="1"/>
    <xf numFmtId="0" fontId="0" fillId="8" borderId="0" xfId="0" applyFill="1"/>
    <xf numFmtId="0" fontId="0" fillId="9" borderId="3" xfId="0" applyFill="1" applyBorder="1"/>
    <xf numFmtId="0" fontId="0" fillId="9" borderId="0" xfId="0" applyFill="1"/>
    <xf numFmtId="0" fontId="2" fillId="11" borderId="2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2" fillId="11" borderId="7" xfId="0" applyFont="1" applyFill="1" applyBorder="1" applyAlignment="1">
      <alignment horizontal="right"/>
    </xf>
    <xf numFmtId="0" fontId="2" fillId="12" borderId="2" xfId="0" applyFont="1" applyFill="1" applyBorder="1" applyAlignment="1">
      <alignment horizontal="right"/>
    </xf>
    <xf numFmtId="0" fontId="2" fillId="11" borderId="11" xfId="0" applyFont="1" applyFill="1" applyBorder="1" applyAlignment="1">
      <alignment horizontal="right"/>
    </xf>
    <xf numFmtId="0" fontId="0" fillId="8" borderId="6" xfId="0" applyFill="1" applyBorder="1"/>
    <xf numFmtId="0" fontId="0" fillId="8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2" fillId="12" borderId="7" xfId="0" applyFont="1" applyFill="1" applyBorder="1" applyAlignment="1">
      <alignment horizontal="right"/>
    </xf>
    <xf numFmtId="0" fontId="0" fillId="10" borderId="1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8" xfId="0" applyFill="1" applyBorder="1"/>
    <xf numFmtId="164" fontId="0" fillId="0" borderId="0" xfId="0" quotePrefix="1" applyNumberFormat="1"/>
    <xf numFmtId="0" fontId="0" fillId="0" borderId="0" xfId="0" quotePrefix="1"/>
    <xf numFmtId="166" fontId="0" fillId="0" borderId="0" xfId="0" quotePrefix="1" applyNumberFormat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0" fillId="6" borderId="5" xfId="0" applyFill="1" applyBorder="1"/>
    <xf numFmtId="0" fontId="0" fillId="6" borderId="3" xfId="0" applyFill="1" applyBorder="1"/>
    <xf numFmtId="0" fontId="1" fillId="5" borderId="1" xfId="1" applyFill="1" applyBorder="1" applyAlignment="1">
      <alignment horizontal="left"/>
    </xf>
    <xf numFmtId="0" fontId="1" fillId="5" borderId="5" xfId="1" applyFill="1" applyBorder="1" applyAlignment="1">
      <alignment horizontal="left"/>
    </xf>
    <xf numFmtId="166" fontId="1" fillId="5" borderId="5" xfId="1" applyNumberFormat="1" applyFill="1" applyBorder="1" applyAlignment="1">
      <alignment horizontal="right"/>
    </xf>
    <xf numFmtId="0" fontId="1" fillId="5" borderId="3" xfId="1" applyFill="1" applyBorder="1" applyAlignment="1">
      <alignment horizontal="left"/>
    </xf>
    <xf numFmtId="0" fontId="1" fillId="5" borderId="0" xfId="1" applyFill="1" applyBorder="1" applyAlignment="1">
      <alignment horizontal="left"/>
    </xf>
    <xf numFmtId="166" fontId="1" fillId="5" borderId="0" xfId="1" applyNumberFormat="1" applyFill="1" applyBorder="1" applyAlignment="1">
      <alignment horizontal="right"/>
    </xf>
    <xf numFmtId="166" fontId="9" fillId="5" borderId="0" xfId="1" applyNumberFormat="1" applyFont="1" applyFill="1" applyBorder="1" applyAlignment="1">
      <alignment horizontal="right"/>
    </xf>
    <xf numFmtId="0" fontId="1" fillId="5" borderId="0" xfId="1" applyFill="1" applyBorder="1"/>
    <xf numFmtId="170" fontId="1" fillId="5" borderId="2" xfId="1" applyNumberFormat="1" applyFill="1" applyBorder="1" applyAlignment="1">
      <alignment horizontal="right"/>
    </xf>
    <xf numFmtId="170" fontId="1" fillId="5" borderId="4" xfId="1" applyNumberFormat="1" applyFill="1" applyBorder="1" applyAlignment="1">
      <alignment horizontal="right"/>
    </xf>
    <xf numFmtId="0" fontId="1" fillId="5" borderId="3" xfId="1" applyFill="1" applyBorder="1"/>
    <xf numFmtId="0" fontId="1" fillId="5" borderId="6" xfId="1" applyFill="1" applyBorder="1" applyAlignment="1">
      <alignment horizontal="left"/>
    </xf>
    <xf numFmtId="0" fontId="1" fillId="5" borderId="8" xfId="1" applyFill="1" applyBorder="1" applyAlignment="1">
      <alignment horizontal="left"/>
    </xf>
    <xf numFmtId="166" fontId="1" fillId="5" borderId="8" xfId="1" applyNumberFormat="1" applyFill="1" applyBorder="1" applyAlignment="1">
      <alignment horizontal="right"/>
    </xf>
    <xf numFmtId="170" fontId="1" fillId="5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topLeftCell="A21" zoomScale="75" zoomScaleNormal="75" workbookViewId="0">
      <selection activeCell="E16" sqref="E16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81">
        <v>25569</v>
      </c>
      <c r="I2" s="58"/>
    </row>
    <row r="3" spans="1:35" x14ac:dyDescent="0.25">
      <c r="D3">
        <v>1692467999.9999998</v>
      </c>
    </row>
    <row r="4" spans="1:35" x14ac:dyDescent="0.25">
      <c r="E4" s="52" t="s">
        <v>17</v>
      </c>
      <c r="I4" s="6"/>
      <c r="J4" s="37"/>
      <c r="K4" s="21"/>
      <c r="M4" t="s">
        <v>18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7" t="s">
        <v>4</v>
      </c>
      <c r="F5" s="7" t="s">
        <v>4</v>
      </c>
      <c r="G5" s="35"/>
      <c r="J5" s="36" t="s">
        <v>30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26</v>
      </c>
      <c r="Y5" s="3" t="s">
        <v>3</v>
      </c>
      <c r="Z5" s="3" t="s">
        <v>3</v>
      </c>
      <c r="AA5" s="3" t="s">
        <v>6</v>
      </c>
      <c r="AB5" s="3"/>
      <c r="AC5" s="3"/>
    </row>
    <row r="6" spans="1:35" ht="15.75" thickBot="1" x14ac:dyDescent="0.3">
      <c r="A6" t="s">
        <v>25</v>
      </c>
      <c r="B6" s="3" t="s">
        <v>10</v>
      </c>
      <c r="C6" s="3" t="s">
        <v>39</v>
      </c>
      <c r="D6" s="3" t="s">
        <v>40</v>
      </c>
      <c r="E6" s="9" t="s">
        <v>2</v>
      </c>
      <c r="F6" s="8" t="s">
        <v>1</v>
      </c>
      <c r="G6" s="7" t="s">
        <v>103</v>
      </c>
      <c r="I6" t="s">
        <v>11</v>
      </c>
      <c r="J6" t="s">
        <v>12</v>
      </c>
      <c r="K6" t="s">
        <v>13</v>
      </c>
      <c r="L6" s="7" t="s">
        <v>31</v>
      </c>
      <c r="M6" s="22" t="s">
        <v>106</v>
      </c>
      <c r="N6" s="22" t="s">
        <v>107</v>
      </c>
      <c r="O6" s="22" t="s">
        <v>19</v>
      </c>
      <c r="P6" s="22" t="s">
        <v>20</v>
      </c>
      <c r="Q6" s="22" t="s">
        <v>19</v>
      </c>
      <c r="R6" s="22" t="s">
        <v>20</v>
      </c>
      <c r="S6" s="23" t="s">
        <v>19</v>
      </c>
      <c r="T6" s="24" t="s">
        <v>20</v>
      </c>
      <c r="U6" s="8" t="s">
        <v>16</v>
      </c>
      <c r="V6" s="8"/>
      <c r="W6" s="8" t="s">
        <v>27</v>
      </c>
      <c r="X6" s="25" t="s">
        <v>21</v>
      </c>
      <c r="Y6" s="25" t="s">
        <v>19</v>
      </c>
      <c r="Z6" s="26" t="s">
        <v>20</v>
      </c>
      <c r="AA6" s="8" t="s">
        <v>19</v>
      </c>
      <c r="AB6" s="8" t="s">
        <v>20</v>
      </c>
      <c r="AC6" s="8"/>
    </row>
    <row r="7" spans="1:35" x14ac:dyDescent="0.25">
      <c r="A7" s="3">
        <v>0</v>
      </c>
      <c r="B7" s="124" t="s">
        <v>7</v>
      </c>
      <c r="C7" s="125" t="s">
        <v>43</v>
      </c>
      <c r="D7" s="125" t="s">
        <v>44</v>
      </c>
      <c r="E7" s="126">
        <v>-110</v>
      </c>
      <c r="F7" s="126">
        <v>-110</v>
      </c>
      <c r="G7" s="132">
        <v>45164.75</v>
      </c>
      <c r="I7" s="60" t="str">
        <f t="shared" ref="I7:I38" si="0">""""&amp;B7&amp;":"&amp;M7&amp;":"&amp;N7&amp;""""</f>
        <v>"NFL:Arizona:Washington"</v>
      </c>
      <c r="J7" s="63">
        <f>IF(G7&gt;25560,86400*(G7-25569)+5*3600,1690000000)</f>
        <v>1693090800</v>
      </c>
      <c r="K7" s="75">
        <f t="shared" ref="K7:K12" si="1">IF(Y7&gt;0,INT(Y7),999)</f>
        <v>956</v>
      </c>
      <c r="L7" s="114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7">
        <f t="shared" ref="S7:S27" si="6">1/Q7</f>
        <v>0.52380952380952384</v>
      </c>
      <c r="T7" s="28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9">
        <f>X$4+(S7-T7)/2</f>
        <v>0.51100000000000001</v>
      </c>
      <c r="Y7" s="14">
        <f>INT((1/X7-1)*1000)</f>
        <v>956</v>
      </c>
      <c r="Z7" s="2">
        <f>INT(1000000/(Y7+Y$4))-Y$4</f>
        <v>954</v>
      </c>
      <c r="AA7" s="78">
        <f>INT(Y7*0.95)</f>
        <v>908</v>
      </c>
      <c r="AB7" s="43">
        <f>INT(Z7*0.95)</f>
        <v>906</v>
      </c>
      <c r="AC7" s="13">
        <f>Y7*0.95/1000+1</f>
        <v>1.9081999999999999</v>
      </c>
      <c r="AD7" s="13">
        <f>Z7*0.95/1000+1</f>
        <v>1.9062999999999999</v>
      </c>
      <c r="AE7" s="1">
        <f>1/AC7+1/AD7-1</f>
        <v>4.8630486934625017E-2</v>
      </c>
      <c r="AF7" s="6">
        <f t="shared" ref="AF7:AF38" si="8">AD7-R7</f>
        <v>-2.7909090909092882E-3</v>
      </c>
      <c r="AH7" s="59">
        <f>AA7/AA10</f>
        <v>4.472906403940887</v>
      </c>
      <c r="AI7">
        <v>7.87</v>
      </c>
    </row>
    <row r="8" spans="1:35" x14ac:dyDescent="0.25">
      <c r="A8" s="3">
        <v>1</v>
      </c>
      <c r="B8" s="127" t="s">
        <v>7</v>
      </c>
      <c r="C8" s="128" t="s">
        <v>45</v>
      </c>
      <c r="D8" s="128" t="s">
        <v>46</v>
      </c>
      <c r="E8" s="129">
        <v>136</v>
      </c>
      <c r="F8" s="129">
        <v>-167</v>
      </c>
      <c r="G8" s="133">
        <v>45164.75</v>
      </c>
      <c r="I8" s="61" t="str">
        <f t="shared" si="0"/>
        <v>"NFL:Baltimore:Houston"</v>
      </c>
      <c r="J8" s="63">
        <f>IF(G8&gt;25560,86400*(G8-25569)+5*3600,1690000000)</f>
        <v>1693090800</v>
      </c>
      <c r="K8" s="76">
        <f t="shared" si="1"/>
        <v>634</v>
      </c>
      <c r="L8" s="115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5">
        <f>IF(O8&lt;0,-(100-O8)/O8,O8/100+1)</f>
        <v>1.5988023952095809</v>
      </c>
      <c r="R8" s="5">
        <f>IF(P8&lt;0,-(100-P8)/P8,P8/100+1)</f>
        <v>2.3600000000000003</v>
      </c>
      <c r="S8" s="27">
        <f t="shared" ref="S8" si="9">1/Q8</f>
        <v>0.62546816479400746</v>
      </c>
      <c r="T8" s="28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9">
        <f t="shared" ref="X8:X38" si="13">X$4+(S8-T8)/2</f>
        <v>0.61186967561734273</v>
      </c>
      <c r="Y8" s="14">
        <f t="shared" ref="Y8:Y38" si="14">INT((1/X8-1)*1000)</f>
        <v>634</v>
      </c>
      <c r="Z8" s="2">
        <f t="shared" ref="Z8:Z38" si="15">INT(1000000/(Y8+Y$4))-Y$4</f>
        <v>1427</v>
      </c>
      <c r="AA8" s="14">
        <f t="shared" ref="AA8:AA38" si="16">INT(Y8*0.95)</f>
        <v>602</v>
      </c>
      <c r="AB8" s="15">
        <f t="shared" ref="AB8:AB38" si="17">INT(Z8*0.95)</f>
        <v>1355</v>
      </c>
      <c r="AC8" s="13">
        <f t="shared" ref="AC8:AC38" si="18">Y8*0.95/1000+1</f>
        <v>1.6023000000000001</v>
      </c>
      <c r="AD8" s="13">
        <f t="shared" ref="AD8:AD38" si="19">Z8*0.95/1000+1</f>
        <v>2.3556499999999998</v>
      </c>
      <c r="AE8" s="1">
        <f t="shared" ref="AE8:AE38" si="20">1/AC8+1/AD8-1</f>
        <v>4.8614133537337123E-2</v>
      </c>
      <c r="AF8" s="6">
        <f t="shared" si="8"/>
        <v>-4.3500000000005201E-3</v>
      </c>
      <c r="AI8">
        <v>35.18</v>
      </c>
    </row>
    <row r="9" spans="1:35" x14ac:dyDescent="0.25">
      <c r="A9" s="3">
        <v>2</v>
      </c>
      <c r="B9" s="127" t="s">
        <v>7</v>
      </c>
      <c r="C9" s="128" t="s">
        <v>47</v>
      </c>
      <c r="D9" s="128" t="s">
        <v>48</v>
      </c>
      <c r="E9" s="129">
        <v>-166.66666666666666</v>
      </c>
      <c r="F9" s="129">
        <v>135.92753623188406</v>
      </c>
      <c r="G9" s="133">
        <v>45164.75</v>
      </c>
      <c r="I9" s="61" t="str">
        <f t="shared" si="0"/>
        <v>"NFL:GreenBay:Chicago"</v>
      </c>
      <c r="J9" s="63">
        <f t="shared" ref="J9:J38" si="21">IF(G9&gt;25560,86400*(G9-25569)+5*3600,1690000000)</f>
        <v>1693090800</v>
      </c>
      <c r="K9" s="76">
        <f t="shared" si="1"/>
        <v>635</v>
      </c>
      <c r="L9" s="115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5">
        <f t="shared" ref="Q9:Q38" si="22">IF(O9&lt;0,-(100-O9)/O9,O9/100+1)</f>
        <v>1.5999999999999999</v>
      </c>
      <c r="R9" s="5">
        <f t="shared" ref="R9:R38" si="23">IF(P9&lt;0,-(100-P9)/P9,P9/100+1)</f>
        <v>2.3592753623188409</v>
      </c>
      <c r="S9" s="27">
        <f t="shared" si="6"/>
        <v>0.625</v>
      </c>
      <c r="T9" s="28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9">
        <f t="shared" si="13"/>
        <v>0.61157052030222991</v>
      </c>
      <c r="Y9" s="14">
        <f t="shared" si="14"/>
        <v>635</v>
      </c>
      <c r="Z9" s="2">
        <f t="shared" si="15"/>
        <v>1425</v>
      </c>
      <c r="AA9" s="14">
        <f t="shared" si="16"/>
        <v>603</v>
      </c>
      <c r="AB9" s="15">
        <f t="shared" si="17"/>
        <v>1353</v>
      </c>
      <c r="AC9" s="13">
        <f t="shared" si="18"/>
        <v>1.6032500000000001</v>
      </c>
      <c r="AD9" s="13">
        <f t="shared" si="19"/>
        <v>2.3537499999999998</v>
      </c>
      <c r="AE9" s="1">
        <f t="shared" si="20"/>
        <v>4.8586998710383078E-2</v>
      </c>
      <c r="AF9" s="6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127" t="s">
        <v>7</v>
      </c>
      <c r="C10" s="128" t="s">
        <v>49</v>
      </c>
      <c r="D10" s="128" t="s">
        <v>50</v>
      </c>
      <c r="E10" s="129">
        <v>-500</v>
      </c>
      <c r="F10" s="129">
        <v>380</v>
      </c>
      <c r="G10" s="133">
        <v>45164.75</v>
      </c>
      <c r="I10" s="61" t="str">
        <f t="shared" si="0"/>
        <v>"NFL:LasVegas:Denver"</v>
      </c>
      <c r="J10" s="63">
        <f t="shared" si="21"/>
        <v>1693090800</v>
      </c>
      <c r="K10" s="76">
        <f t="shared" si="1"/>
        <v>214</v>
      </c>
      <c r="L10" s="115">
        <f t="shared" ref="L10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5">
        <f t="shared" si="22"/>
        <v>1.2</v>
      </c>
      <c r="R10" s="5">
        <f t="shared" si="23"/>
        <v>4.8</v>
      </c>
      <c r="S10" s="27">
        <f t="shared" si="6"/>
        <v>0.83333333333333337</v>
      </c>
      <c r="T10" s="28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9">
        <f t="shared" si="13"/>
        <v>0.82350000000000001</v>
      </c>
      <c r="Y10" s="14">
        <f t="shared" si="14"/>
        <v>214</v>
      </c>
      <c r="Z10" s="2">
        <f t="shared" si="15"/>
        <v>3816</v>
      </c>
      <c r="AA10" s="14">
        <f t="shared" si="16"/>
        <v>203</v>
      </c>
      <c r="AB10" s="15">
        <f t="shared" si="17"/>
        <v>3625</v>
      </c>
      <c r="AC10" s="13">
        <f t="shared" si="18"/>
        <v>1.2033</v>
      </c>
      <c r="AD10" s="13">
        <f t="shared" si="19"/>
        <v>4.6251999999999995</v>
      </c>
      <c r="AE10" s="1">
        <f t="shared" si="20"/>
        <v>4.7254818196887038E-2</v>
      </c>
      <c r="AF10" s="6">
        <f t="shared" si="8"/>
        <v>-0.17480000000000029</v>
      </c>
    </row>
    <row r="11" spans="1:35" x14ac:dyDescent="0.25">
      <c r="A11" s="3">
        <v>4</v>
      </c>
      <c r="B11" s="127" t="s">
        <v>7</v>
      </c>
      <c r="C11" s="128" t="s">
        <v>51</v>
      </c>
      <c r="D11" s="128" t="s">
        <v>52</v>
      </c>
      <c r="E11" s="129">
        <v>-110</v>
      </c>
      <c r="F11" s="129">
        <v>-109.76936346954697</v>
      </c>
      <c r="G11" s="133">
        <v>45164.75</v>
      </c>
      <c r="I11" s="61" t="str">
        <f t="shared" si="0"/>
        <v>"NFL:Philadelphia:NewEngland"</v>
      </c>
      <c r="J11" s="63">
        <f t="shared" si="21"/>
        <v>1693090800</v>
      </c>
      <c r="K11" s="76">
        <f t="shared" si="1"/>
        <v>955</v>
      </c>
      <c r="L11" s="115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5">
        <f t="shared" si="22"/>
        <v>1.9090909090909092</v>
      </c>
      <c r="R11" s="5">
        <f t="shared" si="23"/>
        <v>1.911001001001001</v>
      </c>
      <c r="S11" s="27">
        <f t="shared" si="6"/>
        <v>0.52380952380952384</v>
      </c>
      <c r="T11" s="28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9">
        <f t="shared" si="13"/>
        <v>0.51126178017000878</v>
      </c>
      <c r="Y11" s="14">
        <f t="shared" si="14"/>
        <v>955</v>
      </c>
      <c r="Z11" s="2">
        <f t="shared" si="15"/>
        <v>955</v>
      </c>
      <c r="AA11" s="14">
        <f t="shared" si="16"/>
        <v>907</v>
      </c>
      <c r="AB11" s="15">
        <f t="shared" si="17"/>
        <v>907</v>
      </c>
      <c r="AC11" s="13">
        <f t="shared" si="18"/>
        <v>1.9072499999999999</v>
      </c>
      <c r="AD11" s="13">
        <f t="shared" si="19"/>
        <v>1.9072499999999999</v>
      </c>
      <c r="AE11" s="1">
        <f t="shared" si="20"/>
        <v>4.8630226766286588E-2</v>
      </c>
      <c r="AF11" s="6">
        <f t="shared" si="8"/>
        <v>-3.7510010010011197E-3</v>
      </c>
    </row>
    <row r="12" spans="1:35" x14ac:dyDescent="0.25">
      <c r="A12" s="3">
        <v>5</v>
      </c>
      <c r="B12" s="127" t="s">
        <v>7</v>
      </c>
      <c r="C12" s="128" t="s">
        <v>53</v>
      </c>
      <c r="D12" s="128" t="s">
        <v>108</v>
      </c>
      <c r="E12" s="129">
        <v>-110</v>
      </c>
      <c r="F12" s="129">
        <v>-101</v>
      </c>
      <c r="G12" s="133">
        <v>45164.75</v>
      </c>
      <c r="I12" s="61" t="str">
        <f t="shared" si="0"/>
        <v>"NFL:Miami:LosAngelesChargers"</v>
      </c>
      <c r="J12" s="63">
        <f t="shared" si="21"/>
        <v>1693090800</v>
      </c>
      <c r="K12" s="76">
        <f t="shared" si="1"/>
        <v>916</v>
      </c>
      <c r="L12" s="115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5">
        <f t="shared" si="22"/>
        <v>1.9090909090909092</v>
      </c>
      <c r="R12" s="5">
        <f t="shared" si="23"/>
        <v>1.9900990099009901</v>
      </c>
      <c r="S12" s="27">
        <f t="shared" si="6"/>
        <v>0.52380952380952384</v>
      </c>
      <c r="T12" s="28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9">
        <f t="shared" si="13"/>
        <v>0.5216609808102346</v>
      </c>
      <c r="Y12" s="14">
        <f t="shared" si="14"/>
        <v>916</v>
      </c>
      <c r="Z12" s="2">
        <f t="shared" si="15"/>
        <v>995</v>
      </c>
      <c r="AA12" s="14">
        <f t="shared" si="16"/>
        <v>870</v>
      </c>
      <c r="AB12" s="15">
        <f t="shared" si="17"/>
        <v>945</v>
      </c>
      <c r="AC12" s="13">
        <f t="shared" si="18"/>
        <v>1.8702000000000001</v>
      </c>
      <c r="AD12" s="13">
        <f t="shared" si="19"/>
        <v>1.9452500000000001</v>
      </c>
      <c r="AE12" s="1">
        <f t="shared" si="20"/>
        <v>4.8774912183706665E-2</v>
      </c>
      <c r="AF12" s="6">
        <f t="shared" si="8"/>
        <v>-4.4849009900989945E-2</v>
      </c>
    </row>
    <row r="13" spans="1:35" x14ac:dyDescent="0.25">
      <c r="A13" s="3">
        <v>6</v>
      </c>
      <c r="B13" s="127" t="s">
        <v>7</v>
      </c>
      <c r="C13" s="128" t="s">
        <v>206</v>
      </c>
      <c r="D13" s="128" t="s">
        <v>207</v>
      </c>
      <c r="E13" s="129">
        <v>125</v>
      </c>
      <c r="F13" s="129">
        <v>-152.37662042301568</v>
      </c>
      <c r="G13" s="133">
        <v>45164.75</v>
      </c>
      <c r="I13" s="61" t="str">
        <f t="shared" si="0"/>
        <v>"NFL:London:Toronto"</v>
      </c>
      <c r="J13" s="63">
        <f t="shared" si="21"/>
        <v>1693090800</v>
      </c>
      <c r="K13" s="76">
        <v>900</v>
      </c>
      <c r="L13" s="115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5">
        <f t="shared" si="22"/>
        <v>1.656268656716418</v>
      </c>
      <c r="R13" s="5">
        <f t="shared" si="23"/>
        <v>2.25</v>
      </c>
      <c r="S13" s="27">
        <f t="shared" si="6"/>
        <v>0.60376678381544557</v>
      </c>
      <c r="T13" s="28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9">
        <f t="shared" si="13"/>
        <v>0.59066116968550064</v>
      </c>
      <c r="Y13" s="14">
        <f t="shared" si="14"/>
        <v>693</v>
      </c>
      <c r="Z13" s="2">
        <f t="shared" si="15"/>
        <v>1310</v>
      </c>
      <c r="AA13" s="14">
        <f t="shared" si="16"/>
        <v>658</v>
      </c>
      <c r="AB13" s="15">
        <f t="shared" si="17"/>
        <v>1244</v>
      </c>
      <c r="AC13" s="13">
        <f t="shared" si="18"/>
        <v>1.65835</v>
      </c>
      <c r="AD13" s="13">
        <f t="shared" si="19"/>
        <v>2.2444999999999999</v>
      </c>
      <c r="AE13" s="1">
        <f t="shared" si="20"/>
        <v>4.8542541382635473E-2</v>
      </c>
      <c r="AF13" s="6">
        <f t="shared" si="8"/>
        <v>-5.5000000000000604E-3</v>
      </c>
    </row>
    <row r="14" spans="1:35" s="11" customFormat="1" x14ac:dyDescent="0.25">
      <c r="A14" s="3">
        <v>7</v>
      </c>
      <c r="B14" s="127" t="s">
        <v>7</v>
      </c>
      <c r="C14" s="128" t="s">
        <v>43</v>
      </c>
      <c r="D14" s="128" t="s">
        <v>44</v>
      </c>
      <c r="E14" s="129">
        <v>150</v>
      </c>
      <c r="F14" s="129">
        <v>-185.55257322908156</v>
      </c>
      <c r="G14" s="133">
        <v>45164.75</v>
      </c>
      <c r="H14"/>
      <c r="I14" s="61" t="str">
        <f t="shared" si="0"/>
        <v>"NFL:Washington:Arizona"</v>
      </c>
      <c r="J14" s="63">
        <f t="shared" si="21"/>
        <v>1693090800</v>
      </c>
      <c r="K14" s="76">
        <f t="shared" ref="K14:K38" si="26">IF(Y14&gt;0,INT(Y14),999)</f>
        <v>572</v>
      </c>
      <c r="L14" s="115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5">
        <f t="shared" si="22"/>
        <v>1.5389308176100627</v>
      </c>
      <c r="R14" s="5">
        <f t="shared" si="23"/>
        <v>2.5</v>
      </c>
      <c r="S14" s="18">
        <f t="shared" si="6"/>
        <v>0.64980179002002547</v>
      </c>
      <c r="T14" s="19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9">
        <f t="shared" si="13"/>
        <v>0.63590089501001268</v>
      </c>
      <c r="Y14" s="14">
        <f t="shared" si="14"/>
        <v>572</v>
      </c>
      <c r="Z14" s="2">
        <f t="shared" si="15"/>
        <v>1575</v>
      </c>
      <c r="AA14" s="14">
        <f t="shared" si="16"/>
        <v>543</v>
      </c>
      <c r="AB14" s="15">
        <f t="shared" si="17"/>
        <v>1496</v>
      </c>
      <c r="AC14" s="13">
        <f t="shared" si="18"/>
        <v>1.5434000000000001</v>
      </c>
      <c r="AD14" s="13">
        <f t="shared" si="19"/>
        <v>2.4962499999999999</v>
      </c>
      <c r="AE14" s="1">
        <f t="shared" si="20"/>
        <v>4.8521077586316075E-2</v>
      </c>
      <c r="AF14" s="6">
        <f t="shared" si="8"/>
        <v>-3.7500000000001421E-3</v>
      </c>
    </row>
    <row r="15" spans="1:35" x14ac:dyDescent="0.25">
      <c r="A15" s="3">
        <v>8</v>
      </c>
      <c r="B15" s="127" t="s">
        <v>7</v>
      </c>
      <c r="C15" s="128" t="s">
        <v>45</v>
      </c>
      <c r="D15" s="128" t="s">
        <v>46</v>
      </c>
      <c r="E15" s="129">
        <v>175</v>
      </c>
      <c r="F15" s="129">
        <v>-220.51773729626078</v>
      </c>
      <c r="G15" s="133">
        <v>45164.75</v>
      </c>
      <c r="I15" s="61" t="str">
        <f t="shared" si="0"/>
        <v>"NFL:Baltimore:Houston"</v>
      </c>
      <c r="J15" s="63">
        <f t="shared" si="21"/>
        <v>1693090800</v>
      </c>
      <c r="K15" s="76">
        <f t="shared" si="26"/>
        <v>485</v>
      </c>
      <c r="L15" s="115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5">
        <f t="shared" si="22"/>
        <v>1.4534782608695651</v>
      </c>
      <c r="R15" s="5">
        <f t="shared" si="23"/>
        <v>2.75</v>
      </c>
      <c r="S15" s="27">
        <f t="shared" si="6"/>
        <v>0.68800478612025129</v>
      </c>
      <c r="T15" s="28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9">
        <f t="shared" si="13"/>
        <v>0.67318421124194383</v>
      </c>
      <c r="Y15" s="14">
        <f t="shared" si="14"/>
        <v>485</v>
      </c>
      <c r="Z15" s="2">
        <f t="shared" si="15"/>
        <v>1841</v>
      </c>
      <c r="AA15" s="14">
        <f t="shared" si="16"/>
        <v>460</v>
      </c>
      <c r="AB15" s="15">
        <f t="shared" si="17"/>
        <v>1748</v>
      </c>
      <c r="AC15" s="13">
        <f t="shared" si="18"/>
        <v>1.46075</v>
      </c>
      <c r="AD15" s="13">
        <f t="shared" si="19"/>
        <v>2.7489499999999998</v>
      </c>
      <c r="AE15" s="1">
        <f t="shared" si="20"/>
        <v>4.8355098768329441E-2</v>
      </c>
      <c r="AF15" s="6">
        <f t="shared" si="8"/>
        <v>-1.0500000000002174E-3</v>
      </c>
    </row>
    <row r="16" spans="1:35" x14ac:dyDescent="0.25">
      <c r="A16" s="3">
        <v>9</v>
      </c>
      <c r="B16" s="127" t="s">
        <v>7</v>
      </c>
      <c r="C16" s="128" t="s">
        <v>47</v>
      </c>
      <c r="D16" s="128" t="s">
        <v>48</v>
      </c>
      <c r="E16" s="129">
        <v>200</v>
      </c>
      <c r="F16" s="129">
        <v>-257.42086463850228</v>
      </c>
      <c r="G16" s="133">
        <v>45164.75</v>
      </c>
      <c r="I16" s="61" t="str">
        <f t="shared" si="0"/>
        <v>"NFL:Chicago:GreenBay"</v>
      </c>
      <c r="J16" s="63">
        <f t="shared" si="21"/>
        <v>1693090800</v>
      </c>
      <c r="K16" s="76">
        <f t="shared" si="26"/>
        <v>419</v>
      </c>
      <c r="L16" s="115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5">
        <f t="shared" si="22"/>
        <v>1.3884688995215311</v>
      </c>
      <c r="R16" s="5">
        <f t="shared" si="23"/>
        <v>3</v>
      </c>
      <c r="S16" s="27">
        <f t="shared" si="6"/>
        <v>0.72021778834556671</v>
      </c>
      <c r="T16" s="28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9">
        <f t="shared" si="13"/>
        <v>0.70444222750611674</v>
      </c>
      <c r="Y16" s="14">
        <f t="shared" si="14"/>
        <v>419</v>
      </c>
      <c r="Z16" s="2">
        <f t="shared" si="15"/>
        <v>2110</v>
      </c>
      <c r="AA16" s="14">
        <f t="shared" si="16"/>
        <v>398</v>
      </c>
      <c r="AB16" s="15">
        <f t="shared" si="17"/>
        <v>2004</v>
      </c>
      <c r="AC16" s="13">
        <f t="shared" si="18"/>
        <v>1.39805</v>
      </c>
      <c r="AD16" s="13">
        <f t="shared" si="19"/>
        <v>3.0045000000000002</v>
      </c>
      <c r="AE16" s="1">
        <f t="shared" si="20"/>
        <v>4.8116082138490057E-2</v>
      </c>
      <c r="AF16" s="6">
        <f t="shared" si="8"/>
        <v>4.5000000000001705E-3</v>
      </c>
    </row>
    <row r="17" spans="1:32" x14ac:dyDescent="0.25">
      <c r="A17" s="3">
        <v>10</v>
      </c>
      <c r="B17" s="127" t="s">
        <v>7</v>
      </c>
      <c r="C17" s="128" t="s">
        <v>49</v>
      </c>
      <c r="D17" s="128" t="s">
        <v>50</v>
      </c>
      <c r="E17" s="129">
        <v>225</v>
      </c>
      <c r="F17" s="129">
        <v>-296.42766658221433</v>
      </c>
      <c r="G17" s="133">
        <v>45164.75</v>
      </c>
      <c r="I17" s="61" t="str">
        <f t="shared" si="0"/>
        <v>"NFL:Denver:LasVegas"</v>
      </c>
      <c r="J17" s="63">
        <f t="shared" si="21"/>
        <v>1693090800</v>
      </c>
      <c r="K17" s="76">
        <f t="shared" si="26"/>
        <v>367</v>
      </c>
      <c r="L17" s="115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5">
        <f t="shared" si="22"/>
        <v>1.3373504273504273</v>
      </c>
      <c r="R17" s="5">
        <f t="shared" si="23"/>
        <v>3.25</v>
      </c>
      <c r="S17" s="27">
        <f t="shared" si="6"/>
        <v>0.74774717198184959</v>
      </c>
      <c r="T17" s="28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9">
        <f t="shared" si="13"/>
        <v>0.73102743214477095</v>
      </c>
      <c r="Y17" s="14">
        <f t="shared" si="14"/>
        <v>367</v>
      </c>
      <c r="Z17" s="2">
        <f t="shared" si="15"/>
        <v>2382</v>
      </c>
      <c r="AA17" s="14">
        <f t="shared" si="16"/>
        <v>348</v>
      </c>
      <c r="AB17" s="15">
        <f t="shared" si="17"/>
        <v>2262</v>
      </c>
      <c r="AC17" s="13">
        <f t="shared" si="18"/>
        <v>1.3486499999999999</v>
      </c>
      <c r="AD17" s="13">
        <f t="shared" si="19"/>
        <v>3.2629000000000001</v>
      </c>
      <c r="AE17" s="1">
        <f t="shared" si="20"/>
        <v>4.7958057344163585E-2</v>
      </c>
      <c r="AF17" s="6">
        <f t="shared" si="8"/>
        <v>1.2900000000000134E-2</v>
      </c>
    </row>
    <row r="18" spans="1:32" x14ac:dyDescent="0.25">
      <c r="A18" s="3">
        <v>11</v>
      </c>
      <c r="B18" s="127" t="s">
        <v>7</v>
      </c>
      <c r="C18" s="128" t="s">
        <v>41</v>
      </c>
      <c r="D18" s="128" t="s">
        <v>42</v>
      </c>
      <c r="E18" s="129">
        <v>250</v>
      </c>
      <c r="F18" s="129">
        <v>-337.72330160385968</v>
      </c>
      <c r="G18" s="133">
        <v>45164.75</v>
      </c>
      <c r="I18" s="61" t="str">
        <f t="shared" si="0"/>
        <v>"NFL:Pittsburgh:SanFrancisco"</v>
      </c>
      <c r="J18" s="63">
        <f t="shared" si="21"/>
        <v>1693090800</v>
      </c>
      <c r="K18" s="76">
        <f t="shared" si="26"/>
        <v>326</v>
      </c>
      <c r="L18" s="115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5">
        <f t="shared" si="22"/>
        <v>1.2961003861003861</v>
      </c>
      <c r="R18" s="5">
        <f t="shared" si="23"/>
        <v>3.5</v>
      </c>
      <c r="S18" s="27">
        <f t="shared" si="6"/>
        <v>0.77154517560844826</v>
      </c>
      <c r="T18" s="28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9">
        <f t="shared" si="13"/>
        <v>0.75391544494708129</v>
      </c>
      <c r="Y18" s="14">
        <f t="shared" si="14"/>
        <v>326</v>
      </c>
      <c r="Z18" s="2">
        <f t="shared" si="15"/>
        <v>2650</v>
      </c>
      <c r="AA18" s="14">
        <f t="shared" si="16"/>
        <v>309</v>
      </c>
      <c r="AB18" s="15">
        <f t="shared" si="17"/>
        <v>2517</v>
      </c>
      <c r="AC18" s="13">
        <f t="shared" si="18"/>
        <v>1.3096999999999999</v>
      </c>
      <c r="AD18" s="13">
        <f t="shared" si="19"/>
        <v>3.5175000000000001</v>
      </c>
      <c r="AE18" s="1">
        <f t="shared" si="20"/>
        <v>4.7826455262817147E-2</v>
      </c>
      <c r="AF18" s="6">
        <f t="shared" si="8"/>
        <v>1.7500000000000071E-2</v>
      </c>
    </row>
    <row r="19" spans="1:32" x14ac:dyDescent="0.25">
      <c r="A19" s="3">
        <v>12</v>
      </c>
      <c r="B19" s="127" t="s">
        <v>7</v>
      </c>
      <c r="C19" s="128" t="s">
        <v>54</v>
      </c>
      <c r="D19" s="128" t="s">
        <v>55</v>
      </c>
      <c r="E19" s="129">
        <v>275</v>
      </c>
      <c r="F19" s="129">
        <v>-381.51531434712518</v>
      </c>
      <c r="G19" s="133">
        <v>45164.75</v>
      </c>
      <c r="I19" s="61" t="str">
        <f t="shared" si="0"/>
        <v>"NFL:Seattle:LosAngelesRams"</v>
      </c>
      <c r="J19" s="63">
        <f t="shared" si="21"/>
        <v>1693090800</v>
      </c>
      <c r="K19" s="76">
        <f t="shared" si="26"/>
        <v>292</v>
      </c>
      <c r="L19" s="115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5">
        <f t="shared" si="22"/>
        <v>1.2621126760563381</v>
      </c>
      <c r="R19" s="5">
        <f t="shared" si="23"/>
        <v>3.75</v>
      </c>
      <c r="S19" s="27">
        <f t="shared" si="6"/>
        <v>0.79232228545921202</v>
      </c>
      <c r="T19" s="28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9">
        <f t="shared" si="13"/>
        <v>0.77382780939627271</v>
      </c>
      <c r="Y19" s="14">
        <f t="shared" si="14"/>
        <v>292</v>
      </c>
      <c r="Z19" s="2">
        <f t="shared" si="15"/>
        <v>2922</v>
      </c>
      <c r="AA19" s="14">
        <f t="shared" si="16"/>
        <v>277</v>
      </c>
      <c r="AB19" s="15">
        <f t="shared" si="17"/>
        <v>2775</v>
      </c>
      <c r="AC19" s="13">
        <f t="shared" si="18"/>
        <v>1.2774000000000001</v>
      </c>
      <c r="AD19" s="13">
        <f t="shared" si="19"/>
        <v>3.7759</v>
      </c>
      <c r="AE19" s="1">
        <f t="shared" si="20"/>
        <v>4.7677666222728954E-2</v>
      </c>
      <c r="AF19" s="6">
        <f t="shared" si="8"/>
        <v>2.5900000000000034E-2</v>
      </c>
    </row>
    <row r="20" spans="1:32" x14ac:dyDescent="0.25">
      <c r="A20" s="3">
        <v>13</v>
      </c>
      <c r="B20" s="127" t="s">
        <v>56</v>
      </c>
      <c r="C20" s="128" t="s">
        <v>109</v>
      </c>
      <c r="D20" s="128" t="s">
        <v>110</v>
      </c>
      <c r="E20" s="129">
        <v>300</v>
      </c>
      <c r="F20" s="129">
        <v>-428.03712425543705</v>
      </c>
      <c r="G20" s="133">
        <v>45164.75</v>
      </c>
      <c r="I20" s="61" t="str">
        <f t="shared" si="0"/>
        <v>"CFL:BowlingGreen:UnivOhio"</v>
      </c>
      <c r="J20" s="63">
        <f t="shared" si="21"/>
        <v>1693090800</v>
      </c>
      <c r="K20" s="76">
        <f t="shared" si="26"/>
        <v>263</v>
      </c>
      <c r="L20" s="115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5">
        <f t="shared" si="22"/>
        <v>1.2336245954692555</v>
      </c>
      <c r="R20" s="5">
        <f t="shared" si="23"/>
        <v>4</v>
      </c>
      <c r="S20" s="27">
        <f t="shared" si="6"/>
        <v>0.81061937616411772</v>
      </c>
      <c r="T20" s="28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9">
        <f t="shared" si="13"/>
        <v>0.79130968808205893</v>
      </c>
      <c r="Y20" s="14">
        <f t="shared" si="14"/>
        <v>263</v>
      </c>
      <c r="Z20" s="2">
        <f t="shared" si="15"/>
        <v>3201</v>
      </c>
      <c r="AA20" s="14">
        <f t="shared" si="16"/>
        <v>249</v>
      </c>
      <c r="AB20" s="15">
        <f t="shared" si="17"/>
        <v>3040</v>
      </c>
      <c r="AC20" s="13">
        <f t="shared" si="18"/>
        <v>1.2498499999999999</v>
      </c>
      <c r="AD20" s="13">
        <f t="shared" si="19"/>
        <v>4.0409499999999996</v>
      </c>
      <c r="AE20" s="1">
        <f t="shared" si="20"/>
        <v>4.7562572602316555E-2</v>
      </c>
      <c r="AF20" s="6">
        <f t="shared" si="8"/>
        <v>4.0949999999999598E-2</v>
      </c>
    </row>
    <row r="21" spans="1:32" x14ac:dyDescent="0.25">
      <c r="A21" s="3">
        <v>14</v>
      </c>
      <c r="B21" s="127" t="s">
        <v>56</v>
      </c>
      <c r="C21" s="128" t="s">
        <v>57</v>
      </c>
      <c r="D21" s="128" t="s">
        <v>58</v>
      </c>
      <c r="E21" s="129">
        <v>325</v>
      </c>
      <c r="F21" s="129">
        <v>-477.55218758936235</v>
      </c>
      <c r="G21" s="133">
        <v>45164.75</v>
      </c>
      <c r="I21" s="61" t="str">
        <f t="shared" si="0"/>
        <v>"CFL:FresnoState:EasternWashington"</v>
      </c>
      <c r="J21" s="63">
        <f t="shared" si="21"/>
        <v>1693090800</v>
      </c>
      <c r="K21" s="76">
        <f t="shared" si="26"/>
        <v>239</v>
      </c>
      <c r="L21" s="115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5">
        <f t="shared" si="22"/>
        <v>1.2094011976047905</v>
      </c>
      <c r="R21" s="5">
        <f t="shared" si="23"/>
        <v>4.25</v>
      </c>
      <c r="S21" s="27">
        <f t="shared" si="6"/>
        <v>0.82685547358518585</v>
      </c>
      <c r="T21" s="28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9">
        <f t="shared" si="13"/>
        <v>0.8067806779690635</v>
      </c>
      <c r="Y21" s="14">
        <f t="shared" si="14"/>
        <v>239</v>
      </c>
      <c r="Z21" s="2">
        <f t="shared" si="15"/>
        <v>3476</v>
      </c>
      <c r="AA21" s="14">
        <f t="shared" si="16"/>
        <v>227</v>
      </c>
      <c r="AB21" s="15">
        <f t="shared" si="17"/>
        <v>3302</v>
      </c>
      <c r="AC21" s="13">
        <f t="shared" si="18"/>
        <v>1.22705</v>
      </c>
      <c r="AD21" s="13">
        <f t="shared" si="19"/>
        <v>4.3022</v>
      </c>
      <c r="AE21" s="1">
        <f t="shared" si="20"/>
        <v>4.7401932600484642E-2</v>
      </c>
      <c r="AF21" s="6">
        <f t="shared" si="8"/>
        <v>5.2200000000000024E-2</v>
      </c>
    </row>
    <row r="22" spans="1:32" x14ac:dyDescent="0.25">
      <c r="A22" s="3">
        <v>15</v>
      </c>
      <c r="B22" s="127" t="s">
        <v>56</v>
      </c>
      <c r="C22" s="128" t="s">
        <v>59</v>
      </c>
      <c r="D22" s="128" t="s">
        <v>60</v>
      </c>
      <c r="E22" s="129">
        <v>350</v>
      </c>
      <c r="F22" s="129">
        <v>-530.35898951100614</v>
      </c>
      <c r="G22" s="133">
        <v>45164.75</v>
      </c>
      <c r="I22" s="61" t="str">
        <f t="shared" si="0"/>
        <v>"CFL:UtahState:IdahoState"</v>
      </c>
      <c r="J22" s="63">
        <f t="shared" si="21"/>
        <v>1693090800</v>
      </c>
      <c r="K22" s="76">
        <f t="shared" si="26"/>
        <v>218</v>
      </c>
      <c r="L22" s="115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5">
        <f t="shared" si="22"/>
        <v>1.1885515320334261</v>
      </c>
      <c r="R22" s="5">
        <f t="shared" si="23"/>
        <v>4.5</v>
      </c>
      <c r="S22" s="27">
        <f t="shared" si="6"/>
        <v>0.84136023811197835</v>
      </c>
      <c r="T22" s="28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9">
        <f t="shared" si="13"/>
        <v>0.82056900794487808</v>
      </c>
      <c r="Y22" s="14">
        <f t="shared" si="14"/>
        <v>218</v>
      </c>
      <c r="Z22" s="2">
        <f t="shared" si="15"/>
        <v>3757</v>
      </c>
      <c r="AA22" s="14">
        <f t="shared" si="16"/>
        <v>207</v>
      </c>
      <c r="AB22" s="15">
        <f t="shared" si="17"/>
        <v>3569</v>
      </c>
      <c r="AC22" s="13">
        <f t="shared" si="18"/>
        <v>1.2071000000000001</v>
      </c>
      <c r="AD22" s="13">
        <f t="shared" si="19"/>
        <v>4.5691499999999996</v>
      </c>
      <c r="AE22" s="1">
        <f t="shared" si="20"/>
        <v>4.7290866219492633E-2</v>
      </c>
      <c r="AF22" s="6">
        <f t="shared" si="8"/>
        <v>6.9149999999999601E-2</v>
      </c>
    </row>
    <row r="23" spans="1:32" x14ac:dyDescent="0.25">
      <c r="A23" s="3">
        <v>16</v>
      </c>
      <c r="B23" s="127" t="s">
        <v>56</v>
      </c>
      <c r="C23" s="128" t="s">
        <v>61</v>
      </c>
      <c r="D23" s="128" t="s">
        <v>62</v>
      </c>
      <c r="E23" s="129">
        <v>375</v>
      </c>
      <c r="F23" s="129">
        <v>-586.79706601466989</v>
      </c>
      <c r="G23" s="133">
        <v>45164.75</v>
      </c>
      <c r="I23" s="61" t="str">
        <f t="shared" si="0"/>
        <v>"CFL:WakeForest:Vanderbilt"</v>
      </c>
      <c r="J23" s="63">
        <f t="shared" si="21"/>
        <v>1693090800</v>
      </c>
      <c r="K23" s="76">
        <f t="shared" si="26"/>
        <v>200</v>
      </c>
      <c r="L23" s="115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5">
        <f t="shared" si="22"/>
        <v>1.1704166666666667</v>
      </c>
      <c r="R23" s="5">
        <f t="shared" si="23"/>
        <v>4.75</v>
      </c>
      <c r="S23" s="27">
        <f t="shared" si="6"/>
        <v>0.85439658241367034</v>
      </c>
      <c r="T23" s="28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9">
        <f t="shared" si="13"/>
        <v>0.83293513331209834</v>
      </c>
      <c r="Y23" s="14">
        <f t="shared" si="14"/>
        <v>200</v>
      </c>
      <c r="Z23" s="2">
        <f t="shared" si="15"/>
        <v>4036</v>
      </c>
      <c r="AA23" s="14">
        <f t="shared" si="16"/>
        <v>190</v>
      </c>
      <c r="AB23" s="15">
        <f t="shared" si="17"/>
        <v>3834</v>
      </c>
      <c r="AC23" s="13">
        <f t="shared" si="18"/>
        <v>1.19</v>
      </c>
      <c r="AD23" s="13">
        <f t="shared" si="19"/>
        <v>4.8341999999999992</v>
      </c>
      <c r="AE23" s="1">
        <f t="shared" si="20"/>
        <v>4.7195594136872909E-2</v>
      </c>
      <c r="AF23" s="6">
        <f t="shared" si="8"/>
        <v>8.4199999999999164E-2</v>
      </c>
    </row>
    <row r="24" spans="1:32" x14ac:dyDescent="0.25">
      <c r="A24" s="3">
        <v>17</v>
      </c>
      <c r="B24" s="127" t="s">
        <v>56</v>
      </c>
      <c r="C24" s="128" t="s">
        <v>63</v>
      </c>
      <c r="D24" s="128" t="s">
        <v>64</v>
      </c>
      <c r="E24" s="129">
        <v>400</v>
      </c>
      <c r="F24" s="129">
        <v>-647.2543123912011</v>
      </c>
      <c r="G24" s="133">
        <v>45164.75</v>
      </c>
      <c r="I24" s="61" t="str">
        <f t="shared" si="0"/>
        <v>"CFL:Army:DelawareState"</v>
      </c>
      <c r="J24" s="63">
        <f t="shared" si="21"/>
        <v>1693090800</v>
      </c>
      <c r="K24" s="76">
        <f t="shared" si="26"/>
        <v>184</v>
      </c>
      <c r="L24" s="115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5">
        <f t="shared" si="22"/>
        <v>1.1544987775061124</v>
      </c>
      <c r="R24" s="5">
        <f t="shared" si="23"/>
        <v>5</v>
      </c>
      <c r="S24" s="27">
        <f t="shared" si="6"/>
        <v>0.866176750884178</v>
      </c>
      <c r="T24" s="28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9">
        <f t="shared" si="13"/>
        <v>0.84408837544208903</v>
      </c>
      <c r="Y24" s="14">
        <f t="shared" si="14"/>
        <v>184</v>
      </c>
      <c r="Z24" s="2">
        <f t="shared" si="15"/>
        <v>4321</v>
      </c>
      <c r="AA24" s="14">
        <f t="shared" si="16"/>
        <v>174</v>
      </c>
      <c r="AB24" s="15">
        <f t="shared" si="17"/>
        <v>4104</v>
      </c>
      <c r="AC24" s="13">
        <f t="shared" si="18"/>
        <v>1.1748000000000001</v>
      </c>
      <c r="AD24" s="13">
        <f t="shared" si="19"/>
        <v>5.1049499999999997</v>
      </c>
      <c r="AE24" s="1">
        <f t="shared" si="20"/>
        <v>4.7097020866036177E-2</v>
      </c>
      <c r="AF24" s="6">
        <f t="shared" si="8"/>
        <v>0.10494999999999965</v>
      </c>
    </row>
    <row r="25" spans="1:32" x14ac:dyDescent="0.25">
      <c r="A25" s="3">
        <v>18</v>
      </c>
      <c r="B25" s="127" t="s">
        <v>56</v>
      </c>
      <c r="C25" s="128" t="s">
        <v>65</v>
      </c>
      <c r="D25" s="128" t="s">
        <v>66</v>
      </c>
      <c r="E25" s="129">
        <v>-476</v>
      </c>
      <c r="F25" s="129">
        <v>352</v>
      </c>
      <c r="G25" s="133">
        <v>45164.75</v>
      </c>
      <c r="I25" s="61" t="str">
        <f t="shared" si="0"/>
        <v>"CFL:Nebraska:Colorado"</v>
      </c>
      <c r="J25" s="63">
        <f t="shared" si="21"/>
        <v>1693090800</v>
      </c>
      <c r="K25" s="76">
        <f t="shared" si="26"/>
        <v>229</v>
      </c>
      <c r="L25" s="115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5">
        <f t="shared" si="22"/>
        <v>1.2100840336134453</v>
      </c>
      <c r="R25" s="5">
        <f t="shared" si="23"/>
        <v>4.5199999999999996</v>
      </c>
      <c r="S25" s="27">
        <f t="shared" si="6"/>
        <v>0.82638888888888895</v>
      </c>
      <c r="T25" s="28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9">
        <f t="shared" si="13"/>
        <v>0.81357497541789581</v>
      </c>
      <c r="Y25" s="14">
        <f t="shared" si="14"/>
        <v>229</v>
      </c>
      <c r="Z25" s="2">
        <f t="shared" si="15"/>
        <v>3604</v>
      </c>
      <c r="AA25" s="14">
        <f t="shared" si="16"/>
        <v>217</v>
      </c>
      <c r="AB25" s="15">
        <f t="shared" si="17"/>
        <v>3423</v>
      </c>
      <c r="AC25" s="13">
        <f t="shared" si="18"/>
        <v>1.2175499999999999</v>
      </c>
      <c r="AD25" s="13">
        <f t="shared" si="19"/>
        <v>4.4238</v>
      </c>
      <c r="AE25" s="1">
        <f t="shared" si="20"/>
        <v>4.7371508564142628E-2</v>
      </c>
      <c r="AF25" s="6">
        <f t="shared" si="8"/>
        <v>-9.6199999999999619E-2</v>
      </c>
    </row>
    <row r="26" spans="1:32" x14ac:dyDescent="0.25">
      <c r="A26" s="3">
        <v>19</v>
      </c>
      <c r="B26" s="127" t="s">
        <v>56</v>
      </c>
      <c r="C26" s="128" t="s">
        <v>67</v>
      </c>
      <c r="D26" s="128" t="s">
        <v>68</v>
      </c>
      <c r="E26" s="129">
        <v>225</v>
      </c>
      <c r="F26" s="129">
        <v>-286</v>
      </c>
      <c r="G26" s="133">
        <v>45164.75</v>
      </c>
      <c r="I26" s="61" t="str">
        <f t="shared" si="0"/>
        <v>"CFL:Georgia:BallState"</v>
      </c>
      <c r="J26" s="63">
        <f t="shared" si="21"/>
        <v>1693090800</v>
      </c>
      <c r="K26" s="76">
        <f t="shared" si="26"/>
        <v>374</v>
      </c>
      <c r="L26" s="115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5">
        <f t="shared" si="22"/>
        <v>1.3496503496503496</v>
      </c>
      <c r="R26" s="5">
        <f t="shared" si="23"/>
        <v>3.25</v>
      </c>
      <c r="S26" s="27">
        <f t="shared" si="6"/>
        <v>0.74093264248704671</v>
      </c>
      <c r="T26" s="28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9">
        <f t="shared" si="13"/>
        <v>0.72762016739736946</v>
      </c>
      <c r="Y26" s="14">
        <f t="shared" si="14"/>
        <v>374</v>
      </c>
      <c r="Z26" s="2">
        <f t="shared" si="15"/>
        <v>2341</v>
      </c>
      <c r="AA26" s="14">
        <f t="shared" si="16"/>
        <v>355</v>
      </c>
      <c r="AB26" s="15">
        <f t="shared" si="17"/>
        <v>2223</v>
      </c>
      <c r="AC26" s="13">
        <f t="shared" si="18"/>
        <v>1.3552999999999999</v>
      </c>
      <c r="AD26" s="13">
        <f t="shared" si="19"/>
        <v>3.2239499999999999</v>
      </c>
      <c r="AE26" s="1">
        <f t="shared" si="20"/>
        <v>4.8022527505419133E-2</v>
      </c>
      <c r="AF26" s="6">
        <f t="shared" si="8"/>
        <v>-2.6050000000000129E-2</v>
      </c>
    </row>
    <row r="27" spans="1:32" x14ac:dyDescent="0.25">
      <c r="A27" s="3">
        <v>20</v>
      </c>
      <c r="B27" s="127" t="s">
        <v>56</v>
      </c>
      <c r="C27" s="128" t="s">
        <v>111</v>
      </c>
      <c r="D27" s="128" t="s">
        <v>9</v>
      </c>
      <c r="E27" s="129">
        <v>-115</v>
      </c>
      <c r="F27" s="129">
        <v>-106</v>
      </c>
      <c r="G27" s="133">
        <v>45164.75</v>
      </c>
      <c r="I27" s="61" t="str">
        <f t="shared" si="0"/>
        <v>"CFL:Youngstown:OhioState"</v>
      </c>
      <c r="J27" s="63">
        <f t="shared" si="21"/>
        <v>1693090800</v>
      </c>
      <c r="K27" s="76">
        <f t="shared" si="26"/>
        <v>918</v>
      </c>
      <c r="L27" s="115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5">
        <f t="shared" si="22"/>
        <v>1.8695652173913044</v>
      </c>
      <c r="R27" s="5">
        <f t="shared" si="23"/>
        <v>1.9433962264150944</v>
      </c>
      <c r="S27" s="27">
        <f t="shared" si="6"/>
        <v>0.53488372093023251</v>
      </c>
      <c r="T27" s="28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9">
        <f t="shared" si="13"/>
        <v>0.52116030706705807</v>
      </c>
      <c r="Y27" s="14">
        <f t="shared" si="14"/>
        <v>918</v>
      </c>
      <c r="Z27" s="2">
        <f t="shared" si="15"/>
        <v>993</v>
      </c>
      <c r="AA27" s="14">
        <f t="shared" si="16"/>
        <v>872</v>
      </c>
      <c r="AB27" s="15">
        <f t="shared" si="17"/>
        <v>943</v>
      </c>
      <c r="AC27" s="13">
        <f t="shared" si="18"/>
        <v>1.8720999999999999</v>
      </c>
      <c r="AD27" s="13">
        <f t="shared" si="19"/>
        <v>1.9433499999999999</v>
      </c>
      <c r="AE27" s="1">
        <f t="shared" si="20"/>
        <v>4.8734846721847802E-2</v>
      </c>
      <c r="AF27" s="6">
        <f t="shared" si="8"/>
        <v>-4.6226415094441364E-5</v>
      </c>
    </row>
    <row r="28" spans="1:32" x14ac:dyDescent="0.25">
      <c r="A28" s="3">
        <v>21</v>
      </c>
      <c r="B28" s="127" t="s">
        <v>56</v>
      </c>
      <c r="C28" s="128" t="s">
        <v>69</v>
      </c>
      <c r="D28" s="128" t="s">
        <v>70</v>
      </c>
      <c r="E28" s="129">
        <v>-156</v>
      </c>
      <c r="F28" s="129">
        <v>128</v>
      </c>
      <c r="G28" s="133">
        <v>45164.75</v>
      </c>
      <c r="I28" s="61" t="str">
        <f t="shared" si="0"/>
        <v>"CFL:Delaware:PennState"</v>
      </c>
      <c r="J28" s="63">
        <f t="shared" si="21"/>
        <v>1693090800</v>
      </c>
      <c r="K28" s="76">
        <f t="shared" si="26"/>
        <v>676</v>
      </c>
      <c r="L28" s="115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5">
        <f t="shared" si="22"/>
        <v>1.641025641025641</v>
      </c>
      <c r="R28" s="5">
        <f t="shared" si="23"/>
        <v>2.2800000000000002</v>
      </c>
      <c r="S28" s="27">
        <f t="shared" ref="S28:S35" si="27">1/Q28</f>
        <v>0.609375</v>
      </c>
      <c r="T28" s="28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9">
        <f t="shared" si="13"/>
        <v>0.59638925438596491</v>
      </c>
      <c r="Y28" s="14">
        <f t="shared" si="14"/>
        <v>676</v>
      </c>
      <c r="Z28" s="2">
        <f t="shared" si="15"/>
        <v>1341</v>
      </c>
      <c r="AA28" s="14">
        <f t="shared" si="16"/>
        <v>642</v>
      </c>
      <c r="AB28" s="15">
        <f t="shared" si="17"/>
        <v>1273</v>
      </c>
      <c r="AC28" s="13">
        <f t="shared" si="18"/>
        <v>1.6421999999999999</v>
      </c>
      <c r="AD28" s="13">
        <f t="shared" si="19"/>
        <v>2.2739500000000001</v>
      </c>
      <c r="AE28" s="1">
        <f t="shared" si="20"/>
        <v>4.8702635151938845E-2</v>
      </c>
      <c r="AF28" s="6">
        <f t="shared" si="8"/>
        <v>-6.0500000000001108E-3</v>
      </c>
    </row>
    <row r="29" spans="1:32" x14ac:dyDescent="0.25">
      <c r="A29" s="3">
        <v>22</v>
      </c>
      <c r="B29" s="127" t="s">
        <v>56</v>
      </c>
      <c r="C29" s="128" t="s">
        <v>71</v>
      </c>
      <c r="D29" s="128" t="s">
        <v>72</v>
      </c>
      <c r="E29" s="129">
        <v>-196</v>
      </c>
      <c r="F29" s="129">
        <v>161</v>
      </c>
      <c r="G29" s="133">
        <v>45164.75</v>
      </c>
      <c r="I29" s="61" t="str">
        <f t="shared" si="0"/>
        <v>"CFL:Purdue:VirginiaTech"</v>
      </c>
      <c r="J29" s="63">
        <f t="shared" si="21"/>
        <v>1693090800</v>
      </c>
      <c r="K29" s="76">
        <f t="shared" si="26"/>
        <v>537</v>
      </c>
      <c r="L29" s="115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5">
        <f t="shared" si="22"/>
        <v>1.510204081632653</v>
      </c>
      <c r="R29" s="5">
        <f t="shared" si="23"/>
        <v>2.6100000000000003</v>
      </c>
      <c r="S29" s="27">
        <f t="shared" si="27"/>
        <v>0.66216216216216217</v>
      </c>
      <c r="T29" s="28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9">
        <f t="shared" si="13"/>
        <v>0.65051019985502745</v>
      </c>
      <c r="Y29" s="14">
        <f t="shared" si="14"/>
        <v>537</v>
      </c>
      <c r="Z29" s="2">
        <f t="shared" si="15"/>
        <v>1673</v>
      </c>
      <c r="AA29" s="14">
        <f t="shared" si="16"/>
        <v>510</v>
      </c>
      <c r="AB29" s="15">
        <f t="shared" si="17"/>
        <v>1589</v>
      </c>
      <c r="AC29" s="13">
        <f t="shared" si="18"/>
        <v>1.5101499999999999</v>
      </c>
      <c r="AD29" s="13">
        <f t="shared" si="19"/>
        <v>2.5893499999999996</v>
      </c>
      <c r="AE29" s="1">
        <f t="shared" si="20"/>
        <v>4.8383183780035921E-2</v>
      </c>
      <c r="AF29" s="6">
        <f t="shared" si="8"/>
        <v>-2.0650000000000723E-2</v>
      </c>
    </row>
    <row r="30" spans="1:32" x14ac:dyDescent="0.25">
      <c r="A30" s="3">
        <v>23</v>
      </c>
      <c r="B30" s="127" t="s">
        <v>56</v>
      </c>
      <c r="C30" s="128" t="s">
        <v>73</v>
      </c>
      <c r="D30" s="128" t="s">
        <v>74</v>
      </c>
      <c r="E30" s="129">
        <v>-147</v>
      </c>
      <c r="F30" s="129">
        <v>119</v>
      </c>
      <c r="G30" s="133">
        <v>45164.75</v>
      </c>
      <c r="I30" s="61" t="str">
        <f t="shared" si="0"/>
        <v>"CFL:Utah:Baylor"</v>
      </c>
      <c r="J30" s="63">
        <f t="shared" si="21"/>
        <v>1693090800</v>
      </c>
      <c r="K30" s="76">
        <f t="shared" si="26"/>
        <v>723</v>
      </c>
      <c r="L30" s="115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5">
        <f t="shared" si="22"/>
        <v>1.6802721088435375</v>
      </c>
      <c r="R30" s="5">
        <f t="shared" si="23"/>
        <v>2.19</v>
      </c>
      <c r="S30" s="27">
        <f t="shared" si="27"/>
        <v>0.59514170040485825</v>
      </c>
      <c r="T30" s="28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9">
        <f t="shared" si="13"/>
        <v>0.58026034791932413</v>
      </c>
      <c r="Y30" s="14">
        <f t="shared" si="14"/>
        <v>723</v>
      </c>
      <c r="Z30" s="2">
        <f t="shared" si="15"/>
        <v>1257</v>
      </c>
      <c r="AA30" s="14">
        <f t="shared" si="16"/>
        <v>686</v>
      </c>
      <c r="AB30" s="15">
        <f t="shared" si="17"/>
        <v>1194</v>
      </c>
      <c r="AC30" s="13">
        <f t="shared" si="18"/>
        <v>1.6868500000000002</v>
      </c>
      <c r="AD30" s="13">
        <f t="shared" si="19"/>
        <v>2.1941499999999996</v>
      </c>
      <c r="AE30" s="1">
        <f t="shared" si="20"/>
        <v>4.8578293219858404E-2</v>
      </c>
      <c r="AF30" s="6">
        <f t="shared" si="8"/>
        <v>4.149999999999654E-3</v>
      </c>
    </row>
    <row r="31" spans="1:32" x14ac:dyDescent="0.25">
      <c r="A31" s="3">
        <v>24</v>
      </c>
      <c r="B31" s="127" t="s">
        <v>56</v>
      </c>
      <c r="C31" s="128" t="s">
        <v>112</v>
      </c>
      <c r="D31" s="128" t="s">
        <v>113</v>
      </c>
      <c r="E31" s="129">
        <v>-286</v>
      </c>
      <c r="F31" s="129">
        <v>228</v>
      </c>
      <c r="G31" s="133">
        <v>45164.75</v>
      </c>
      <c r="I31" s="61" t="str">
        <f t="shared" si="0"/>
        <v>"CFL:NotreDame:NCState"</v>
      </c>
      <c r="J31" s="63">
        <f t="shared" si="21"/>
        <v>1693090800</v>
      </c>
      <c r="K31" s="76">
        <f t="shared" si="26"/>
        <v>371</v>
      </c>
      <c r="L31" s="115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66">
        <f t="shared" si="22"/>
        <v>1.3496503496503496</v>
      </c>
      <c r="R31" s="66">
        <f t="shared" si="23"/>
        <v>3.28</v>
      </c>
      <c r="S31" s="67">
        <f t="shared" si="27"/>
        <v>0.74093264248704671</v>
      </c>
      <c r="T31" s="68">
        <f t="shared" si="28"/>
        <v>0.3048780487804878</v>
      </c>
      <c r="U31" s="69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9">
        <f t="shared" si="13"/>
        <v>0.72902729685327949</v>
      </c>
      <c r="Y31" s="14">
        <f t="shared" si="14"/>
        <v>371</v>
      </c>
      <c r="Z31" s="2">
        <f t="shared" si="15"/>
        <v>2358</v>
      </c>
      <c r="AA31" s="14">
        <f t="shared" si="16"/>
        <v>352</v>
      </c>
      <c r="AB31" s="15">
        <f t="shared" si="17"/>
        <v>2240</v>
      </c>
      <c r="AC31" s="13">
        <f t="shared" si="18"/>
        <v>1.3524499999999999</v>
      </c>
      <c r="AD31" s="13">
        <f t="shared" si="19"/>
        <v>3.2401</v>
      </c>
      <c r="AE31" s="1">
        <f t="shared" si="20"/>
        <v>4.8031318335483464E-2</v>
      </c>
      <c r="AF31" s="6">
        <f t="shared" si="8"/>
        <v>-3.9899999999999824E-2</v>
      </c>
    </row>
    <row r="32" spans="1:32" s="30" customFormat="1" x14ac:dyDescent="0.25">
      <c r="A32" s="74">
        <v>25</v>
      </c>
      <c r="B32" s="127" t="s">
        <v>8</v>
      </c>
      <c r="C32" s="128" t="s">
        <v>75</v>
      </c>
      <c r="D32" s="128" t="s">
        <v>76</v>
      </c>
      <c r="E32" s="130">
        <v>-625</v>
      </c>
      <c r="F32" s="130">
        <v>441</v>
      </c>
      <c r="G32" s="133">
        <v>45164.75</v>
      </c>
      <c r="H32"/>
      <c r="I32" s="61" t="str">
        <f t="shared" si="0"/>
        <v>"MMA:Adensanya:Strickland"</v>
      </c>
      <c r="J32" s="63">
        <f t="shared" si="21"/>
        <v>1693090800</v>
      </c>
      <c r="K32" s="76">
        <f t="shared" si="26"/>
        <v>177</v>
      </c>
      <c r="L32" s="115">
        <f t="shared" si="25"/>
        <v>0</v>
      </c>
      <c r="M32" s="31" t="str">
        <f t="shared" si="2"/>
        <v>Adensanya</v>
      </c>
      <c r="N32" s="31" t="str">
        <f t="shared" si="3"/>
        <v>Strickland</v>
      </c>
      <c r="O32" s="2">
        <f t="shared" si="4"/>
        <v>-625</v>
      </c>
      <c r="P32" s="2">
        <f t="shared" si="5"/>
        <v>441</v>
      </c>
      <c r="Q32" s="70">
        <f t="shared" si="22"/>
        <v>1.1599999999999999</v>
      </c>
      <c r="R32" s="70">
        <f t="shared" si="23"/>
        <v>5.41</v>
      </c>
      <c r="S32" s="71">
        <f t="shared" si="27"/>
        <v>0.86206896551724144</v>
      </c>
      <c r="T32" s="72">
        <f t="shared" si="28"/>
        <v>0.18484288354898337</v>
      </c>
      <c r="U32" s="73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9">
        <f t="shared" si="13"/>
        <v>0.84961304098412904</v>
      </c>
      <c r="Y32" s="14">
        <f t="shared" si="14"/>
        <v>177</v>
      </c>
      <c r="Z32" s="2">
        <f t="shared" si="15"/>
        <v>4459</v>
      </c>
      <c r="AA32" s="14">
        <f t="shared" si="16"/>
        <v>168</v>
      </c>
      <c r="AB32" s="15">
        <f t="shared" si="17"/>
        <v>4236</v>
      </c>
      <c r="AC32" s="13">
        <f t="shared" si="18"/>
        <v>1.16815</v>
      </c>
      <c r="AD32" s="13">
        <f t="shared" si="19"/>
        <v>5.2360500000000005</v>
      </c>
      <c r="AE32" s="1">
        <f t="shared" si="20"/>
        <v>4.7038106410477676E-2</v>
      </c>
      <c r="AF32" s="6">
        <f t="shared" si="8"/>
        <v>-0.1739499999999996</v>
      </c>
    </row>
    <row r="33" spans="1:34" x14ac:dyDescent="0.25">
      <c r="A33" s="3">
        <v>26</v>
      </c>
      <c r="B33" s="127" t="s">
        <v>8</v>
      </c>
      <c r="C33" s="128" t="s">
        <v>114</v>
      </c>
      <c r="D33" s="128" t="s">
        <v>115</v>
      </c>
      <c r="E33" s="130">
        <v>-800</v>
      </c>
      <c r="F33" s="130">
        <v>600</v>
      </c>
      <c r="G33" s="133">
        <v>45164.75</v>
      </c>
      <c r="I33" s="61" t="str">
        <f t="shared" si="0"/>
        <v>"MMA:Tuivasa:Volkov"</v>
      </c>
      <c r="J33" s="63">
        <f t="shared" si="21"/>
        <v>1693090800</v>
      </c>
      <c r="K33" s="76">
        <f t="shared" si="26"/>
        <v>131</v>
      </c>
      <c r="L33" s="115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66">
        <f t="shared" si="22"/>
        <v>1.125</v>
      </c>
      <c r="R33" s="66">
        <f t="shared" si="23"/>
        <v>7</v>
      </c>
      <c r="S33" s="67">
        <f t="shared" si="27"/>
        <v>0.88888888888888884</v>
      </c>
      <c r="T33" s="68">
        <f t="shared" si="28"/>
        <v>0.14285714285714285</v>
      </c>
      <c r="U33" s="69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9">
        <f t="shared" si="13"/>
        <v>0.88401587301587303</v>
      </c>
      <c r="Y33" s="14">
        <f t="shared" si="14"/>
        <v>131</v>
      </c>
      <c r="Z33" s="2">
        <f t="shared" si="15"/>
        <v>5636</v>
      </c>
      <c r="AA33" s="14">
        <f t="shared" si="16"/>
        <v>124</v>
      </c>
      <c r="AB33" s="15">
        <f t="shared" si="17"/>
        <v>5354</v>
      </c>
      <c r="AC33" s="13">
        <f t="shared" si="18"/>
        <v>1.1244499999999999</v>
      </c>
      <c r="AD33" s="13">
        <f t="shared" si="19"/>
        <v>6.3541999999999996</v>
      </c>
      <c r="AE33" s="1">
        <f t="shared" si="20"/>
        <v>4.6699892949598309E-2</v>
      </c>
      <c r="AF33" s="6">
        <f t="shared" si="8"/>
        <v>-0.64580000000000037</v>
      </c>
    </row>
    <row r="34" spans="1:34" x14ac:dyDescent="0.25">
      <c r="A34" s="3">
        <v>27</v>
      </c>
      <c r="B34" s="134" t="s">
        <v>8</v>
      </c>
      <c r="C34" s="131" t="s">
        <v>116</v>
      </c>
      <c r="D34" s="131" t="s">
        <v>117</v>
      </c>
      <c r="E34" s="130">
        <v>-150</v>
      </c>
      <c r="F34" s="130">
        <v>135</v>
      </c>
      <c r="G34" s="133">
        <v>45164.75</v>
      </c>
      <c r="I34" s="61" t="str">
        <f t="shared" si="0"/>
        <v>"MMA:Kara-France:Kape"</v>
      </c>
      <c r="J34" s="63">
        <f t="shared" si="21"/>
        <v>1693090800</v>
      </c>
      <c r="K34" s="76">
        <f t="shared" si="26"/>
        <v>671</v>
      </c>
      <c r="L34" s="115">
        <f t="shared" si="25"/>
        <v>0</v>
      </c>
      <c r="M34" s="2" t="str">
        <f t="shared" si="2"/>
        <v>Kara-France</v>
      </c>
      <c r="N34" s="2" t="str">
        <f t="shared" si="3"/>
        <v>Kape</v>
      </c>
      <c r="O34" s="2">
        <f t="shared" si="4"/>
        <v>-150</v>
      </c>
      <c r="P34" s="2">
        <f t="shared" si="5"/>
        <v>135</v>
      </c>
      <c r="Q34" s="5">
        <f t="shared" si="22"/>
        <v>1.6666666666666667</v>
      </c>
      <c r="R34" s="5">
        <f t="shared" si="23"/>
        <v>2.35</v>
      </c>
      <c r="S34" s="27">
        <f t="shared" si="27"/>
        <v>0.6</v>
      </c>
      <c r="T34" s="28">
        <f t="shared" si="28"/>
        <v>0.42553191489361702</v>
      </c>
      <c r="U34" s="1">
        <f t="shared" si="24"/>
        <v>2.4896265560165887E-2</v>
      </c>
      <c r="V34" s="1">
        <f t="shared" si="11"/>
        <v>2.5531914893617058E-2</v>
      </c>
      <c r="W34" s="1">
        <f t="shared" si="12"/>
        <v>8.7234042553191476E-2</v>
      </c>
      <c r="X34" s="29">
        <f t="shared" si="13"/>
        <v>0.59823404255319146</v>
      </c>
      <c r="Y34" s="14">
        <f t="shared" si="14"/>
        <v>671</v>
      </c>
      <c r="Z34" s="2">
        <f t="shared" si="15"/>
        <v>1351</v>
      </c>
      <c r="AA34" s="14">
        <f t="shared" si="16"/>
        <v>637</v>
      </c>
      <c r="AB34" s="15">
        <f t="shared" si="17"/>
        <v>1283</v>
      </c>
      <c r="AC34" s="13">
        <f>Y34*0.95/1000+1</f>
        <v>1.6374499999999999</v>
      </c>
      <c r="AD34" s="13">
        <f t="shared" si="19"/>
        <v>2.2834500000000002</v>
      </c>
      <c r="AE34" s="1">
        <f t="shared" si="20"/>
        <v>4.8639498600708819E-2</v>
      </c>
      <c r="AF34" s="6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127"/>
      <c r="C35" s="128"/>
      <c r="D35" s="128"/>
      <c r="E35" s="129"/>
      <c r="F35" s="129"/>
      <c r="G35" s="133"/>
      <c r="I35" s="61" t="str">
        <f t="shared" si="0"/>
        <v>":0:0"</v>
      </c>
      <c r="J35" s="63">
        <f t="shared" si="21"/>
        <v>1690000000</v>
      </c>
      <c r="K35" s="76">
        <f t="shared" si="26"/>
        <v>956</v>
      </c>
      <c r="L35" s="115">
        <f t="shared" si="25"/>
        <v>1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5">
        <f t="shared" si="22"/>
        <v>1</v>
      </c>
      <c r="R35" s="5">
        <f t="shared" si="23"/>
        <v>1</v>
      </c>
      <c r="S35" s="27">
        <f t="shared" si="27"/>
        <v>1</v>
      </c>
      <c r="T35" s="28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9">
        <f t="shared" si="13"/>
        <v>0.51100000000000001</v>
      </c>
      <c r="Y35" s="14">
        <f t="shared" si="14"/>
        <v>956</v>
      </c>
      <c r="Z35" s="2">
        <f t="shared" si="15"/>
        <v>954</v>
      </c>
      <c r="AA35" s="14">
        <f t="shared" si="16"/>
        <v>908</v>
      </c>
      <c r="AB35" s="15">
        <f t="shared" si="17"/>
        <v>906</v>
      </c>
      <c r="AC35" s="13">
        <f t="shared" si="18"/>
        <v>1.9081999999999999</v>
      </c>
      <c r="AD35" s="13">
        <f t="shared" si="19"/>
        <v>1.9062999999999999</v>
      </c>
      <c r="AE35" s="1">
        <f t="shared" si="20"/>
        <v>4.8630486934625017E-2</v>
      </c>
      <c r="AF35" s="6">
        <f t="shared" si="8"/>
        <v>0.90629999999999988</v>
      </c>
    </row>
    <row r="36" spans="1:34" x14ac:dyDescent="0.25">
      <c r="A36" s="3">
        <v>29</v>
      </c>
      <c r="B36" s="127"/>
      <c r="C36" s="128"/>
      <c r="D36" s="128"/>
      <c r="E36" s="129"/>
      <c r="F36" s="129"/>
      <c r="G36" s="133"/>
      <c r="I36" s="61" t="str">
        <f t="shared" si="0"/>
        <v>":0:0"</v>
      </c>
      <c r="J36" s="63">
        <f t="shared" si="21"/>
        <v>1690000000</v>
      </c>
      <c r="K36" s="76">
        <f t="shared" si="26"/>
        <v>956</v>
      </c>
      <c r="L36" s="115">
        <f t="shared" si="25"/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5">
        <f t="shared" si="22"/>
        <v>1</v>
      </c>
      <c r="R36" s="5">
        <f t="shared" si="23"/>
        <v>1</v>
      </c>
      <c r="S36" s="27">
        <f t="shared" ref="S36:S38" si="29">1/Q36</f>
        <v>1</v>
      </c>
      <c r="T36" s="28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9">
        <f t="shared" si="13"/>
        <v>0.51100000000000001</v>
      </c>
      <c r="Y36" s="14">
        <f t="shared" si="14"/>
        <v>956</v>
      </c>
      <c r="Z36" s="2">
        <f t="shared" si="15"/>
        <v>954</v>
      </c>
      <c r="AA36" s="14">
        <f t="shared" si="16"/>
        <v>908</v>
      </c>
      <c r="AB36" s="15">
        <f t="shared" si="17"/>
        <v>906</v>
      </c>
      <c r="AC36" s="13">
        <f t="shared" si="18"/>
        <v>1.9081999999999999</v>
      </c>
      <c r="AD36" s="13">
        <f t="shared" si="19"/>
        <v>1.9062999999999999</v>
      </c>
      <c r="AE36" s="1">
        <f t="shared" si="20"/>
        <v>4.8630486934625017E-2</v>
      </c>
      <c r="AF36" s="6">
        <f t="shared" si="8"/>
        <v>0.90629999999999988</v>
      </c>
    </row>
    <row r="37" spans="1:34" x14ac:dyDescent="0.25">
      <c r="A37" s="3">
        <v>30</v>
      </c>
      <c r="B37" s="127"/>
      <c r="C37" s="128"/>
      <c r="D37" s="128"/>
      <c r="E37" s="129"/>
      <c r="F37" s="129"/>
      <c r="G37" s="133"/>
      <c r="I37" s="61" t="str">
        <f t="shared" si="0"/>
        <v>":0:0"</v>
      </c>
      <c r="J37" s="63">
        <f t="shared" si="21"/>
        <v>1690000000</v>
      </c>
      <c r="K37" s="76">
        <f t="shared" si="26"/>
        <v>956</v>
      </c>
      <c r="L37" s="115">
        <f t="shared" si="25"/>
        <v>1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5">
        <f t="shared" si="22"/>
        <v>1</v>
      </c>
      <c r="R37" s="5">
        <f t="shared" si="23"/>
        <v>1</v>
      </c>
      <c r="S37" s="27">
        <f t="shared" si="29"/>
        <v>1</v>
      </c>
      <c r="T37" s="28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9">
        <f t="shared" si="13"/>
        <v>0.51100000000000001</v>
      </c>
      <c r="Y37" s="14">
        <f t="shared" si="14"/>
        <v>956</v>
      </c>
      <c r="Z37" s="2">
        <f t="shared" si="15"/>
        <v>954</v>
      </c>
      <c r="AA37" s="14">
        <f t="shared" si="16"/>
        <v>908</v>
      </c>
      <c r="AB37" s="15">
        <f t="shared" si="17"/>
        <v>906</v>
      </c>
      <c r="AC37" s="13">
        <f t="shared" si="18"/>
        <v>1.9081999999999999</v>
      </c>
      <c r="AD37" s="13">
        <f t="shared" si="19"/>
        <v>1.9062999999999999</v>
      </c>
      <c r="AE37" s="1">
        <f t="shared" si="20"/>
        <v>4.8630486934625017E-2</v>
      </c>
      <c r="AF37" s="6">
        <f t="shared" si="8"/>
        <v>0.90629999999999988</v>
      </c>
    </row>
    <row r="38" spans="1:34" ht="15.75" thickBot="1" x14ac:dyDescent="0.3">
      <c r="A38" s="3">
        <v>31</v>
      </c>
      <c r="B38" s="135"/>
      <c r="C38" s="136"/>
      <c r="D38" s="136"/>
      <c r="E38" s="137"/>
      <c r="F38" s="137"/>
      <c r="G38" s="138"/>
      <c r="I38" s="62" t="str">
        <f t="shared" si="0"/>
        <v>":0:0"</v>
      </c>
      <c r="J38" s="64">
        <f t="shared" si="21"/>
        <v>1690000000</v>
      </c>
      <c r="K38" s="77">
        <f t="shared" si="26"/>
        <v>956</v>
      </c>
      <c r="L38" s="116">
        <f t="shared" si="25"/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5">
        <f t="shared" si="22"/>
        <v>1</v>
      </c>
      <c r="R38" s="5">
        <f t="shared" si="23"/>
        <v>1</v>
      </c>
      <c r="S38" s="32">
        <f t="shared" si="29"/>
        <v>1</v>
      </c>
      <c r="T38" s="33">
        <f t="shared" si="30"/>
        <v>1</v>
      </c>
      <c r="U38" s="1">
        <f t="shared" si="31"/>
        <v>0.5</v>
      </c>
      <c r="V38" s="1"/>
      <c r="W38" s="1">
        <f t="shared" si="12"/>
        <v>0</v>
      </c>
      <c r="X38" s="29">
        <f t="shared" si="13"/>
        <v>0.51100000000000001</v>
      </c>
      <c r="Y38" s="14">
        <f t="shared" si="14"/>
        <v>956</v>
      </c>
      <c r="Z38" s="2">
        <f t="shared" si="15"/>
        <v>954</v>
      </c>
      <c r="AA38" s="79">
        <f t="shared" si="16"/>
        <v>908</v>
      </c>
      <c r="AB38" s="34">
        <f t="shared" si="17"/>
        <v>906</v>
      </c>
      <c r="AC38" s="13">
        <f t="shared" si="18"/>
        <v>1.9081999999999999</v>
      </c>
      <c r="AD38" s="13">
        <f t="shared" si="19"/>
        <v>1.9062999999999999</v>
      </c>
      <c r="AE38" s="1">
        <f t="shared" si="20"/>
        <v>4.8630486934625017E-2</v>
      </c>
      <c r="AF38" s="6">
        <f t="shared" si="8"/>
        <v>0.90629999999999988</v>
      </c>
    </row>
    <row r="39" spans="1:34" x14ac:dyDescent="0.25">
      <c r="D39" s="89"/>
      <c r="E39" s="89"/>
      <c r="F39" s="89"/>
      <c r="G39" s="89"/>
    </row>
    <row r="40" spans="1:34" x14ac:dyDescent="0.25">
      <c r="D40" s="89"/>
      <c r="E40" s="89"/>
      <c r="F40" s="89"/>
      <c r="G40" s="89"/>
      <c r="AC40" s="13">
        <f>1-AC34*AD34/(AD34+AC34)</f>
        <v>4.6383431737611169E-2</v>
      </c>
    </row>
    <row r="41" spans="1:34" ht="15.75" thickBot="1" x14ac:dyDescent="0.3">
      <c r="D41" s="89"/>
      <c r="E41" s="89"/>
      <c r="F41" s="89"/>
      <c r="G41" s="89"/>
    </row>
    <row r="42" spans="1:34" x14ac:dyDescent="0.25">
      <c r="B42" s="124" t="s">
        <v>7</v>
      </c>
      <c r="C42" s="125" t="s">
        <v>206</v>
      </c>
      <c r="D42" s="125" t="s">
        <v>207</v>
      </c>
      <c r="E42" s="89"/>
      <c r="F42" s="89"/>
      <c r="G42" s="89"/>
    </row>
    <row r="43" spans="1:34" x14ac:dyDescent="0.25">
      <c r="B43" s="127" t="s">
        <v>7</v>
      </c>
      <c r="C43" s="128" t="s">
        <v>43</v>
      </c>
      <c r="D43" s="128" t="s">
        <v>44</v>
      </c>
      <c r="E43" s="89"/>
      <c r="F43" s="89"/>
      <c r="G43" s="89"/>
    </row>
    <row r="44" spans="1:34" x14ac:dyDescent="0.25">
      <c r="B44" s="127" t="s">
        <v>7</v>
      </c>
      <c r="C44" s="128" t="s">
        <v>45</v>
      </c>
      <c r="D44" s="128" t="s">
        <v>46</v>
      </c>
      <c r="E44" s="89"/>
      <c r="F44" s="89"/>
      <c r="G44" s="89"/>
    </row>
    <row r="45" spans="1:34" x14ac:dyDescent="0.25">
      <c r="B45" s="127" t="s">
        <v>7</v>
      </c>
      <c r="C45" s="128" t="s">
        <v>47</v>
      </c>
      <c r="D45" s="128" t="s">
        <v>48</v>
      </c>
      <c r="E45" s="89"/>
      <c r="F45" s="89"/>
      <c r="G45" s="89"/>
    </row>
    <row r="46" spans="1:34" x14ac:dyDescent="0.25">
      <c r="B46" s="127" t="s">
        <v>7</v>
      </c>
      <c r="C46" s="128" t="s">
        <v>49</v>
      </c>
      <c r="D46" s="128" t="s">
        <v>50</v>
      </c>
      <c r="E46" s="89"/>
      <c r="F46" s="89"/>
      <c r="G46" s="89"/>
    </row>
    <row r="47" spans="1:34" x14ac:dyDescent="0.25">
      <c r="B47" s="127" t="s">
        <v>7</v>
      </c>
      <c r="C47" s="128" t="s">
        <v>41</v>
      </c>
      <c r="D47" s="128" t="s">
        <v>42</v>
      </c>
      <c r="E47" s="89"/>
      <c r="F47" s="89"/>
      <c r="G47" s="89"/>
    </row>
    <row r="48" spans="1:34" x14ac:dyDescent="0.25">
      <c r="D48" s="89"/>
      <c r="E48" s="89"/>
      <c r="F48" s="89"/>
      <c r="G48" s="89"/>
    </row>
    <row r="49" spans="4:7" x14ac:dyDescent="0.25">
      <c r="D49" s="89"/>
      <c r="E49" s="89"/>
      <c r="F49" s="89"/>
      <c r="G49" s="89"/>
    </row>
    <row r="50" spans="4:7" x14ac:dyDescent="0.25">
      <c r="D50" s="89"/>
      <c r="E50" s="89"/>
      <c r="F50" s="89"/>
      <c r="G50" s="89"/>
    </row>
    <row r="55" spans="4:7" x14ac:dyDescent="0.25">
      <c r="D55" s="85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8620-0945-449A-8451-223EC56B0F9B}">
  <sheetPr codeName="Sheet5"/>
  <dimension ref="C3:M25"/>
  <sheetViews>
    <sheetView zoomScale="75" zoomScaleNormal="75" workbookViewId="0">
      <selection activeCell="F5" sqref="F5"/>
    </sheetView>
  </sheetViews>
  <sheetFormatPr defaultRowHeight="15" x14ac:dyDescent="0.25"/>
  <cols>
    <col min="3" max="3" width="25.5703125" customWidth="1"/>
    <col min="6" max="6" width="55.28515625" customWidth="1"/>
    <col min="7" max="7" width="24.7109375" customWidth="1"/>
    <col min="10" max="10" width="15.5703125" customWidth="1"/>
    <col min="11" max="11" width="17.85546875" customWidth="1"/>
  </cols>
  <sheetData>
    <row r="3" spans="3:13" x14ac:dyDescent="0.25">
      <c r="D3" s="7" t="s">
        <v>2</v>
      </c>
      <c r="E3" s="7" t="s">
        <v>1</v>
      </c>
      <c r="J3" s="7" t="s">
        <v>2</v>
      </c>
      <c r="K3" s="7" t="s">
        <v>1</v>
      </c>
    </row>
    <row r="4" spans="3:13" x14ac:dyDescent="0.25">
      <c r="D4" s="7" t="s">
        <v>43</v>
      </c>
      <c r="E4" s="7" t="s">
        <v>48</v>
      </c>
      <c r="J4" s="7" t="s">
        <v>43</v>
      </c>
      <c r="K4" s="7" t="s">
        <v>48</v>
      </c>
    </row>
    <row r="5" spans="3:13" x14ac:dyDescent="0.25">
      <c r="C5" s="85" t="s">
        <v>195</v>
      </c>
      <c r="D5" s="84">
        <v>125</v>
      </c>
      <c r="E5" s="84">
        <v>-150</v>
      </c>
      <c r="F5" s="3"/>
      <c r="I5" s="85" t="s">
        <v>195</v>
      </c>
      <c r="J5" s="112">
        <v>-110</v>
      </c>
      <c r="K5" s="84">
        <v>-110</v>
      </c>
      <c r="L5" s="3"/>
    </row>
    <row r="8" spans="3:13" x14ac:dyDescent="0.25">
      <c r="D8" t="s">
        <v>210</v>
      </c>
      <c r="E8" t="s">
        <v>211</v>
      </c>
      <c r="J8" t="s">
        <v>210</v>
      </c>
      <c r="K8" t="s">
        <v>211</v>
      </c>
    </row>
    <row r="9" spans="3:13" x14ac:dyDescent="0.25">
      <c r="D9" s="7" t="s">
        <v>48</v>
      </c>
      <c r="E9" s="7" t="s">
        <v>43</v>
      </c>
      <c r="J9" s="7" t="s">
        <v>48</v>
      </c>
      <c r="K9" s="7" t="s">
        <v>43</v>
      </c>
    </row>
    <row r="10" spans="3:13" x14ac:dyDescent="0.25">
      <c r="C10" s="85" t="s">
        <v>202</v>
      </c>
      <c r="D10" s="84">
        <f>E5</f>
        <v>-150</v>
      </c>
      <c r="E10" s="84">
        <f>D5</f>
        <v>125</v>
      </c>
      <c r="F10" t="s">
        <v>196</v>
      </c>
      <c r="I10" s="85" t="s">
        <v>202</v>
      </c>
      <c r="J10" s="84">
        <v>-200</v>
      </c>
      <c r="K10" s="2">
        <f>IF(K11&lt;2,-100/(K11-1),(K11-1)*100)</f>
        <v>175.2293577981651</v>
      </c>
      <c r="L10" t="s">
        <v>196</v>
      </c>
    </row>
    <row r="11" spans="3:13" x14ac:dyDescent="0.25">
      <c r="C11" s="85" t="s">
        <v>187</v>
      </c>
      <c r="D11" s="5">
        <f>IF(D10&lt;0,-(100-D10)/D10,D10/100+1)</f>
        <v>1.6666666666666667</v>
      </c>
      <c r="E11" s="5">
        <f>IF(E10&lt;0,-(100-E10)/E10,E10/100+1)</f>
        <v>2.25</v>
      </c>
      <c r="F11" s="110" t="s">
        <v>205</v>
      </c>
      <c r="I11" s="85" t="s">
        <v>187</v>
      </c>
      <c r="J11" s="5">
        <f>IF(J10&lt;0,-(100-J10)/J10,J10/100+1)</f>
        <v>1.5</v>
      </c>
      <c r="K11" s="5">
        <f>1/K12</f>
        <v>2.7522935779816509</v>
      </c>
      <c r="L11" s="110" t="s">
        <v>205</v>
      </c>
    </row>
    <row r="12" spans="3:13" x14ac:dyDescent="0.25">
      <c r="C12" s="85" t="s">
        <v>188</v>
      </c>
      <c r="D12" s="4">
        <f>1/D11</f>
        <v>0.6</v>
      </c>
      <c r="E12" s="4">
        <f>1/E11</f>
        <v>0.44444444444444442</v>
      </c>
      <c r="F12" s="4">
        <f>D12+E12</f>
        <v>1.0444444444444443</v>
      </c>
      <c r="I12" s="85" t="s">
        <v>188</v>
      </c>
      <c r="J12" s="4">
        <f>1/J11</f>
        <v>0.66666666666666663</v>
      </c>
      <c r="K12" s="4">
        <f>M12-J12</f>
        <v>0.3633333333333334</v>
      </c>
      <c r="L12" s="4">
        <f>J12+K12</f>
        <v>1.03</v>
      </c>
      <c r="M12">
        <v>1.03</v>
      </c>
    </row>
    <row r="13" spans="3:13" x14ac:dyDescent="0.25">
      <c r="C13" s="85" t="s">
        <v>189</v>
      </c>
      <c r="E13" s="4">
        <f>D12-E12</f>
        <v>0.15555555555555556</v>
      </c>
      <c r="I13" s="85" t="s">
        <v>189</v>
      </c>
      <c r="K13" s="4">
        <f>J12-K12</f>
        <v>0.30333333333333323</v>
      </c>
    </row>
    <row r="14" spans="3:13" x14ac:dyDescent="0.25">
      <c r="C14" s="86" t="s">
        <v>190</v>
      </c>
      <c r="D14" s="4">
        <f>0.511+E13/2</f>
        <v>0.58877777777777784</v>
      </c>
      <c r="E14" s="4"/>
      <c r="F14" s="111" t="s">
        <v>197</v>
      </c>
      <c r="I14" s="86" t="s">
        <v>190</v>
      </c>
      <c r="J14" s="4">
        <f>0.511+K13/2</f>
        <v>0.66266666666666663</v>
      </c>
      <c r="K14" s="4"/>
      <c r="L14" s="111" t="s">
        <v>197</v>
      </c>
    </row>
    <row r="15" spans="3:13" x14ac:dyDescent="0.25">
      <c r="C15" s="88" t="s">
        <v>191</v>
      </c>
      <c r="D15" s="5">
        <f>1/D14</f>
        <v>1.6984336667295714</v>
      </c>
      <c r="F15" s="111" t="s">
        <v>198</v>
      </c>
      <c r="I15" s="88" t="s">
        <v>191</v>
      </c>
      <c r="J15" s="5">
        <f>1/J14</f>
        <v>1.5090543259557345</v>
      </c>
      <c r="L15" s="111" t="s">
        <v>198</v>
      </c>
    </row>
    <row r="16" spans="3:13" x14ac:dyDescent="0.25">
      <c r="C16" s="87" t="s">
        <v>192</v>
      </c>
      <c r="D16" s="83">
        <f>INT(1000*(D15-1))</f>
        <v>698</v>
      </c>
      <c r="F16" s="111" t="s">
        <v>199</v>
      </c>
      <c r="I16" s="87" t="s">
        <v>192</v>
      </c>
      <c r="J16" s="83">
        <f>INT(1000*(J15-1))</f>
        <v>509</v>
      </c>
      <c r="L16" s="111" t="s">
        <v>199</v>
      </c>
    </row>
    <row r="17" spans="3:12" x14ac:dyDescent="0.25">
      <c r="C17" s="85" t="s">
        <v>203</v>
      </c>
      <c r="E17" s="2">
        <f>INT(1000000/(D16+45))-45</f>
        <v>1300</v>
      </c>
      <c r="F17" s="111" t="s">
        <v>200</v>
      </c>
      <c r="I17" s="85" t="s">
        <v>203</v>
      </c>
      <c r="K17" s="2">
        <f>INT(1000000/(J16+45))-45</f>
        <v>1760</v>
      </c>
      <c r="L17" s="111" t="s">
        <v>200</v>
      </c>
    </row>
    <row r="18" spans="3:12" x14ac:dyDescent="0.25">
      <c r="C18" s="87" t="s">
        <v>193</v>
      </c>
      <c r="D18" s="5">
        <f>1+0.95*D16/1000</f>
        <v>1.6631</v>
      </c>
      <c r="E18" s="5">
        <f>1+0.95*E17/1000</f>
        <v>2.2350000000000003</v>
      </c>
      <c r="F18" s="111" t="s">
        <v>201</v>
      </c>
      <c r="I18" s="87" t="s">
        <v>193</v>
      </c>
      <c r="J18" s="5">
        <f>1+0.95*J16/1000</f>
        <v>1.4835499999999999</v>
      </c>
      <c r="K18" s="5">
        <f>1+0.95*K17/1000</f>
        <v>2.6719999999999997</v>
      </c>
      <c r="L18" s="111" t="s">
        <v>201</v>
      </c>
    </row>
    <row r="19" spans="3:12" x14ac:dyDescent="0.25">
      <c r="C19" s="85" t="s">
        <v>194</v>
      </c>
      <c r="D19" s="2">
        <f>IF(D18&lt;2,-100/(D18-1),(D18-1)*100)</f>
        <v>-150.80681646810436</v>
      </c>
      <c r="E19" s="2">
        <f>IF(E18&lt;2,-100/(E18-1),(E18-1)*100)</f>
        <v>123.50000000000003</v>
      </c>
      <c r="F19" s="112" t="s">
        <v>204</v>
      </c>
      <c r="I19" s="85" t="s">
        <v>194</v>
      </c>
      <c r="J19" s="2">
        <f>IF(J18&lt;2,-100/(J18-1),(J18-1)*100)</f>
        <v>-206.80384655154589</v>
      </c>
      <c r="K19" s="2">
        <f>IF(K18&lt;2,-100/(K18-1),(K18-1)*100)</f>
        <v>167.19999999999996</v>
      </c>
      <c r="L19" s="112" t="s">
        <v>204</v>
      </c>
    </row>
    <row r="20" spans="3:12" x14ac:dyDescent="0.25">
      <c r="C20" t="s">
        <v>214</v>
      </c>
      <c r="D20" s="4">
        <f>1/D18</f>
        <v>0.60128675365281703</v>
      </c>
      <c r="E20" s="4">
        <f>1/E18</f>
        <v>0.44742729306487689</v>
      </c>
      <c r="F20" s="4">
        <f>D20+E20</f>
        <v>1.0487140467176939</v>
      </c>
      <c r="I20" t="s">
        <v>214</v>
      </c>
      <c r="J20" s="4">
        <f>1/J18</f>
        <v>0.67405884533719795</v>
      </c>
      <c r="K20" s="4">
        <f>1/K18</f>
        <v>0.37425149700598809</v>
      </c>
      <c r="L20" s="4">
        <f>J20+K20</f>
        <v>1.0483103423431861</v>
      </c>
    </row>
    <row r="22" spans="3:12" x14ac:dyDescent="0.25">
      <c r="J22" s="1">
        <f>J20-J12</f>
        <v>7.3921786705313242E-3</v>
      </c>
      <c r="K22" s="1">
        <f>K20-K12</f>
        <v>1.091816367265469E-2</v>
      </c>
    </row>
    <row r="24" spans="3:12" x14ac:dyDescent="0.25">
      <c r="J24" s="6">
        <f>J12/K12</f>
        <v>1.8348623853211006</v>
      </c>
    </row>
    <row r="25" spans="3:12" x14ac:dyDescent="0.25">
      <c r="J25" s="6">
        <f>J20/K20</f>
        <v>1.8010852347409927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AF0C-1AD2-4DDB-B227-2DA5C31915FD}">
  <sheetPr codeName="Sheet7"/>
  <dimension ref="C3:X44"/>
  <sheetViews>
    <sheetView topLeftCell="D22" zoomScaleNormal="100" workbookViewId="0">
      <selection activeCell="I37" sqref="I37"/>
    </sheetView>
  </sheetViews>
  <sheetFormatPr defaultRowHeight="15" x14ac:dyDescent="0.25"/>
  <cols>
    <col min="5" max="5" width="25.28515625" customWidth="1"/>
    <col min="6" max="6" width="16.5703125" customWidth="1"/>
    <col min="7" max="11" width="7.42578125" customWidth="1"/>
    <col min="13" max="13" width="26.7109375" customWidth="1"/>
    <col min="14" max="14" width="17.85546875" customWidth="1"/>
    <col min="15" max="15" width="8.5703125" customWidth="1"/>
    <col min="23" max="23" width="24" customWidth="1"/>
  </cols>
  <sheetData>
    <row r="3" spans="3:23" x14ac:dyDescent="0.25">
      <c r="C3">
        <v>30</v>
      </c>
      <c r="D3">
        <v>12</v>
      </c>
    </row>
    <row r="4" spans="3:23" x14ac:dyDescent="0.25">
      <c r="C4" s="80"/>
      <c r="D4" s="7" t="s">
        <v>118</v>
      </c>
      <c r="E4" s="7" t="s">
        <v>119</v>
      </c>
      <c r="F4" s="7" t="s">
        <v>120</v>
      </c>
      <c r="G4" s="55" t="s">
        <v>120</v>
      </c>
      <c r="H4" s="55"/>
      <c r="I4" s="55"/>
      <c r="J4" s="55"/>
      <c r="K4" s="55"/>
      <c r="L4" s="2"/>
    </row>
    <row r="5" spans="3:23" x14ac:dyDescent="0.25">
      <c r="D5" t="s">
        <v>121</v>
      </c>
      <c r="E5" t="s">
        <v>122</v>
      </c>
      <c r="F5" s="2">
        <f>INT(G5/1000)*1000</f>
        <v>410000</v>
      </c>
      <c r="G5" s="2">
        <v>410528</v>
      </c>
      <c r="H5" s="2"/>
      <c r="I5" s="2"/>
      <c r="J5" s="2"/>
      <c r="K5" s="2"/>
      <c r="L5" s="6">
        <f t="shared" ref="L5:L20" si="0">C$2*G5*D$2/1000000000</f>
        <v>0</v>
      </c>
    </row>
    <row r="6" spans="3:23" x14ac:dyDescent="0.25">
      <c r="D6" t="s">
        <v>121</v>
      </c>
      <c r="E6" t="s">
        <v>123</v>
      </c>
      <c r="F6" s="2">
        <f t="shared" ref="F6:F20" si="1">INT(G6/1000)*1000</f>
        <v>129000</v>
      </c>
      <c r="G6" s="2">
        <v>129535</v>
      </c>
      <c r="H6" s="2"/>
      <c r="I6" s="2"/>
      <c r="J6" s="2"/>
      <c r="K6" s="2"/>
      <c r="L6" s="6">
        <f t="shared" si="0"/>
        <v>0</v>
      </c>
      <c r="N6" s="3" t="s">
        <v>124</v>
      </c>
      <c r="P6" s="3" t="s">
        <v>125</v>
      </c>
    </row>
    <row r="7" spans="3:23" x14ac:dyDescent="0.25">
      <c r="D7" t="s">
        <v>121</v>
      </c>
      <c r="E7" t="s">
        <v>126</v>
      </c>
      <c r="F7" s="2">
        <f t="shared" si="1"/>
        <v>112000</v>
      </c>
      <c r="G7" s="2">
        <v>112165</v>
      </c>
      <c r="H7" s="2"/>
      <c r="I7" s="2"/>
      <c r="J7" s="2"/>
      <c r="K7" s="2"/>
      <c r="L7" s="6">
        <f t="shared" si="0"/>
        <v>0</v>
      </c>
      <c r="M7">
        <v>0</v>
      </c>
      <c r="N7" t="s">
        <v>127</v>
      </c>
      <c r="P7">
        <v>0</v>
      </c>
      <c r="Q7" t="s">
        <v>128</v>
      </c>
    </row>
    <row r="8" spans="3:23" x14ac:dyDescent="0.25">
      <c r="D8" t="s">
        <v>121</v>
      </c>
      <c r="E8" t="s">
        <v>129</v>
      </c>
      <c r="F8" s="2">
        <f t="shared" si="1"/>
        <v>72000</v>
      </c>
      <c r="G8" s="2">
        <v>72115</v>
      </c>
      <c r="H8" s="2"/>
      <c r="I8" s="2"/>
      <c r="J8" s="2"/>
      <c r="K8" s="2"/>
      <c r="L8" s="6">
        <f t="shared" si="0"/>
        <v>0</v>
      </c>
      <c r="M8">
        <v>1</v>
      </c>
      <c r="N8" t="s">
        <v>130</v>
      </c>
      <c r="P8">
        <v>2</v>
      </c>
      <c r="Q8" t="s">
        <v>131</v>
      </c>
      <c r="W8">
        <f>2^8</f>
        <v>256</v>
      </c>
    </row>
    <row r="9" spans="3:23" x14ac:dyDescent="0.25">
      <c r="D9" t="s">
        <v>121</v>
      </c>
      <c r="E9" t="s">
        <v>132</v>
      </c>
      <c r="F9" s="2">
        <f t="shared" si="1"/>
        <v>99000</v>
      </c>
      <c r="G9" s="2">
        <v>99820</v>
      </c>
      <c r="H9" s="2"/>
      <c r="I9" s="2"/>
      <c r="J9" s="2"/>
      <c r="K9" s="2"/>
      <c r="L9" s="6">
        <f t="shared" si="0"/>
        <v>0</v>
      </c>
      <c r="M9">
        <v>2</v>
      </c>
      <c r="N9" t="s">
        <v>133</v>
      </c>
      <c r="P9">
        <v>10</v>
      </c>
      <c r="Q9" t="s">
        <v>134</v>
      </c>
    </row>
    <row r="10" spans="3:23" x14ac:dyDescent="0.25">
      <c r="D10" t="s">
        <v>121</v>
      </c>
      <c r="E10" t="s">
        <v>135</v>
      </c>
      <c r="F10" s="2">
        <f t="shared" si="1"/>
        <v>241000</v>
      </c>
      <c r="G10" s="2">
        <v>241935</v>
      </c>
      <c r="H10" s="2"/>
      <c r="I10" s="2"/>
      <c r="J10" s="2"/>
      <c r="K10" s="2"/>
      <c r="L10" s="6">
        <f t="shared" si="0"/>
        <v>0</v>
      </c>
      <c r="M10">
        <v>3</v>
      </c>
      <c r="N10" t="s">
        <v>136</v>
      </c>
      <c r="P10">
        <v>20</v>
      </c>
      <c r="Q10" t="s">
        <v>137</v>
      </c>
    </row>
    <row r="11" spans="3:23" x14ac:dyDescent="0.25">
      <c r="D11" t="s">
        <v>121</v>
      </c>
      <c r="E11" t="s">
        <v>138</v>
      </c>
      <c r="F11" s="2">
        <f t="shared" si="1"/>
        <v>37000</v>
      </c>
      <c r="G11" s="2">
        <v>37533</v>
      </c>
      <c r="H11" s="2"/>
      <c r="I11" s="2"/>
      <c r="J11" s="2"/>
      <c r="K11" s="2"/>
      <c r="L11" s="6">
        <f t="shared" si="0"/>
        <v>0</v>
      </c>
      <c r="P11">
        <v>30</v>
      </c>
      <c r="Q11" t="s">
        <v>139</v>
      </c>
      <c r="W11">
        <v>5.0000000000000001E-3</v>
      </c>
    </row>
    <row r="12" spans="3:23" x14ac:dyDescent="0.25">
      <c r="D12" t="s">
        <v>121</v>
      </c>
      <c r="E12" t="s">
        <v>140</v>
      </c>
      <c r="F12" s="2">
        <f t="shared" si="1"/>
        <v>52000</v>
      </c>
      <c r="G12" s="2">
        <v>52578</v>
      </c>
      <c r="H12" s="2"/>
      <c r="I12" s="2"/>
      <c r="J12" s="2"/>
      <c r="K12" s="2"/>
      <c r="L12" s="6">
        <f t="shared" si="0"/>
        <v>0</v>
      </c>
      <c r="N12" s="3" t="s">
        <v>141</v>
      </c>
      <c r="W12">
        <f>24*365</f>
        <v>8760</v>
      </c>
    </row>
    <row r="13" spans="3:23" x14ac:dyDescent="0.25">
      <c r="D13" t="s">
        <v>121</v>
      </c>
      <c r="E13" t="s">
        <v>142</v>
      </c>
      <c r="F13" s="2">
        <f t="shared" si="1"/>
        <v>84000</v>
      </c>
      <c r="G13" s="2">
        <v>84469</v>
      </c>
      <c r="H13" s="2"/>
      <c r="I13" s="2"/>
      <c r="J13" s="2"/>
      <c r="K13" s="2"/>
      <c r="L13" s="6">
        <f t="shared" si="0"/>
        <v>0</v>
      </c>
      <c r="M13">
        <v>0</v>
      </c>
      <c r="N13" t="s">
        <v>143</v>
      </c>
      <c r="P13" s="3" t="s">
        <v>144</v>
      </c>
    </row>
    <row r="14" spans="3:23" x14ac:dyDescent="0.25">
      <c r="D14" t="s">
        <v>145</v>
      </c>
      <c r="E14" t="s">
        <v>145</v>
      </c>
      <c r="F14" s="2">
        <f t="shared" si="1"/>
        <v>142000</v>
      </c>
      <c r="G14" s="2">
        <v>142937</v>
      </c>
      <c r="H14" s="2"/>
      <c r="I14" s="2"/>
      <c r="J14" s="2"/>
      <c r="K14" s="2"/>
      <c r="L14" s="6">
        <f t="shared" si="0"/>
        <v>0</v>
      </c>
      <c r="M14">
        <v>1</v>
      </c>
      <c r="N14" t="s">
        <v>146</v>
      </c>
      <c r="P14">
        <v>0</v>
      </c>
      <c r="Q14" t="s">
        <v>147</v>
      </c>
      <c r="W14" s="82">
        <f>(1+W11)^W12</f>
        <v>9.4341111137975214E+18</v>
      </c>
    </row>
    <row r="15" spans="3:23" x14ac:dyDescent="0.25">
      <c r="D15" t="s">
        <v>145</v>
      </c>
      <c r="E15" t="s">
        <v>148</v>
      </c>
      <c r="F15" s="2">
        <f t="shared" si="1"/>
        <v>54000</v>
      </c>
      <c r="G15" s="2">
        <v>54888</v>
      </c>
      <c r="H15" s="2"/>
      <c r="I15" s="2"/>
      <c r="J15" s="2"/>
      <c r="K15" s="2"/>
      <c r="L15" s="6">
        <f t="shared" si="0"/>
        <v>0</v>
      </c>
      <c r="M15">
        <v>2</v>
      </c>
      <c r="N15" t="s">
        <v>149</v>
      </c>
      <c r="P15">
        <v>1</v>
      </c>
      <c r="Q15" t="s">
        <v>150</v>
      </c>
      <c r="W15">
        <f>1000000</f>
        <v>1000000</v>
      </c>
    </row>
    <row r="16" spans="3:23" x14ac:dyDescent="0.25">
      <c r="D16" t="s">
        <v>145</v>
      </c>
      <c r="E16" t="s">
        <v>151</v>
      </c>
      <c r="F16" s="2">
        <f t="shared" si="1"/>
        <v>48000</v>
      </c>
      <c r="G16" s="2">
        <v>48120</v>
      </c>
      <c r="H16" s="2"/>
      <c r="I16" s="2"/>
      <c r="J16" s="2"/>
      <c r="K16" s="2"/>
      <c r="L16" s="6">
        <f t="shared" si="0"/>
        <v>0</v>
      </c>
      <c r="M16">
        <v>3</v>
      </c>
      <c r="N16" t="s">
        <v>152</v>
      </c>
      <c r="W16" s="80">
        <f>W15*1000</f>
        <v>1000000000</v>
      </c>
    </row>
    <row r="17" spans="4:24" x14ac:dyDescent="0.25">
      <c r="D17" t="s">
        <v>145</v>
      </c>
      <c r="E17" t="s">
        <v>153</v>
      </c>
      <c r="F17" s="2">
        <f t="shared" si="1"/>
        <v>44000</v>
      </c>
      <c r="G17" s="2">
        <v>44945</v>
      </c>
      <c r="H17" s="2"/>
      <c r="I17" s="2"/>
      <c r="J17" s="2"/>
      <c r="K17" s="2"/>
      <c r="L17" s="6">
        <f t="shared" si="0"/>
        <v>0</v>
      </c>
      <c r="P17" s="3" t="s">
        <v>154</v>
      </c>
      <c r="W17" s="80">
        <f t="shared" ref="W17:W19" si="2">W16*1000</f>
        <v>1000000000000</v>
      </c>
      <c r="X17" t="s">
        <v>172</v>
      </c>
    </row>
    <row r="18" spans="4:24" x14ac:dyDescent="0.25">
      <c r="D18" t="s">
        <v>145</v>
      </c>
      <c r="E18" t="s">
        <v>155</v>
      </c>
      <c r="F18" s="2">
        <f t="shared" si="1"/>
        <v>33000</v>
      </c>
      <c r="G18" s="2">
        <v>33637</v>
      </c>
      <c r="H18" s="2"/>
      <c r="I18" s="2"/>
      <c r="J18" s="2"/>
      <c r="K18" s="2"/>
      <c r="L18" s="6">
        <f t="shared" si="0"/>
        <v>0</v>
      </c>
      <c r="N18" s="3" t="s">
        <v>156</v>
      </c>
      <c r="P18">
        <v>0</v>
      </c>
      <c r="Q18" t="s">
        <v>157</v>
      </c>
      <c r="W18" s="80">
        <f t="shared" si="2"/>
        <v>1000000000000000</v>
      </c>
    </row>
    <row r="19" spans="4:24" x14ac:dyDescent="0.25">
      <c r="D19" t="s">
        <v>145</v>
      </c>
      <c r="E19" t="s">
        <v>158</v>
      </c>
      <c r="F19" s="2">
        <f t="shared" si="1"/>
        <v>62000</v>
      </c>
      <c r="G19" s="2">
        <v>62228</v>
      </c>
      <c r="H19" s="2"/>
      <c r="I19" s="2"/>
      <c r="J19" s="2"/>
      <c r="K19" s="2"/>
      <c r="L19" s="6">
        <f t="shared" si="0"/>
        <v>0</v>
      </c>
      <c r="M19">
        <v>0</v>
      </c>
      <c r="N19" t="s">
        <v>159</v>
      </c>
      <c r="O19">
        <v>32</v>
      </c>
      <c r="P19">
        <v>1</v>
      </c>
      <c r="Q19" t="s">
        <v>160</v>
      </c>
      <c r="W19" s="80">
        <f t="shared" si="2"/>
        <v>1E+18</v>
      </c>
    </row>
    <row r="20" spans="4:24" x14ac:dyDescent="0.25">
      <c r="D20" t="s">
        <v>145</v>
      </c>
      <c r="E20" t="s">
        <v>161</v>
      </c>
      <c r="F20" s="2">
        <f t="shared" si="1"/>
        <v>55000</v>
      </c>
      <c r="G20" s="2">
        <v>55895</v>
      </c>
      <c r="H20" s="2"/>
      <c r="I20" s="2"/>
      <c r="J20" s="2"/>
      <c r="K20" s="2"/>
      <c r="L20" s="6">
        <f t="shared" si="0"/>
        <v>0</v>
      </c>
      <c r="M20">
        <v>1</v>
      </c>
      <c r="N20" t="s">
        <v>162</v>
      </c>
      <c r="O20">
        <v>32</v>
      </c>
      <c r="P20">
        <v>2</v>
      </c>
      <c r="Q20" t="s">
        <v>163</v>
      </c>
    </row>
    <row r="21" spans="4:24" x14ac:dyDescent="0.25">
      <c r="M21">
        <v>2</v>
      </c>
      <c r="N21" t="s">
        <v>87</v>
      </c>
      <c r="O21">
        <v>32</v>
      </c>
    </row>
    <row r="22" spans="4:24" x14ac:dyDescent="0.25">
      <c r="M22">
        <v>3</v>
      </c>
      <c r="N22" t="s">
        <v>88</v>
      </c>
      <c r="O22">
        <v>32</v>
      </c>
    </row>
    <row r="27" spans="4:24" x14ac:dyDescent="0.25">
      <c r="E27" t="s">
        <v>164</v>
      </c>
      <c r="F27" s="57" t="s">
        <v>168</v>
      </c>
    </row>
    <row r="28" spans="4:24" x14ac:dyDescent="0.25">
      <c r="E28" t="s">
        <v>165</v>
      </c>
      <c r="F28" s="57" t="s">
        <v>167</v>
      </c>
    </row>
    <row r="29" spans="4:24" x14ac:dyDescent="0.25">
      <c r="E29" t="s">
        <v>166</v>
      </c>
      <c r="F29" s="57" t="s">
        <v>169</v>
      </c>
    </row>
    <row r="31" spans="4:24" x14ac:dyDescent="0.25">
      <c r="F31" s="57" t="s">
        <v>167</v>
      </c>
    </row>
    <row r="33" spans="5:15" x14ac:dyDescent="0.25">
      <c r="E33" t="s">
        <v>212</v>
      </c>
    </row>
    <row r="34" spans="5:15" x14ac:dyDescent="0.25">
      <c r="E34" t="s">
        <v>213</v>
      </c>
    </row>
    <row r="35" spans="5:15" ht="15.75" thickBot="1" x14ac:dyDescent="0.3">
      <c r="E35" t="s">
        <v>174</v>
      </c>
      <c r="F35" t="s">
        <v>175</v>
      </c>
      <c r="G35" s="7" t="s">
        <v>138</v>
      </c>
      <c r="M35" t="s">
        <v>174</v>
      </c>
      <c r="N35" t="s">
        <v>175</v>
      </c>
      <c r="O35" s="7" t="s">
        <v>138</v>
      </c>
    </row>
    <row r="36" spans="5:15" ht="15.75" thickBot="1" x14ac:dyDescent="0.3">
      <c r="E36" s="119" t="s">
        <v>176</v>
      </c>
      <c r="F36" s="120" t="s">
        <v>177</v>
      </c>
      <c r="G36" s="100" t="s">
        <v>178</v>
      </c>
      <c r="M36" s="121" t="s">
        <v>176</v>
      </c>
      <c r="N36" s="122" t="s">
        <v>177</v>
      </c>
      <c r="O36" s="99" t="s">
        <v>208</v>
      </c>
    </row>
    <row r="37" spans="5:15" ht="15.75" thickBot="1" x14ac:dyDescent="0.3">
      <c r="E37" s="90" t="s">
        <v>184</v>
      </c>
      <c r="F37" s="91" t="s">
        <v>179</v>
      </c>
      <c r="G37" s="96" t="s">
        <v>178</v>
      </c>
      <c r="M37" s="123" t="s">
        <v>184</v>
      </c>
      <c r="N37" s="113" t="s">
        <v>177</v>
      </c>
      <c r="O37" s="97" t="s">
        <v>178</v>
      </c>
    </row>
    <row r="38" spans="5:15" x14ac:dyDescent="0.25">
      <c r="E38" s="92" t="s">
        <v>185</v>
      </c>
      <c r="F38" s="93" t="s">
        <v>179</v>
      </c>
      <c r="G38" s="97" t="s">
        <v>178</v>
      </c>
      <c r="M38" s="90" t="s">
        <v>185</v>
      </c>
      <c r="N38" s="91" t="s">
        <v>179</v>
      </c>
      <c r="O38" s="96" t="s">
        <v>178</v>
      </c>
    </row>
    <row r="39" spans="5:15" ht="15.75" thickBot="1" x14ac:dyDescent="0.3">
      <c r="E39" s="101" t="s">
        <v>186</v>
      </c>
      <c r="F39" s="102" t="s">
        <v>179</v>
      </c>
      <c r="G39" s="98" t="s">
        <v>178</v>
      </c>
      <c r="M39" s="101" t="s">
        <v>186</v>
      </c>
      <c r="N39" s="102" t="s">
        <v>179</v>
      </c>
      <c r="O39" s="105" t="s">
        <v>208</v>
      </c>
    </row>
    <row r="40" spans="5:15" x14ac:dyDescent="0.25">
      <c r="E40" s="94" t="s">
        <v>171</v>
      </c>
      <c r="F40" s="95" t="s">
        <v>183</v>
      </c>
      <c r="G40" s="97"/>
      <c r="M40" s="94" t="s">
        <v>171</v>
      </c>
      <c r="N40" s="95" t="s">
        <v>183</v>
      </c>
      <c r="O40" s="97"/>
    </row>
    <row r="41" spans="5:15" ht="15.75" thickBot="1" x14ac:dyDescent="0.3">
      <c r="E41" s="94" t="s">
        <v>170</v>
      </c>
      <c r="F41" s="95" t="s">
        <v>183</v>
      </c>
      <c r="G41" s="97"/>
      <c r="M41" s="94" t="s">
        <v>170</v>
      </c>
      <c r="N41" s="95" t="s">
        <v>183</v>
      </c>
      <c r="O41" s="97"/>
    </row>
    <row r="42" spans="5:15" ht="15.75" thickBot="1" x14ac:dyDescent="0.3">
      <c r="E42" s="103" t="s">
        <v>180</v>
      </c>
      <c r="F42" s="104" t="s">
        <v>181</v>
      </c>
      <c r="G42" s="100" t="s">
        <v>178</v>
      </c>
      <c r="M42" s="106" t="s">
        <v>180</v>
      </c>
      <c r="N42" s="107" t="s">
        <v>181</v>
      </c>
      <c r="O42" s="99" t="s">
        <v>208</v>
      </c>
    </row>
    <row r="43" spans="5:15" ht="15.75" thickBot="1" x14ac:dyDescent="0.3">
      <c r="E43" s="117" t="s">
        <v>182</v>
      </c>
      <c r="F43" s="118" t="s">
        <v>177</v>
      </c>
      <c r="G43" s="98" t="s">
        <v>178</v>
      </c>
      <c r="M43" s="108" t="s">
        <v>176</v>
      </c>
      <c r="N43" s="109" t="s">
        <v>181</v>
      </c>
      <c r="O43" s="98" t="s">
        <v>178</v>
      </c>
    </row>
    <row r="44" spans="5:15" ht="15.75" thickBot="1" x14ac:dyDescent="0.3">
      <c r="M44" s="117" t="s">
        <v>209</v>
      </c>
      <c r="N44" s="118" t="s">
        <v>177</v>
      </c>
      <c r="O44" s="98" t="s">
        <v>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56-A2AD-476D-9A02-B3BAEEBC18E8}">
  <sheetPr codeName="Sheet8"/>
  <dimension ref="A1"/>
  <sheetViews>
    <sheetView workbookViewId="0">
      <selection activeCell="D19" sqref="D19"/>
    </sheetView>
  </sheetViews>
  <sheetFormatPr defaultRowHeight="15" x14ac:dyDescent="0.25"/>
  <cols>
    <col min="2" max="2" width="17.7109375" customWidth="1"/>
    <col min="3" max="3" width="24.140625" customWidth="1"/>
    <col min="4" max="4" width="23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 activePane="bottomLeft"/>
      <selection activeCell="A2" sqref="A2"/>
      <selection pane="bottomLeft" activeCell="A101" sqref="A10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28</v>
      </c>
    </row>
    <row r="2" spans="1:1" x14ac:dyDescent="0.25">
      <c r="A2" t="s">
        <v>37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35</v>
      </c>
    </row>
    <row r="36" spans="1:1" x14ac:dyDescent="0.25">
      <c r="A36" t="str">
        <f>initData!J7&amp;","</f>
        <v>1693090800,</v>
      </c>
    </row>
    <row r="37" spans="1:1" x14ac:dyDescent="0.25">
      <c r="A37" t="str">
        <f>initData!J8&amp;","</f>
        <v>1693090800,</v>
      </c>
    </row>
    <row r="38" spans="1:1" x14ac:dyDescent="0.25">
      <c r="A38" t="str">
        <f>initData!J9&amp;","</f>
        <v>1693090800,</v>
      </c>
    </row>
    <row r="39" spans="1:1" x14ac:dyDescent="0.25">
      <c r="A39" t="str">
        <f>initData!J10&amp;","</f>
        <v>1693090800,</v>
      </c>
    </row>
    <row r="40" spans="1:1" x14ac:dyDescent="0.25">
      <c r="A40" t="str">
        <f>initData!J11&amp;","</f>
        <v>1693090800,</v>
      </c>
    </row>
    <row r="41" spans="1:1" x14ac:dyDescent="0.25">
      <c r="A41" t="str">
        <f>initData!J12&amp;","</f>
        <v>1693090800,</v>
      </c>
    </row>
    <row r="42" spans="1:1" x14ac:dyDescent="0.25">
      <c r="A42" t="str">
        <f>initData!J13&amp;","</f>
        <v>1693090800,</v>
      </c>
    </row>
    <row r="43" spans="1:1" x14ac:dyDescent="0.25">
      <c r="A43" t="str">
        <f>initData!J14&amp;","</f>
        <v>1693090800,</v>
      </c>
    </row>
    <row r="44" spans="1:1" x14ac:dyDescent="0.25">
      <c r="A44" t="str">
        <f>initData!J15&amp;","</f>
        <v>1693090800,</v>
      </c>
    </row>
    <row r="45" spans="1:1" x14ac:dyDescent="0.25">
      <c r="A45" t="str">
        <f>initData!J16&amp;","</f>
        <v>1693090800,</v>
      </c>
    </row>
    <row r="46" spans="1:1" x14ac:dyDescent="0.25">
      <c r="A46" t="str">
        <f>initData!J17&amp;","</f>
        <v>1693090800,</v>
      </c>
    </row>
    <row r="47" spans="1:1" x14ac:dyDescent="0.25">
      <c r="A47" t="str">
        <f>initData!J18&amp;","</f>
        <v>1693090800,</v>
      </c>
    </row>
    <row r="48" spans="1:1" x14ac:dyDescent="0.25">
      <c r="A48" t="str">
        <f>initData!J19&amp;","</f>
        <v>1693090800,</v>
      </c>
    </row>
    <row r="49" spans="1:1" x14ac:dyDescent="0.25">
      <c r="A49" t="str">
        <f>initData!J20&amp;","</f>
        <v>1693090800,</v>
      </c>
    </row>
    <row r="50" spans="1:1" x14ac:dyDescent="0.25">
      <c r="A50" t="str">
        <f>initData!J21&amp;","</f>
        <v>1693090800,</v>
      </c>
    </row>
    <row r="51" spans="1:1" x14ac:dyDescent="0.25">
      <c r="A51" t="str">
        <f>initData!J22&amp;","</f>
        <v>1693090800,</v>
      </c>
    </row>
    <row r="52" spans="1:1" x14ac:dyDescent="0.25">
      <c r="A52" t="str">
        <f>initData!J23&amp;","</f>
        <v>1693090800,</v>
      </c>
    </row>
    <row r="53" spans="1:1" x14ac:dyDescent="0.25">
      <c r="A53" t="str">
        <f>initData!J24&amp;","</f>
        <v>1693090800,</v>
      </c>
    </row>
    <row r="54" spans="1:1" x14ac:dyDescent="0.25">
      <c r="A54" t="str">
        <f>initData!J25&amp;","</f>
        <v>1693090800,</v>
      </c>
    </row>
    <row r="55" spans="1:1" x14ac:dyDescent="0.25">
      <c r="A55" t="str">
        <f>initData!J26&amp;","</f>
        <v>1693090800,</v>
      </c>
    </row>
    <row r="56" spans="1:1" x14ac:dyDescent="0.25">
      <c r="A56" t="str">
        <f>initData!J27&amp;","</f>
        <v>1693090800,</v>
      </c>
    </row>
    <row r="57" spans="1:1" x14ac:dyDescent="0.25">
      <c r="A57" t="str">
        <f>initData!J28&amp;","</f>
        <v>1693090800,</v>
      </c>
    </row>
    <row r="58" spans="1:1" x14ac:dyDescent="0.25">
      <c r="A58" t="str">
        <f>initData!J29&amp;","</f>
        <v>1693090800,</v>
      </c>
    </row>
    <row r="59" spans="1:1" x14ac:dyDescent="0.25">
      <c r="A59" t="str">
        <f>initData!J30&amp;","</f>
        <v>1693090800,</v>
      </c>
    </row>
    <row r="60" spans="1:1" x14ac:dyDescent="0.25">
      <c r="A60" t="str">
        <f>initData!J31&amp;","</f>
        <v>1693090800,</v>
      </c>
    </row>
    <row r="61" spans="1:1" x14ac:dyDescent="0.25">
      <c r="A61" t="str">
        <f>initData!J32&amp;","</f>
        <v>1693090800,</v>
      </c>
    </row>
    <row r="62" spans="1:1" x14ac:dyDescent="0.25">
      <c r="A62" t="str">
        <f>initData!J33&amp;","</f>
        <v>1693090800,</v>
      </c>
    </row>
    <row r="63" spans="1:1" x14ac:dyDescent="0.25">
      <c r="A63" t="str">
        <f>initData!J34&amp;","</f>
        <v>1693090800,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51" t="str">
        <f>initData!J38&amp;"],"</f>
        <v>1690000000],</v>
      </c>
    </row>
    <row r="68" spans="1:1" x14ac:dyDescent="0.25">
      <c r="A68" t="s">
        <v>36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51" t="str">
        <f>initData!K38&amp;"]"</f>
        <v>956]</v>
      </c>
    </row>
    <row r="101" spans="1:1" x14ac:dyDescent="0.25">
      <c r="A101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36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38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41"/>
  <sheetViews>
    <sheetView tabSelected="1" zoomScale="75" zoomScaleNormal="75" workbookViewId="0">
      <selection activeCell="D3" sqref="D3"/>
    </sheetView>
  </sheetViews>
  <sheetFormatPr defaultRowHeight="15" x14ac:dyDescent="0.25"/>
  <cols>
    <col min="3" max="3" width="11" bestFit="1" customWidth="1"/>
    <col min="4" max="4" width="16.85546875" bestFit="1" customWidth="1"/>
    <col min="5" max="5" width="18" customWidth="1"/>
    <col min="6" max="6" width="11" customWidth="1"/>
    <col min="7" max="7" width="23.140625" bestFit="1" customWidth="1"/>
    <col min="8" max="8" width="14.42578125" bestFit="1" customWidth="1"/>
    <col min="9" max="9" width="17.5703125" customWidth="1"/>
    <col min="15" max="15" width="11" bestFit="1" customWidth="1"/>
    <col min="17" max="17" width="14.7109375" customWidth="1"/>
  </cols>
  <sheetData>
    <row r="1" spans="3:26" x14ac:dyDescent="0.25">
      <c r="E1" s="10">
        <f>E3+E4</f>
        <v>1.0428571428571427</v>
      </c>
      <c r="F1" s="10"/>
      <c r="I1" s="10"/>
    </row>
    <row r="2" spans="3:26" x14ac:dyDescent="0.25">
      <c r="C2" s="7" t="s">
        <v>15</v>
      </c>
      <c r="D2" s="7" t="s">
        <v>14</v>
      </c>
      <c r="E2" s="7" t="s">
        <v>0</v>
      </c>
      <c r="F2" s="7" t="s">
        <v>5</v>
      </c>
      <c r="G2" s="8"/>
      <c r="V2" t="s">
        <v>98</v>
      </c>
      <c r="W2" s="56">
        <v>30</v>
      </c>
    </row>
    <row r="3" spans="3:26" x14ac:dyDescent="0.25">
      <c r="C3">
        <v>-900</v>
      </c>
      <c r="D3" s="5">
        <f t="shared" ref="D3:D12" si="0">IF(C3&lt;0,-(100-C3)/C3,C3/100+1)</f>
        <v>1.1111111111111112</v>
      </c>
      <c r="E3" s="1">
        <f t="shared" ref="E3:E12" si="1">1/D3</f>
        <v>0.89999999999999991</v>
      </c>
      <c r="F3" s="5">
        <f t="shared" ref="F3:F12" si="2">IF(C3&lt;0,-100/C3,C3/100)</f>
        <v>0.1111111111111111</v>
      </c>
      <c r="H3" s="6"/>
      <c r="I3" s="12" t="s">
        <v>24</v>
      </c>
      <c r="K3" t="s">
        <v>33</v>
      </c>
      <c r="M3" t="s">
        <v>34</v>
      </c>
      <c r="O3" t="s">
        <v>173</v>
      </c>
      <c r="V3" t="s">
        <v>99</v>
      </c>
      <c r="W3" s="56">
        <v>0</v>
      </c>
    </row>
    <row r="4" spans="3:26" ht="15.75" thickBot="1" x14ac:dyDescent="0.3">
      <c r="C4">
        <v>600</v>
      </c>
      <c r="D4" s="5">
        <f t="shared" si="0"/>
        <v>7</v>
      </c>
      <c r="E4" s="1">
        <f t="shared" si="1"/>
        <v>0.14285714285714285</v>
      </c>
      <c r="F4" s="5">
        <f t="shared" si="2"/>
        <v>6</v>
      </c>
      <c r="G4" s="4">
        <f>1-D3*D4/(D3+D4)</f>
        <v>4.1095890410958735E-2</v>
      </c>
      <c r="H4" s="6"/>
      <c r="I4" s="47" t="s">
        <v>32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V4" t="s">
        <v>100</v>
      </c>
      <c r="W4" s="56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48">
        <v>150</v>
      </c>
      <c r="J5" s="40">
        <f>INT(1000000/(I5+45)-45)</f>
        <v>5083</v>
      </c>
      <c r="K5" s="41">
        <f>I5*0.95/1000+1</f>
        <v>1.1425000000000001</v>
      </c>
      <c r="L5" s="41">
        <f>J5*0.95/1000+1</f>
        <v>5.8288499999999992</v>
      </c>
      <c r="M5" s="42">
        <f>IF(K5&lt;2,-100/(K5-1),(K5-1)*100)</f>
        <v>-701.75438596491188</v>
      </c>
      <c r="N5" s="43">
        <f>IF(L5&lt;2,-100/(L5-1),(L5-1)*100)</f>
        <v>482.88499999999993</v>
      </c>
      <c r="O5" s="4">
        <f>1/K5</f>
        <v>0.87527352297592997</v>
      </c>
      <c r="P5" s="4">
        <f>1/L5</f>
        <v>0.17156042787170714</v>
      </c>
      <c r="Q5" s="1">
        <f>P5+O5</f>
        <v>1.0468339508476372</v>
      </c>
      <c r="R5">
        <f>6+O5-P5</f>
        <v>6.7037130951042228</v>
      </c>
      <c r="V5" t="s">
        <v>101</v>
      </c>
      <c r="W5" s="56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49">
        <v>100</v>
      </c>
      <c r="J6" s="21">
        <f t="shared" ref="J6:J8" si="3">INT(1000000/(I6+45)-45)</f>
        <v>6851</v>
      </c>
      <c r="K6" s="13">
        <f t="shared" ref="K6" si="4">I6*0.95/1000+1</f>
        <v>1.095</v>
      </c>
      <c r="L6" s="13">
        <f t="shared" ref="L6:L8" si="5">J6*0.95/1000+1</f>
        <v>7.5084499999999998</v>
      </c>
      <c r="M6" s="2">
        <f t="shared" ref="M6:M9" si="6">IF(K6&lt;2,-100/(K6-1),(K6-1)*100)</f>
        <v>-1052.6315789473688</v>
      </c>
      <c r="N6" s="15">
        <f t="shared" ref="N6:N10" si="7">IF(L6&lt;2,-100/(L6-1),(L6-1)*100)</f>
        <v>650.84500000000003</v>
      </c>
      <c r="O6" s="4">
        <f t="shared" ref="O6:O9" si="8">1/K6</f>
        <v>0.91324200913242015</v>
      </c>
      <c r="P6" s="4">
        <f t="shared" ref="P6:P10" si="9">1/L6</f>
        <v>0.13318328017100733</v>
      </c>
      <c r="Q6" s="1">
        <f t="shared" ref="Q6:Q9" si="10">P6+O6</f>
        <v>1.0464252893034276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49">
        <v>1000</v>
      </c>
      <c r="J7" s="21">
        <f t="shared" si="3"/>
        <v>911</v>
      </c>
      <c r="K7" s="13">
        <f>I7*0.95/1000+1</f>
        <v>1.95</v>
      </c>
      <c r="L7" s="13">
        <f t="shared" si="5"/>
        <v>1.8654500000000001</v>
      </c>
      <c r="M7" s="2">
        <f t="shared" si="6"/>
        <v>-105.26315789473685</v>
      </c>
      <c r="N7" s="15">
        <f t="shared" si="7"/>
        <v>-115.54682535097348</v>
      </c>
      <c r="O7" s="4">
        <f t="shared" si="8"/>
        <v>0.51282051282051289</v>
      </c>
      <c r="P7" s="4">
        <f t="shared" si="9"/>
        <v>0.53606368436570262</v>
      </c>
      <c r="Q7" s="1">
        <f t="shared" si="10"/>
        <v>1.0488841971862155</v>
      </c>
      <c r="V7" s="7" t="s">
        <v>94</v>
      </c>
      <c r="W7" s="7" t="s">
        <v>95</v>
      </c>
      <c r="Y7" s="7" t="s">
        <v>96</v>
      </c>
      <c r="Z7" s="7" t="s">
        <v>97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49">
        <v>1250</v>
      </c>
      <c r="J8" s="21">
        <f t="shared" si="3"/>
        <v>727</v>
      </c>
      <c r="K8" s="13">
        <f>I8*0.95/1000+1</f>
        <v>2.1875</v>
      </c>
      <c r="L8" s="13">
        <f t="shared" si="5"/>
        <v>1.69065</v>
      </c>
      <c r="M8" s="2">
        <f t="shared" si="6"/>
        <v>118.75</v>
      </c>
      <c r="N8" s="15">
        <f t="shared" si="7"/>
        <v>-144.79113878230652</v>
      </c>
      <c r="O8" s="4">
        <f t="shared" si="8"/>
        <v>0.45714285714285713</v>
      </c>
      <c r="P8" s="4">
        <f t="shared" si="9"/>
        <v>0.59148848076183713</v>
      </c>
      <c r="Q8" s="1">
        <f t="shared" si="10"/>
        <v>1.0486313379046943</v>
      </c>
      <c r="R8" s="2">
        <f>Q8*J8/1000</f>
        <v>0.76235498265671275</v>
      </c>
      <c r="S8" s="2"/>
      <c r="T8">
        <f>O8/10000</f>
        <v>4.5714285714285716E-5</v>
      </c>
      <c r="V8" s="6">
        <f>P8/10000</f>
        <v>5.9148848076183712E-5</v>
      </c>
      <c r="W8" s="6">
        <f>(Q8-O8)/10000</f>
        <v>5.9148848076183725E-5</v>
      </c>
      <c r="X8" s="59">
        <f>MAX(V8,W8)</f>
        <v>5.9148848076183725E-5</v>
      </c>
      <c r="Y8" s="6">
        <f>W5/(I8/1000)</f>
        <v>4.8</v>
      </c>
      <c r="Z8" s="6">
        <f>W5/(J8/1000)</f>
        <v>8.2530949105914715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50">
        <v>500</v>
      </c>
      <c r="J9" s="44">
        <f>INT(1000000/(I9+0)-0)</f>
        <v>2000</v>
      </c>
      <c r="K9" s="45">
        <f>I9/1000+1</f>
        <v>1.5</v>
      </c>
      <c r="L9" s="45">
        <f>J9/1000+1</f>
        <v>3</v>
      </c>
      <c r="M9" s="46">
        <f t="shared" si="6"/>
        <v>-200</v>
      </c>
      <c r="N9" s="34">
        <f t="shared" si="7"/>
        <v>200</v>
      </c>
      <c r="O9" s="4">
        <f t="shared" si="8"/>
        <v>0.66666666666666663</v>
      </c>
      <c r="P9" s="4">
        <f t="shared" si="9"/>
        <v>0.33333333333333331</v>
      </c>
      <c r="Q9" s="1">
        <f t="shared" si="10"/>
        <v>1</v>
      </c>
      <c r="R9" s="2">
        <f>Q9*J8/1000</f>
        <v>0.72699999999999998</v>
      </c>
      <c r="S9" s="2"/>
      <c r="T9">
        <f>O9/10000</f>
        <v>6.6666666666666656E-5</v>
      </c>
      <c r="U9" s="5">
        <f>P9/10000</f>
        <v>3.3333333333333328E-5</v>
      </c>
      <c r="V9" s="6">
        <f>(P9-Q9)/10000</f>
        <v>-6.666666666666667E-5</v>
      </c>
      <c r="W9" s="6">
        <f>(R9-O9)/10000</f>
        <v>6.0333333333333346E-6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39"/>
      <c r="J10" s="21"/>
      <c r="K10" s="13">
        <v>1</v>
      </c>
      <c r="L10" s="13">
        <f>K9/L9</f>
        <v>0.5</v>
      </c>
      <c r="M10" s="2"/>
      <c r="N10" s="2">
        <f t="shared" si="7"/>
        <v>200</v>
      </c>
      <c r="O10" s="2"/>
      <c r="P10" s="2">
        <f t="shared" si="9"/>
        <v>2</v>
      </c>
      <c r="Q10" s="2"/>
      <c r="R10" s="2"/>
      <c r="S10" s="2"/>
      <c r="V10">
        <f>SUM(V8:V9)</f>
        <v>-7.517818590482958E-6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39"/>
      <c r="J11" s="21"/>
      <c r="K11" s="13">
        <f>K10*K9-L10-K10</f>
        <v>0</v>
      </c>
      <c r="L11" s="13">
        <f>L10*L9-K10-L10</f>
        <v>0</v>
      </c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57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11">IF(C13&lt;0,-(100-C13)/C13,C13/100+1)</f>
        <v>2.2000000000000002</v>
      </c>
      <c r="E13" s="1">
        <f t="shared" ref="E13" si="12">1/D13</f>
        <v>0.45454545454545453</v>
      </c>
      <c r="F13" s="5">
        <f t="shared" ref="F13" si="13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1.3545454545454545</v>
      </c>
      <c r="J14">
        <f>P15/O15</f>
        <v>4</v>
      </c>
      <c r="M14" t="s">
        <v>82</v>
      </c>
      <c r="N14" s="3" t="s">
        <v>77</v>
      </c>
      <c r="O14" s="55" t="s">
        <v>91</v>
      </c>
      <c r="P14" s="7" t="s">
        <v>92</v>
      </c>
    </row>
    <row r="15" spans="3:26" x14ac:dyDescent="0.25">
      <c r="C15" s="7" t="s">
        <v>14</v>
      </c>
      <c r="D15" t="s">
        <v>15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>
        <v>8</v>
      </c>
      <c r="D16" s="2">
        <f t="shared" ref="D16:D37" si="14">IF(C16&lt;2,-100/(C16-1),(C16-1)*100)</f>
        <v>700</v>
      </c>
      <c r="E16" s="4">
        <f>1/C16</f>
        <v>0.125</v>
      </c>
      <c r="F16" s="5">
        <f t="shared" ref="F16:F37" si="15">IF(C16&lt;0,-100/C16,C16/100)</f>
        <v>0.08</v>
      </c>
      <c r="H16" s="2"/>
    </row>
    <row r="17" spans="1:22" x14ac:dyDescent="0.25">
      <c r="A17" s="38"/>
      <c r="C17" s="13">
        <f>C16-1</f>
        <v>7</v>
      </c>
      <c r="D17" s="2">
        <f>IF(C17&lt;2,-100/(C17-1),(C17-1)*100)</f>
        <v>600</v>
      </c>
      <c r="E17" s="4">
        <f t="shared" ref="E17:E37" si="16">1/C17</f>
        <v>0.14285714285714285</v>
      </c>
      <c r="F17" s="5">
        <f t="shared" si="15"/>
        <v>7.0000000000000007E-2</v>
      </c>
      <c r="G17" s="1">
        <f>E17-E16</f>
        <v>1.7857142857142849E-2</v>
      </c>
      <c r="J17" s="7" t="s">
        <v>84</v>
      </c>
      <c r="K17" s="7" t="s">
        <v>83</v>
      </c>
      <c r="L17" t="s">
        <v>93</v>
      </c>
      <c r="M17" s="3" t="s">
        <v>78</v>
      </c>
      <c r="N17" s="3" t="s">
        <v>79</v>
      </c>
      <c r="O17" s="3" t="s">
        <v>80</v>
      </c>
      <c r="P17" s="3" t="s">
        <v>81</v>
      </c>
      <c r="Q17" s="3" t="s">
        <v>85</v>
      </c>
      <c r="R17" s="3" t="s">
        <v>86</v>
      </c>
      <c r="S17" s="3" t="s">
        <v>87</v>
      </c>
      <c r="T17" s="3" t="s">
        <v>88</v>
      </c>
      <c r="U17" s="3" t="s">
        <v>89</v>
      </c>
      <c r="V17" s="3" t="s">
        <v>90</v>
      </c>
    </row>
    <row r="18" spans="1:22" x14ac:dyDescent="0.25">
      <c r="C18" s="13">
        <f t="shared" ref="C18:C28" si="17">C17-1</f>
        <v>6</v>
      </c>
      <c r="D18" s="2">
        <f t="shared" si="14"/>
        <v>500</v>
      </c>
      <c r="E18" s="4">
        <f t="shared" si="16"/>
        <v>0.16666666666666666</v>
      </c>
      <c r="F18" s="5">
        <f t="shared" si="15"/>
        <v>0.06</v>
      </c>
      <c r="G18" s="1">
        <f>E18-E17</f>
        <v>2.3809523809523808E-2</v>
      </c>
      <c r="J18" s="54"/>
      <c r="M18">
        <v>0</v>
      </c>
      <c r="N18">
        <v>0</v>
      </c>
      <c r="O18" s="56">
        <f>N$15/M$15/O$15</f>
        <v>12</v>
      </c>
      <c r="P18">
        <f>N15/M15/P15</f>
        <v>3</v>
      </c>
    </row>
    <row r="19" spans="1:22" x14ac:dyDescent="0.25">
      <c r="A19" s="38"/>
      <c r="C19" s="13">
        <f t="shared" si="17"/>
        <v>5</v>
      </c>
      <c r="D19" s="2">
        <f t="shared" si="14"/>
        <v>400</v>
      </c>
      <c r="E19" s="4">
        <f t="shared" si="16"/>
        <v>0.2</v>
      </c>
      <c r="F19" s="5">
        <f t="shared" si="15"/>
        <v>0.05</v>
      </c>
      <c r="G19" s="1">
        <f t="shared" ref="G19:G26" si="18">E19-E18</f>
        <v>3.3333333333333354E-2</v>
      </c>
      <c r="H19" s="54"/>
      <c r="I19" s="54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56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f t="shared" si="17"/>
        <v>4</v>
      </c>
      <c r="D20" s="2">
        <f t="shared" si="14"/>
        <v>300</v>
      </c>
      <c r="E20" s="4">
        <f t="shared" si="16"/>
        <v>0.25</v>
      </c>
      <c r="F20" s="5">
        <f t="shared" si="15"/>
        <v>0.04</v>
      </c>
      <c r="G20" s="1">
        <f t="shared" si="18"/>
        <v>4.9999999999999989E-2</v>
      </c>
      <c r="H20" s="54"/>
      <c r="I20" s="54"/>
      <c r="J20" s="53">
        <v>0.5</v>
      </c>
      <c r="K20" s="53">
        <v>1</v>
      </c>
      <c r="L20">
        <f>J20*P15</f>
        <v>1</v>
      </c>
      <c r="M20">
        <f>P15*J20-M19</f>
        <v>0.5</v>
      </c>
      <c r="N20">
        <v>2</v>
      </c>
      <c r="O20" s="56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f t="shared" si="17"/>
        <v>3</v>
      </c>
      <c r="D21" s="2">
        <f t="shared" si="14"/>
        <v>200</v>
      </c>
      <c r="E21" s="4">
        <f t="shared" si="16"/>
        <v>0.33333333333333331</v>
      </c>
      <c r="F21" s="5">
        <f t="shared" si="15"/>
        <v>0.03</v>
      </c>
      <c r="G21" s="1">
        <f t="shared" si="18"/>
        <v>8.3333333333333315E-2</v>
      </c>
      <c r="H21" s="54"/>
      <c r="I21" s="54"/>
      <c r="J21" s="53">
        <v>3</v>
      </c>
      <c r="K21" s="53">
        <v>1</v>
      </c>
      <c r="L21">
        <f>J21*P15</f>
        <v>6</v>
      </c>
      <c r="M21">
        <f>P16*J21-M20</f>
        <v>-0.5</v>
      </c>
      <c r="N21">
        <v>2</v>
      </c>
      <c r="O21" s="56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 t="shared" si="17"/>
        <v>2</v>
      </c>
      <c r="D22" s="2">
        <f t="shared" si="14"/>
        <v>100</v>
      </c>
      <c r="E22" s="4">
        <f t="shared" si="16"/>
        <v>0.5</v>
      </c>
      <c r="F22" s="5">
        <f t="shared" si="15"/>
        <v>0.02</v>
      </c>
      <c r="G22" s="1">
        <f t="shared" si="18"/>
        <v>0.16666666666666669</v>
      </c>
      <c r="H22" s="54"/>
      <c r="I22" s="54"/>
      <c r="J22" s="53"/>
      <c r="K22" s="53"/>
      <c r="S22" s="6"/>
      <c r="T22" s="6"/>
      <c r="U22" s="6"/>
      <c r="V22" s="6"/>
    </row>
    <row r="23" spans="1:22" x14ac:dyDescent="0.25">
      <c r="A23" s="38"/>
      <c r="C23" s="13">
        <f t="shared" si="17"/>
        <v>1</v>
      </c>
      <c r="D23" s="2" t="e">
        <f t="shared" si="14"/>
        <v>#DIV/0!</v>
      </c>
      <c r="E23" s="4">
        <f t="shared" si="16"/>
        <v>1</v>
      </c>
      <c r="F23" s="5">
        <f t="shared" si="15"/>
        <v>0.01</v>
      </c>
      <c r="G23" s="1">
        <f t="shared" si="18"/>
        <v>0.5</v>
      </c>
      <c r="H23" s="54"/>
      <c r="I23" s="54"/>
      <c r="J23" s="53"/>
      <c r="K23" s="53"/>
      <c r="S23" s="6"/>
      <c r="T23" s="6"/>
      <c r="U23" s="6"/>
      <c r="V23" s="6"/>
    </row>
    <row r="24" spans="1:22" x14ac:dyDescent="0.25">
      <c r="B24" s="5"/>
      <c r="C24" s="13">
        <f t="shared" si="17"/>
        <v>0</v>
      </c>
      <c r="D24" s="2">
        <f t="shared" si="14"/>
        <v>100</v>
      </c>
      <c r="E24" s="4" t="e">
        <f t="shared" si="16"/>
        <v>#DIV/0!</v>
      </c>
      <c r="F24" s="5">
        <f t="shared" si="15"/>
        <v>0</v>
      </c>
      <c r="G24" s="1" t="e">
        <f t="shared" si="18"/>
        <v>#DIV/0!</v>
      </c>
      <c r="H24" s="54"/>
      <c r="I24" s="54"/>
      <c r="S24" s="6"/>
      <c r="T24" s="6"/>
      <c r="U24" s="6"/>
      <c r="V24" s="6"/>
    </row>
    <row r="25" spans="1:22" x14ac:dyDescent="0.25">
      <c r="B25" s="5"/>
      <c r="C25" s="13">
        <f t="shared" si="17"/>
        <v>-1</v>
      </c>
      <c r="D25" s="2">
        <f t="shared" si="14"/>
        <v>50</v>
      </c>
      <c r="E25" s="4">
        <f t="shared" si="16"/>
        <v>-1</v>
      </c>
      <c r="F25" s="5">
        <f t="shared" si="15"/>
        <v>100</v>
      </c>
      <c r="G25" s="1" t="e">
        <f t="shared" si="18"/>
        <v>#DIV/0!</v>
      </c>
      <c r="H25" s="54"/>
      <c r="I25" s="54"/>
      <c r="J25" s="54"/>
      <c r="M25">
        <v>0</v>
      </c>
      <c r="N25">
        <v>0</v>
      </c>
      <c r="O25" s="56">
        <f>N$15/M$15/O$15</f>
        <v>12</v>
      </c>
    </row>
    <row r="26" spans="1:22" x14ac:dyDescent="0.25">
      <c r="B26" s="5"/>
      <c r="C26" s="13">
        <f t="shared" si="17"/>
        <v>-2</v>
      </c>
      <c r="D26" s="2">
        <f t="shared" si="14"/>
        <v>33.333333333333336</v>
      </c>
      <c r="E26" s="4">
        <f t="shared" si="16"/>
        <v>-0.5</v>
      </c>
      <c r="F26" s="5">
        <f t="shared" si="15"/>
        <v>50</v>
      </c>
      <c r="G26" s="1">
        <f t="shared" si="18"/>
        <v>0.5</v>
      </c>
      <c r="H26" s="54"/>
      <c r="I26" s="54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56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f t="shared" si="17"/>
        <v>-3</v>
      </c>
      <c r="D27" s="2">
        <f t="shared" si="14"/>
        <v>25</v>
      </c>
      <c r="E27" s="4">
        <f t="shared" si="16"/>
        <v>-0.33333333333333331</v>
      </c>
      <c r="F27" s="5">
        <f t="shared" si="15"/>
        <v>33.333333333333336</v>
      </c>
      <c r="H27" s="2"/>
      <c r="I27" s="5"/>
      <c r="J27" s="53">
        <f>7</f>
        <v>7</v>
      </c>
      <c r="K27" s="53">
        <v>0</v>
      </c>
      <c r="L27">
        <f>J27*P22</f>
        <v>0</v>
      </c>
      <c r="M27">
        <f>P22*J27-M26</f>
        <v>0</v>
      </c>
      <c r="N27">
        <v>2</v>
      </c>
      <c r="O27" s="56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f t="shared" si="17"/>
        <v>-4</v>
      </c>
      <c r="D28" s="2">
        <f t="shared" si="14"/>
        <v>20</v>
      </c>
      <c r="E28" s="4">
        <f t="shared" si="16"/>
        <v>-0.25</v>
      </c>
      <c r="F28" s="5">
        <f t="shared" si="15"/>
        <v>25</v>
      </c>
      <c r="H28" s="2"/>
      <c r="I28" s="5"/>
      <c r="J28" s="53">
        <v>12</v>
      </c>
      <c r="K28" s="53">
        <v>0</v>
      </c>
      <c r="L28">
        <f>J28*P23</f>
        <v>0</v>
      </c>
      <c r="M28">
        <f>P23*J28-M27</f>
        <v>0</v>
      </c>
      <c r="N28">
        <v>2</v>
      </c>
      <c r="O28" s="56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4"/>
        <v>-116.27906976744185</v>
      </c>
      <c r="E29" s="4">
        <f t="shared" si="16"/>
        <v>0.5376344086021505</v>
      </c>
      <c r="F29" s="5">
        <f t="shared" si="15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4"/>
        <v>220.00000000000003</v>
      </c>
      <c r="E30" s="4">
        <f t="shared" si="16"/>
        <v>0.3125</v>
      </c>
      <c r="F30" s="5">
        <f t="shared" si="15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4"/>
        <v>-111.11111111111113</v>
      </c>
      <c r="E31" s="4">
        <f t="shared" si="16"/>
        <v>0.52631578947368418</v>
      </c>
      <c r="F31" s="5">
        <f t="shared" si="15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4"/>
        <v>-110.25358324145535</v>
      </c>
      <c r="E32" s="4">
        <f t="shared" si="16"/>
        <v>0.52438384897745149</v>
      </c>
      <c r="F32" s="5">
        <f t="shared" si="15"/>
        <v>1.907E-2</v>
      </c>
      <c r="H32" s="2"/>
      <c r="I32" s="5"/>
    </row>
    <row r="33" spans="2:8" x14ac:dyDescent="0.25">
      <c r="C33" s="6">
        <v>2.9</v>
      </c>
      <c r="D33" s="2">
        <f t="shared" si="14"/>
        <v>190</v>
      </c>
      <c r="E33" s="4">
        <f t="shared" si="16"/>
        <v>0.34482758620689657</v>
      </c>
      <c r="F33" s="5">
        <f t="shared" si="15"/>
        <v>2.8999999999999998E-2</v>
      </c>
      <c r="H33" s="2"/>
    </row>
    <row r="34" spans="2:8" x14ac:dyDescent="0.25">
      <c r="C34" s="6">
        <v>1.4750000000000001</v>
      </c>
      <c r="D34" s="2">
        <f t="shared" si="14"/>
        <v>-210.52631578947364</v>
      </c>
      <c r="E34" s="4">
        <f t="shared" si="16"/>
        <v>0.67796610169491522</v>
      </c>
      <c r="F34" s="5">
        <f t="shared" si="15"/>
        <v>1.4750000000000001E-2</v>
      </c>
      <c r="H34" s="2"/>
    </row>
    <row r="35" spans="2:8" x14ac:dyDescent="0.25">
      <c r="C35" s="13">
        <v>1.57</v>
      </c>
      <c r="D35" s="2">
        <f t="shared" si="14"/>
        <v>-175.43859649122805</v>
      </c>
      <c r="E35" s="4">
        <f t="shared" si="16"/>
        <v>0.63694267515923564</v>
      </c>
      <c r="F35" s="5">
        <f t="shared" si="15"/>
        <v>1.5700000000000002E-2</v>
      </c>
      <c r="H35" s="2"/>
    </row>
    <row r="36" spans="2:8" x14ac:dyDescent="0.25">
      <c r="C36" s="13">
        <v>1.95</v>
      </c>
      <c r="D36" s="2">
        <f t="shared" si="14"/>
        <v>-105.26315789473685</v>
      </c>
      <c r="E36" s="4">
        <f t="shared" si="16"/>
        <v>0.51282051282051289</v>
      </c>
      <c r="F36" s="5">
        <f t="shared" si="15"/>
        <v>1.95E-2</v>
      </c>
      <c r="H36" s="2"/>
    </row>
    <row r="37" spans="2:8" x14ac:dyDescent="0.25">
      <c r="C37" s="13">
        <v>1.909</v>
      </c>
      <c r="D37" s="2">
        <f t="shared" si="14"/>
        <v>-110.01100110011001</v>
      </c>
      <c r="E37" s="4">
        <f t="shared" si="16"/>
        <v>0.52383446830801461</v>
      </c>
      <c r="F37" s="5">
        <f t="shared" si="15"/>
        <v>1.9089999999999999E-2</v>
      </c>
    </row>
    <row r="40" spans="2:8" x14ac:dyDescent="0.25">
      <c r="B40" t="s">
        <v>105</v>
      </c>
      <c r="C40" t="s">
        <v>102</v>
      </c>
      <c r="D40" s="2">
        <v>1691859600</v>
      </c>
      <c r="E40" s="65">
        <v>45150</v>
      </c>
    </row>
    <row r="41" spans="2:8" x14ac:dyDescent="0.25">
      <c r="B41" t="s">
        <v>104</v>
      </c>
      <c r="C41" t="s">
        <v>103</v>
      </c>
      <c r="D41" s="65" cm="1">
        <f t="array" ref="D41">[1]!datefromutc(D40)</f>
        <v>45150.708333333336</v>
      </c>
      <c r="E41" s="2" cm="1">
        <f t="array" ref="E41">[1]!utcfromdate(E40)</f>
        <v>1691798400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initData</vt:lpstr>
      <vt:lpstr>OddsAlgorithm</vt:lpstr>
      <vt:lpstr>faq</vt:lpstr>
      <vt:lpstr>Sheet2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2023-09-02T15:54:04Z</dcterms:modified>
</cp:coreProperties>
</file>