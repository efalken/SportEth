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6AEA963D-4EFC-4F1C-8C38-7FF25D410725}" xr6:coauthVersionLast="47" xr6:coauthVersionMax="47" xr10:uidLastSave="{00000000-0000-0000-0000-000000000000}"/>
  <bookViews>
    <workbookView xWindow="30975" yWindow="840" windowWidth="25380" windowHeight="14190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</sheets>
  <definedNames>
    <definedName name="solver_adj" localSheetId="0" hidden="1">initData!$X$4:$X$4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" l="1"/>
  <c r="L10" i="3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8" i="3"/>
  <c r="U7" i="3" l="1"/>
  <c r="AI9" i="3" l="1"/>
  <c r="AH7" i="3"/>
  <c r="Y8" i="3"/>
  <c r="Z8" i="3" s="1"/>
  <c r="AB8" i="3" s="1"/>
  <c r="Y9" i="3"/>
  <c r="Z9" i="3" s="1"/>
  <c r="AB9" i="3" s="1"/>
  <c r="Y10" i="3"/>
  <c r="Z10" i="3" s="1"/>
  <c r="AB10" i="3" s="1"/>
  <c r="Y11" i="3"/>
  <c r="Z11" i="3" s="1"/>
  <c r="AB11" i="3" s="1"/>
  <c r="Y12" i="3"/>
  <c r="Z12" i="3"/>
  <c r="Y13" i="3"/>
  <c r="AA13" i="3" s="1"/>
  <c r="Z13" i="3"/>
  <c r="AB13" i="3" s="1"/>
  <c r="Y14" i="3"/>
  <c r="Z14" i="3"/>
  <c r="Y15" i="3"/>
  <c r="Z15" i="3" s="1"/>
  <c r="AB15" i="3" s="1"/>
  <c r="Y16" i="3"/>
  <c r="Z16" i="3"/>
  <c r="Y17" i="3"/>
  <c r="Z17" i="3"/>
  <c r="Y18" i="3"/>
  <c r="Z18" i="3"/>
  <c r="Y19" i="3"/>
  <c r="Z19" i="3"/>
  <c r="AB19" i="3" s="1"/>
  <c r="Y20" i="3"/>
  <c r="Z20" i="3"/>
  <c r="Y21" i="3"/>
  <c r="Z21" i="3" s="1"/>
  <c r="AB21" i="3" s="1"/>
  <c r="Y22" i="3"/>
  <c r="Z22" i="3"/>
  <c r="Y23" i="3"/>
  <c r="Z23" i="3"/>
  <c r="Y24" i="3"/>
  <c r="Z24" i="3"/>
  <c r="Y25" i="3"/>
  <c r="Z25" i="3"/>
  <c r="AB25" i="3" s="1"/>
  <c r="Y26" i="3"/>
  <c r="Z26" i="3"/>
  <c r="Y27" i="3"/>
  <c r="Z27" i="3" s="1"/>
  <c r="AB27" i="3" s="1"/>
  <c r="Y28" i="3"/>
  <c r="Z28" i="3"/>
  <c r="Y29" i="3"/>
  <c r="Z29" i="3"/>
  <c r="Y30" i="3"/>
  <c r="Z30" i="3"/>
  <c r="Y31" i="3"/>
  <c r="Z31" i="3"/>
  <c r="AB31" i="3" s="1"/>
  <c r="Y32" i="3"/>
  <c r="Z32" i="3"/>
  <c r="Y33" i="3"/>
  <c r="Z33" i="3" s="1"/>
  <c r="AB33" i="3" s="1"/>
  <c r="Y35" i="3"/>
  <c r="Z35" i="3"/>
  <c r="Y36" i="3"/>
  <c r="Z36" i="3"/>
  <c r="AB36" i="3" s="1"/>
  <c r="Y37" i="3"/>
  <c r="Z37" i="3"/>
  <c r="AB37" i="3" s="1"/>
  <c r="Y38" i="3"/>
  <c r="Z38" i="3"/>
  <c r="Z7" i="3"/>
  <c r="Y7" i="3"/>
  <c r="AA7" i="3" s="1"/>
  <c r="AA8" i="3"/>
  <c r="AA9" i="3"/>
  <c r="AA10" i="3"/>
  <c r="AA11" i="3"/>
  <c r="AA12" i="3"/>
  <c r="AB12" i="3"/>
  <c r="AA14" i="3"/>
  <c r="AB14" i="3"/>
  <c r="AA15" i="3"/>
  <c r="AA16" i="3"/>
  <c r="AB16" i="3"/>
  <c r="AA17" i="3"/>
  <c r="AB17" i="3"/>
  <c r="AA18" i="3"/>
  <c r="AB18" i="3"/>
  <c r="AA19" i="3"/>
  <c r="AA20" i="3"/>
  <c r="AB20" i="3"/>
  <c r="AA21" i="3"/>
  <c r="AA22" i="3"/>
  <c r="AB22" i="3"/>
  <c r="AA23" i="3"/>
  <c r="AB23" i="3"/>
  <c r="AA24" i="3"/>
  <c r="AB24" i="3"/>
  <c r="AA25" i="3"/>
  <c r="AA26" i="3"/>
  <c r="AB26" i="3"/>
  <c r="AA27" i="3"/>
  <c r="AA28" i="3"/>
  <c r="AB28" i="3"/>
  <c r="AA29" i="3"/>
  <c r="AB29" i="3"/>
  <c r="AA30" i="3"/>
  <c r="AB30" i="3"/>
  <c r="AA31" i="3"/>
  <c r="AA32" i="3"/>
  <c r="AB32" i="3"/>
  <c r="AA33" i="3"/>
  <c r="AA35" i="3"/>
  <c r="AB35" i="3"/>
  <c r="AA36" i="3"/>
  <c r="AA37" i="3"/>
  <c r="AA38" i="3"/>
  <c r="AB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8" i="3"/>
  <c r="A34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A38" i="5" l="1"/>
  <c r="A36" i="5" l="1"/>
  <c r="P11" i="3" l="1"/>
  <c r="O8" i="3"/>
  <c r="Q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S8" i="3" l="1"/>
  <c r="V8" i="3" s="1"/>
  <c r="U8" i="3"/>
  <c r="X8" i="3" l="1"/>
  <c r="K8" i="3" s="1"/>
  <c r="W8" i="3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M38" i="3"/>
  <c r="M8" i="3"/>
  <c r="U10" i="3" l="1"/>
  <c r="I37" i="3"/>
  <c r="A33" i="5" s="1"/>
  <c r="U12" i="3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V37" i="3" s="1"/>
  <c r="U37" i="3"/>
  <c r="S36" i="3"/>
  <c r="V36" i="3" s="1"/>
  <c r="U36" i="3"/>
  <c r="S38" i="3"/>
  <c r="X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W36" i="3" l="1"/>
  <c r="X36" i="3"/>
  <c r="W37" i="3"/>
  <c r="X37" i="3"/>
  <c r="A3" i="5"/>
  <c r="A30" i="5"/>
  <c r="W38" i="3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K37" i="3" l="1"/>
  <c r="K36" i="3"/>
  <c r="A34" i="6"/>
  <c r="A100" i="5"/>
  <c r="AC36" i="3"/>
  <c r="AC37" i="3"/>
  <c r="A53" i="5"/>
  <c r="A37" i="5"/>
  <c r="S28" i="3"/>
  <c r="V28" i="3" s="1"/>
  <c r="U28" i="3"/>
  <c r="S10" i="3"/>
  <c r="S33" i="3"/>
  <c r="V33" i="3" s="1"/>
  <c r="U33" i="3"/>
  <c r="U17" i="3"/>
  <c r="S34" i="3"/>
  <c r="U34" i="3"/>
  <c r="S15" i="3"/>
  <c r="U15" i="3"/>
  <c r="S32" i="3"/>
  <c r="V32" i="3" s="1"/>
  <c r="U32" i="3"/>
  <c r="U20" i="3"/>
  <c r="S22" i="3"/>
  <c r="S24" i="3"/>
  <c r="S26" i="3"/>
  <c r="U26" i="3"/>
  <c r="S31" i="3"/>
  <c r="V31" i="3" s="1"/>
  <c r="U31" i="3"/>
  <c r="U11" i="3"/>
  <c r="U13" i="3"/>
  <c r="S30" i="3"/>
  <c r="V30" i="3" s="1"/>
  <c r="U30" i="3"/>
  <c r="U21" i="3"/>
  <c r="U9" i="3"/>
  <c r="S35" i="3"/>
  <c r="V35" i="3" s="1"/>
  <c r="U35" i="3"/>
  <c r="S29" i="3"/>
  <c r="V29" i="3" s="1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V19" i="3" s="1"/>
  <c r="S20" i="3"/>
  <c r="V20" i="3" s="1"/>
  <c r="T17" i="3"/>
  <c r="T24" i="3"/>
  <c r="S14" i="3"/>
  <c r="V14" i="3" s="1"/>
  <c r="T16" i="3"/>
  <c r="S16" i="3"/>
  <c r="V16" i="3" s="1"/>
  <c r="T23" i="3"/>
  <c r="T27" i="3"/>
  <c r="T15" i="3"/>
  <c r="S9" i="3"/>
  <c r="V9" i="3" s="1"/>
  <c r="S23" i="3"/>
  <c r="V23" i="3" s="1"/>
  <c r="S27" i="3"/>
  <c r="V27" i="3" s="1"/>
  <c r="S21" i="3"/>
  <c r="V21" i="3" s="1"/>
  <c r="T22" i="3"/>
  <c r="T26" i="3"/>
  <c r="T25" i="3"/>
  <c r="S13" i="3"/>
  <c r="V13" i="3" s="1"/>
  <c r="T18" i="3"/>
  <c r="T11" i="3"/>
  <c r="T12" i="3"/>
  <c r="T13" i="3"/>
  <c r="S25" i="3"/>
  <c r="V26" i="3" l="1"/>
  <c r="X34" i="3"/>
  <c r="V34" i="3"/>
  <c r="X7" i="3"/>
  <c r="V7" i="3"/>
  <c r="X15" i="3"/>
  <c r="V15" i="3"/>
  <c r="V22" i="3"/>
  <c r="X10" i="3"/>
  <c r="K10" i="3" s="1"/>
  <c r="V10" i="3"/>
  <c r="V25" i="3"/>
  <c r="V24" i="3"/>
  <c r="W31" i="3"/>
  <c r="X31" i="3"/>
  <c r="W20" i="3"/>
  <c r="X20" i="3"/>
  <c r="W27" i="3"/>
  <c r="X27" i="3"/>
  <c r="W19" i="3"/>
  <c r="X19" i="3"/>
  <c r="W14" i="3"/>
  <c r="X14" i="3"/>
  <c r="W21" i="3"/>
  <c r="X21" i="3"/>
  <c r="W23" i="3"/>
  <c r="X23" i="3"/>
  <c r="W29" i="3"/>
  <c r="X29" i="3"/>
  <c r="X26" i="3"/>
  <c r="X24" i="3"/>
  <c r="K15" i="3"/>
  <c r="W35" i="3"/>
  <c r="X35" i="3"/>
  <c r="A98" i="5"/>
  <c r="A32" i="6"/>
  <c r="X25" i="3"/>
  <c r="W28" i="3"/>
  <c r="X28" i="3"/>
  <c r="W9" i="3"/>
  <c r="X9" i="3"/>
  <c r="K9" i="3" s="1"/>
  <c r="W16" i="3"/>
  <c r="X16" i="3"/>
  <c r="W32" i="3"/>
  <c r="X32" i="3"/>
  <c r="A99" i="5"/>
  <c r="A33" i="6"/>
  <c r="X22" i="3"/>
  <c r="W22" i="3"/>
  <c r="X13" i="3"/>
  <c r="W30" i="3"/>
  <c r="X30" i="3"/>
  <c r="W33" i="3"/>
  <c r="X33" i="3"/>
  <c r="K33" i="3" s="1"/>
  <c r="K7" i="3"/>
  <c r="W34" i="3"/>
  <c r="W7" i="3"/>
  <c r="AD38" i="3"/>
  <c r="AF38" i="3" s="1"/>
  <c r="AC38" i="3"/>
  <c r="AD37" i="3"/>
  <c r="AD36" i="3"/>
  <c r="W15" i="3"/>
  <c r="W25" i="3"/>
  <c r="W26" i="3"/>
  <c r="W24" i="3"/>
  <c r="W13" i="3"/>
  <c r="W10" i="3"/>
  <c r="A64" i="5"/>
  <c r="AC31" i="3"/>
  <c r="A45" i="5"/>
  <c r="A49" i="5"/>
  <c r="A41" i="5"/>
  <c r="U25" i="3"/>
  <c r="U24" i="3"/>
  <c r="U27" i="3"/>
  <c r="U23" i="3"/>
  <c r="U22" i="3"/>
  <c r="U18" i="3"/>
  <c r="U19" i="3"/>
  <c r="S17" i="3"/>
  <c r="V17" i="3" s="1"/>
  <c r="S11" i="3"/>
  <c r="S12" i="3"/>
  <c r="V12" i="3" s="1"/>
  <c r="S18" i="3"/>
  <c r="V18" i="3" s="1"/>
  <c r="Y34" i="3" l="1"/>
  <c r="AC34" i="3" s="1"/>
  <c r="X11" i="3"/>
  <c r="K11" i="3" s="1"/>
  <c r="V11" i="3"/>
  <c r="K16" i="3"/>
  <c r="A72" i="5"/>
  <c r="A6" i="6"/>
  <c r="K19" i="3"/>
  <c r="AD30" i="3"/>
  <c r="AF30" i="3" s="1"/>
  <c r="K30" i="3"/>
  <c r="K24" i="3"/>
  <c r="K27" i="3"/>
  <c r="A11" i="6"/>
  <c r="A77" i="5"/>
  <c r="K28" i="3"/>
  <c r="K26" i="3"/>
  <c r="K14" i="3"/>
  <c r="AD29" i="3"/>
  <c r="AF29" i="3" s="1"/>
  <c r="K29" i="3"/>
  <c r="K20" i="3"/>
  <c r="K25" i="3"/>
  <c r="K22" i="3"/>
  <c r="K23" i="3"/>
  <c r="K31" i="3"/>
  <c r="W17" i="3"/>
  <c r="X17" i="3"/>
  <c r="AD35" i="3"/>
  <c r="AF35" i="3" s="1"/>
  <c r="K35" i="3"/>
  <c r="K21" i="3"/>
  <c r="W18" i="3"/>
  <c r="X18" i="3"/>
  <c r="W12" i="3"/>
  <c r="X12" i="3"/>
  <c r="K12" i="3" s="1"/>
  <c r="AD32" i="3"/>
  <c r="AF32" i="3" s="1"/>
  <c r="K32" i="3"/>
  <c r="AD33" i="3"/>
  <c r="AF33" i="3" s="1"/>
  <c r="AB7" i="3"/>
  <c r="AC7" i="3"/>
  <c r="W11" i="3"/>
  <c r="AE37" i="3"/>
  <c r="AF37" i="3"/>
  <c r="AE36" i="3"/>
  <c r="AF36" i="3"/>
  <c r="AE38" i="3"/>
  <c r="AC35" i="3"/>
  <c r="AC30" i="3"/>
  <c r="AC33" i="3"/>
  <c r="AC29" i="3"/>
  <c r="AC32" i="3"/>
  <c r="A57" i="5"/>
  <c r="AC24" i="3"/>
  <c r="A61" i="5"/>
  <c r="A65" i="5"/>
  <c r="A39" i="5"/>
  <c r="A42" i="5"/>
  <c r="AG34" i="3" l="1"/>
  <c r="Z34" i="3"/>
  <c r="AA34" i="3"/>
  <c r="K34" i="3"/>
  <c r="A75" i="5"/>
  <c r="A9" i="6"/>
  <c r="A19" i="6"/>
  <c r="A85" i="5"/>
  <c r="A10" i="6"/>
  <c r="A76" i="5"/>
  <c r="A92" i="5"/>
  <c r="A26" i="6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E30" i="3"/>
  <c r="AE35" i="3"/>
  <c r="AD7" i="3"/>
  <c r="AE29" i="3"/>
  <c r="AD22" i="3"/>
  <c r="AF22" i="3" s="1"/>
  <c r="AC22" i="3"/>
  <c r="AD23" i="3"/>
  <c r="AF23" i="3" s="1"/>
  <c r="AC23" i="3"/>
  <c r="AD14" i="3"/>
  <c r="AF14" i="3" s="1"/>
  <c r="AC14" i="3"/>
  <c r="AD13" i="3"/>
  <c r="AF13" i="3" s="1"/>
  <c r="AC13" i="3"/>
  <c r="AD15" i="3"/>
  <c r="AF15" i="3" s="1"/>
  <c r="AC15" i="3"/>
  <c r="AE33" i="3"/>
  <c r="AD26" i="3"/>
  <c r="AF26" i="3" s="1"/>
  <c r="AC26" i="3"/>
  <c r="AD10" i="3"/>
  <c r="AF10" i="3" s="1"/>
  <c r="AC10" i="3"/>
  <c r="AD31" i="3"/>
  <c r="AF31" i="3" s="1"/>
  <c r="AD21" i="3"/>
  <c r="AF21" i="3" s="1"/>
  <c r="AC21" i="3"/>
  <c r="AD16" i="3"/>
  <c r="AF16" i="3" s="1"/>
  <c r="AC16" i="3"/>
  <c r="AD19" i="3"/>
  <c r="AF19" i="3" s="1"/>
  <c r="AC19" i="3"/>
  <c r="AC28" i="3"/>
  <c r="AD20" i="3"/>
  <c r="AF20" i="3" s="1"/>
  <c r="AC20" i="3"/>
  <c r="AD25" i="3"/>
  <c r="AF25" i="3" s="1"/>
  <c r="AC25" i="3"/>
  <c r="AD27" i="3"/>
  <c r="AF27" i="3" s="1"/>
  <c r="AC27" i="3"/>
  <c r="AE32" i="3"/>
  <c r="AD9" i="3"/>
  <c r="AF9" i="3" s="1"/>
  <c r="AC9" i="3"/>
  <c r="AD8" i="3"/>
  <c r="AF8" i="3" s="1"/>
  <c r="AC8" i="3"/>
  <c r="A43" i="5"/>
  <c r="A46" i="5"/>
  <c r="A96" i="5" l="1"/>
  <c r="A30" i="6"/>
  <c r="AB34" i="3"/>
  <c r="AD34" i="3"/>
  <c r="A13" i="6"/>
  <c r="A79" i="5"/>
  <c r="A80" i="5"/>
  <c r="A14" i="6"/>
  <c r="A8" i="6"/>
  <c r="A74" i="5"/>
  <c r="AF7" i="3"/>
  <c r="AE9" i="3"/>
  <c r="AE25" i="3"/>
  <c r="AE31" i="3"/>
  <c r="AE15" i="3"/>
  <c r="AE21" i="3"/>
  <c r="AE27" i="3"/>
  <c r="AE20" i="3"/>
  <c r="AE10" i="3"/>
  <c r="AE8" i="3"/>
  <c r="AE22" i="3"/>
  <c r="AE7" i="3"/>
  <c r="AE23" i="3"/>
  <c r="AE13" i="3"/>
  <c r="AE16" i="3"/>
  <c r="AE19" i="3"/>
  <c r="AE14" i="3"/>
  <c r="AD17" i="3"/>
  <c r="AF17" i="3" s="1"/>
  <c r="AC17" i="3"/>
  <c r="AD12" i="3"/>
  <c r="AF12" i="3" s="1"/>
  <c r="AC12" i="3"/>
  <c r="AD28" i="3"/>
  <c r="AD24" i="3"/>
  <c r="AF24" i="3" s="1"/>
  <c r="AD18" i="3"/>
  <c r="AF18" i="3" s="1"/>
  <c r="AC18" i="3"/>
  <c r="AE26" i="3"/>
  <c r="AD11" i="3"/>
  <c r="AF11" i="3" s="1"/>
  <c r="AC11" i="3"/>
  <c r="A50" i="5"/>
  <c r="A47" i="5"/>
  <c r="AH34" i="3" l="1"/>
  <c r="AC40" i="3"/>
  <c r="AF34" i="3"/>
  <c r="AE34" i="3"/>
  <c r="AE28" i="3"/>
  <c r="AF28" i="3"/>
  <c r="AE12" i="3"/>
  <c r="AE24" i="3"/>
  <c r="AE18" i="3"/>
  <c r="AE11" i="3"/>
  <c r="AE17" i="3"/>
  <c r="A51" i="5"/>
  <c r="A54" i="5"/>
  <c r="A58" i="5" l="1"/>
  <c r="A55" i="5"/>
  <c r="A67" i="5" l="1"/>
  <c r="A59" i="5"/>
  <c r="A62" i="5"/>
  <c r="A66" i="5"/>
  <c r="A63" i="5" l="1"/>
</calcChain>
</file>

<file path=xl/sharedStrings.xml><?xml version="1.0" encoding="utf-8"?>
<sst xmlns="http://schemas.openxmlformats.org/spreadsheetml/2006/main" count="152" uniqueCount="83">
  <si>
    <t>ProbWin</t>
  </si>
  <si>
    <t>Away</t>
  </si>
  <si>
    <t>Home</t>
  </si>
  <si>
    <t>Dec Odds</t>
  </si>
  <si>
    <t>ML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</si>
  <si>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</si>
  <si>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</si>
  <si>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</si>
  <si>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</si>
  <si>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</si>
  <si>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</si>
  <si>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</si>
  <si>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</si>
  <si>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vig</t>
  </si>
  <si>
    <t>initial</t>
  </si>
  <si>
    <t>faveUnderDog</t>
  </si>
  <si>
    <t>Favorite</t>
  </si>
  <si>
    <t>Underdog</t>
  </si>
  <si>
    <t>InitFav</t>
  </si>
  <si>
    <t>Match</t>
  </si>
  <si>
    <t>Transform</t>
  </si>
  <si>
    <t>ProbDiff</t>
  </si>
  <si>
    <t>{</t>
  </si>
  <si>
    <t>}</t>
  </si>
  <si>
    <t>GMT UTC</t>
  </si>
  <si>
    <t>Winner</t>
  </si>
  <si>
    <t>"_starts": [</t>
  </si>
  <si>
    <t>"_decimalOdds": [</t>
  </si>
  <si>
    <t>"_teamsched": [</t>
  </si>
  <si>
    <t>"_results": [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</si>
  <si>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</si>
  <si>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</si>
  <si>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</si>
  <si>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</si>
  <si>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</si>
  <si>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</si>
  <si>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</si>
  <si>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</si>
  <si>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</si>
  <si>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</si>
  <si>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</si>
  <si>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</si>
  <si>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</si>
  <si>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LosAngelesRams</t>
  </si>
  <si>
    <t>Seattle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</si>
  <si>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</si>
  <si>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</si>
  <si>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</si>
  <si>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</si>
  <si>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</si>
  <si>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</si>
  <si>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</si>
  <si>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</si>
  <si>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</si>
  <si>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</si>
  <si>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</si>
  <si>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</si>
  <si>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</si>
  <si>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</si>
  <si>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</si>
  <si>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</si>
  <si>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</si>
  <si>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</si>
  <si>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</si>
  <si>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Adensanya</t>
  </si>
  <si>
    <t>Strickland</t>
  </si>
  <si>
    <t>date</t>
  </si>
  <si>
    <t>Favorite-0</t>
  </si>
  <si>
    <t>Underdog-1</t>
  </si>
  <si>
    <t>LosAngelesChargers</t>
  </si>
  <si>
    <t>UnivOhio</t>
  </si>
  <si>
    <t>BowlingGreen</t>
  </si>
  <si>
    <t>Youngstown</t>
  </si>
  <si>
    <t>NotreDame</t>
  </si>
  <si>
    <t>NCState</t>
  </si>
  <si>
    <t>Tuivasa</t>
  </si>
  <si>
    <t>Volkov</t>
  </si>
  <si>
    <t>Kara-France</t>
  </si>
  <si>
    <t>Kape</t>
  </si>
  <si>
    <t>Toronto</t>
  </si>
  <si>
    <t>London</t>
  </si>
  <si>
    <t>teamA</t>
  </si>
  <si>
    <t>teamB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</si>
</sst>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  <numFmt numFmtId="173" formatCode="0.000E+00;[Red]0.000E+00"/>
  </numFmts>
  <fonts count="1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78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0" fontId="1" fillId="0" borderId="0" xfId="1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7" fontId="1" fillId="0" borderId="3" xfId="1" applyNumberFormat="1" applyFill="1" applyBorder="1"/>
    <xf numFmtId="167" fontId="1" fillId="0" borderId="4" xfId="1" applyNumberFormat="1" applyFill="1" applyBorder="1"/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6" fontId="2" fillId="0" borderId="7" xfId="0" applyNumberFormat="1" applyFont="1" applyBorder="1"/>
    <xf numFmtId="0" fontId="5" fillId="0" borderId="0" xfId="0" applyFont="1"/>
    <xf numFmtId="171" fontId="0" fillId="0" borderId="0" xfId="0" applyNumberFormat="1"/>
    <xf numFmtId="164" fontId="6" fillId="0" borderId="0" xfId="0" applyNumberFormat="1" applyFont="1"/>
    <xf numFmtId="166" fontId="2" fillId="0" borderId="2" xfId="0" applyNumberFormat="1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2" fontId="0" fillId="0" borderId="0" xfId="0" applyNumberFormat="1"/>
    <xf numFmtId="168" fontId="0" fillId="0" borderId="0" xfId="0" applyNumberFormat="1"/>
    <xf numFmtId="0" fontId="4" fillId="6" borderId="1" xfId="3" applyFill="1" applyBorder="1"/>
    <xf numFmtId="0" fontId="4" fillId="6" borderId="3" xfId="3" applyFill="1" applyBorder="1"/>
    <xf numFmtId="0" fontId="4" fillId="6" borderId="6" xfId="3" applyFill="1" applyBorder="1"/>
    <xf numFmtId="171" fontId="4" fillId="6" borderId="0" xfId="3" applyNumberFormat="1" applyFill="1" applyBorder="1"/>
    <xf numFmtId="171" fontId="4" fillId="6" borderId="8" xfId="3" applyNumberFormat="1" applyFill="1" applyBorder="1"/>
    <xf numFmtId="164" fontId="10" fillId="0" borderId="0" xfId="0" applyNumberFormat="1" applyFont="1"/>
    <xf numFmtId="167" fontId="10" fillId="0" borderId="3" xfId="0" applyNumberFormat="1" applyFont="1" applyBorder="1"/>
    <xf numFmtId="167" fontId="10" fillId="0" borderId="4" xfId="0" applyNumberFormat="1" applyFont="1" applyBorder="1"/>
    <xf numFmtId="165" fontId="10" fillId="0" borderId="0" xfId="0" applyNumberFormat="1" applyFont="1"/>
    <xf numFmtId="164" fontId="7" fillId="0" borderId="0" xfId="3" applyNumberFormat="1" applyFont="1" applyFill="1"/>
    <xf numFmtId="167" fontId="7" fillId="0" borderId="3" xfId="3" applyNumberFormat="1" applyFont="1" applyFill="1" applyBorder="1"/>
    <xf numFmtId="167" fontId="7" fillId="0" borderId="4" xfId="3" applyNumberFormat="1" applyFont="1" applyFill="1" applyBorder="1"/>
    <xf numFmtId="165" fontId="7" fillId="0" borderId="0" xfId="3" applyNumberFormat="1" applyFont="1" applyFill="1"/>
    <xf numFmtId="0" fontId="9" fillId="0" borderId="0" xfId="3" applyFont="1" applyFill="1"/>
    <xf numFmtId="166" fontId="4" fillId="4" borderId="5" xfId="3" applyNumberFormat="1" applyFill="1" applyBorder="1"/>
    <xf numFmtId="166" fontId="4" fillId="4" borderId="0" xfId="3" applyNumberFormat="1" applyFill="1" applyBorder="1"/>
    <xf numFmtId="166" fontId="4" fillId="4" borderId="8" xfId="3" applyNumberFormat="1" applyFill="1" applyBorder="1"/>
    <xf numFmtId="166" fontId="2" fillId="0" borderId="1" xfId="0" applyNumberFormat="1" applyFont="1" applyBorder="1"/>
    <xf numFmtId="166" fontId="2" fillId="0" borderId="6" xfId="0" applyNumberFormat="1" applyFont="1" applyBorder="1"/>
    <xf numFmtId="170" fontId="0" fillId="0" borderId="0" xfId="0" applyNumberFormat="1"/>
    <xf numFmtId="0" fontId="0" fillId="0" borderId="0" xfId="0" applyAlignment="1">
      <alignment horizontal="right"/>
    </xf>
    <xf numFmtId="173" fontId="2" fillId="0" borderId="0" xfId="0" applyNumberFormat="1" applyFont="1"/>
    <xf numFmtId="0" fontId="0" fillId="5" borderId="2" xfId="0" applyFill="1" applyBorder="1"/>
    <xf numFmtId="0" fontId="0" fillId="5" borderId="4" xfId="0" applyFill="1" applyBorder="1"/>
    <xf numFmtId="0" fontId="0" fillId="5" borderId="7" xfId="0" applyFill="1" applyBorder="1"/>
    <xf numFmtId="0" fontId="1" fillId="4" borderId="1" xfId="1" applyFill="1" applyBorder="1" applyAlignment="1">
      <alignment horizontal="left"/>
    </xf>
    <xf numFmtId="0" fontId="1" fillId="4" borderId="5" xfId="1" applyFill="1" applyBorder="1" applyAlignment="1">
      <alignment horizontal="left"/>
    </xf>
    <xf numFmtId="166" fontId="1" fillId="4" borderId="5" xfId="1" applyNumberFormat="1" applyFill="1" applyBorder="1" applyAlignment="1">
      <alignment horizontal="right"/>
    </xf>
    <xf numFmtId="0" fontId="1" fillId="4" borderId="3" xfId="1" applyFill="1" applyBorder="1" applyAlignment="1">
      <alignment horizontal="left"/>
    </xf>
    <xf numFmtId="0" fontId="1" fillId="4" borderId="0" xfId="1" applyFill="1" applyBorder="1" applyAlignment="1">
      <alignment horizontal="left"/>
    </xf>
    <xf numFmtId="166" fontId="1" fillId="4" borderId="0" xfId="1" applyNumberFormat="1" applyFill="1" applyBorder="1" applyAlignment="1">
      <alignment horizontal="right"/>
    </xf>
    <xf numFmtId="166" fontId="8" fillId="4" borderId="0" xfId="1" applyNumberFormat="1" applyFont="1" applyFill="1" applyBorder="1" applyAlignment="1">
      <alignment horizontal="right"/>
    </xf>
    <xf numFmtId="0" fontId="1" fillId="4" borderId="0" xfId="1" applyFill="1" applyBorder="1"/>
    <xf numFmtId="170" fontId="1" fillId="4" borderId="2" xfId="1" applyNumberFormat="1" applyFill="1" applyBorder="1" applyAlignment="1">
      <alignment horizontal="right"/>
    </xf>
    <xf numFmtId="170" fontId="1" fillId="4" borderId="4" xfId="1" applyNumberFormat="1" applyFill="1" applyBorder="1" applyAlignment="1">
      <alignment horizontal="right"/>
    </xf>
    <xf numFmtId="0" fontId="1" fillId="4" borderId="3" xfId="1" applyFill="1" applyBorder="1"/>
    <xf numFmtId="0" fontId="1" fillId="4" borderId="6" xfId="1" applyFill="1" applyBorder="1" applyAlignment="1">
      <alignment horizontal="left"/>
    </xf>
    <xf numFmtId="0" fontId="1" fillId="4" borderId="8" xfId="1" applyFill="1" applyBorder="1" applyAlignment="1">
      <alignment horizontal="left"/>
    </xf>
    <xf numFmtId="166" fontId="1" fillId="4" borderId="8" xfId="1" applyNumberFormat="1" applyFill="1" applyBorder="1" applyAlignment="1">
      <alignment horizontal="right"/>
    </xf>
    <xf numFmtId="170" fontId="1" fillId="4" borderId="7" xfId="1" applyNumberFormat="1" applyFill="1" applyBorder="1" applyAlignment="1">
      <alignment horizontal="right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I55"/>
  <sheetViews>
    <sheetView tabSelected="1" zoomScale="75" zoomScaleNormal="75" workbookViewId="0">
      <selection activeCell="I7" sqref="I7"/>
    </sheetView>
  </sheetViews>
  <sheetFormatPr defaultRowHeight="15" x14ac:dyDescent="0.25"/>
  <cols>
    <col min="2" max="2" width="8.85546875" customWidth="1"/>
    <col min="3" max="3" width="11.7109375" bestFit="1" customWidth="1"/>
    <col min="4" max="4" width="23" customWidth="1"/>
    <col min="5" max="5" width="8.7109375" customWidth="1"/>
    <col min="6" max="6" width="13.28515625" customWidth="1"/>
    <col min="7" max="7" width="24" customWidth="1"/>
    <col min="8" max="8" width="6.5703125" customWidth="1"/>
    <col min="9" max="9" width="32.42578125" customWidth="1"/>
    <col min="10" max="10" width="20" customWidth="1"/>
    <col min="11" max="11" width="17.42578125" customWidth="1"/>
    <col min="12" max="12" width="19.140625" customWidth="1"/>
    <col min="13" max="13" width="15.85546875" customWidth="1"/>
    <col min="14" max="14" width="18.5703125" bestFit="1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7" width="9.28515625" bestFit="1" customWidth="1"/>
    <col min="28" max="29" width="9.28515625" customWidth="1"/>
    <col min="30" max="30" width="29" customWidth="1"/>
    <col min="31" max="31" width="26" bestFit="1" customWidth="1"/>
    <col min="32" max="32" width="14.28515625" bestFit="1" customWidth="1"/>
  </cols>
  <sheetData>
    <row r="2" spans="1:35" x14ac:dyDescent="0.25">
      <c r="G2" s="57">
        <v>25569</v>
      </c>
      <c r="I2" s="36"/>
    </row>
    <row r="3" spans="1:35" x14ac:dyDescent="0.25">
      <c r="D3">
        <v>1692467999.9999998</v>
      </c>
    </row>
    <row r="4" spans="1:35" x14ac:dyDescent="0.25">
      <c r="E4" s="35" t="s">
        <v>14</v>
      </c>
      <c r="I4" s="5"/>
      <c r="J4" s="32"/>
      <c r="K4" s="16"/>
      <c r="M4" t="s">
        <v>15</v>
      </c>
      <c r="Q4" s="3"/>
      <c r="S4" s="1"/>
      <c r="T4" s="3"/>
      <c r="U4" s="1"/>
      <c r="V4" s="3"/>
      <c r="X4" s="1">
        <v>0.51100000000000001</v>
      </c>
      <c r="Y4">
        <v>45</v>
      </c>
      <c r="Z4" s="3"/>
      <c r="AA4" s="2"/>
      <c r="AB4" s="3"/>
      <c r="AC4" s="3"/>
    </row>
    <row r="5" spans="1:35" ht="17.25" thickBot="1" x14ac:dyDescent="0.35">
      <c r="E5" s="6" t="s">
        <v>4</v>
      </c>
      <c r="F5" s="6" t="s">
        <v>4</v>
      </c>
      <c r="G5" s="30"/>
      <c r="J5" s="31" t="s">
        <v>24</v>
      </c>
      <c r="M5" s="13"/>
      <c r="N5" s="13"/>
      <c r="O5" s="13"/>
      <c r="P5" s="13"/>
      <c r="Q5" s="13" t="s">
        <v>3</v>
      </c>
      <c r="R5" s="13" t="s">
        <v>3</v>
      </c>
      <c r="S5" s="13" t="s">
        <v>0</v>
      </c>
      <c r="T5" s="13" t="s">
        <v>0</v>
      </c>
      <c r="U5" s="3"/>
      <c r="V5" s="3"/>
      <c r="W5" s="3"/>
      <c r="X5" s="3" t="s">
        <v>20</v>
      </c>
      <c r="Y5" s="3" t="s">
        <v>3</v>
      </c>
      <c r="Z5" s="3" t="s">
        <v>3</v>
      </c>
      <c r="AA5" s="3" t="s">
        <v>5</v>
      </c>
      <c r="AB5" s="3"/>
      <c r="AC5" s="3"/>
    </row>
    <row r="6" spans="1:35" ht="15.75" thickBot="1" x14ac:dyDescent="0.3">
      <c r="A6" t="s">
        <v>19</v>
      </c>
      <c r="B6" s="3" t="s">
        <v>9</v>
      </c>
      <c r="C6" s="3" t="s">
        <v>81</v>
      </c>
      <c r="D6" s="3" t="s">
        <v>82</v>
      </c>
      <c r="E6" s="8" t="s">
        <v>2</v>
      </c>
      <c r="F6" s="7" t="s">
        <v>1</v>
      </c>
      <c r="G6" s="6" t="s">
        <v>66</v>
      </c>
      <c r="I6" t="s">
        <v>10</v>
      </c>
      <c r="J6" t="s">
        <v>11</v>
      </c>
      <c r="K6" t="s">
        <v>12</v>
      </c>
      <c r="L6" s="6" t="s">
        <v>25</v>
      </c>
      <c r="M6" s="17" t="s">
        <v>67</v>
      </c>
      <c r="N6" s="17" t="s">
        <v>68</v>
      </c>
      <c r="O6" s="17" t="s">
        <v>16</v>
      </c>
      <c r="P6" s="17" t="s">
        <v>17</v>
      </c>
      <c r="Q6" s="17" t="s">
        <v>16</v>
      </c>
      <c r="R6" s="17" t="s">
        <v>17</v>
      </c>
      <c r="S6" s="18" t="s">
        <v>16</v>
      </c>
      <c r="T6" s="19" t="s">
        <v>17</v>
      </c>
      <c r="U6" s="7" t="s">
        <v>13</v>
      </c>
      <c r="V6" s="7"/>
      <c r="W6" s="7" t="s">
        <v>21</v>
      </c>
      <c r="X6" s="20" t="s">
        <v>18</v>
      </c>
      <c r="Y6" s="20" t="s">
        <v>16</v>
      </c>
      <c r="Z6" s="21" t="s">
        <v>17</v>
      </c>
      <c r="AA6" s="7" t="s">
        <v>16</v>
      </c>
      <c r="AB6" s="7" t="s">
        <v>17</v>
      </c>
      <c r="AC6" s="7"/>
    </row>
    <row r="7" spans="1:35" x14ac:dyDescent="0.25">
      <c r="A7" s="3">
        <v>0</v>
      </c>
      <c r="B7" s="63" t="s">
        <v>6</v>
      </c>
      <c r="C7" s="64" t="s">
        <v>32</v>
      </c>
      <c r="D7" s="64" t="s">
        <v>33</v>
      </c>
      <c r="E7" s="65">
        <v>-110</v>
      </c>
      <c r="F7" s="65">
        <v>-110</v>
      </c>
      <c r="G7" s="71">
        <v>45164.75</v>
      </c>
      <c r="I7" s="38" t="str">
        <f t="shared" ref="I7:I38" si="0">""""&amp;B7&amp;":"&amp;M7&amp;":"&amp;N7&amp;""""</f>
        <v>"NFL:Arizona:Washington"</v>
      </c>
      <c r="J7" s="41">
        <f>IF(G7&gt;25560,86400*(G7-25569)+5*3600,1690000000)</f>
        <v>1693090800</v>
      </c>
      <c r="K7" s="52">
        <f t="shared" ref="K7:K12" si="1">IF(Y7&gt;0,INT(Y7),999)</f>
        <v>956</v>
      </c>
      <c r="L7" s="60">
        <v>0</v>
      </c>
      <c r="M7" s="2" t="str">
        <f t="shared" ref="M7:M38" si="2">IF(E7&lt;=F7,C7,D7)</f>
        <v>Arizona</v>
      </c>
      <c r="N7" s="2" t="str">
        <f t="shared" ref="N7:N38" si="3">IF(E7&gt;F7,C7,D7)</f>
        <v>Washington</v>
      </c>
      <c r="O7" s="2">
        <f t="shared" ref="O7:O38" si="4">IF(E7&lt;=F7,E7,F7)</f>
        <v>-110</v>
      </c>
      <c r="P7" s="2">
        <f t="shared" ref="P7:P38" si="5">IF(E7&gt;F7,E7,F7)</f>
        <v>-110</v>
      </c>
      <c r="Q7" s="4">
        <f>IF(O7&lt;0,-(100-O7)/O7,O7/100+1)</f>
        <v>1.9090909090909092</v>
      </c>
      <c r="R7" s="4">
        <f>IF(P7&lt;0,-(100-P7)/P7,P7/100+1)</f>
        <v>1.9090909090909092</v>
      </c>
      <c r="S7" s="22">
        <f t="shared" ref="S7:S27" si="6">1/Q7</f>
        <v>0.52380952380952384</v>
      </c>
      <c r="T7" s="23">
        <f t="shared" ref="T7:T27" si="7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24">
        <f>X$4+(S7-T7)/2</f>
        <v>0.51100000000000001</v>
      </c>
      <c r="Y7" s="11">
        <f>INT((1/X7-1)*1000)</f>
        <v>956</v>
      </c>
      <c r="Z7" s="2">
        <f>INT(1000000/(Y7+Y$4))-Y$4</f>
        <v>954</v>
      </c>
      <c r="AA7" s="55">
        <f>INT(Y7*0.95)</f>
        <v>908</v>
      </c>
      <c r="AB7" s="33">
        <f>INT(Z7*0.95)</f>
        <v>906</v>
      </c>
      <c r="AC7" s="10">
        <f>Y7*0.95/1000+1</f>
        <v>1.9081999999999999</v>
      </c>
      <c r="AD7" s="10">
        <f>Z7*0.95/1000+1</f>
        <v>1.9062999999999999</v>
      </c>
      <c r="AE7" s="1">
        <f>1/AC7+1/AD7-1</f>
        <v>4.8630486934625017E-2</v>
      </c>
      <c r="AF7" s="5">
        <f t="shared" ref="AF7:AF38" si="8">AD7-R7</f>
        <v>-2.7909090909092882E-3</v>
      </c>
      <c r="AH7" s="37">
        <f>AA7/AA10</f>
        <v>4.472906403940887</v>
      </c>
      <c r="AI7">
        <v>7.87</v>
      </c>
    </row>
    <row r="8" spans="1:35" x14ac:dyDescent="0.25">
      <c r="A8" s="3">
        <v>1</v>
      </c>
      <c r="B8" s="66" t="s">
        <v>6</v>
      </c>
      <c r="C8" s="67" t="s">
        <v>34</v>
      </c>
      <c r="D8" s="67" t="s">
        <v>35</v>
      </c>
      <c r="E8" s="68">
        <v>136</v>
      </c>
      <c r="F8" s="68">
        <v>-167</v>
      </c>
      <c r="G8" s="72">
        <v>45164.75</v>
      </c>
      <c r="I8" s="39" t="str">
        <f t="shared" si="0"/>
        <v>"NFL:Baltimore:Houston"</v>
      </c>
      <c r="J8" s="41">
        <f>IF(G8&gt;25560,86400*(G8-25569)+5*3600,1690000000)</f>
        <v>1693090800</v>
      </c>
      <c r="K8" s="53">
        <f t="shared" si="1"/>
        <v>634</v>
      </c>
      <c r="L8" s="61">
        <f>IF(L7=0,1,0)</f>
        <v>1</v>
      </c>
      <c r="M8" s="2" t="str">
        <f t="shared" si="2"/>
        <v>Baltimore</v>
      </c>
      <c r="N8" s="2" t="str">
        <f t="shared" si="3"/>
        <v>Houston</v>
      </c>
      <c r="O8" s="2">
        <f t="shared" si="4"/>
        <v>-167</v>
      </c>
      <c r="P8" s="2">
        <f t="shared" si="5"/>
        <v>136</v>
      </c>
      <c r="Q8" s="4">
        <f>IF(O8&lt;0,-(100-O8)/O8,O8/100+1)</f>
        <v>1.5988023952095809</v>
      </c>
      <c r="R8" s="4">
        <f>IF(P8&lt;0,-(100-P8)/P8,P8/100+1)</f>
        <v>2.3600000000000003</v>
      </c>
      <c r="S8" s="22">
        <f t="shared" ref="S8" si="9">1/Q8</f>
        <v>0.62546816479400746</v>
      </c>
      <c r="T8" s="23">
        <f t="shared" ref="T8" si="10">1/R8</f>
        <v>0.42372881355932196</v>
      </c>
      <c r="U8" s="1">
        <f>1-Q8*R8/(Q8+R8)</f>
        <v>4.6890125847047215E-2</v>
      </c>
      <c r="V8" s="1">
        <f t="shared" ref="V8:V37" si="11">S8+T8-1</f>
        <v>4.9196978353329479E-2</v>
      </c>
      <c r="W8" s="1">
        <f t="shared" ref="W8:W38" si="12">ABS(S8-T8)/2</f>
        <v>0.10086967561734275</v>
      </c>
      <c r="X8" s="24">
        <f t="shared" ref="X8:X38" si="13">X$4+(S8-T8)/2</f>
        <v>0.61186967561734273</v>
      </c>
      <c r="Y8" s="11">
        <f t="shared" ref="Y8:Y38" si="14">INT((1/X8-1)*1000)</f>
        <v>634</v>
      </c>
      <c r="Z8" s="2">
        <f t="shared" ref="Z8:Z38" si="15">INT(1000000/(Y8+Y$4))-Y$4</f>
        <v>1427</v>
      </c>
      <c r="AA8" s="11">
        <f t="shared" ref="AA8:AA38" si="16">INT(Y8*0.95)</f>
        <v>602</v>
      </c>
      <c r="AB8" s="12">
        <f t="shared" ref="AB8:AB38" si="17">INT(Z8*0.95)</f>
        <v>1355</v>
      </c>
      <c r="AC8" s="10">
        <f t="shared" ref="AC8:AC38" si="18">Y8*0.95/1000+1</f>
        <v>1.6023000000000001</v>
      </c>
      <c r="AD8" s="10">
        <f t="shared" ref="AD8:AD38" si="19">Z8*0.95/1000+1</f>
        <v>2.3556499999999998</v>
      </c>
      <c r="AE8" s="1">
        <f t="shared" ref="AE8:AE38" si="20">1/AC8+1/AD8-1</f>
        <v>4.8614133537337123E-2</v>
      </c>
      <c r="AF8" s="5">
        <f t="shared" si="8"/>
        <v>-4.3500000000005201E-3</v>
      </c>
      <c r="AI8">
        <v>35.18</v>
      </c>
    </row>
    <row r="9" spans="1:35" x14ac:dyDescent="0.25">
      <c r="A9" s="3">
        <v>2</v>
      </c>
      <c r="B9" s="66" t="s">
        <v>6</v>
      </c>
      <c r="C9" s="67" t="s">
        <v>36</v>
      </c>
      <c r="D9" s="67" t="s">
        <v>37</v>
      </c>
      <c r="E9" s="68">
        <v>-166.66666666666666</v>
      </c>
      <c r="F9" s="68">
        <v>135.92753623188406</v>
      </c>
      <c r="G9" s="72">
        <v>45164.75</v>
      </c>
      <c r="I9" s="39" t="str">
        <f t="shared" si="0"/>
        <v>"NFL:GreenBay:Chicago"</v>
      </c>
      <c r="J9" s="41">
        <f t="shared" ref="J9:J38" si="21">IF(G9&gt;25560,86400*(G9-25569)+5*3600,1690000000)</f>
        <v>1693090800</v>
      </c>
      <c r="K9" s="53">
        <f t="shared" si="1"/>
        <v>635</v>
      </c>
      <c r="L9" s="61">
        <v>2</v>
      </c>
      <c r="M9" s="2" t="str">
        <f t="shared" si="2"/>
        <v>GreenBay</v>
      </c>
      <c r="N9" s="2" t="str">
        <f t="shared" si="3"/>
        <v>Chicago</v>
      </c>
      <c r="O9" s="2">
        <f t="shared" si="4"/>
        <v>-166.66666666666666</v>
      </c>
      <c r="P9" s="2">
        <f t="shared" si="5"/>
        <v>135.92753623188406</v>
      </c>
      <c r="Q9" s="4">
        <f t="shared" ref="Q9:Q38" si="22">IF(O9&lt;0,-(100-O9)/O9,O9/100+1)</f>
        <v>1.5999999999999999</v>
      </c>
      <c r="R9" s="4">
        <f t="shared" ref="R9:R38" si="23">IF(P9&lt;0,-(100-P9)/P9,P9/100+1)</f>
        <v>2.3592753623188409</v>
      </c>
      <c r="S9" s="22">
        <f t="shared" si="6"/>
        <v>0.625</v>
      </c>
      <c r="T9" s="23">
        <f t="shared" si="7"/>
        <v>0.42385895939554019</v>
      </c>
      <c r="U9" s="1">
        <f t="shared" ref="U9:U35" si="24">1-Q9*R9/(Q9+R9)</f>
        <v>4.6582964237343982E-2</v>
      </c>
      <c r="V9" s="1">
        <f t="shared" si="11"/>
        <v>4.8858959395540191E-2</v>
      </c>
      <c r="W9" s="1">
        <f t="shared" si="12"/>
        <v>0.1005705203022299</v>
      </c>
      <c r="X9" s="24">
        <f t="shared" si="13"/>
        <v>0.61157052030222991</v>
      </c>
      <c r="Y9" s="11">
        <f t="shared" si="14"/>
        <v>635</v>
      </c>
      <c r="Z9" s="2">
        <f t="shared" si="15"/>
        <v>1425</v>
      </c>
      <c r="AA9" s="11">
        <f t="shared" si="16"/>
        <v>603</v>
      </c>
      <c r="AB9" s="12">
        <f t="shared" si="17"/>
        <v>1353</v>
      </c>
      <c r="AC9" s="10">
        <f t="shared" si="18"/>
        <v>1.6032500000000001</v>
      </c>
      <c r="AD9" s="10">
        <f t="shared" si="19"/>
        <v>2.3537499999999998</v>
      </c>
      <c r="AE9" s="1">
        <f t="shared" si="20"/>
        <v>4.8586998710383078E-2</v>
      </c>
      <c r="AF9" s="5">
        <f t="shared" si="8"/>
        <v>-5.5253623188411538E-3</v>
      </c>
      <c r="AI9">
        <f>AI8/AI7</f>
        <v>4.4701397712833542</v>
      </c>
    </row>
    <row r="10" spans="1:35" x14ac:dyDescent="0.25">
      <c r="A10" s="3">
        <v>3</v>
      </c>
      <c r="B10" s="66" t="s">
        <v>6</v>
      </c>
      <c r="C10" s="67" t="s">
        <v>38</v>
      </c>
      <c r="D10" s="67" t="s">
        <v>39</v>
      </c>
      <c r="E10" s="68">
        <v>-500</v>
      </c>
      <c r="F10" s="68">
        <v>380</v>
      </c>
      <c r="G10" s="72">
        <v>45164.75</v>
      </c>
      <c r="I10" s="39" t="str">
        <f t="shared" si="0"/>
        <v>"NFL:LasVegas:Denver"</v>
      </c>
      <c r="J10" s="41">
        <f t="shared" si="21"/>
        <v>1693090800</v>
      </c>
      <c r="K10" s="53">
        <f t="shared" si="1"/>
        <v>214</v>
      </c>
      <c r="L10" s="61">
        <f t="shared" ref="L10:L38" si="25">IF(L9=0,1,0)</f>
        <v>0</v>
      </c>
      <c r="M10" s="2" t="str">
        <f t="shared" si="2"/>
        <v>LasVegas</v>
      </c>
      <c r="N10" s="2" t="str">
        <f t="shared" si="3"/>
        <v>Denver</v>
      </c>
      <c r="O10" s="2">
        <f t="shared" si="4"/>
        <v>-500</v>
      </c>
      <c r="P10" s="2">
        <f t="shared" si="5"/>
        <v>380</v>
      </c>
      <c r="Q10" s="4">
        <f t="shared" si="22"/>
        <v>1.2</v>
      </c>
      <c r="R10" s="4">
        <f t="shared" si="23"/>
        <v>4.8</v>
      </c>
      <c r="S10" s="22">
        <f t="shared" si="6"/>
        <v>0.83333333333333337</v>
      </c>
      <c r="T10" s="23">
        <f t="shared" si="7"/>
        <v>0.20833333333333334</v>
      </c>
      <c r="U10" s="1">
        <f>1-Q10*R10/(Q10+R10)</f>
        <v>4.0000000000000036E-2</v>
      </c>
      <c r="V10" s="1">
        <f t="shared" si="11"/>
        <v>4.1666666666666741E-2</v>
      </c>
      <c r="W10" s="1">
        <f t="shared" si="12"/>
        <v>0.3125</v>
      </c>
      <c r="X10" s="24">
        <f t="shared" si="13"/>
        <v>0.82350000000000001</v>
      </c>
      <c r="Y10" s="11">
        <f t="shared" si="14"/>
        <v>214</v>
      </c>
      <c r="Z10" s="2">
        <f t="shared" si="15"/>
        <v>3816</v>
      </c>
      <c r="AA10" s="11">
        <f t="shared" si="16"/>
        <v>203</v>
      </c>
      <c r="AB10" s="12">
        <f t="shared" si="17"/>
        <v>3625</v>
      </c>
      <c r="AC10" s="10">
        <f t="shared" si="18"/>
        <v>1.2033</v>
      </c>
      <c r="AD10" s="10">
        <f t="shared" si="19"/>
        <v>4.6251999999999995</v>
      </c>
      <c r="AE10" s="1">
        <f t="shared" si="20"/>
        <v>4.7254818196887038E-2</v>
      </c>
      <c r="AF10" s="5">
        <f t="shared" si="8"/>
        <v>-0.17480000000000029</v>
      </c>
    </row>
    <row r="11" spans="1:35" x14ac:dyDescent="0.25">
      <c r="A11" s="3">
        <v>4</v>
      </c>
      <c r="B11" s="66" t="s">
        <v>6</v>
      </c>
      <c r="C11" s="67" t="s">
        <v>40</v>
      </c>
      <c r="D11" s="67" t="s">
        <v>41</v>
      </c>
      <c r="E11" s="68">
        <v>-110</v>
      </c>
      <c r="F11" s="68">
        <v>-109.76936346954697</v>
      </c>
      <c r="G11" s="72">
        <v>45164.75</v>
      </c>
      <c r="I11" s="39" t="str">
        <f t="shared" si="0"/>
        <v>"NFL:Philadelphia:NewEngland"</v>
      </c>
      <c r="J11" s="41">
        <f t="shared" si="21"/>
        <v>1693090800</v>
      </c>
      <c r="K11" s="53">
        <f t="shared" si="1"/>
        <v>955</v>
      </c>
      <c r="L11" s="61">
        <f t="shared" si="25"/>
        <v>1</v>
      </c>
      <c r="M11" s="2" t="str">
        <f t="shared" si="2"/>
        <v>Philadelphia</v>
      </c>
      <c r="N11" s="2" t="str">
        <f t="shared" si="3"/>
        <v>NewEngland</v>
      </c>
      <c r="O11" s="2">
        <f t="shared" si="4"/>
        <v>-110</v>
      </c>
      <c r="P11" s="2">
        <f>IF(E11&gt;F11,E11,F11)</f>
        <v>-109.76936346954697</v>
      </c>
      <c r="Q11" s="4">
        <f t="shared" si="22"/>
        <v>1.9090909090909092</v>
      </c>
      <c r="R11" s="4">
        <f t="shared" si="23"/>
        <v>1.911001001001001</v>
      </c>
      <c r="S11" s="22">
        <f t="shared" si="6"/>
        <v>0.52380952380952384</v>
      </c>
      <c r="T11" s="23">
        <f t="shared" si="7"/>
        <v>0.5232859634695064</v>
      </c>
      <c r="U11" s="1">
        <f t="shared" si="24"/>
        <v>4.4977261244255717E-2</v>
      </c>
      <c r="V11" s="1">
        <f t="shared" si="11"/>
        <v>4.7095487279030124E-2</v>
      </c>
      <c r="W11" s="1">
        <f t="shared" si="12"/>
        <v>2.6178017000871856E-4</v>
      </c>
      <c r="X11" s="24">
        <f t="shared" si="13"/>
        <v>0.51126178017000878</v>
      </c>
      <c r="Y11" s="11">
        <f t="shared" si="14"/>
        <v>955</v>
      </c>
      <c r="Z11" s="2">
        <f t="shared" si="15"/>
        <v>955</v>
      </c>
      <c r="AA11" s="11">
        <f t="shared" si="16"/>
        <v>907</v>
      </c>
      <c r="AB11" s="12">
        <f t="shared" si="17"/>
        <v>907</v>
      </c>
      <c r="AC11" s="10">
        <f t="shared" si="18"/>
        <v>1.9072499999999999</v>
      </c>
      <c r="AD11" s="10">
        <f t="shared" si="19"/>
        <v>1.9072499999999999</v>
      </c>
      <c r="AE11" s="1">
        <f t="shared" si="20"/>
        <v>4.8630226766286588E-2</v>
      </c>
      <c r="AF11" s="5">
        <f t="shared" si="8"/>
        <v>-3.7510010010011197E-3</v>
      </c>
    </row>
    <row r="12" spans="1:35" x14ac:dyDescent="0.25">
      <c r="A12" s="3">
        <v>5</v>
      </c>
      <c r="B12" s="66" t="s">
        <v>6</v>
      </c>
      <c r="C12" s="67" t="s">
        <v>42</v>
      </c>
      <c r="D12" s="67" t="s">
        <v>69</v>
      </c>
      <c r="E12" s="68">
        <v>-110</v>
      </c>
      <c r="F12" s="68">
        <v>-101</v>
      </c>
      <c r="G12" s="72">
        <v>45164.75</v>
      </c>
      <c r="I12" s="39" t="str">
        <f t="shared" si="0"/>
        <v>"NFL:Miami:LosAngelesChargers"</v>
      </c>
      <c r="J12" s="41">
        <f t="shared" si="21"/>
        <v>1693090800</v>
      </c>
      <c r="K12" s="53">
        <f t="shared" si="1"/>
        <v>916</v>
      </c>
      <c r="L12" s="61">
        <f t="shared" si="25"/>
        <v>0</v>
      </c>
      <c r="M12" s="2" t="str">
        <f t="shared" si="2"/>
        <v>Miami</v>
      </c>
      <c r="N12" s="2" t="str">
        <f t="shared" si="3"/>
        <v>LosAngelesChargers</v>
      </c>
      <c r="O12" s="2">
        <f t="shared" si="4"/>
        <v>-110</v>
      </c>
      <c r="P12" s="2">
        <f t="shared" si="5"/>
        <v>-101</v>
      </c>
      <c r="Q12" s="4">
        <f t="shared" si="22"/>
        <v>1.9090909090909092</v>
      </c>
      <c r="R12" s="4">
        <f t="shared" si="23"/>
        <v>1.9900990099009901</v>
      </c>
      <c r="S12" s="22">
        <f t="shared" si="6"/>
        <v>0.52380952380952384</v>
      </c>
      <c r="T12" s="23">
        <f t="shared" si="7"/>
        <v>0.50248756218905477</v>
      </c>
      <c r="U12" s="1">
        <f>1-Q12*R12/(Q12+R12)</f>
        <v>2.5623268698060975E-2</v>
      </c>
      <c r="V12" s="1">
        <f t="shared" si="11"/>
        <v>2.6297085998578495E-2</v>
      </c>
      <c r="W12" s="1">
        <f t="shared" si="12"/>
        <v>1.0660980810234533E-2</v>
      </c>
      <c r="X12" s="24">
        <f t="shared" si="13"/>
        <v>0.5216609808102346</v>
      </c>
      <c r="Y12" s="11">
        <f t="shared" si="14"/>
        <v>916</v>
      </c>
      <c r="Z12" s="2">
        <f t="shared" si="15"/>
        <v>995</v>
      </c>
      <c r="AA12" s="11">
        <f t="shared" si="16"/>
        <v>870</v>
      </c>
      <c r="AB12" s="12">
        <f t="shared" si="17"/>
        <v>945</v>
      </c>
      <c r="AC12" s="10">
        <f t="shared" si="18"/>
        <v>1.8702000000000001</v>
      </c>
      <c r="AD12" s="10">
        <f t="shared" si="19"/>
        <v>1.9452500000000001</v>
      </c>
      <c r="AE12" s="1">
        <f t="shared" si="20"/>
        <v>4.8774912183706665E-2</v>
      </c>
      <c r="AF12" s="5">
        <f t="shared" si="8"/>
        <v>-4.4849009900989945E-2</v>
      </c>
    </row>
    <row r="13" spans="1:35" x14ac:dyDescent="0.25">
      <c r="A13" s="3">
        <v>6</v>
      </c>
      <c r="B13" s="66" t="s">
        <v>6</v>
      </c>
      <c r="C13" s="67" t="s">
        <v>79</v>
      </c>
      <c r="D13" s="67" t="s">
        <v>80</v>
      </c>
      <c r="E13" s="68">
        <v>125</v>
      </c>
      <c r="F13" s="68">
        <v>-152.37662042301568</v>
      </c>
      <c r="G13" s="72">
        <v>45164.75</v>
      </c>
      <c r="I13" s="39" t="str">
        <f t="shared" si="0"/>
        <v>"NFL:London:Toronto"</v>
      </c>
      <c r="J13" s="41">
        <f t="shared" si="21"/>
        <v>1693090800</v>
      </c>
      <c r="K13" s="53">
        <v>900</v>
      </c>
      <c r="L13" s="61">
        <f t="shared" si="25"/>
        <v>1</v>
      </c>
      <c r="M13" s="2" t="str">
        <f t="shared" si="2"/>
        <v>London</v>
      </c>
      <c r="N13" s="2" t="str">
        <f t="shared" si="3"/>
        <v>Toronto</v>
      </c>
      <c r="O13" s="2">
        <f t="shared" si="4"/>
        <v>-152.37662042301568</v>
      </c>
      <c r="P13" s="2">
        <f t="shared" si="5"/>
        <v>125</v>
      </c>
      <c r="Q13" s="4">
        <f t="shared" si="22"/>
        <v>1.656268656716418</v>
      </c>
      <c r="R13" s="4">
        <f t="shared" si="23"/>
        <v>2.25</v>
      </c>
      <c r="S13" s="22">
        <f t="shared" si="6"/>
        <v>0.60376678381544557</v>
      </c>
      <c r="T13" s="23">
        <f t="shared" si="7"/>
        <v>0.44444444444444442</v>
      </c>
      <c r="U13" s="1">
        <f t="shared" si="24"/>
        <v>4.5993810178817096E-2</v>
      </c>
      <c r="V13" s="1">
        <f t="shared" si="11"/>
        <v>4.8211228259889882E-2</v>
      </c>
      <c r="W13" s="1">
        <f t="shared" si="12"/>
        <v>7.9661169685500577E-2</v>
      </c>
      <c r="X13" s="24">
        <f t="shared" si="13"/>
        <v>0.59066116968550064</v>
      </c>
      <c r="Y13" s="11">
        <f t="shared" si="14"/>
        <v>693</v>
      </c>
      <c r="Z13" s="2">
        <f t="shared" si="15"/>
        <v>1310</v>
      </c>
      <c r="AA13" s="11">
        <f t="shared" si="16"/>
        <v>658</v>
      </c>
      <c r="AB13" s="12">
        <f t="shared" si="17"/>
        <v>1244</v>
      </c>
      <c r="AC13" s="10">
        <f t="shared" si="18"/>
        <v>1.65835</v>
      </c>
      <c r="AD13" s="10">
        <f t="shared" si="19"/>
        <v>2.2444999999999999</v>
      </c>
      <c r="AE13" s="1">
        <f t="shared" si="20"/>
        <v>4.8542541382635473E-2</v>
      </c>
      <c r="AF13" s="5">
        <f t="shared" si="8"/>
        <v>-5.5000000000000604E-3</v>
      </c>
    </row>
    <row r="14" spans="1:35" s="9" customFormat="1" x14ac:dyDescent="0.25">
      <c r="A14" s="3">
        <v>7</v>
      </c>
      <c r="B14" s="66" t="s">
        <v>6</v>
      </c>
      <c r="C14" s="67" t="s">
        <v>32</v>
      </c>
      <c r="D14" s="67" t="s">
        <v>33</v>
      </c>
      <c r="E14" s="68">
        <v>150</v>
      </c>
      <c r="F14" s="68">
        <v>-185.55257322908156</v>
      </c>
      <c r="G14" s="72">
        <v>45164.75</v>
      </c>
      <c r="H14"/>
      <c r="I14" s="39" t="str">
        <f t="shared" si="0"/>
        <v>"NFL:Washington:Arizona"</v>
      </c>
      <c r="J14" s="41">
        <f t="shared" si="21"/>
        <v>1693090800</v>
      </c>
      <c r="K14" s="53">
        <f t="shared" ref="K14:K38" si="26">IF(Y14&gt;0,INT(Y14),999)</f>
        <v>572</v>
      </c>
      <c r="L14" s="61">
        <f t="shared" si="25"/>
        <v>0</v>
      </c>
      <c r="M14" s="2" t="str">
        <f t="shared" si="2"/>
        <v>Washington</v>
      </c>
      <c r="N14" s="2" t="str">
        <f t="shared" si="3"/>
        <v>Arizona</v>
      </c>
      <c r="O14" s="2">
        <f t="shared" si="4"/>
        <v>-185.55257322908156</v>
      </c>
      <c r="P14" s="2">
        <f t="shared" si="5"/>
        <v>150</v>
      </c>
      <c r="Q14" s="4">
        <f t="shared" si="22"/>
        <v>1.5389308176100627</v>
      </c>
      <c r="R14" s="4">
        <f t="shared" si="23"/>
        <v>2.5</v>
      </c>
      <c r="S14" s="14">
        <f t="shared" si="6"/>
        <v>0.64980179002002547</v>
      </c>
      <c r="T14" s="15">
        <f t="shared" si="7"/>
        <v>0.4</v>
      </c>
      <c r="U14" s="1">
        <f t="shared" si="24"/>
        <v>4.7439231380121294E-2</v>
      </c>
      <c r="V14" s="1">
        <f t="shared" si="11"/>
        <v>4.9801790020025383E-2</v>
      </c>
      <c r="W14" s="1">
        <f t="shared" si="12"/>
        <v>0.12490089501001272</v>
      </c>
      <c r="X14" s="24">
        <f t="shared" si="13"/>
        <v>0.63590089501001268</v>
      </c>
      <c r="Y14" s="11">
        <f t="shared" si="14"/>
        <v>572</v>
      </c>
      <c r="Z14" s="2">
        <f t="shared" si="15"/>
        <v>1575</v>
      </c>
      <c r="AA14" s="11">
        <f t="shared" si="16"/>
        <v>543</v>
      </c>
      <c r="AB14" s="12">
        <f t="shared" si="17"/>
        <v>1496</v>
      </c>
      <c r="AC14" s="10">
        <f t="shared" si="18"/>
        <v>1.5434000000000001</v>
      </c>
      <c r="AD14" s="10">
        <f t="shared" si="19"/>
        <v>2.4962499999999999</v>
      </c>
      <c r="AE14" s="1">
        <f t="shared" si="20"/>
        <v>4.8521077586316075E-2</v>
      </c>
      <c r="AF14" s="5">
        <f t="shared" si="8"/>
        <v>-3.7500000000001421E-3</v>
      </c>
    </row>
    <row r="15" spans="1:35" x14ac:dyDescent="0.25">
      <c r="A15" s="3">
        <v>8</v>
      </c>
      <c r="B15" s="66" t="s">
        <v>6</v>
      </c>
      <c r="C15" s="67" t="s">
        <v>34</v>
      </c>
      <c r="D15" s="67" t="s">
        <v>35</v>
      </c>
      <c r="E15" s="68">
        <v>175</v>
      </c>
      <c r="F15" s="68">
        <v>-220.51773729626078</v>
      </c>
      <c r="G15" s="72">
        <v>45164.75</v>
      </c>
      <c r="I15" s="39" t="str">
        <f t="shared" si="0"/>
        <v>"NFL:Baltimore:Houston"</v>
      </c>
      <c r="J15" s="41">
        <f t="shared" si="21"/>
        <v>1693090800</v>
      </c>
      <c r="K15" s="53">
        <f t="shared" si="26"/>
        <v>485</v>
      </c>
      <c r="L15" s="61">
        <f t="shared" si="25"/>
        <v>1</v>
      </c>
      <c r="M15" s="2" t="str">
        <f t="shared" si="2"/>
        <v>Baltimore</v>
      </c>
      <c r="N15" s="2" t="str">
        <f t="shared" si="3"/>
        <v>Houston</v>
      </c>
      <c r="O15" s="2">
        <f t="shared" si="4"/>
        <v>-220.51773729626078</v>
      </c>
      <c r="P15" s="2">
        <f t="shared" si="5"/>
        <v>175</v>
      </c>
      <c r="Q15" s="4">
        <f t="shared" si="22"/>
        <v>1.4534782608695651</v>
      </c>
      <c r="R15" s="4">
        <f t="shared" si="23"/>
        <v>2.75</v>
      </c>
      <c r="S15" s="22">
        <f t="shared" si="6"/>
        <v>0.68800478612025129</v>
      </c>
      <c r="T15" s="23">
        <f t="shared" si="7"/>
        <v>0.36363636363636365</v>
      </c>
      <c r="U15" s="1">
        <f t="shared" si="24"/>
        <v>4.9105295821265993E-2</v>
      </c>
      <c r="V15" s="1">
        <f t="shared" si="11"/>
        <v>5.1641149756614935E-2</v>
      </c>
      <c r="W15" s="1">
        <f t="shared" si="12"/>
        <v>0.16218421124194382</v>
      </c>
      <c r="X15" s="24">
        <f t="shared" si="13"/>
        <v>0.67318421124194383</v>
      </c>
      <c r="Y15" s="11">
        <f t="shared" si="14"/>
        <v>485</v>
      </c>
      <c r="Z15" s="2">
        <f t="shared" si="15"/>
        <v>1841</v>
      </c>
      <c r="AA15" s="11">
        <f t="shared" si="16"/>
        <v>460</v>
      </c>
      <c r="AB15" s="12">
        <f t="shared" si="17"/>
        <v>1748</v>
      </c>
      <c r="AC15" s="10">
        <f t="shared" si="18"/>
        <v>1.46075</v>
      </c>
      <c r="AD15" s="10">
        <f t="shared" si="19"/>
        <v>2.7489499999999998</v>
      </c>
      <c r="AE15" s="1">
        <f t="shared" si="20"/>
        <v>4.8355098768329441E-2</v>
      </c>
      <c r="AF15" s="5">
        <f t="shared" si="8"/>
        <v>-1.0500000000002174E-3</v>
      </c>
    </row>
    <row r="16" spans="1:35" x14ac:dyDescent="0.25">
      <c r="A16" s="3">
        <v>9</v>
      </c>
      <c r="B16" s="66" t="s">
        <v>6</v>
      </c>
      <c r="C16" s="67" t="s">
        <v>36</v>
      </c>
      <c r="D16" s="67" t="s">
        <v>37</v>
      </c>
      <c r="E16" s="68">
        <v>200</v>
      </c>
      <c r="F16" s="68">
        <v>-257.42086463850228</v>
      </c>
      <c r="G16" s="72">
        <v>45164.75</v>
      </c>
      <c r="I16" s="39" t="str">
        <f t="shared" si="0"/>
        <v>"NFL:Chicago:GreenBay"</v>
      </c>
      <c r="J16" s="41">
        <f t="shared" si="21"/>
        <v>1693090800</v>
      </c>
      <c r="K16" s="53">
        <f t="shared" si="26"/>
        <v>419</v>
      </c>
      <c r="L16" s="61">
        <f t="shared" si="25"/>
        <v>0</v>
      </c>
      <c r="M16" s="2" t="str">
        <f t="shared" si="2"/>
        <v>Chicago</v>
      </c>
      <c r="N16" s="2" t="str">
        <f t="shared" si="3"/>
        <v>GreenBay</v>
      </c>
      <c r="O16" s="2">
        <f t="shared" si="4"/>
        <v>-257.42086463850228</v>
      </c>
      <c r="P16" s="2">
        <f t="shared" si="5"/>
        <v>200</v>
      </c>
      <c r="Q16" s="4">
        <f t="shared" si="22"/>
        <v>1.3884688995215311</v>
      </c>
      <c r="R16" s="4">
        <f t="shared" si="23"/>
        <v>3</v>
      </c>
      <c r="S16" s="22">
        <f t="shared" si="6"/>
        <v>0.72021778834556671</v>
      </c>
      <c r="T16" s="23">
        <f t="shared" si="7"/>
        <v>0.33333333333333331</v>
      </c>
      <c r="U16" s="1">
        <f t="shared" si="24"/>
        <v>5.0829162986949061E-2</v>
      </c>
      <c r="V16" s="1">
        <f t="shared" si="11"/>
        <v>5.3551121678899971E-2</v>
      </c>
      <c r="W16" s="1">
        <f t="shared" si="12"/>
        <v>0.1934422275061167</v>
      </c>
      <c r="X16" s="24">
        <f t="shared" si="13"/>
        <v>0.70444222750611674</v>
      </c>
      <c r="Y16" s="11">
        <f t="shared" si="14"/>
        <v>419</v>
      </c>
      <c r="Z16" s="2">
        <f t="shared" si="15"/>
        <v>2110</v>
      </c>
      <c r="AA16" s="11">
        <f t="shared" si="16"/>
        <v>398</v>
      </c>
      <c r="AB16" s="12">
        <f t="shared" si="17"/>
        <v>2004</v>
      </c>
      <c r="AC16" s="10">
        <f t="shared" si="18"/>
        <v>1.39805</v>
      </c>
      <c r="AD16" s="10">
        <f t="shared" si="19"/>
        <v>3.0045000000000002</v>
      </c>
      <c r="AE16" s="1">
        <f t="shared" si="20"/>
        <v>4.8116082138490057E-2</v>
      </c>
      <c r="AF16" s="5">
        <f t="shared" si="8"/>
        <v>4.5000000000001705E-3</v>
      </c>
    </row>
    <row r="17" spans="1:32" x14ac:dyDescent="0.25">
      <c r="A17" s="3">
        <v>10</v>
      </c>
      <c r="B17" s="66" t="s">
        <v>6</v>
      </c>
      <c r="C17" s="67" t="s">
        <v>38</v>
      </c>
      <c r="D17" s="67" t="s">
        <v>39</v>
      </c>
      <c r="E17" s="68">
        <v>225</v>
      </c>
      <c r="F17" s="68">
        <v>-296.42766658221433</v>
      </c>
      <c r="G17" s="72">
        <v>45164.75</v>
      </c>
      <c r="I17" s="39" t="str">
        <f t="shared" si="0"/>
        <v>"NFL:Denver:LasVegas"</v>
      </c>
      <c r="J17" s="41">
        <f t="shared" si="21"/>
        <v>1693090800</v>
      </c>
      <c r="K17" s="53">
        <f t="shared" si="26"/>
        <v>367</v>
      </c>
      <c r="L17" s="61">
        <f t="shared" si="25"/>
        <v>1</v>
      </c>
      <c r="M17" s="2" t="str">
        <f t="shared" si="2"/>
        <v>Denver</v>
      </c>
      <c r="N17" s="2" t="str">
        <f t="shared" si="3"/>
        <v>LasVegas</v>
      </c>
      <c r="O17" s="2">
        <f t="shared" si="4"/>
        <v>-296.42766658221433</v>
      </c>
      <c r="P17" s="2">
        <f t="shared" si="5"/>
        <v>225</v>
      </c>
      <c r="Q17" s="4">
        <f t="shared" si="22"/>
        <v>1.3373504273504273</v>
      </c>
      <c r="R17" s="4">
        <f t="shared" si="23"/>
        <v>3.25</v>
      </c>
      <c r="S17" s="22">
        <f t="shared" si="6"/>
        <v>0.74774717198184959</v>
      </c>
      <c r="T17" s="23">
        <f t="shared" si="7"/>
        <v>0.30769230769230771</v>
      </c>
      <c r="U17" s="1">
        <f t="shared" si="24"/>
        <v>5.2527388582501167E-2</v>
      </c>
      <c r="V17" s="1">
        <f t="shared" si="11"/>
        <v>5.5439479674157299E-2</v>
      </c>
      <c r="W17" s="1">
        <f t="shared" si="12"/>
        <v>0.22002743214477094</v>
      </c>
      <c r="X17" s="24">
        <f t="shared" si="13"/>
        <v>0.73102743214477095</v>
      </c>
      <c r="Y17" s="11">
        <f t="shared" si="14"/>
        <v>367</v>
      </c>
      <c r="Z17" s="2">
        <f t="shared" si="15"/>
        <v>2382</v>
      </c>
      <c r="AA17" s="11">
        <f t="shared" si="16"/>
        <v>348</v>
      </c>
      <c r="AB17" s="12">
        <f t="shared" si="17"/>
        <v>2262</v>
      </c>
      <c r="AC17" s="10">
        <f t="shared" si="18"/>
        <v>1.3486499999999999</v>
      </c>
      <c r="AD17" s="10">
        <f t="shared" si="19"/>
        <v>3.2629000000000001</v>
      </c>
      <c r="AE17" s="1">
        <f t="shared" si="20"/>
        <v>4.7958057344163585E-2</v>
      </c>
      <c r="AF17" s="5">
        <f t="shared" si="8"/>
        <v>1.2900000000000134E-2</v>
      </c>
    </row>
    <row r="18" spans="1:32" x14ac:dyDescent="0.25">
      <c r="A18" s="3">
        <v>11</v>
      </c>
      <c r="B18" s="66" t="s">
        <v>6</v>
      </c>
      <c r="C18" s="67" t="s">
        <v>30</v>
      </c>
      <c r="D18" s="67" t="s">
        <v>31</v>
      </c>
      <c r="E18" s="68">
        <v>250</v>
      </c>
      <c r="F18" s="68">
        <v>-337.72330160385968</v>
      </c>
      <c r="G18" s="72">
        <v>45164.75</v>
      </c>
      <c r="I18" s="39" t="str">
        <f t="shared" si="0"/>
        <v>"NFL:Pittsburgh:SanFrancisco"</v>
      </c>
      <c r="J18" s="41">
        <f t="shared" si="21"/>
        <v>1693090800</v>
      </c>
      <c r="K18" s="53">
        <f t="shared" si="26"/>
        <v>326</v>
      </c>
      <c r="L18" s="61">
        <f t="shared" si="25"/>
        <v>0</v>
      </c>
      <c r="M18" s="2" t="str">
        <f t="shared" si="2"/>
        <v>Pittsburgh</v>
      </c>
      <c r="N18" s="2" t="str">
        <f t="shared" si="3"/>
        <v>SanFrancisco</v>
      </c>
      <c r="O18" s="2">
        <f t="shared" si="4"/>
        <v>-337.72330160385968</v>
      </c>
      <c r="P18" s="2">
        <f t="shared" si="5"/>
        <v>250</v>
      </c>
      <c r="Q18" s="4">
        <f t="shared" si="22"/>
        <v>1.2961003861003861</v>
      </c>
      <c r="R18" s="4">
        <f t="shared" si="23"/>
        <v>3.5</v>
      </c>
      <c r="S18" s="22">
        <f t="shared" si="6"/>
        <v>0.77154517560844826</v>
      </c>
      <c r="T18" s="23">
        <f t="shared" si="7"/>
        <v>0.2857142857142857</v>
      </c>
      <c r="U18" s="1">
        <f t="shared" si="24"/>
        <v>5.4158381568037095E-2</v>
      </c>
      <c r="V18" s="1">
        <f t="shared" si="11"/>
        <v>5.7259461322733962E-2</v>
      </c>
      <c r="W18" s="1">
        <f t="shared" si="12"/>
        <v>0.24291544494708128</v>
      </c>
      <c r="X18" s="24">
        <f t="shared" si="13"/>
        <v>0.75391544494708129</v>
      </c>
      <c r="Y18" s="11">
        <f t="shared" si="14"/>
        <v>326</v>
      </c>
      <c r="Z18" s="2">
        <f t="shared" si="15"/>
        <v>2650</v>
      </c>
      <c r="AA18" s="11">
        <f t="shared" si="16"/>
        <v>309</v>
      </c>
      <c r="AB18" s="12">
        <f t="shared" si="17"/>
        <v>2517</v>
      </c>
      <c r="AC18" s="10">
        <f t="shared" si="18"/>
        <v>1.3096999999999999</v>
      </c>
      <c r="AD18" s="10">
        <f t="shared" si="19"/>
        <v>3.5175000000000001</v>
      </c>
      <c r="AE18" s="1">
        <f t="shared" si="20"/>
        <v>4.7826455262817147E-2</v>
      </c>
      <c r="AF18" s="5">
        <f t="shared" si="8"/>
        <v>1.7500000000000071E-2</v>
      </c>
    </row>
    <row r="19" spans="1:32" x14ac:dyDescent="0.25">
      <c r="A19" s="3">
        <v>12</v>
      </c>
      <c r="B19" s="66" t="s">
        <v>6</v>
      </c>
      <c r="C19" s="67" t="s">
        <v>43</v>
      </c>
      <c r="D19" s="67" t="s">
        <v>44</v>
      </c>
      <c r="E19" s="68">
        <v>275</v>
      </c>
      <c r="F19" s="68">
        <v>-381.51531434712518</v>
      </c>
      <c r="G19" s="72">
        <v>45164.75</v>
      </c>
      <c r="I19" s="39" t="str">
        <f t="shared" si="0"/>
        <v>"NFL:Seattle:LosAngelesRams"</v>
      </c>
      <c r="J19" s="41">
        <f t="shared" si="21"/>
        <v>1693090800</v>
      </c>
      <c r="K19" s="53">
        <f t="shared" si="26"/>
        <v>292</v>
      </c>
      <c r="L19" s="61">
        <f t="shared" si="25"/>
        <v>1</v>
      </c>
      <c r="M19" s="2" t="str">
        <f t="shared" si="2"/>
        <v>Seattle</v>
      </c>
      <c r="N19" s="2" t="str">
        <f t="shared" si="3"/>
        <v>LosAngelesRams</v>
      </c>
      <c r="O19" s="2">
        <f t="shared" si="4"/>
        <v>-381.51531434712518</v>
      </c>
      <c r="P19" s="2">
        <f t="shared" si="5"/>
        <v>275</v>
      </c>
      <c r="Q19" s="4">
        <f t="shared" si="22"/>
        <v>1.2621126760563381</v>
      </c>
      <c r="R19" s="4">
        <f t="shared" si="23"/>
        <v>3.75</v>
      </c>
      <c r="S19" s="22">
        <f t="shared" si="6"/>
        <v>0.79232228545921202</v>
      </c>
      <c r="T19" s="23">
        <f t="shared" si="7"/>
        <v>0.26666666666666666</v>
      </c>
      <c r="U19" s="1">
        <f t="shared" si="24"/>
        <v>5.5703085483055137E-2</v>
      </c>
      <c r="V19" s="1">
        <f t="shared" si="11"/>
        <v>5.8988952125878624E-2</v>
      </c>
      <c r="W19" s="1">
        <f t="shared" si="12"/>
        <v>0.2628278093962727</v>
      </c>
      <c r="X19" s="24">
        <f t="shared" si="13"/>
        <v>0.77382780939627271</v>
      </c>
      <c r="Y19" s="11">
        <f t="shared" si="14"/>
        <v>292</v>
      </c>
      <c r="Z19" s="2">
        <f t="shared" si="15"/>
        <v>2922</v>
      </c>
      <c r="AA19" s="11">
        <f t="shared" si="16"/>
        <v>277</v>
      </c>
      <c r="AB19" s="12">
        <f t="shared" si="17"/>
        <v>2775</v>
      </c>
      <c r="AC19" s="10">
        <f t="shared" si="18"/>
        <v>1.2774000000000001</v>
      </c>
      <c r="AD19" s="10">
        <f t="shared" si="19"/>
        <v>3.7759</v>
      </c>
      <c r="AE19" s="1">
        <f t="shared" si="20"/>
        <v>4.7677666222728954E-2</v>
      </c>
      <c r="AF19" s="5">
        <f t="shared" si="8"/>
        <v>2.5900000000000034E-2</v>
      </c>
    </row>
    <row r="20" spans="1:32" x14ac:dyDescent="0.25">
      <c r="A20" s="3">
        <v>13</v>
      </c>
      <c r="B20" s="66" t="s">
        <v>45</v>
      </c>
      <c r="C20" s="67" t="s">
        <v>70</v>
      </c>
      <c r="D20" s="67" t="s">
        <v>71</v>
      </c>
      <c r="E20" s="68">
        <v>300</v>
      </c>
      <c r="F20" s="68">
        <v>-428.03712425543705</v>
      </c>
      <c r="G20" s="72">
        <v>45164.75</v>
      </c>
      <c r="I20" s="39" t="str">
        <f t="shared" si="0"/>
        <v>"CFL:BowlingGreen:UnivOhio"</v>
      </c>
      <c r="J20" s="41">
        <f t="shared" si="21"/>
        <v>1693090800</v>
      </c>
      <c r="K20" s="53">
        <f t="shared" si="26"/>
        <v>263</v>
      </c>
      <c r="L20" s="61">
        <f t="shared" si="25"/>
        <v>0</v>
      </c>
      <c r="M20" s="2" t="str">
        <f t="shared" si="2"/>
        <v>BowlingGreen</v>
      </c>
      <c r="N20" s="2" t="str">
        <f t="shared" si="3"/>
        <v>UnivOhio</v>
      </c>
      <c r="O20" s="2">
        <f t="shared" si="4"/>
        <v>-428.03712425543705</v>
      </c>
      <c r="P20" s="2">
        <f t="shared" si="5"/>
        <v>300</v>
      </c>
      <c r="Q20" s="4">
        <f t="shared" si="22"/>
        <v>1.2336245954692555</v>
      </c>
      <c r="R20" s="4">
        <f t="shared" si="23"/>
        <v>4</v>
      </c>
      <c r="S20" s="22">
        <f t="shared" si="6"/>
        <v>0.81061937616411772</v>
      </c>
      <c r="T20" s="23">
        <f t="shared" si="7"/>
        <v>0.25</v>
      </c>
      <c r="U20" s="1">
        <f t="shared" si="24"/>
        <v>5.7154694253612748E-2</v>
      </c>
      <c r="V20" s="1">
        <f t="shared" si="11"/>
        <v>6.0619376164117611E-2</v>
      </c>
      <c r="W20" s="1">
        <f t="shared" si="12"/>
        <v>0.28030968808205886</v>
      </c>
      <c r="X20" s="24">
        <f t="shared" si="13"/>
        <v>0.79130968808205893</v>
      </c>
      <c r="Y20" s="11">
        <f t="shared" si="14"/>
        <v>263</v>
      </c>
      <c r="Z20" s="2">
        <f t="shared" si="15"/>
        <v>3201</v>
      </c>
      <c r="AA20" s="11">
        <f t="shared" si="16"/>
        <v>249</v>
      </c>
      <c r="AB20" s="12">
        <f t="shared" si="17"/>
        <v>3040</v>
      </c>
      <c r="AC20" s="10">
        <f t="shared" si="18"/>
        <v>1.2498499999999999</v>
      </c>
      <c r="AD20" s="10">
        <f t="shared" si="19"/>
        <v>4.0409499999999996</v>
      </c>
      <c r="AE20" s="1">
        <f t="shared" si="20"/>
        <v>4.7562572602316555E-2</v>
      </c>
      <c r="AF20" s="5">
        <f t="shared" si="8"/>
        <v>4.0949999999999598E-2</v>
      </c>
    </row>
    <row r="21" spans="1:32" x14ac:dyDescent="0.25">
      <c r="A21" s="3">
        <v>14</v>
      </c>
      <c r="B21" s="66" t="s">
        <v>45</v>
      </c>
      <c r="C21" s="67" t="s">
        <v>46</v>
      </c>
      <c r="D21" s="67" t="s">
        <v>47</v>
      </c>
      <c r="E21" s="68">
        <v>325</v>
      </c>
      <c r="F21" s="68">
        <v>-477.55218758936235</v>
      </c>
      <c r="G21" s="72">
        <v>45164.75</v>
      </c>
      <c r="I21" s="39" t="str">
        <f t="shared" si="0"/>
        <v>"CFL:FresnoState:EasternWashington"</v>
      </c>
      <c r="J21" s="41">
        <f t="shared" si="21"/>
        <v>1693090800</v>
      </c>
      <c r="K21" s="53">
        <f t="shared" si="26"/>
        <v>239</v>
      </c>
      <c r="L21" s="61">
        <f t="shared" si="25"/>
        <v>1</v>
      </c>
      <c r="M21" s="2" t="str">
        <f t="shared" si="2"/>
        <v>FresnoState</v>
      </c>
      <c r="N21" s="2" t="str">
        <f t="shared" si="3"/>
        <v>EasternWashington</v>
      </c>
      <c r="O21" s="2">
        <f t="shared" si="4"/>
        <v>-477.55218758936235</v>
      </c>
      <c r="P21" s="2">
        <f t="shared" si="5"/>
        <v>325</v>
      </c>
      <c r="Q21" s="4">
        <f t="shared" si="22"/>
        <v>1.2094011976047905</v>
      </c>
      <c r="R21" s="4">
        <f t="shared" si="23"/>
        <v>4.25</v>
      </c>
      <c r="S21" s="22">
        <f t="shared" si="6"/>
        <v>0.82685547358518585</v>
      </c>
      <c r="T21" s="23">
        <f t="shared" si="7"/>
        <v>0.23529411764705882</v>
      </c>
      <c r="U21" s="1">
        <f t="shared" si="24"/>
        <v>5.8513030316325154E-2</v>
      </c>
      <c r="V21" s="1">
        <f t="shared" si="11"/>
        <v>6.2149591232244727E-2</v>
      </c>
      <c r="W21" s="1">
        <f t="shared" si="12"/>
        <v>0.29578067796906349</v>
      </c>
      <c r="X21" s="24">
        <f t="shared" si="13"/>
        <v>0.8067806779690635</v>
      </c>
      <c r="Y21" s="11">
        <f t="shared" si="14"/>
        <v>239</v>
      </c>
      <c r="Z21" s="2">
        <f t="shared" si="15"/>
        <v>3476</v>
      </c>
      <c r="AA21" s="11">
        <f t="shared" si="16"/>
        <v>227</v>
      </c>
      <c r="AB21" s="12">
        <f t="shared" si="17"/>
        <v>3302</v>
      </c>
      <c r="AC21" s="10">
        <f t="shared" si="18"/>
        <v>1.22705</v>
      </c>
      <c r="AD21" s="10">
        <f t="shared" si="19"/>
        <v>4.3022</v>
      </c>
      <c r="AE21" s="1">
        <f t="shared" si="20"/>
        <v>4.7401932600484642E-2</v>
      </c>
      <c r="AF21" s="5">
        <f t="shared" si="8"/>
        <v>5.2200000000000024E-2</v>
      </c>
    </row>
    <row r="22" spans="1:32" x14ac:dyDescent="0.25">
      <c r="A22" s="3">
        <v>15</v>
      </c>
      <c r="B22" s="66" t="s">
        <v>45</v>
      </c>
      <c r="C22" s="67" t="s">
        <v>48</v>
      </c>
      <c r="D22" s="67" t="s">
        <v>49</v>
      </c>
      <c r="E22" s="68">
        <v>350</v>
      </c>
      <c r="F22" s="68">
        <v>-530.35898951100614</v>
      </c>
      <c r="G22" s="72">
        <v>45164.75</v>
      </c>
      <c r="I22" s="39" t="str">
        <f t="shared" si="0"/>
        <v>"CFL:UtahState:IdahoState"</v>
      </c>
      <c r="J22" s="41">
        <f t="shared" si="21"/>
        <v>1693090800</v>
      </c>
      <c r="K22" s="53">
        <f t="shared" si="26"/>
        <v>218</v>
      </c>
      <c r="L22" s="61">
        <f t="shared" si="25"/>
        <v>0</v>
      </c>
      <c r="M22" s="2" t="str">
        <f t="shared" si="2"/>
        <v>UtahState</v>
      </c>
      <c r="N22" s="2" t="str">
        <f t="shared" si="3"/>
        <v>IdahoState</v>
      </c>
      <c r="O22" s="2">
        <f t="shared" si="4"/>
        <v>-530.35898951100614</v>
      </c>
      <c r="P22" s="2">
        <f t="shared" si="5"/>
        <v>350</v>
      </c>
      <c r="Q22" s="4">
        <f t="shared" si="22"/>
        <v>1.1885515320334261</v>
      </c>
      <c r="R22" s="4">
        <f t="shared" si="23"/>
        <v>4.5</v>
      </c>
      <c r="S22" s="22">
        <f t="shared" si="6"/>
        <v>0.84136023811197835</v>
      </c>
      <c r="T22" s="23">
        <f t="shared" si="7"/>
        <v>0.22222222222222221</v>
      </c>
      <c r="U22" s="1">
        <f t="shared" si="24"/>
        <v>5.9781411132166951E-2</v>
      </c>
      <c r="V22" s="1">
        <f t="shared" si="11"/>
        <v>6.3582460334200563E-2</v>
      </c>
      <c r="W22" s="1">
        <f t="shared" si="12"/>
        <v>0.30956900794487807</v>
      </c>
      <c r="X22" s="24">
        <f t="shared" si="13"/>
        <v>0.82056900794487808</v>
      </c>
      <c r="Y22" s="11">
        <f t="shared" si="14"/>
        <v>218</v>
      </c>
      <c r="Z22" s="2">
        <f t="shared" si="15"/>
        <v>3757</v>
      </c>
      <c r="AA22" s="11">
        <f t="shared" si="16"/>
        <v>207</v>
      </c>
      <c r="AB22" s="12">
        <f t="shared" si="17"/>
        <v>3569</v>
      </c>
      <c r="AC22" s="10">
        <f t="shared" si="18"/>
        <v>1.2071000000000001</v>
      </c>
      <c r="AD22" s="10">
        <f t="shared" si="19"/>
        <v>4.5691499999999996</v>
      </c>
      <c r="AE22" s="1">
        <f t="shared" si="20"/>
        <v>4.7290866219492633E-2</v>
      </c>
      <c r="AF22" s="5">
        <f t="shared" si="8"/>
        <v>6.9149999999999601E-2</v>
      </c>
    </row>
    <row r="23" spans="1:32" x14ac:dyDescent="0.25">
      <c r="A23" s="3">
        <v>16</v>
      </c>
      <c r="B23" s="66" t="s">
        <v>45</v>
      </c>
      <c r="C23" s="67" t="s">
        <v>50</v>
      </c>
      <c r="D23" s="67" t="s">
        <v>51</v>
      </c>
      <c r="E23" s="68">
        <v>375</v>
      </c>
      <c r="F23" s="68">
        <v>-586.79706601466989</v>
      </c>
      <c r="G23" s="72">
        <v>45164.75</v>
      </c>
      <c r="I23" s="39" t="str">
        <f t="shared" si="0"/>
        <v>"CFL:WakeForest:Vanderbilt"</v>
      </c>
      <c r="J23" s="41">
        <f t="shared" si="21"/>
        <v>1693090800</v>
      </c>
      <c r="K23" s="53">
        <f t="shared" si="26"/>
        <v>200</v>
      </c>
      <c r="L23" s="61">
        <f t="shared" si="25"/>
        <v>1</v>
      </c>
      <c r="M23" s="2" t="str">
        <f t="shared" si="2"/>
        <v>WakeForest</v>
      </c>
      <c r="N23" s="2" t="str">
        <f t="shared" si="3"/>
        <v>Vanderbilt</v>
      </c>
      <c r="O23" s="2">
        <f t="shared" si="4"/>
        <v>-586.79706601466989</v>
      </c>
      <c r="P23" s="2">
        <f t="shared" si="5"/>
        <v>375</v>
      </c>
      <c r="Q23" s="4">
        <f t="shared" si="22"/>
        <v>1.1704166666666667</v>
      </c>
      <c r="R23" s="4">
        <f t="shared" si="23"/>
        <v>4.75</v>
      </c>
      <c r="S23" s="22">
        <f t="shared" si="6"/>
        <v>0.85439658241367034</v>
      </c>
      <c r="T23" s="23">
        <f t="shared" si="7"/>
        <v>0.21052631578947367</v>
      </c>
      <c r="U23" s="1">
        <f t="shared" si="24"/>
        <v>6.0964881413188787E-2</v>
      </c>
      <c r="V23" s="1">
        <f t="shared" si="11"/>
        <v>6.4922898203144008E-2</v>
      </c>
      <c r="W23" s="1">
        <f t="shared" si="12"/>
        <v>0.32193513331209833</v>
      </c>
      <c r="X23" s="24">
        <f t="shared" si="13"/>
        <v>0.83293513331209834</v>
      </c>
      <c r="Y23" s="11">
        <f t="shared" si="14"/>
        <v>200</v>
      </c>
      <c r="Z23" s="2">
        <f t="shared" si="15"/>
        <v>4036</v>
      </c>
      <c r="AA23" s="11">
        <f t="shared" si="16"/>
        <v>190</v>
      </c>
      <c r="AB23" s="12">
        <f t="shared" si="17"/>
        <v>3834</v>
      </c>
      <c r="AC23" s="10">
        <f t="shared" si="18"/>
        <v>1.19</v>
      </c>
      <c r="AD23" s="10">
        <f t="shared" si="19"/>
        <v>4.8341999999999992</v>
      </c>
      <c r="AE23" s="1">
        <f t="shared" si="20"/>
        <v>4.7195594136872909E-2</v>
      </c>
      <c r="AF23" s="5">
        <f t="shared" si="8"/>
        <v>8.4199999999999164E-2</v>
      </c>
    </row>
    <row r="24" spans="1:32" x14ac:dyDescent="0.25">
      <c r="A24" s="3">
        <v>17</v>
      </c>
      <c r="B24" s="66" t="s">
        <v>45</v>
      </c>
      <c r="C24" s="67" t="s">
        <v>52</v>
      </c>
      <c r="D24" s="67" t="s">
        <v>53</v>
      </c>
      <c r="E24" s="68">
        <v>400</v>
      </c>
      <c r="F24" s="68">
        <v>-647.2543123912011</v>
      </c>
      <c r="G24" s="72">
        <v>45164.75</v>
      </c>
      <c r="I24" s="39" t="str">
        <f t="shared" si="0"/>
        <v>"CFL:Army:DelawareState"</v>
      </c>
      <c r="J24" s="41">
        <f t="shared" si="21"/>
        <v>1693090800</v>
      </c>
      <c r="K24" s="53">
        <f t="shared" si="26"/>
        <v>184</v>
      </c>
      <c r="L24" s="61">
        <f t="shared" si="25"/>
        <v>0</v>
      </c>
      <c r="M24" s="2" t="str">
        <f t="shared" si="2"/>
        <v>Army</v>
      </c>
      <c r="N24" s="2" t="str">
        <f t="shared" si="3"/>
        <v>DelawareState</v>
      </c>
      <c r="O24" s="2">
        <f t="shared" si="4"/>
        <v>-647.2543123912011</v>
      </c>
      <c r="P24" s="2">
        <f t="shared" si="5"/>
        <v>400</v>
      </c>
      <c r="Q24" s="4">
        <f t="shared" si="22"/>
        <v>1.1544987775061124</v>
      </c>
      <c r="R24" s="4">
        <f t="shared" si="23"/>
        <v>5</v>
      </c>
      <c r="S24" s="22">
        <f t="shared" si="6"/>
        <v>0.866176750884178</v>
      </c>
      <c r="T24" s="23">
        <f t="shared" si="7"/>
        <v>0.2</v>
      </c>
      <c r="U24" s="1">
        <f t="shared" si="24"/>
        <v>6.2069212097616844E-2</v>
      </c>
      <c r="V24" s="1">
        <f t="shared" si="11"/>
        <v>6.6176750884177959E-2</v>
      </c>
      <c r="W24" s="1">
        <f t="shared" si="12"/>
        <v>0.33308837544208902</v>
      </c>
      <c r="X24" s="24">
        <f t="shared" si="13"/>
        <v>0.84408837544208903</v>
      </c>
      <c r="Y24" s="11">
        <f t="shared" si="14"/>
        <v>184</v>
      </c>
      <c r="Z24" s="2">
        <f t="shared" si="15"/>
        <v>4321</v>
      </c>
      <c r="AA24" s="11">
        <f t="shared" si="16"/>
        <v>174</v>
      </c>
      <c r="AB24" s="12">
        <f t="shared" si="17"/>
        <v>4104</v>
      </c>
      <c r="AC24" s="10">
        <f t="shared" si="18"/>
        <v>1.1748000000000001</v>
      </c>
      <c r="AD24" s="10">
        <f t="shared" si="19"/>
        <v>5.1049499999999997</v>
      </c>
      <c r="AE24" s="1">
        <f t="shared" si="20"/>
        <v>4.7097020866036177E-2</v>
      </c>
      <c r="AF24" s="5">
        <f t="shared" si="8"/>
        <v>0.10494999999999965</v>
      </c>
    </row>
    <row r="25" spans="1:32" x14ac:dyDescent="0.25">
      <c r="A25" s="3">
        <v>18</v>
      </c>
      <c r="B25" s="66" t="s">
        <v>45</v>
      </c>
      <c r="C25" s="67" t="s">
        <v>54</v>
      </c>
      <c r="D25" s="67" t="s">
        <v>55</v>
      </c>
      <c r="E25" s="68">
        <v>-476</v>
      </c>
      <c r="F25" s="68">
        <v>352</v>
      </c>
      <c r="G25" s="72">
        <v>45164.75</v>
      </c>
      <c r="I25" s="39" t="str">
        <f t="shared" si="0"/>
        <v>"CFL:Nebraska:Colorado"</v>
      </c>
      <c r="J25" s="41">
        <f t="shared" si="21"/>
        <v>1693090800</v>
      </c>
      <c r="K25" s="53">
        <f t="shared" si="26"/>
        <v>229</v>
      </c>
      <c r="L25" s="61">
        <f t="shared" si="25"/>
        <v>1</v>
      </c>
      <c r="M25" s="2" t="str">
        <f t="shared" si="2"/>
        <v>Nebraska</v>
      </c>
      <c r="N25" s="2" t="str">
        <f t="shared" si="3"/>
        <v>Colorado</v>
      </c>
      <c r="O25" s="2">
        <f t="shared" si="4"/>
        <v>-476</v>
      </c>
      <c r="P25" s="2">
        <f t="shared" si="5"/>
        <v>352</v>
      </c>
      <c r="Q25" s="4">
        <f t="shared" si="22"/>
        <v>1.2100840336134453</v>
      </c>
      <c r="R25" s="4">
        <f t="shared" si="23"/>
        <v>4.5199999999999996</v>
      </c>
      <c r="S25" s="22">
        <f t="shared" si="6"/>
        <v>0.82638888888888895</v>
      </c>
      <c r="T25" s="23">
        <f t="shared" si="7"/>
        <v>0.22123893805309736</v>
      </c>
      <c r="U25" s="1">
        <f t="shared" si="24"/>
        <v>4.546254472927802E-2</v>
      </c>
      <c r="V25" s="1">
        <f t="shared" si="11"/>
        <v>4.7627826941986307E-2</v>
      </c>
      <c r="W25" s="1">
        <f t="shared" si="12"/>
        <v>0.3025749754178958</v>
      </c>
      <c r="X25" s="24">
        <f t="shared" si="13"/>
        <v>0.81357497541789581</v>
      </c>
      <c r="Y25" s="11">
        <f t="shared" si="14"/>
        <v>229</v>
      </c>
      <c r="Z25" s="2">
        <f t="shared" si="15"/>
        <v>3604</v>
      </c>
      <c r="AA25" s="11">
        <f t="shared" si="16"/>
        <v>217</v>
      </c>
      <c r="AB25" s="12">
        <f t="shared" si="17"/>
        <v>3423</v>
      </c>
      <c r="AC25" s="10">
        <f t="shared" si="18"/>
        <v>1.2175499999999999</v>
      </c>
      <c r="AD25" s="10">
        <f t="shared" si="19"/>
        <v>4.4238</v>
      </c>
      <c r="AE25" s="1">
        <f t="shared" si="20"/>
        <v>4.7371508564142628E-2</v>
      </c>
      <c r="AF25" s="5">
        <f t="shared" si="8"/>
        <v>-9.6199999999999619E-2</v>
      </c>
    </row>
    <row r="26" spans="1:32" x14ac:dyDescent="0.25">
      <c r="A26" s="3">
        <v>19</v>
      </c>
      <c r="B26" s="66" t="s">
        <v>45</v>
      </c>
      <c r="C26" s="67" t="s">
        <v>56</v>
      </c>
      <c r="D26" s="67" t="s">
        <v>57</v>
      </c>
      <c r="E26" s="68">
        <v>225</v>
      </c>
      <c r="F26" s="68">
        <v>-286</v>
      </c>
      <c r="G26" s="72">
        <v>45164.75</v>
      </c>
      <c r="I26" s="39" t="str">
        <f t="shared" si="0"/>
        <v>"CFL:Georgia:BallState"</v>
      </c>
      <c r="J26" s="41">
        <f t="shared" si="21"/>
        <v>1693090800</v>
      </c>
      <c r="K26" s="53">
        <f t="shared" si="26"/>
        <v>374</v>
      </c>
      <c r="L26" s="61">
        <f t="shared" si="25"/>
        <v>0</v>
      </c>
      <c r="M26" s="2" t="str">
        <f t="shared" si="2"/>
        <v>Georgia</v>
      </c>
      <c r="N26" s="2" t="str">
        <f t="shared" si="3"/>
        <v>BallState</v>
      </c>
      <c r="O26" s="2">
        <f t="shared" si="4"/>
        <v>-286</v>
      </c>
      <c r="P26" s="2">
        <f t="shared" si="5"/>
        <v>225</v>
      </c>
      <c r="Q26" s="4">
        <f t="shared" si="22"/>
        <v>1.3496503496503496</v>
      </c>
      <c r="R26" s="4">
        <f t="shared" si="23"/>
        <v>3.25</v>
      </c>
      <c r="S26" s="22">
        <f t="shared" si="6"/>
        <v>0.74093264248704671</v>
      </c>
      <c r="T26" s="23">
        <f t="shared" si="7"/>
        <v>0.30769230769230771</v>
      </c>
      <c r="U26" s="1">
        <f t="shared" si="24"/>
        <v>4.6370201444317916E-2</v>
      </c>
      <c r="V26" s="1">
        <f t="shared" si="11"/>
        <v>4.8624950179354531E-2</v>
      </c>
      <c r="W26" s="1">
        <f t="shared" si="12"/>
        <v>0.2166201673973695</v>
      </c>
      <c r="X26" s="24">
        <f t="shared" si="13"/>
        <v>0.72762016739736946</v>
      </c>
      <c r="Y26" s="11">
        <f t="shared" si="14"/>
        <v>374</v>
      </c>
      <c r="Z26" s="2">
        <f t="shared" si="15"/>
        <v>2341</v>
      </c>
      <c r="AA26" s="11">
        <f t="shared" si="16"/>
        <v>355</v>
      </c>
      <c r="AB26" s="12">
        <f t="shared" si="17"/>
        <v>2223</v>
      </c>
      <c r="AC26" s="10">
        <f t="shared" si="18"/>
        <v>1.3552999999999999</v>
      </c>
      <c r="AD26" s="10">
        <f t="shared" si="19"/>
        <v>3.2239499999999999</v>
      </c>
      <c r="AE26" s="1">
        <f t="shared" si="20"/>
        <v>4.8022527505419133E-2</v>
      </c>
      <c r="AF26" s="5">
        <f t="shared" si="8"/>
        <v>-2.6050000000000129E-2</v>
      </c>
    </row>
    <row r="27" spans="1:32" x14ac:dyDescent="0.25">
      <c r="A27" s="3">
        <v>20</v>
      </c>
      <c r="B27" s="66" t="s">
        <v>45</v>
      </c>
      <c r="C27" s="67" t="s">
        <v>72</v>
      </c>
      <c r="D27" s="67" t="s">
        <v>8</v>
      </c>
      <c r="E27" s="68">
        <v>-115</v>
      </c>
      <c r="F27" s="68">
        <v>-106</v>
      </c>
      <c r="G27" s="72">
        <v>45164.75</v>
      </c>
      <c r="I27" s="39" t="str">
        <f t="shared" si="0"/>
        <v>"CFL:Youngstown:OhioState"</v>
      </c>
      <c r="J27" s="41">
        <f t="shared" si="21"/>
        <v>1693090800</v>
      </c>
      <c r="K27" s="53">
        <f t="shared" si="26"/>
        <v>918</v>
      </c>
      <c r="L27" s="61">
        <f t="shared" si="25"/>
        <v>1</v>
      </c>
      <c r="M27" s="2" t="str">
        <f t="shared" si="2"/>
        <v>Youngstown</v>
      </c>
      <c r="N27" s="2" t="str">
        <f t="shared" si="3"/>
        <v>OhioState</v>
      </c>
      <c r="O27" s="2">
        <f t="shared" si="4"/>
        <v>-115</v>
      </c>
      <c r="P27" s="2">
        <f t="shared" si="5"/>
        <v>-106</v>
      </c>
      <c r="Q27" s="4">
        <f t="shared" si="22"/>
        <v>1.8695652173913044</v>
      </c>
      <c r="R27" s="4">
        <f t="shared" si="23"/>
        <v>1.9433962264150944</v>
      </c>
      <c r="S27" s="22">
        <f t="shared" si="6"/>
        <v>0.53488372093023251</v>
      </c>
      <c r="T27" s="23">
        <f t="shared" si="7"/>
        <v>0.5145631067961165</v>
      </c>
      <c r="U27" s="1">
        <f t="shared" si="24"/>
        <v>4.7117039586919152E-2</v>
      </c>
      <c r="V27" s="1">
        <f t="shared" si="11"/>
        <v>4.9446827726348896E-2</v>
      </c>
      <c r="W27" s="1">
        <f t="shared" si="12"/>
        <v>1.0160307067058005E-2</v>
      </c>
      <c r="X27" s="24">
        <f t="shared" si="13"/>
        <v>0.52116030706705807</v>
      </c>
      <c r="Y27" s="11">
        <f t="shared" si="14"/>
        <v>918</v>
      </c>
      <c r="Z27" s="2">
        <f t="shared" si="15"/>
        <v>993</v>
      </c>
      <c r="AA27" s="11">
        <f t="shared" si="16"/>
        <v>872</v>
      </c>
      <c r="AB27" s="12">
        <f t="shared" si="17"/>
        <v>943</v>
      </c>
      <c r="AC27" s="10">
        <f t="shared" si="18"/>
        <v>1.8720999999999999</v>
      </c>
      <c r="AD27" s="10">
        <f t="shared" si="19"/>
        <v>1.9433499999999999</v>
      </c>
      <c r="AE27" s="1">
        <f t="shared" si="20"/>
        <v>4.8734846721847802E-2</v>
      </c>
      <c r="AF27" s="5">
        <f t="shared" si="8"/>
        <v>-4.6226415094441364E-5</v>
      </c>
    </row>
    <row r="28" spans="1:32" x14ac:dyDescent="0.25">
      <c r="A28" s="3">
        <v>21</v>
      </c>
      <c r="B28" s="66" t="s">
        <v>45</v>
      </c>
      <c r="C28" s="67" t="s">
        <v>58</v>
      </c>
      <c r="D28" s="67" t="s">
        <v>59</v>
      </c>
      <c r="E28" s="68">
        <v>-156</v>
      </c>
      <c r="F28" s="68">
        <v>128</v>
      </c>
      <c r="G28" s="72">
        <v>45164.75</v>
      </c>
      <c r="I28" s="39" t="str">
        <f t="shared" si="0"/>
        <v>"CFL:Delaware:PennState"</v>
      </c>
      <c r="J28" s="41">
        <f t="shared" si="21"/>
        <v>1693090800</v>
      </c>
      <c r="K28" s="53">
        <f t="shared" si="26"/>
        <v>676</v>
      </c>
      <c r="L28" s="61">
        <f t="shared" si="25"/>
        <v>0</v>
      </c>
      <c r="M28" s="2" t="str">
        <f t="shared" si="2"/>
        <v>Delaware</v>
      </c>
      <c r="N28" s="2" t="str">
        <f t="shared" si="3"/>
        <v>PennState</v>
      </c>
      <c r="O28" s="2">
        <f t="shared" si="4"/>
        <v>-156</v>
      </c>
      <c r="P28" s="2">
        <f t="shared" si="5"/>
        <v>128</v>
      </c>
      <c r="Q28" s="4">
        <f t="shared" si="22"/>
        <v>1.641025641025641</v>
      </c>
      <c r="R28" s="4">
        <f t="shared" si="23"/>
        <v>2.2800000000000002</v>
      </c>
      <c r="S28" s="22">
        <f t="shared" ref="S28:S35" si="27">1/Q28</f>
        <v>0.609375</v>
      </c>
      <c r="T28" s="23">
        <f t="shared" ref="T28:T35" si="28">1/R28</f>
        <v>0.43859649122807015</v>
      </c>
      <c r="U28" s="1">
        <f t="shared" si="24"/>
        <v>4.5775568924928067E-2</v>
      </c>
      <c r="V28" s="1">
        <f t="shared" si="11"/>
        <v>4.7971491228070207E-2</v>
      </c>
      <c r="W28" s="1">
        <f t="shared" si="12"/>
        <v>8.5389254385964924E-2</v>
      </c>
      <c r="X28" s="24">
        <f t="shared" si="13"/>
        <v>0.59638925438596491</v>
      </c>
      <c r="Y28" s="11">
        <f t="shared" si="14"/>
        <v>676</v>
      </c>
      <c r="Z28" s="2">
        <f t="shared" si="15"/>
        <v>1341</v>
      </c>
      <c r="AA28" s="11">
        <f t="shared" si="16"/>
        <v>642</v>
      </c>
      <c r="AB28" s="12">
        <f t="shared" si="17"/>
        <v>1273</v>
      </c>
      <c r="AC28" s="10">
        <f t="shared" si="18"/>
        <v>1.6421999999999999</v>
      </c>
      <c r="AD28" s="10">
        <f t="shared" si="19"/>
        <v>2.2739500000000001</v>
      </c>
      <c r="AE28" s="1">
        <f t="shared" si="20"/>
        <v>4.8702635151938845E-2</v>
      </c>
      <c r="AF28" s="5">
        <f t="shared" si="8"/>
        <v>-6.0500000000001108E-3</v>
      </c>
    </row>
    <row r="29" spans="1:32" x14ac:dyDescent="0.25">
      <c r="A29" s="3">
        <v>22</v>
      </c>
      <c r="B29" s="66" t="s">
        <v>45</v>
      </c>
      <c r="C29" s="67" t="s">
        <v>60</v>
      </c>
      <c r="D29" s="67" t="s">
        <v>61</v>
      </c>
      <c r="E29" s="68">
        <v>-196</v>
      </c>
      <c r="F29" s="68">
        <v>161</v>
      </c>
      <c r="G29" s="72">
        <v>45164.75</v>
      </c>
      <c r="I29" s="39" t="str">
        <f t="shared" si="0"/>
        <v>"CFL:Purdue:VirginiaTech"</v>
      </c>
      <c r="J29" s="41">
        <f t="shared" si="21"/>
        <v>1693090800</v>
      </c>
      <c r="K29" s="53">
        <f t="shared" si="26"/>
        <v>537</v>
      </c>
      <c r="L29" s="61">
        <f t="shared" si="25"/>
        <v>1</v>
      </c>
      <c r="M29" s="2" t="str">
        <f t="shared" si="2"/>
        <v>Purdue</v>
      </c>
      <c r="N29" s="2" t="str">
        <f t="shared" si="3"/>
        <v>VirginiaTech</v>
      </c>
      <c r="O29" s="2">
        <f t="shared" si="4"/>
        <v>-196</v>
      </c>
      <c r="P29" s="2">
        <f t="shared" si="5"/>
        <v>161</v>
      </c>
      <c r="Q29" s="4">
        <f t="shared" si="22"/>
        <v>1.510204081632653</v>
      </c>
      <c r="R29" s="4">
        <f t="shared" si="23"/>
        <v>2.6100000000000003</v>
      </c>
      <c r="S29" s="22">
        <f t="shared" si="27"/>
        <v>0.66216216216216217</v>
      </c>
      <c r="T29" s="23">
        <f t="shared" si="28"/>
        <v>0.38314176245210724</v>
      </c>
      <c r="U29" s="1">
        <f t="shared" si="24"/>
        <v>4.3340432909009907E-2</v>
      </c>
      <c r="V29" s="1">
        <f t="shared" si="11"/>
        <v>4.5303924614269464E-2</v>
      </c>
      <c r="W29" s="1">
        <f t="shared" si="12"/>
        <v>0.13951019985502747</v>
      </c>
      <c r="X29" s="24">
        <f t="shared" si="13"/>
        <v>0.65051019985502745</v>
      </c>
      <c r="Y29" s="11">
        <f t="shared" si="14"/>
        <v>537</v>
      </c>
      <c r="Z29" s="2">
        <f t="shared" si="15"/>
        <v>1673</v>
      </c>
      <c r="AA29" s="11">
        <f t="shared" si="16"/>
        <v>510</v>
      </c>
      <c r="AB29" s="12">
        <f t="shared" si="17"/>
        <v>1589</v>
      </c>
      <c r="AC29" s="10">
        <f t="shared" si="18"/>
        <v>1.5101499999999999</v>
      </c>
      <c r="AD29" s="10">
        <f t="shared" si="19"/>
        <v>2.5893499999999996</v>
      </c>
      <c r="AE29" s="1">
        <f t="shared" si="20"/>
        <v>4.8383183780035921E-2</v>
      </c>
      <c r="AF29" s="5">
        <f t="shared" si="8"/>
        <v>-2.0650000000000723E-2</v>
      </c>
    </row>
    <row r="30" spans="1:32" x14ac:dyDescent="0.25">
      <c r="A30" s="3">
        <v>23</v>
      </c>
      <c r="B30" s="66" t="s">
        <v>45</v>
      </c>
      <c r="C30" s="67" t="s">
        <v>62</v>
      </c>
      <c r="D30" s="67" t="s">
        <v>63</v>
      </c>
      <c r="E30" s="68">
        <v>-147</v>
      </c>
      <c r="F30" s="68">
        <v>119</v>
      </c>
      <c r="G30" s="72">
        <v>45164.75</v>
      </c>
      <c r="I30" s="39" t="str">
        <f t="shared" si="0"/>
        <v>"CFL:Utah:Baylor"</v>
      </c>
      <c r="J30" s="41">
        <f t="shared" si="21"/>
        <v>1693090800</v>
      </c>
      <c r="K30" s="53">
        <f t="shared" si="26"/>
        <v>723</v>
      </c>
      <c r="L30" s="61">
        <f t="shared" si="25"/>
        <v>0</v>
      </c>
      <c r="M30" s="2" t="str">
        <f t="shared" si="2"/>
        <v>Utah</v>
      </c>
      <c r="N30" s="2" t="str">
        <f t="shared" si="3"/>
        <v>Baylor</v>
      </c>
      <c r="O30" s="2">
        <f t="shared" si="4"/>
        <v>-147</v>
      </c>
      <c r="P30" s="2">
        <f t="shared" si="5"/>
        <v>119</v>
      </c>
      <c r="Q30" s="4">
        <f t="shared" si="22"/>
        <v>1.6802721088435375</v>
      </c>
      <c r="R30" s="4">
        <f t="shared" si="23"/>
        <v>2.19</v>
      </c>
      <c r="S30" s="22">
        <f t="shared" si="27"/>
        <v>0.59514170040485825</v>
      </c>
      <c r="T30" s="23">
        <f t="shared" si="28"/>
        <v>0.45662100456621008</v>
      </c>
      <c r="U30" s="1">
        <f t="shared" si="24"/>
        <v>4.9215193433287063E-2</v>
      </c>
      <c r="V30" s="1">
        <f t="shared" si="11"/>
        <v>5.1762704971068274E-2</v>
      </c>
      <c r="W30" s="1">
        <f t="shared" si="12"/>
        <v>6.9260347919324089E-2</v>
      </c>
      <c r="X30" s="24">
        <f t="shared" si="13"/>
        <v>0.58026034791932413</v>
      </c>
      <c r="Y30" s="11">
        <f t="shared" si="14"/>
        <v>723</v>
      </c>
      <c r="Z30" s="2">
        <f t="shared" si="15"/>
        <v>1257</v>
      </c>
      <c r="AA30" s="11">
        <f t="shared" si="16"/>
        <v>686</v>
      </c>
      <c r="AB30" s="12">
        <f t="shared" si="17"/>
        <v>1194</v>
      </c>
      <c r="AC30" s="10">
        <f t="shared" si="18"/>
        <v>1.6868500000000002</v>
      </c>
      <c r="AD30" s="10">
        <f t="shared" si="19"/>
        <v>2.1941499999999996</v>
      </c>
      <c r="AE30" s="1">
        <f t="shared" si="20"/>
        <v>4.8578293219858404E-2</v>
      </c>
      <c r="AF30" s="5">
        <f t="shared" si="8"/>
        <v>4.149999999999654E-3</v>
      </c>
    </row>
    <row r="31" spans="1:32" x14ac:dyDescent="0.25">
      <c r="A31" s="3">
        <v>24</v>
      </c>
      <c r="B31" s="66" t="s">
        <v>45</v>
      </c>
      <c r="C31" s="67" t="s">
        <v>73</v>
      </c>
      <c r="D31" s="67" t="s">
        <v>74</v>
      </c>
      <c r="E31" s="68">
        <v>-286</v>
      </c>
      <c r="F31" s="68">
        <v>228</v>
      </c>
      <c r="G31" s="72">
        <v>45164.75</v>
      </c>
      <c r="I31" s="39" t="str">
        <f t="shared" si="0"/>
        <v>"CFL:NotreDame:NCState"</v>
      </c>
      <c r="J31" s="41">
        <f t="shared" si="21"/>
        <v>1693090800</v>
      </c>
      <c r="K31" s="53">
        <f t="shared" si="26"/>
        <v>371</v>
      </c>
      <c r="L31" s="61">
        <f t="shared" si="25"/>
        <v>1</v>
      </c>
      <c r="M31" s="2" t="str">
        <f t="shared" si="2"/>
        <v>NotreDame</v>
      </c>
      <c r="N31" s="2" t="str">
        <f t="shared" si="3"/>
        <v>NCState</v>
      </c>
      <c r="O31" s="2">
        <f t="shared" si="4"/>
        <v>-286</v>
      </c>
      <c r="P31" s="2">
        <f t="shared" si="5"/>
        <v>228</v>
      </c>
      <c r="Q31" s="43">
        <f t="shared" si="22"/>
        <v>1.3496503496503496</v>
      </c>
      <c r="R31" s="43">
        <f t="shared" si="23"/>
        <v>3.28</v>
      </c>
      <c r="S31" s="44">
        <f t="shared" si="27"/>
        <v>0.74093264248704671</v>
      </c>
      <c r="T31" s="45">
        <f t="shared" si="28"/>
        <v>0.3048780487804878</v>
      </c>
      <c r="U31" s="46">
        <f t="shared" si="24"/>
        <v>4.3803999758322831E-2</v>
      </c>
      <c r="V31" s="1">
        <f t="shared" si="11"/>
        <v>4.5810691267534454E-2</v>
      </c>
      <c r="W31" s="1">
        <f t="shared" si="12"/>
        <v>0.21802729685327946</v>
      </c>
      <c r="X31" s="24">
        <f t="shared" si="13"/>
        <v>0.72902729685327949</v>
      </c>
      <c r="Y31" s="11">
        <f t="shared" si="14"/>
        <v>371</v>
      </c>
      <c r="Z31" s="2">
        <f t="shared" si="15"/>
        <v>2358</v>
      </c>
      <c r="AA31" s="11">
        <f t="shared" si="16"/>
        <v>352</v>
      </c>
      <c r="AB31" s="12">
        <f t="shared" si="17"/>
        <v>2240</v>
      </c>
      <c r="AC31" s="10">
        <f t="shared" si="18"/>
        <v>1.3524499999999999</v>
      </c>
      <c r="AD31" s="10">
        <f t="shared" si="19"/>
        <v>3.2401</v>
      </c>
      <c r="AE31" s="1">
        <f t="shared" si="20"/>
        <v>4.8031318335483464E-2</v>
      </c>
      <c r="AF31" s="5">
        <f t="shared" si="8"/>
        <v>-3.9899999999999824E-2</v>
      </c>
    </row>
    <row r="32" spans="1:32" s="25" customFormat="1" x14ac:dyDescent="0.25">
      <c r="A32" s="51">
        <v>25</v>
      </c>
      <c r="B32" s="66" t="s">
        <v>7</v>
      </c>
      <c r="C32" s="67" t="s">
        <v>64</v>
      </c>
      <c r="D32" s="67" t="s">
        <v>65</v>
      </c>
      <c r="E32" s="69">
        <v>-625</v>
      </c>
      <c r="F32" s="69">
        <v>441</v>
      </c>
      <c r="G32" s="72">
        <v>45164.75</v>
      </c>
      <c r="H32"/>
      <c r="I32" s="39" t="str">
        <f t="shared" si="0"/>
        <v>"MMA:Adensanya:Strickland"</v>
      </c>
      <c r="J32" s="41">
        <f t="shared" si="21"/>
        <v>1693090800</v>
      </c>
      <c r="K32" s="53">
        <f t="shared" si="26"/>
        <v>177</v>
      </c>
      <c r="L32" s="61">
        <f t="shared" si="25"/>
        <v>0</v>
      </c>
      <c r="M32" s="26" t="str">
        <f t="shared" si="2"/>
        <v>Adensanya</v>
      </c>
      <c r="N32" s="26" t="str">
        <f t="shared" si="3"/>
        <v>Strickland</v>
      </c>
      <c r="O32" s="2">
        <f t="shared" si="4"/>
        <v>-625</v>
      </c>
      <c r="P32" s="2">
        <f t="shared" si="5"/>
        <v>441</v>
      </c>
      <c r="Q32" s="47">
        <f t="shared" si="22"/>
        <v>1.1599999999999999</v>
      </c>
      <c r="R32" s="47">
        <f t="shared" si="23"/>
        <v>5.41</v>
      </c>
      <c r="S32" s="48">
        <f t="shared" si="27"/>
        <v>0.86206896551724144</v>
      </c>
      <c r="T32" s="49">
        <f t="shared" si="28"/>
        <v>0.18484288354898337</v>
      </c>
      <c r="U32" s="50">
        <f t="shared" si="24"/>
        <v>4.4809741248097446E-2</v>
      </c>
      <c r="V32" s="1">
        <f>S32+T32-1</f>
        <v>4.6911849066224809E-2</v>
      </c>
      <c r="W32" s="1">
        <f t="shared" si="12"/>
        <v>0.33861304098412903</v>
      </c>
      <c r="X32" s="24">
        <f t="shared" si="13"/>
        <v>0.84961304098412904</v>
      </c>
      <c r="Y32" s="11">
        <f t="shared" si="14"/>
        <v>177</v>
      </c>
      <c r="Z32" s="2">
        <f t="shared" si="15"/>
        <v>4459</v>
      </c>
      <c r="AA32" s="11">
        <f t="shared" si="16"/>
        <v>168</v>
      </c>
      <c r="AB32" s="12">
        <f t="shared" si="17"/>
        <v>4236</v>
      </c>
      <c r="AC32" s="10">
        <f t="shared" si="18"/>
        <v>1.16815</v>
      </c>
      <c r="AD32" s="10">
        <f t="shared" si="19"/>
        <v>5.2360500000000005</v>
      </c>
      <c r="AE32" s="1">
        <f t="shared" si="20"/>
        <v>4.7038106410477676E-2</v>
      </c>
      <c r="AF32" s="5">
        <f t="shared" si="8"/>
        <v>-0.1739499999999996</v>
      </c>
    </row>
    <row r="33" spans="1:34" x14ac:dyDescent="0.25">
      <c r="A33" s="3">
        <v>26</v>
      </c>
      <c r="B33" s="66" t="s">
        <v>7</v>
      </c>
      <c r="C33" s="67" t="s">
        <v>75</v>
      </c>
      <c r="D33" s="67" t="s">
        <v>76</v>
      </c>
      <c r="E33" s="69">
        <v>-800</v>
      </c>
      <c r="F33" s="69">
        <v>600</v>
      </c>
      <c r="G33" s="72">
        <v>45164.75</v>
      </c>
      <c r="I33" s="39" t="str">
        <f t="shared" si="0"/>
        <v>"MMA:Tuivasa:Volkov"</v>
      </c>
      <c r="J33" s="41">
        <f t="shared" si="21"/>
        <v>1693090800</v>
      </c>
      <c r="K33" s="53">
        <f t="shared" si="26"/>
        <v>131</v>
      </c>
      <c r="L33" s="61">
        <f t="shared" si="25"/>
        <v>1</v>
      </c>
      <c r="M33" s="2" t="str">
        <f t="shared" si="2"/>
        <v>Tuivasa</v>
      </c>
      <c r="N33" s="2" t="str">
        <f t="shared" si="3"/>
        <v>Volkov</v>
      </c>
      <c r="O33" s="2">
        <f t="shared" si="4"/>
        <v>-800</v>
      </c>
      <c r="P33" s="2">
        <f t="shared" si="5"/>
        <v>600</v>
      </c>
      <c r="Q33" s="43">
        <f t="shared" si="22"/>
        <v>1.125</v>
      </c>
      <c r="R33" s="43">
        <f t="shared" si="23"/>
        <v>7</v>
      </c>
      <c r="S33" s="44">
        <f t="shared" si="27"/>
        <v>0.88888888888888884</v>
      </c>
      <c r="T33" s="45">
        <f t="shared" si="28"/>
        <v>0.14285714285714285</v>
      </c>
      <c r="U33" s="46">
        <f t="shared" si="24"/>
        <v>3.0769230769230771E-2</v>
      </c>
      <c r="V33" s="1">
        <f t="shared" si="11"/>
        <v>3.1746031746031633E-2</v>
      </c>
      <c r="W33" s="1">
        <f t="shared" si="12"/>
        <v>0.37301587301587302</v>
      </c>
      <c r="X33" s="24">
        <f t="shared" si="13"/>
        <v>0.88401587301587303</v>
      </c>
      <c r="Y33" s="11">
        <f t="shared" si="14"/>
        <v>131</v>
      </c>
      <c r="Z33" s="2">
        <f t="shared" si="15"/>
        <v>5636</v>
      </c>
      <c r="AA33" s="11">
        <f t="shared" si="16"/>
        <v>124</v>
      </c>
      <c r="AB33" s="12">
        <f t="shared" si="17"/>
        <v>5354</v>
      </c>
      <c r="AC33" s="10">
        <f t="shared" si="18"/>
        <v>1.1244499999999999</v>
      </c>
      <c r="AD33" s="10">
        <f t="shared" si="19"/>
        <v>6.3541999999999996</v>
      </c>
      <c r="AE33" s="1">
        <f t="shared" si="20"/>
        <v>4.6699892949598309E-2</v>
      </c>
      <c r="AF33" s="5">
        <f t="shared" si="8"/>
        <v>-0.64580000000000037</v>
      </c>
    </row>
    <row r="34" spans="1:34" x14ac:dyDescent="0.25">
      <c r="A34" s="3">
        <v>27</v>
      </c>
      <c r="B34" s="73" t="s">
        <v>7</v>
      </c>
      <c r="C34" s="70" t="s">
        <v>77</v>
      </c>
      <c r="D34" s="70" t="s">
        <v>78</v>
      </c>
      <c r="E34" s="69">
        <v>-150</v>
      </c>
      <c r="F34" s="69">
        <v>135</v>
      </c>
      <c r="G34" s="72">
        <v>45164.75</v>
      </c>
      <c r="I34" s="39" t="str">
        <f t="shared" si="0"/>
        <v>"MMA:Kara-France:Kape"</v>
      </c>
      <c r="J34" s="41">
        <f t="shared" si="21"/>
        <v>1693090800</v>
      </c>
      <c r="K34" s="53">
        <f t="shared" si="26"/>
        <v>671</v>
      </c>
      <c r="L34" s="61">
        <f t="shared" si="25"/>
        <v>0</v>
      </c>
      <c r="M34" s="2" t="str">
        <f t="shared" si="2"/>
        <v>Kara-France</v>
      </c>
      <c r="N34" s="2" t="str">
        <f t="shared" si="3"/>
        <v>Kape</v>
      </c>
      <c r="O34" s="2">
        <f t="shared" si="4"/>
        <v>-150</v>
      </c>
      <c r="P34" s="2">
        <f t="shared" si="5"/>
        <v>135</v>
      </c>
      <c r="Q34" s="4">
        <f t="shared" si="22"/>
        <v>1.6666666666666667</v>
      </c>
      <c r="R34" s="4">
        <f t="shared" si="23"/>
        <v>2.35</v>
      </c>
      <c r="S34" s="22">
        <f t="shared" si="27"/>
        <v>0.6</v>
      </c>
      <c r="T34" s="23">
        <f t="shared" si="28"/>
        <v>0.42553191489361702</v>
      </c>
      <c r="U34" s="1">
        <f t="shared" si="24"/>
        <v>2.4896265560165887E-2</v>
      </c>
      <c r="V34" s="1">
        <f t="shared" si="11"/>
        <v>2.5531914893617058E-2</v>
      </c>
      <c r="W34" s="1">
        <f t="shared" si="12"/>
        <v>8.7234042553191476E-2</v>
      </c>
      <c r="X34" s="24">
        <f t="shared" si="13"/>
        <v>0.59823404255319146</v>
      </c>
      <c r="Y34" s="11">
        <f t="shared" si="14"/>
        <v>671</v>
      </c>
      <c r="Z34" s="2">
        <f t="shared" si="15"/>
        <v>1351</v>
      </c>
      <c r="AA34" s="11">
        <f t="shared" si="16"/>
        <v>637</v>
      </c>
      <c r="AB34" s="12">
        <f t="shared" si="17"/>
        <v>1283</v>
      </c>
      <c r="AC34" s="10">
        <f>Y34*0.95/1000+1</f>
        <v>1.6374499999999999</v>
      </c>
      <c r="AD34" s="10">
        <f t="shared" si="19"/>
        <v>2.2834500000000002</v>
      </c>
      <c r="AE34" s="1">
        <f t="shared" si="20"/>
        <v>4.8639498600708819E-2</v>
      </c>
      <c r="AF34" s="5">
        <f t="shared" si="8"/>
        <v>-6.6549999999999887E-2</v>
      </c>
      <c r="AG34" s="2">
        <f>IF(AC34&lt;2,-100/(AC34-1),(AC34-1)*100)</f>
        <v>-156.87504902345285</v>
      </c>
      <c r="AH34" s="2">
        <f>IF(AD34&lt;2,-100/(AD34-1),(AD34-1)*100)</f>
        <v>128.34500000000003</v>
      </c>
    </row>
    <row r="35" spans="1:34" x14ac:dyDescent="0.25">
      <c r="A35" s="3">
        <v>28</v>
      </c>
      <c r="B35" s="66"/>
      <c r="C35" s="67"/>
      <c r="D35" s="67"/>
      <c r="E35" s="68"/>
      <c r="F35" s="68"/>
      <c r="G35" s="72"/>
      <c r="I35" s="39" t="str">
        <f t="shared" si="0"/>
        <v>":0:0"</v>
      </c>
      <c r="J35" s="41">
        <f t="shared" si="21"/>
        <v>1690000000</v>
      </c>
      <c r="K35" s="53">
        <f t="shared" si="26"/>
        <v>956</v>
      </c>
      <c r="L35" s="61">
        <f t="shared" si="25"/>
        <v>1</v>
      </c>
      <c r="M35" s="2">
        <f t="shared" si="2"/>
        <v>0</v>
      </c>
      <c r="N35" s="2">
        <f t="shared" si="3"/>
        <v>0</v>
      </c>
      <c r="O35" s="2">
        <f t="shared" si="4"/>
        <v>0</v>
      </c>
      <c r="P35" s="2">
        <f t="shared" si="5"/>
        <v>0</v>
      </c>
      <c r="Q35" s="4">
        <f t="shared" si="22"/>
        <v>1</v>
      </c>
      <c r="R35" s="4">
        <f t="shared" si="23"/>
        <v>1</v>
      </c>
      <c r="S35" s="22">
        <f t="shared" si="27"/>
        <v>1</v>
      </c>
      <c r="T35" s="23">
        <f t="shared" si="28"/>
        <v>1</v>
      </c>
      <c r="U35" s="1">
        <f t="shared" si="24"/>
        <v>0.5</v>
      </c>
      <c r="V35" s="1">
        <f t="shared" si="11"/>
        <v>1</v>
      </c>
      <c r="W35" s="1">
        <f t="shared" si="12"/>
        <v>0</v>
      </c>
      <c r="X35" s="24">
        <f t="shared" si="13"/>
        <v>0.51100000000000001</v>
      </c>
      <c r="Y35" s="11">
        <f t="shared" si="14"/>
        <v>956</v>
      </c>
      <c r="Z35" s="2">
        <f t="shared" si="15"/>
        <v>954</v>
      </c>
      <c r="AA35" s="11">
        <f t="shared" si="16"/>
        <v>908</v>
      </c>
      <c r="AB35" s="12">
        <f t="shared" si="17"/>
        <v>906</v>
      </c>
      <c r="AC35" s="10">
        <f t="shared" si="18"/>
        <v>1.9081999999999999</v>
      </c>
      <c r="AD35" s="10">
        <f t="shared" si="19"/>
        <v>1.9062999999999999</v>
      </c>
      <c r="AE35" s="1">
        <f t="shared" si="20"/>
        <v>4.8630486934625017E-2</v>
      </c>
      <c r="AF35" s="5">
        <f t="shared" si="8"/>
        <v>0.90629999999999988</v>
      </c>
    </row>
    <row r="36" spans="1:34" x14ac:dyDescent="0.25">
      <c r="A36" s="3">
        <v>29</v>
      </c>
      <c r="B36" s="66"/>
      <c r="C36" s="67"/>
      <c r="D36" s="67"/>
      <c r="E36" s="68"/>
      <c r="F36" s="68"/>
      <c r="G36" s="72"/>
      <c r="I36" s="39" t="str">
        <f t="shared" si="0"/>
        <v>":0:0"</v>
      </c>
      <c r="J36" s="41">
        <f t="shared" si="21"/>
        <v>1690000000</v>
      </c>
      <c r="K36" s="53">
        <f t="shared" si="26"/>
        <v>956</v>
      </c>
      <c r="L36" s="61">
        <f t="shared" si="25"/>
        <v>0</v>
      </c>
      <c r="M36" s="2">
        <f t="shared" si="2"/>
        <v>0</v>
      </c>
      <c r="N36" s="2">
        <f t="shared" si="3"/>
        <v>0</v>
      </c>
      <c r="O36" s="2">
        <f t="shared" si="4"/>
        <v>0</v>
      </c>
      <c r="P36" s="2">
        <f t="shared" si="5"/>
        <v>0</v>
      </c>
      <c r="Q36" s="4">
        <f t="shared" si="22"/>
        <v>1</v>
      </c>
      <c r="R36" s="4">
        <f t="shared" si="23"/>
        <v>1</v>
      </c>
      <c r="S36" s="22">
        <f t="shared" ref="S36:S38" si="29">1/Q36</f>
        <v>1</v>
      </c>
      <c r="T36" s="23">
        <f t="shared" ref="T36:T38" si="30">1/R36</f>
        <v>1</v>
      </c>
      <c r="U36" s="1">
        <f t="shared" ref="U36:U38" si="31">1-Q36*R36/(Q36+R36)</f>
        <v>0.5</v>
      </c>
      <c r="V36" s="1">
        <f t="shared" si="11"/>
        <v>1</v>
      </c>
      <c r="W36" s="1">
        <f t="shared" si="12"/>
        <v>0</v>
      </c>
      <c r="X36" s="24">
        <f t="shared" si="13"/>
        <v>0.51100000000000001</v>
      </c>
      <c r="Y36" s="11">
        <f t="shared" si="14"/>
        <v>956</v>
      </c>
      <c r="Z36" s="2">
        <f t="shared" si="15"/>
        <v>954</v>
      </c>
      <c r="AA36" s="11">
        <f t="shared" si="16"/>
        <v>908</v>
      </c>
      <c r="AB36" s="12">
        <f t="shared" si="17"/>
        <v>906</v>
      </c>
      <c r="AC36" s="10">
        <f t="shared" si="18"/>
        <v>1.9081999999999999</v>
      </c>
      <c r="AD36" s="10">
        <f t="shared" si="19"/>
        <v>1.9062999999999999</v>
      </c>
      <c r="AE36" s="1">
        <f t="shared" si="20"/>
        <v>4.8630486934625017E-2</v>
      </c>
      <c r="AF36" s="5">
        <f t="shared" si="8"/>
        <v>0.90629999999999988</v>
      </c>
    </row>
    <row r="37" spans="1:34" x14ac:dyDescent="0.25">
      <c r="A37" s="3">
        <v>30</v>
      </c>
      <c r="B37" s="66"/>
      <c r="C37" s="67"/>
      <c r="D37" s="67"/>
      <c r="E37" s="68"/>
      <c r="F37" s="68"/>
      <c r="G37" s="72"/>
      <c r="I37" s="39" t="str">
        <f t="shared" si="0"/>
        <v>":0:0"</v>
      </c>
      <c r="J37" s="41">
        <f t="shared" si="21"/>
        <v>1690000000</v>
      </c>
      <c r="K37" s="53">
        <f t="shared" si="26"/>
        <v>956</v>
      </c>
      <c r="L37" s="61">
        <f t="shared" si="25"/>
        <v>1</v>
      </c>
      <c r="M37" s="2">
        <f t="shared" si="2"/>
        <v>0</v>
      </c>
      <c r="N37" s="2">
        <f t="shared" si="3"/>
        <v>0</v>
      </c>
      <c r="O37" s="2">
        <f t="shared" si="4"/>
        <v>0</v>
      </c>
      <c r="P37" s="2">
        <f t="shared" si="5"/>
        <v>0</v>
      </c>
      <c r="Q37" s="4">
        <f t="shared" si="22"/>
        <v>1</v>
      </c>
      <c r="R37" s="4">
        <f t="shared" si="23"/>
        <v>1</v>
      </c>
      <c r="S37" s="22">
        <f t="shared" si="29"/>
        <v>1</v>
      </c>
      <c r="T37" s="23">
        <f t="shared" si="30"/>
        <v>1</v>
      </c>
      <c r="U37" s="1">
        <f t="shared" si="31"/>
        <v>0.5</v>
      </c>
      <c r="V37" s="1">
        <f t="shared" si="11"/>
        <v>1</v>
      </c>
      <c r="W37" s="1">
        <f t="shared" si="12"/>
        <v>0</v>
      </c>
      <c r="X37" s="24">
        <f t="shared" si="13"/>
        <v>0.51100000000000001</v>
      </c>
      <c r="Y37" s="11">
        <f t="shared" si="14"/>
        <v>956</v>
      </c>
      <c r="Z37" s="2">
        <f t="shared" si="15"/>
        <v>954</v>
      </c>
      <c r="AA37" s="11">
        <f t="shared" si="16"/>
        <v>908</v>
      </c>
      <c r="AB37" s="12">
        <f t="shared" si="17"/>
        <v>906</v>
      </c>
      <c r="AC37" s="10">
        <f t="shared" si="18"/>
        <v>1.9081999999999999</v>
      </c>
      <c r="AD37" s="10">
        <f t="shared" si="19"/>
        <v>1.9062999999999999</v>
      </c>
      <c r="AE37" s="1">
        <f t="shared" si="20"/>
        <v>4.8630486934625017E-2</v>
      </c>
      <c r="AF37" s="5">
        <f t="shared" si="8"/>
        <v>0.90629999999999988</v>
      </c>
    </row>
    <row r="38" spans="1:34" ht="15.75" thickBot="1" x14ac:dyDescent="0.3">
      <c r="A38" s="3">
        <v>31</v>
      </c>
      <c r="B38" s="74"/>
      <c r="C38" s="75"/>
      <c r="D38" s="75"/>
      <c r="E38" s="76"/>
      <c r="F38" s="76"/>
      <c r="G38" s="77"/>
      <c r="I38" s="40" t="str">
        <f t="shared" si="0"/>
        <v>":0:0"</v>
      </c>
      <c r="J38" s="42">
        <f t="shared" si="21"/>
        <v>1690000000</v>
      </c>
      <c r="K38" s="54">
        <f t="shared" si="26"/>
        <v>956</v>
      </c>
      <c r="L38" s="62">
        <f t="shared" si="25"/>
        <v>0</v>
      </c>
      <c r="M38" s="2">
        <f t="shared" si="2"/>
        <v>0</v>
      </c>
      <c r="N38" s="2">
        <f t="shared" si="3"/>
        <v>0</v>
      </c>
      <c r="O38" s="2">
        <f t="shared" si="4"/>
        <v>0</v>
      </c>
      <c r="P38" s="2">
        <f t="shared" si="5"/>
        <v>0</v>
      </c>
      <c r="Q38" s="4">
        <f t="shared" si="22"/>
        <v>1</v>
      </c>
      <c r="R38" s="4">
        <f t="shared" si="23"/>
        <v>1</v>
      </c>
      <c r="S38" s="27">
        <f t="shared" si="29"/>
        <v>1</v>
      </c>
      <c r="T38" s="28">
        <f t="shared" si="30"/>
        <v>1</v>
      </c>
      <c r="U38" s="1">
        <f t="shared" si="31"/>
        <v>0.5</v>
      </c>
      <c r="V38" s="1"/>
      <c r="W38" s="1">
        <f t="shared" si="12"/>
        <v>0</v>
      </c>
      <c r="X38" s="24">
        <f t="shared" si="13"/>
        <v>0.51100000000000001</v>
      </c>
      <c r="Y38" s="11">
        <f t="shared" si="14"/>
        <v>956</v>
      </c>
      <c r="Z38" s="2">
        <f t="shared" si="15"/>
        <v>954</v>
      </c>
      <c r="AA38" s="56">
        <f t="shared" si="16"/>
        <v>908</v>
      </c>
      <c r="AB38" s="29">
        <f t="shared" si="17"/>
        <v>906</v>
      </c>
      <c r="AC38" s="10">
        <f t="shared" si="18"/>
        <v>1.9081999999999999</v>
      </c>
      <c r="AD38" s="10">
        <f t="shared" si="19"/>
        <v>1.9062999999999999</v>
      </c>
      <c r="AE38" s="1">
        <f t="shared" si="20"/>
        <v>4.8630486934625017E-2</v>
      </c>
      <c r="AF38" s="5">
        <f t="shared" si="8"/>
        <v>0.90629999999999988</v>
      </c>
    </row>
    <row r="39" spans="1:34" x14ac:dyDescent="0.25">
      <c r="D39" s="59"/>
      <c r="E39" s="59"/>
      <c r="F39" s="59"/>
      <c r="G39" s="59"/>
    </row>
    <row r="40" spans="1:34" x14ac:dyDescent="0.25">
      <c r="D40" s="59"/>
      <c r="E40" s="59"/>
      <c r="F40" s="59"/>
      <c r="G40" s="59"/>
      <c r="AC40" s="10">
        <f>1-AC34*AD34/(AD34+AC34)</f>
        <v>4.6383431737611169E-2</v>
      </c>
    </row>
    <row r="41" spans="1:34" ht="15.75" thickBot="1" x14ac:dyDescent="0.3">
      <c r="D41" s="59"/>
      <c r="E41" s="59"/>
      <c r="F41" s="59"/>
      <c r="G41" s="59"/>
    </row>
    <row r="42" spans="1:34" x14ac:dyDescent="0.25">
      <c r="B42" s="63" t="s">
        <v>6</v>
      </c>
      <c r="C42" s="64" t="s">
        <v>79</v>
      </c>
      <c r="D42" s="64" t="s">
        <v>80</v>
      </c>
      <c r="E42" s="59"/>
      <c r="F42" s="59"/>
      <c r="G42" s="59"/>
    </row>
    <row r="43" spans="1:34" x14ac:dyDescent="0.25">
      <c r="B43" s="66" t="s">
        <v>6</v>
      </c>
      <c r="C43" s="67" t="s">
        <v>32</v>
      </c>
      <c r="D43" s="67" t="s">
        <v>33</v>
      </c>
      <c r="E43" s="59"/>
      <c r="F43" s="59"/>
      <c r="G43" s="59"/>
    </row>
    <row r="44" spans="1:34" x14ac:dyDescent="0.25">
      <c r="B44" s="66" t="s">
        <v>6</v>
      </c>
      <c r="C44" s="67" t="s">
        <v>34</v>
      </c>
      <c r="D44" s="67" t="s">
        <v>35</v>
      </c>
      <c r="E44" s="59"/>
      <c r="F44" s="59"/>
      <c r="G44" s="59"/>
    </row>
    <row r="45" spans="1:34" x14ac:dyDescent="0.25">
      <c r="B45" s="66" t="s">
        <v>6</v>
      </c>
      <c r="C45" s="67" t="s">
        <v>36</v>
      </c>
      <c r="D45" s="67" t="s">
        <v>37</v>
      </c>
      <c r="E45" s="59"/>
      <c r="F45" s="59"/>
      <c r="G45" s="59"/>
    </row>
    <row r="46" spans="1:34" x14ac:dyDescent="0.25">
      <c r="B46" s="66" t="s">
        <v>6</v>
      </c>
      <c r="C46" s="67" t="s">
        <v>38</v>
      </c>
      <c r="D46" s="67" t="s">
        <v>39</v>
      </c>
      <c r="E46" s="59"/>
      <c r="F46" s="59"/>
      <c r="G46" s="59"/>
    </row>
    <row r="47" spans="1:34" x14ac:dyDescent="0.25">
      <c r="B47" s="66" t="s">
        <v>6</v>
      </c>
      <c r="C47" s="67" t="s">
        <v>30</v>
      </c>
      <c r="D47" s="67" t="s">
        <v>31</v>
      </c>
      <c r="E47" s="59"/>
      <c r="F47" s="59"/>
      <c r="G47" s="59"/>
    </row>
    <row r="48" spans="1:34" x14ac:dyDescent="0.25">
      <c r="D48" s="59"/>
      <c r="E48" s="59"/>
      <c r="F48" s="59"/>
      <c r="G48" s="59"/>
    </row>
    <row r="49" spans="4:7" x14ac:dyDescent="0.25">
      <c r="D49" s="59"/>
      <c r="E49" s="59"/>
      <c r="F49" s="59"/>
      <c r="G49" s="59"/>
    </row>
    <row r="50" spans="4:7" x14ac:dyDescent="0.25">
      <c r="D50" s="59"/>
      <c r="E50" s="59"/>
      <c r="F50" s="59"/>
      <c r="G50" s="59"/>
    </row>
    <row r="55" spans="4:7" x14ac:dyDescent="0.25">
      <c r="D55" s="58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1"/>
      <selection activeCell="E6" sqref="E6"/>
      <selection pane="bottomLeft" activeCell="A101" sqref="A101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22</v>
      </c>
    </row>
    <row r="2" spans="1:1" x14ac:dyDescent="0.25">
      <c r="A2" t="s">
        <v>28</v>
      </c>
    </row>
    <row r="3" spans="1:1" x14ac:dyDescent="0.25">
      <c r="A3" t="str">
        <f>initData!$I7&amp;","</f>
        <v>"NFL:Arizona:Washington",</v>
      </c>
    </row>
    <row r="4" spans="1:1" x14ac:dyDescent="0.25">
      <c r="A4" t="str">
        <f>initData!$I8&amp;","</f>
        <v>"NFL:Baltimore:Houston",</v>
      </c>
    </row>
    <row r="5" spans="1:1" x14ac:dyDescent="0.25">
      <c r="A5" t="str">
        <f>initData!$I9&amp;","</f>
        <v>"NFL:GreenBay:Chicago",</v>
      </c>
    </row>
    <row r="6" spans="1:1" x14ac:dyDescent="0.25">
      <c r="A6" t="str">
        <f>initData!$I10&amp;","</f>
        <v>"NFL:LasVegas:Denver",</v>
      </c>
    </row>
    <row r="7" spans="1:1" x14ac:dyDescent="0.25">
      <c r="A7" t="str">
        <f>initData!$I11&amp;","</f>
        <v>"NFL:Philadelphia:NewEngland",</v>
      </c>
    </row>
    <row r="8" spans="1:1" x14ac:dyDescent="0.25">
      <c r="A8" t="str">
        <f>initData!$I12&amp;","</f>
        <v>"NFL:Miami:LosAngelesChargers",</v>
      </c>
    </row>
    <row r="9" spans="1:1" x14ac:dyDescent="0.25">
      <c r="A9" t="str">
        <f>initData!$I13&amp;","</f>
        <v>"NFL:London:Toronto",</v>
      </c>
    </row>
    <row r="10" spans="1:1" x14ac:dyDescent="0.25">
      <c r="A10" t="str">
        <f>initData!$I14&amp;","</f>
        <v>"NFL:Washington:Arizona",</v>
      </c>
    </row>
    <row r="11" spans="1:1" x14ac:dyDescent="0.25">
      <c r="A11" t="str">
        <f>initData!$I15&amp;","</f>
        <v>"NFL:Baltimore:Houston",</v>
      </c>
    </row>
    <row r="12" spans="1:1" x14ac:dyDescent="0.25">
      <c r="A12" t="str">
        <f>initData!$I16&amp;","</f>
        <v>"NFL:Chicago:GreenBay",</v>
      </c>
    </row>
    <row r="13" spans="1:1" x14ac:dyDescent="0.25">
      <c r="A13" t="str">
        <f>initData!$I17&amp;","</f>
        <v>"NFL:Denver:LasVegas",</v>
      </c>
    </row>
    <row r="14" spans="1:1" x14ac:dyDescent="0.25">
      <c r="A14" t="str">
        <f>initData!$I18&amp;","</f>
        <v>"NFL:Pittsburgh:SanFrancisco",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26</v>
      </c>
    </row>
    <row r="36" spans="1:1" x14ac:dyDescent="0.25">
      <c r="A36" t="str">
        <f>initData!J7&amp;","</f>
        <v>1693090800,</v>
      </c>
    </row>
    <row r="37" spans="1:1" x14ac:dyDescent="0.25">
      <c r="A37" t="str">
        <f>initData!J8&amp;","</f>
        <v>1693090800,</v>
      </c>
    </row>
    <row r="38" spans="1:1" x14ac:dyDescent="0.25">
      <c r="A38" t="str">
        <f>initData!J9&amp;","</f>
        <v>1693090800,</v>
      </c>
    </row>
    <row r="39" spans="1:1" x14ac:dyDescent="0.25">
      <c r="A39" t="str">
        <f>initData!J10&amp;","</f>
        <v>1693090800,</v>
      </c>
    </row>
    <row r="40" spans="1:1" x14ac:dyDescent="0.25">
      <c r="A40" t="str">
        <f>initData!J11&amp;","</f>
        <v>1693090800,</v>
      </c>
    </row>
    <row r="41" spans="1:1" x14ac:dyDescent="0.25">
      <c r="A41" t="str">
        <f>initData!J12&amp;","</f>
        <v>1693090800,</v>
      </c>
    </row>
    <row r="42" spans="1:1" x14ac:dyDescent="0.25">
      <c r="A42" t="str">
        <f>initData!J13&amp;","</f>
        <v>1693090800,</v>
      </c>
    </row>
    <row r="43" spans="1:1" x14ac:dyDescent="0.25">
      <c r="A43" t="str">
        <f>initData!J14&amp;","</f>
        <v>1693090800,</v>
      </c>
    </row>
    <row r="44" spans="1:1" x14ac:dyDescent="0.25">
      <c r="A44" t="str">
        <f>initData!J15&amp;","</f>
        <v>1693090800,</v>
      </c>
    </row>
    <row r="45" spans="1:1" x14ac:dyDescent="0.25">
      <c r="A45" t="str">
        <f>initData!J16&amp;","</f>
        <v>1693090800,</v>
      </c>
    </row>
    <row r="46" spans="1:1" x14ac:dyDescent="0.25">
      <c r="A46" t="str">
        <f>initData!J17&amp;","</f>
        <v>1693090800,</v>
      </c>
    </row>
    <row r="47" spans="1:1" x14ac:dyDescent="0.25">
      <c r="A47" t="str">
        <f>initData!J18&amp;","</f>
        <v>1693090800,</v>
      </c>
    </row>
    <row r="48" spans="1:1" x14ac:dyDescent="0.25">
      <c r="A48" t="str">
        <f>initData!J19&amp;","</f>
        <v>1693090800,</v>
      </c>
    </row>
    <row r="49" spans="1:1" x14ac:dyDescent="0.25">
      <c r="A49" t="str">
        <f>initData!J20&amp;","</f>
        <v>1693090800,</v>
      </c>
    </row>
    <row r="50" spans="1:1" x14ac:dyDescent="0.25">
      <c r="A50" t="str">
        <f>initData!J21&amp;","</f>
        <v>1693090800,</v>
      </c>
    </row>
    <row r="51" spans="1:1" x14ac:dyDescent="0.25">
      <c r="A51" t="str">
        <f>initData!J22&amp;","</f>
        <v>1693090800,</v>
      </c>
    </row>
    <row r="52" spans="1:1" x14ac:dyDescent="0.25">
      <c r="A52" t="str">
        <f>initData!J23&amp;","</f>
        <v>1693090800,</v>
      </c>
    </row>
    <row r="53" spans="1:1" x14ac:dyDescent="0.25">
      <c r="A53" t="str">
        <f>initData!J24&amp;","</f>
        <v>1693090800,</v>
      </c>
    </row>
    <row r="54" spans="1:1" x14ac:dyDescent="0.25">
      <c r="A54" t="str">
        <f>initData!J25&amp;","</f>
        <v>1693090800,</v>
      </c>
    </row>
    <row r="55" spans="1:1" x14ac:dyDescent="0.25">
      <c r="A55" t="str">
        <f>initData!J26&amp;","</f>
        <v>1693090800,</v>
      </c>
    </row>
    <row r="56" spans="1:1" x14ac:dyDescent="0.25">
      <c r="A56" t="str">
        <f>initData!J27&amp;","</f>
        <v>1693090800,</v>
      </c>
    </row>
    <row r="57" spans="1:1" x14ac:dyDescent="0.25">
      <c r="A57" t="str">
        <f>initData!J28&amp;","</f>
        <v>1693090800,</v>
      </c>
    </row>
    <row r="58" spans="1:1" x14ac:dyDescent="0.25">
      <c r="A58" t="str">
        <f>initData!J29&amp;","</f>
        <v>1693090800,</v>
      </c>
    </row>
    <row r="59" spans="1:1" x14ac:dyDescent="0.25">
      <c r="A59" t="str">
        <f>initData!J30&amp;","</f>
        <v>1693090800,</v>
      </c>
    </row>
    <row r="60" spans="1:1" x14ac:dyDescent="0.25">
      <c r="A60" t="str">
        <f>initData!J31&amp;","</f>
        <v>1693090800,</v>
      </c>
    </row>
    <row r="61" spans="1:1" x14ac:dyDescent="0.25">
      <c r="A61" t="str">
        <f>initData!J32&amp;","</f>
        <v>1693090800,</v>
      </c>
    </row>
    <row r="62" spans="1:1" x14ac:dyDescent="0.25">
      <c r="A62" t="str">
        <f>initData!J33&amp;","</f>
        <v>1693090800,</v>
      </c>
    </row>
    <row r="63" spans="1:1" x14ac:dyDescent="0.25">
      <c r="A63" t="str">
        <f>initData!J34&amp;","</f>
        <v>1693090800,</v>
      </c>
    </row>
    <row r="64" spans="1:1" x14ac:dyDescent="0.25">
      <c r="A64" t="str">
        <f>initData!J35&amp;","</f>
        <v>1690000000,</v>
      </c>
    </row>
    <row r="65" spans="1:1" x14ac:dyDescent="0.25">
      <c r="A65" t="str">
        <f>initData!J36&amp;","</f>
        <v>1690000000,</v>
      </c>
    </row>
    <row r="66" spans="1:1" x14ac:dyDescent="0.25">
      <c r="A66" t="str">
        <f>initData!J37&amp;","</f>
        <v>1690000000,</v>
      </c>
    </row>
    <row r="67" spans="1:1" x14ac:dyDescent="0.25">
      <c r="A67" s="34" t="str">
        <f>initData!J38&amp;"],"</f>
        <v>1690000000],</v>
      </c>
    </row>
    <row r="68" spans="1:1" x14ac:dyDescent="0.25">
      <c r="A68" t="s">
        <v>27</v>
      </c>
    </row>
    <row r="69" spans="1:1" x14ac:dyDescent="0.25">
      <c r="A69" t="str">
        <f>initData!K7&amp;","</f>
        <v>956,</v>
      </c>
    </row>
    <row r="70" spans="1:1" x14ac:dyDescent="0.25">
      <c r="A70" t="str">
        <f>initData!K8&amp;","</f>
        <v>634,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214,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916,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671,</v>
      </c>
    </row>
    <row r="97" spans="1:1" x14ac:dyDescent="0.25">
      <c r="A97" t="str">
        <f>initData!K35&amp;","</f>
        <v>956,</v>
      </c>
    </row>
    <row r="98" spans="1:1" x14ac:dyDescent="0.25">
      <c r="A98" t="str">
        <f>initData!K36&amp;","</f>
        <v>956,</v>
      </c>
    </row>
    <row r="99" spans="1:1" x14ac:dyDescent="0.25">
      <c r="A99" t="str">
        <f>initData!K37&amp;","</f>
        <v>956,</v>
      </c>
    </row>
    <row r="100" spans="1:1" x14ac:dyDescent="0.25">
      <c r="A100" s="34" t="str">
        <f>initData!K38&amp;"]"</f>
        <v>956]</v>
      </c>
    </row>
    <row r="101" spans="1:1" x14ac:dyDescent="0.25">
      <c r="A101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27</v>
      </c>
    </row>
    <row r="3" spans="1:1" x14ac:dyDescent="0.25">
      <c r="A3" t="str">
        <f>initData!K7&amp;","</f>
        <v>956,</v>
      </c>
    </row>
    <row r="4" spans="1:1" x14ac:dyDescent="0.25">
      <c r="A4" t="str">
        <f>initData!K8&amp;","</f>
        <v>634,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214,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916,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671,</v>
      </c>
    </row>
    <row r="31" spans="1:1" x14ac:dyDescent="0.25">
      <c r="A31" t="str">
        <f>initData!K35&amp;","</f>
        <v>956,</v>
      </c>
    </row>
    <row r="32" spans="1:1" x14ac:dyDescent="0.25">
      <c r="A32" t="str">
        <f>initData!K36&amp;","</f>
        <v>956,</v>
      </c>
    </row>
    <row r="33" spans="1:1" x14ac:dyDescent="0.25">
      <c r="A33" t="str">
        <f>initData!K37&amp;","</f>
        <v>956,</v>
      </c>
    </row>
    <row r="34" spans="1:1" x14ac:dyDescent="0.25">
      <c r="A34" t="str">
        <f>initData!K38&amp;"]"</f>
        <v>956]</v>
      </c>
    </row>
    <row r="35" spans="1:1" x14ac:dyDescent="0.25">
      <c r="A35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A30" sqref="A30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29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2,</v>
      </c>
    </row>
    <row r="6" spans="1:1" x14ac:dyDescent="0.25">
      <c r="A6" t="str">
        <f>initData!L10&amp;","</f>
        <v>0,</v>
      </c>
    </row>
    <row r="7" spans="1:1" x14ac:dyDescent="0.25">
      <c r="A7" t="str">
        <f>initData!L11&amp;","</f>
        <v>1,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1,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1,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1,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1,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1,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1,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1,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1,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1,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1,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1,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1,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1,</v>
      </c>
    </row>
    <row r="34" spans="1:1" x14ac:dyDescent="0.25">
      <c r="A34" t="str">
        <f>initData!L38&amp;"]"</f>
        <v>0]</v>
      </c>
    </row>
    <row r="35" spans="1:1" x14ac:dyDescent="0.25">
      <c r="A35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initData</vt:lpstr>
      <vt:lpstr>initcsv</vt:lpstr>
      <vt:lpstr>updatecsv</vt:lpstr>
      <vt:lpstr>resultscsv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2023-09-05T16:31:51Z</dcterms:modified>
</cp:coreProperties>
</file>