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2574ED6F-320C-4718-9056-C657E1720EBC}" xr6:coauthVersionLast="47" xr6:coauthVersionMax="47" xr10:uidLastSave="{00000000-0000-0000-0000-000000000000}"/>
  <bookViews>
    <workbookView xWindow="34140" yWindow="3225" windowWidth="21600" windowHeight="11295" xr2:uid="{1230EDBB-7CF7-4CB6-8A8B-436EE42A5ED4}"/>
  </bookViews>
  <sheets>
    <sheet name="start" sheetId="3" r:id="rId1"/>
    <sheet name="oddscsv" sheetId="6" r:id="rId2"/>
    <sheet name="settleRefreshcsv" sheetId="7" r:id="rId3"/>
  </sheets>
  <externalReferences>
    <externalReference r:id="rId4"/>
  </externalReferences>
  <definedNames>
    <definedName name="solver_adj" localSheetId="0" hidden="1">start!#REF!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start!#REF!</definedName>
    <definedName name="solver_lhs2" localSheetId="0" hidden="1">start!#REF!</definedName>
    <definedName name="solver_lhs3" localSheetId="0" hidden="1">start!#REF!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start!#REF!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" l="1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6" i="3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I6" i="3" l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5" i="3"/>
  <c r="J35" i="3"/>
  <c r="J33" i="3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5" i="3"/>
  <c r="A67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K29" i="3" a="1"/>
  <c r="K29" i="3" l="1"/>
  <c r="A100" i="7"/>
  <c r="A34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K32" i="3" a="1"/>
  <c r="K33" i="3" a="1"/>
  <c r="K14" i="3" a="1"/>
  <c r="K22" i="3" a="1"/>
  <c r="K36" i="3" a="1"/>
  <c r="K5" i="3" a="1"/>
  <c r="K18" i="3" a="1"/>
  <c r="K26" i="3" a="1"/>
  <c r="K23" i="3" a="1"/>
  <c r="K21" i="3" a="1"/>
  <c r="K19" i="3" a="1"/>
  <c r="K13" i="3" a="1"/>
  <c r="K35" i="3" a="1"/>
  <c r="K20" i="3" a="1"/>
  <c r="K7" i="3" a="1"/>
  <c r="K16" i="3" a="1"/>
  <c r="K10" i="3" a="1"/>
  <c r="K25" i="3" a="1"/>
  <c r="K11" i="3" a="1"/>
  <c r="K6" i="3" a="1"/>
  <c r="K15" i="3" a="1"/>
  <c r="K28" i="3" a="1"/>
  <c r="K30" i="3" a="1"/>
  <c r="K12" i="3" a="1"/>
  <c r="K31" i="3" a="1"/>
  <c r="K9" i="3" a="1"/>
  <c r="K24" i="3" a="1"/>
  <c r="K17" i="3" a="1"/>
  <c r="K34" i="3" a="1"/>
  <c r="K8" i="3" a="1"/>
  <c r="K27" i="3" a="1"/>
  <c r="K11" i="3" l="1"/>
  <c r="L11" i="3" s="1"/>
  <c r="K10" i="3"/>
  <c r="L10" i="3" s="1"/>
  <c r="K34" i="3"/>
  <c r="L34" i="3" s="1"/>
  <c r="K35" i="3"/>
  <c r="L35" i="3" s="1"/>
  <c r="K16" i="3"/>
  <c r="L16" i="3" s="1"/>
  <c r="K21" i="3"/>
  <c r="L21" i="3" s="1"/>
  <c r="K15" i="3"/>
  <c r="L15" i="3" s="1"/>
  <c r="K9" i="3"/>
  <c r="L9" i="3" s="1"/>
  <c r="L29" i="3"/>
  <c r="K27" i="3"/>
  <c r="L27" i="3" s="1"/>
  <c r="K28" i="3"/>
  <c r="L28" i="3" s="1"/>
  <c r="K33" i="3"/>
  <c r="L33" i="3" s="1"/>
  <c r="K32" i="3"/>
  <c r="L32" i="3" s="1"/>
  <c r="K20" i="3"/>
  <c r="L20" i="3" s="1"/>
  <c r="K14" i="3"/>
  <c r="L14" i="3" s="1"/>
  <c r="K8" i="3"/>
  <c r="L8" i="3" s="1"/>
  <c r="K17" i="3"/>
  <c r="L17" i="3" s="1"/>
  <c r="K26" i="3"/>
  <c r="L26" i="3" s="1"/>
  <c r="K23" i="3"/>
  <c r="L23" i="3" s="1"/>
  <c r="K31" i="3"/>
  <c r="L31" i="3" s="1"/>
  <c r="K25" i="3"/>
  <c r="L25" i="3" s="1"/>
  <c r="K13" i="3"/>
  <c r="L13" i="3" s="1"/>
  <c r="K7" i="3"/>
  <c r="L7" i="3" s="1"/>
  <c r="K22" i="3"/>
  <c r="L22" i="3" s="1"/>
  <c r="K19" i="3"/>
  <c r="L19" i="3" s="1"/>
  <c r="K36" i="3"/>
  <c r="L36" i="3" s="1"/>
  <c r="K30" i="3"/>
  <c r="L30" i="3" s="1"/>
  <c r="K24" i="3"/>
  <c r="L24" i="3" s="1"/>
  <c r="K18" i="3"/>
  <c r="L18" i="3" s="1"/>
  <c r="K12" i="3"/>
  <c r="L12" i="3" s="1"/>
  <c r="K6" i="3"/>
  <c r="L6" i="3" s="1"/>
  <c r="K5" i="3"/>
  <c r="L5" i="3" s="1"/>
  <c r="A4" i="7"/>
  <c r="A5" i="7"/>
  <c r="A6" i="7"/>
  <c r="A7" i="7"/>
  <c r="A30" i="7"/>
  <c r="A3" i="7"/>
  <c r="A8" i="7" l="1"/>
  <c r="A9" i="7" l="1"/>
  <c r="A10" i="7" l="1"/>
  <c r="A11" i="7" l="1"/>
  <c r="A12" i="7" l="1"/>
  <c r="A13" i="7" l="1"/>
  <c r="A14" i="7" l="1"/>
  <c r="A15" i="7" l="1"/>
  <c r="A16" i="7" l="1"/>
  <c r="A17" i="7" l="1"/>
  <c r="A18" i="7" l="1"/>
  <c r="A19" i="7" l="1"/>
  <c r="A20" i="7" l="1"/>
  <c r="A21" i="7" l="1"/>
  <c r="A22" i="7" l="1"/>
  <c r="A23" i="7" l="1"/>
  <c r="A24" i="7" l="1"/>
  <c r="A25" i="7" l="1"/>
  <c r="A26" i="7" l="1"/>
  <c r="A27" i="7" l="1"/>
  <c r="A28" i="7" l="1"/>
  <c r="A29" i="7" l="1"/>
  <c r="A31" i="7" l="1"/>
  <c r="A32" i="7" l="1"/>
  <c r="A3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<sst xmlns="http://schemas.openxmlformats.org/spreadsheetml/2006/main" count="216" uniqueCount="85">
  <si>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</si>
  <si>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</si>
  <si>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</si>
  <si>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</si>
  <si>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</si>
  <si>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</si>
  <si>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</si>
  <si>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</si>
  <si>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</si>
  <si>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"_teamsched": [</t>
  </si>
  <si>
    <t>"NCAAF:Illinois:Nebraska"</t>
  </si>
  <si>
    <t>"NCAAF:LSU:Missouri"</t>
  </si>
  <si>
    <t>"NCAAF:Texas:Oklahoma"</t>
  </si>
  <si>
    <t>"NCAAF:UCLA:WashingtonState"</t>
  </si>
  <si>
    <t>"NCAAF:NorthCarolina:Syracuse"</t>
  </si>
  <si>
    <t>"NCAAF:Iowa:Purdue"</t>
  </si>
  <si>
    <t>"NCAAF:Colorado:ArizonaState"</t>
  </si>
  <si>
    <t>"NCAAF:Georgia:Kentucky"</t>
  </si>
  <si>
    <t>"NCAAF:OleMiss:Arkansas"</t>
  </si>
  <si>
    <t>"NCAAF:NotreDame:Louisville"</t>
  </si>
  <si>
    <t>"NCAAF:TCU:IowaState"</t>
  </si>
  <si>
    <t>"NCAAF:TexasTech:Baylor"</t>
  </si>
  <si>
    <t>"NCAAF:BoiseState:SanJoseState"</t>
  </si>
  <si>
    <t>"NCAAF:OregonState:California"</t>
  </si>
  <si>
    <t>"MMA:Buckley:Morono"</t>
  </si>
  <si>
    <t>"MMA:Dawson:Green"</t>
  </si>
  <si>
    <t>"MMA:Dober:Glenn"</t>
  </si>
  <si>
    <t>"NFL:Bills:Jaguars"</t>
  </si>
  <si>
    <t>"NFL:Dolphins:Giants"</t>
  </si>
  <si>
    <t>"NFL:Falcons:Texans"</t>
  </si>
  <si>
    <t>"NFL:Lions:Panthers"</t>
  </si>
  <si>
    <t>"NFL:Ravens:Steelers"</t>
  </si>
  <si>
    <t>"NFL:Titans:Colts"</t>
  </si>
  <si>
    <t>"NFL:Bengals:Cardinals"</t>
  </si>
  <si>
    <t>"NFL:Eagles:Rams"</t>
  </si>
  <si>
    <t>"NFL:Broncos:Jets"</t>
  </si>
  <si>
    <t>"NFL:Chiefs:Vikings"</t>
  </si>
  <si>
    <t>"NFL:49ers:Cowboys"</t>
  </si>
  <si>
    <t>"_resultVector": [</t>
  </si>
  <si>
    <t>Illinois Fighting Illini_Nebraska Cornhuskers</t>
  </si>
  <si>
    <t>NCAAF</t>
  </si>
  <si>
    <t>LSU Tigers_Missouri Tigers</t>
  </si>
  <si>
    <t>Oklahoma Sooners_Texas Longhorns</t>
  </si>
  <si>
    <t>UCLA Bruins_WashingtonState Cougars</t>
  </si>
  <si>
    <t>NorthCarolina Tar Heels_Syracuse Orange</t>
  </si>
  <si>
    <t>Iowa Hawkeyes_Purdue Boilermakers</t>
  </si>
  <si>
    <t>Alabama Crimson Tide_Texas A&amp;M Aggies</t>
  </si>
  <si>
    <t>ArizonaState Sun Devils_Colorado Buffaloes</t>
  </si>
  <si>
    <t>Georgia Bulldogs_Kentucky Wildcats</t>
  </si>
  <si>
    <t>Arkansas Razorbacks_OleMiss Rebels</t>
  </si>
  <si>
    <t>Louisville Cardinals_NotreDame Fighting Irish</t>
  </si>
  <si>
    <t>BoiseState Broncos_SanJoseState Spartans</t>
  </si>
  <si>
    <t>IowaState Cyclones_TCU Horned Frogs</t>
  </si>
  <si>
    <t>FresnoState Bulldogs_Wyoming Cowboys</t>
  </si>
  <si>
    <t>"NCAAF:FresnoState:Wyoming"</t>
  </si>
  <si>
    <t>Baylor Bears_TexasTech Red Raiders</t>
  </si>
  <si>
    <t>California Golden Bears_OregonState Beavers</t>
  </si>
  <si>
    <t>Buffalo Bills_Jacksonville Jaguars</t>
  </si>
  <si>
    <t>NFL</t>
  </si>
  <si>
    <t>Miami Dolphins_New York Giants</t>
  </si>
  <si>
    <t>Carolina Panthers_Detroit Lions</t>
  </si>
  <si>
    <t>Baltimore Ravens_Pittsburgh Steelers</t>
  </si>
  <si>
    <t>Atlanta Falcons_Houston Texans</t>
  </si>
  <si>
    <t>New England Patriots_New Orleans Saints</t>
  </si>
  <si>
    <t>Indianapolis Colts_Tennessee Titans</t>
  </si>
  <si>
    <t>Los Angeles Rams_Philadelphia Eagles</t>
  </si>
  <si>
    <t>Arizona Cardinals_Cincinnati Bengals</t>
  </si>
  <si>
    <t>Kansas City Chiefs_Minnesota Vikings</t>
  </si>
  <si>
    <t>Denver Broncos_New York Jets</t>
  </si>
  <si>
    <t>Dallas Cowboys_SanFrancisco 49ers</t>
  </si>
  <si>
    <t>Green Bay Packers_Las Vegas Raiders</t>
  </si>
  <si>
    <t>Drew Dober_Rick Glenn</t>
  </si>
  <si>
    <t>MMA</t>
  </si>
  <si>
    <t>Alex Morono_Joaquin Buckley</t>
  </si>
  <si>
    <t>Bobby Green_Grant Dawson</t>
  </si>
  <si>
    <t>"NCAAF:Alabama:TexasA&amp;M"</t>
  </si>
  <si>
    <t>day</t>
  </si>
  <si>
    <t>event_name</t>
  </si>
  <si>
    <t>sport</t>
  </si>
  <si>
    <t>sched</t>
  </si>
  <si>
    <t>utc</t>
  </si>
  <si>
    <t>decOdds</t>
  </si>
  <si>
    <t>"NFL:Patriots:Saints"</t>
  </si>
  <si>
    <t>"NFL:Raiders:Packers"</t>
  </si>
  <si>
    <t>"_decimalOdds": [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</si>
</sst>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;[Red]#,##0.000"/>
    <numFmt numFmtId="165" formatCode="#,##0.00;[Red]#,##0.00"/>
    <numFmt numFmtId="166" formatCode="###0;[Red]###0"/>
    <numFmt numFmtId="167" formatCode="[$-409]m/d/yy\ h:mm\ AM/PM;@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1"/>
      <color rgb="FF000000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18">
    <xf numFmtId="0" fontId="0" fillId="0" borderId="0" xfId="0"/>
    <xf numFmtId="0" fontId="2" fillId="0" borderId="0" xfId="0" applyFont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6" fontId="2" fillId="0" borderId="0" xfId="0" applyNumberFormat="1" applyFont="1"/>
    <xf numFmtId="0" fontId="4" fillId="0" borderId="0" xfId="3" applyFill="1"/>
    <xf numFmtId="166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0" fontId="6" fillId="0" borderId="0" xfId="3" applyFont="1" applyFill="1"/>
    <xf numFmtId="167" fontId="1" fillId="4" borderId="0" xfId="1" applyNumberFormat="1" applyFill="1" applyBorder="1" applyAlignment="1">
      <alignment horizontal="right"/>
    </xf>
    <xf numFmtId="0" fontId="0" fillId="5" borderId="0" xfId="0" applyFill="1"/>
    <xf numFmtId="14" fontId="0" fillId="0" borderId="0" xfId="0" applyNumberFormat="1"/>
    <xf numFmtId="0" fontId="2" fillId="6" borderId="0" xfId="0" applyFont="1" applyFill="1"/>
    <xf numFmtId="0" fontId="0" fillId="6" borderId="0" xfId="0" applyFill="1"/>
    <xf numFmtId="167" fontId="1" fillId="6" borderId="0" xfId="1" applyNumberFormat="1" applyFill="1" applyBorder="1" applyAlignment="1">
      <alignment horizontal="right"/>
    </xf>
    <xf numFmtId="0" fontId="7" fillId="0" borderId="0" xfId="0" applyFon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39</xdr:row>
      <xdr:rowOff>76200</xdr:rowOff>
    </xdr:from>
    <xdr:to>
      <xdr:col>4</xdr:col>
      <xdr:colOff>285750</xdr:colOff>
      <xdr:row>44</xdr:row>
      <xdr:rowOff>111125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1974850" y="8267700"/>
          <a:ext cx="4502150" cy="987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set of 3</a:t>
          </a:r>
          <a:r>
            <a:rPr lang="en-US" sz="1600" baseline="0">
              <a:solidFill>
                <a:sysClr val="windowText" lastClr="000000"/>
              </a:solidFill>
            </a:rPr>
            <a:t> arrays: outcomes, sched, start times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1066800</xdr:colOff>
      <xdr:row>39</xdr:row>
      <xdr:rowOff>0</xdr:rowOff>
    </xdr:from>
    <xdr:to>
      <xdr:col>7</xdr:col>
      <xdr:colOff>25400</xdr:colOff>
      <xdr:row>44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7321550" y="8191500"/>
          <a:ext cx="1387475" cy="977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W40"/>
  <sheetViews>
    <sheetView tabSelected="1" zoomScale="60" zoomScaleNormal="60" workbookViewId="0">
      <selection activeCell="F6" sqref="F6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7" width="19.140625" customWidth="1"/>
    <col min="11" max="11" width="19" customWidth="1"/>
    <col min="12" max="12" width="23.42578125" customWidth="1"/>
    <col min="13" max="13" width="28" customWidth="1"/>
    <col min="14" max="14" width="14.5703125" customWidth="1"/>
    <col min="15" max="15" width="39" bestFit="1" customWidth="1"/>
    <col min="16" max="16" width="33.42578125" customWidth="1"/>
    <col min="17" max="17" width="24.28515625" customWidth="1"/>
  </cols>
  <sheetData>
    <row r="2" spans="1:23" x14ac:dyDescent="0.25">
      <c r="C2" s="2"/>
      <c r="D2" s="2"/>
      <c r="E2" s="8"/>
      <c r="F2" s="5"/>
    </row>
    <row r="3" spans="1:23" x14ac:dyDescent="0.25">
      <c r="E3" s="7" t="s">
        <v>6</v>
      </c>
      <c r="K3" s="13">
        <v>45197.875</v>
      </c>
    </row>
    <row r="4" spans="1:23" x14ac:dyDescent="0.25">
      <c r="A4" t="s">
        <v>3</v>
      </c>
      <c r="C4" t="s">
        <v>0</v>
      </c>
      <c r="D4" t="s">
        <v>0</v>
      </c>
      <c r="E4" t="s">
        <v>1</v>
      </c>
      <c r="F4" t="s">
        <v>2</v>
      </c>
      <c r="G4" s="3" t="s">
        <v>7</v>
      </c>
      <c r="L4" t="s">
        <v>76</v>
      </c>
      <c r="M4" t="s">
        <v>77</v>
      </c>
      <c r="N4" t="s">
        <v>78</v>
      </c>
      <c r="O4" t="s">
        <v>79</v>
      </c>
      <c r="P4" t="s">
        <v>80</v>
      </c>
      <c r="Q4" t="s">
        <v>81</v>
      </c>
    </row>
    <row r="5" spans="1:23" ht="16.5" x14ac:dyDescent="0.3">
      <c r="A5" s="1">
        <v>0</v>
      </c>
      <c r="B5" t="s">
        <v>73</v>
      </c>
      <c r="C5" t="s">
        <v>72</v>
      </c>
      <c r="D5" t="s">
        <v>24</v>
      </c>
      <c r="E5" s="17">
        <v>1697307477</v>
      </c>
      <c r="F5">
        <v>605</v>
      </c>
      <c r="G5" s="12">
        <v>1</v>
      </c>
      <c r="H5">
        <f>IF(O5=D5,0,1)</f>
        <v>0</v>
      </c>
      <c r="I5">
        <f>F5-Q5</f>
        <v>0</v>
      </c>
      <c r="K5" s="11" cm="1">
        <f t="array" ref="K5">[1]!datefromutc(E5) - 5/24</f>
        <v>45213.554131944446</v>
      </c>
      <c r="L5" t="str">
        <f>TEXT(WEEKDAY(K5),"ddd")</f>
        <v>Sat</v>
      </c>
      <c r="M5" t="s">
        <v>73</v>
      </c>
      <c r="N5" t="s">
        <v>72</v>
      </c>
      <c r="O5" t="s">
        <v>24</v>
      </c>
      <c r="P5">
        <v>1696724110</v>
      </c>
      <c r="Q5">
        <v>605</v>
      </c>
    </row>
    <row r="6" spans="1:23" x14ac:dyDescent="0.25">
      <c r="A6" s="1">
        <v>1</v>
      </c>
      <c r="B6" t="s">
        <v>74</v>
      </c>
      <c r="C6" t="s">
        <v>72</v>
      </c>
      <c r="D6" t="s">
        <v>25</v>
      </c>
      <c r="E6">
        <f>E5+3600</f>
        <v>1697311077</v>
      </c>
      <c r="F6">
        <v>230</v>
      </c>
      <c r="G6" s="12">
        <v>1</v>
      </c>
      <c r="H6">
        <f t="shared" ref="H6:H36" si="0">IF(O6=D6,0,1)</f>
        <v>0</v>
      </c>
      <c r="I6">
        <f t="shared" ref="I6:I36" si="1">F6-Q6</f>
        <v>0</v>
      </c>
      <c r="K6" s="11" cm="1">
        <f t="array" ref="K6">[1]!datefromutc(E6) - 5/24</f>
        <v>45213.59579861111</v>
      </c>
      <c r="L6" t="str">
        <f t="shared" ref="L6:L36" si="2">TEXT(WEEKDAY(K6),"ddd")</f>
        <v>Sat</v>
      </c>
      <c r="M6" t="s">
        <v>74</v>
      </c>
      <c r="N6" t="s">
        <v>72</v>
      </c>
      <c r="O6" t="s">
        <v>25</v>
      </c>
      <c r="P6">
        <v>1696727710</v>
      </c>
      <c r="Q6">
        <v>230</v>
      </c>
    </row>
    <row r="7" spans="1:23" x14ac:dyDescent="0.25">
      <c r="A7" s="1">
        <v>2</v>
      </c>
      <c r="B7" t="s">
        <v>71</v>
      </c>
      <c r="C7" t="s">
        <v>72</v>
      </c>
      <c r="D7" t="s">
        <v>26</v>
      </c>
      <c r="E7">
        <f t="shared" ref="E7:E36" si="3">E6+3600</f>
        <v>1697314677</v>
      </c>
      <c r="F7">
        <v>248</v>
      </c>
      <c r="G7" s="12">
        <v>1</v>
      </c>
      <c r="H7">
        <f t="shared" si="0"/>
        <v>0</v>
      </c>
      <c r="I7">
        <f t="shared" si="1"/>
        <v>0</v>
      </c>
      <c r="K7" s="11" cm="1">
        <f t="array" ref="K7">[1]!datefromutc(E7) - 5/24</f>
        <v>45213.637465277774</v>
      </c>
      <c r="L7" t="str">
        <f t="shared" si="2"/>
        <v>Sat</v>
      </c>
      <c r="M7" t="s">
        <v>71</v>
      </c>
      <c r="N7" t="s">
        <v>72</v>
      </c>
      <c r="O7" t="s">
        <v>26</v>
      </c>
      <c r="P7">
        <v>1696722310</v>
      </c>
      <c r="Q7">
        <v>248</v>
      </c>
    </row>
    <row r="8" spans="1:23" x14ac:dyDescent="0.25">
      <c r="A8" s="1">
        <v>3</v>
      </c>
      <c r="B8" t="s">
        <v>46</v>
      </c>
      <c r="C8" t="s">
        <v>40</v>
      </c>
      <c r="D8" t="s">
        <v>75</v>
      </c>
      <c r="E8">
        <f t="shared" si="3"/>
        <v>1697318277</v>
      </c>
      <c r="F8">
        <v>747</v>
      </c>
      <c r="G8" s="12">
        <v>1</v>
      </c>
      <c r="H8">
        <f t="shared" si="0"/>
        <v>0</v>
      </c>
      <c r="I8">
        <f t="shared" si="1"/>
        <v>0</v>
      </c>
      <c r="K8" s="11" cm="1">
        <f t="array" ref="K8">[1]!datefromutc(E8) - 5/24</f>
        <v>45213.679131944446</v>
      </c>
      <c r="L8" t="str">
        <f t="shared" si="2"/>
        <v>Sat</v>
      </c>
      <c r="M8" t="s">
        <v>46</v>
      </c>
      <c r="N8" t="s">
        <v>40</v>
      </c>
      <c r="O8" t="s">
        <v>75</v>
      </c>
      <c r="P8">
        <v>1696707000</v>
      </c>
      <c r="Q8">
        <v>747</v>
      </c>
    </row>
    <row r="9" spans="1:23" x14ac:dyDescent="0.25">
      <c r="A9" s="1">
        <v>4</v>
      </c>
      <c r="B9" t="s">
        <v>51</v>
      </c>
      <c r="C9" t="s">
        <v>40</v>
      </c>
      <c r="D9" t="s">
        <v>22</v>
      </c>
      <c r="E9">
        <f t="shared" si="3"/>
        <v>1697321877</v>
      </c>
      <c r="F9">
        <v>306</v>
      </c>
      <c r="G9" s="12">
        <v>1</v>
      </c>
      <c r="H9">
        <f t="shared" si="0"/>
        <v>0</v>
      </c>
      <c r="I9">
        <f t="shared" si="1"/>
        <v>0</v>
      </c>
      <c r="K9" s="11" cm="1">
        <f t="array" ref="K9">[1]!datefromutc(E9) - 5/24</f>
        <v>45213.72079861111</v>
      </c>
      <c r="L9" t="str">
        <f t="shared" si="2"/>
        <v>Sat</v>
      </c>
      <c r="M9" t="s">
        <v>51</v>
      </c>
      <c r="N9" t="s">
        <v>40</v>
      </c>
      <c r="O9" t="s">
        <v>22</v>
      </c>
      <c r="P9">
        <v>1696723200</v>
      </c>
      <c r="Q9">
        <v>306</v>
      </c>
    </row>
    <row r="10" spans="1:23" x14ac:dyDescent="0.25">
      <c r="A10" s="1">
        <v>5</v>
      </c>
      <c r="B10" t="s">
        <v>47</v>
      </c>
      <c r="C10" t="s">
        <v>40</v>
      </c>
      <c r="D10" t="s">
        <v>16</v>
      </c>
      <c r="E10">
        <f t="shared" si="3"/>
        <v>1697325477</v>
      </c>
      <c r="F10">
        <v>597</v>
      </c>
      <c r="G10" s="12">
        <v>1</v>
      </c>
      <c r="H10">
        <f t="shared" si="0"/>
        <v>0</v>
      </c>
      <c r="I10">
        <f t="shared" si="1"/>
        <v>0</v>
      </c>
      <c r="K10" s="11" cm="1">
        <f t="array" ref="K10">[1]!datefromutc(E10) - 5/24</f>
        <v>45213.762465277774</v>
      </c>
      <c r="L10" t="str">
        <f t="shared" si="2"/>
        <v>Sat</v>
      </c>
      <c r="M10" t="s">
        <v>47</v>
      </c>
      <c r="N10" t="s">
        <v>40</v>
      </c>
      <c r="O10" t="s">
        <v>16</v>
      </c>
      <c r="P10">
        <v>1696717800</v>
      </c>
      <c r="Q10">
        <v>597</v>
      </c>
    </row>
    <row r="11" spans="1:23" x14ac:dyDescent="0.25">
      <c r="A11" s="1">
        <v>6</v>
      </c>
      <c r="B11" t="s">
        <v>53</v>
      </c>
      <c r="C11" t="s">
        <v>40</v>
      </c>
      <c r="D11" t="s">
        <v>54</v>
      </c>
      <c r="E11">
        <f t="shared" si="3"/>
        <v>1697329077</v>
      </c>
      <c r="F11">
        <v>457</v>
      </c>
      <c r="G11" s="12">
        <v>1</v>
      </c>
      <c r="H11">
        <f t="shared" si="0"/>
        <v>0</v>
      </c>
      <c r="I11">
        <f t="shared" si="1"/>
        <v>0</v>
      </c>
      <c r="K11" s="11" cm="1">
        <f t="array" ref="K11">[1]!datefromutc(E11) - 5/24</f>
        <v>45213.804131944446</v>
      </c>
      <c r="L11" t="str">
        <f t="shared" si="2"/>
        <v>Sat</v>
      </c>
      <c r="M11" t="s">
        <v>53</v>
      </c>
      <c r="N11" t="s">
        <v>40</v>
      </c>
      <c r="O11" t="s">
        <v>54</v>
      </c>
      <c r="P11">
        <v>1696723200</v>
      </c>
      <c r="Q11">
        <v>457</v>
      </c>
    </row>
    <row r="12" spans="1:23" s="4" customFormat="1" x14ac:dyDescent="0.25">
      <c r="A12" s="1">
        <v>7</v>
      </c>
      <c r="B12" t="s">
        <v>48</v>
      </c>
      <c r="C12" t="s">
        <v>40</v>
      </c>
      <c r="D12" t="s">
        <v>17</v>
      </c>
      <c r="E12">
        <f t="shared" si="3"/>
        <v>1697332677</v>
      </c>
      <c r="F12">
        <v>173</v>
      </c>
      <c r="G12" s="12">
        <v>1</v>
      </c>
      <c r="H12">
        <f t="shared" si="0"/>
        <v>0</v>
      </c>
      <c r="I12">
        <f t="shared" si="1"/>
        <v>0</v>
      </c>
      <c r="J12"/>
      <c r="K12" s="11" cm="1">
        <f t="array" ref="K12">[1]!datefromutc(E12) - 5/24</f>
        <v>45213.84579861111</v>
      </c>
      <c r="L12" t="str">
        <f t="shared" si="2"/>
        <v>Sat</v>
      </c>
      <c r="M12" t="s">
        <v>48</v>
      </c>
      <c r="N12" t="s">
        <v>40</v>
      </c>
      <c r="O12" t="s">
        <v>17</v>
      </c>
      <c r="P12">
        <v>1696719600</v>
      </c>
      <c r="Q12">
        <v>173</v>
      </c>
      <c r="R12"/>
      <c r="S12"/>
      <c r="T12"/>
      <c r="U12"/>
      <c r="V12"/>
      <c r="W12"/>
    </row>
    <row r="13" spans="1:23" x14ac:dyDescent="0.25">
      <c r="A13" s="1">
        <v>8</v>
      </c>
      <c r="B13" t="s">
        <v>39</v>
      </c>
      <c r="C13" t="s">
        <v>40</v>
      </c>
      <c r="D13" t="s">
        <v>10</v>
      </c>
      <c r="E13">
        <f t="shared" si="3"/>
        <v>1697336277</v>
      </c>
      <c r="F13">
        <v>669</v>
      </c>
      <c r="G13" s="12">
        <v>1</v>
      </c>
      <c r="H13">
        <f t="shared" si="0"/>
        <v>0</v>
      </c>
      <c r="I13">
        <f t="shared" si="1"/>
        <v>0</v>
      </c>
      <c r="K13" s="11" cm="1">
        <f t="array" ref="K13">[1]!datefromutc(E13) - 5/24</f>
        <v>45213.887465277774</v>
      </c>
      <c r="L13" t="str">
        <f t="shared" si="2"/>
        <v>Sat</v>
      </c>
      <c r="M13" t="s">
        <v>39</v>
      </c>
      <c r="N13" t="s">
        <v>40</v>
      </c>
      <c r="O13" t="s">
        <v>10</v>
      </c>
      <c r="P13">
        <v>1696636800</v>
      </c>
      <c r="Q13">
        <v>669</v>
      </c>
    </row>
    <row r="14" spans="1:23" x14ac:dyDescent="0.25">
      <c r="A14" s="1">
        <v>9</v>
      </c>
      <c r="B14" t="s">
        <v>45</v>
      </c>
      <c r="C14" t="s">
        <v>40</v>
      </c>
      <c r="D14" t="s">
        <v>15</v>
      </c>
      <c r="E14">
        <f t="shared" si="3"/>
        <v>1697339877</v>
      </c>
      <c r="F14">
        <v>761</v>
      </c>
      <c r="G14" s="12">
        <v>1</v>
      </c>
      <c r="H14">
        <f t="shared" si="0"/>
        <v>0</v>
      </c>
      <c r="I14">
        <f t="shared" si="1"/>
        <v>0</v>
      </c>
      <c r="K14" s="11" cm="1">
        <f t="array" ref="K14">[1]!datefromutc(E14) - 5/24</f>
        <v>45213.929131944446</v>
      </c>
      <c r="L14" t="str">
        <f t="shared" si="2"/>
        <v>Sat</v>
      </c>
      <c r="M14" t="s">
        <v>45</v>
      </c>
      <c r="N14" t="s">
        <v>40</v>
      </c>
      <c r="O14" t="s">
        <v>15</v>
      </c>
      <c r="P14">
        <v>1696707000</v>
      </c>
      <c r="Q14">
        <v>761</v>
      </c>
    </row>
    <row r="15" spans="1:23" x14ac:dyDescent="0.25">
      <c r="A15" s="1">
        <v>10</v>
      </c>
      <c r="B15" t="s">
        <v>41</v>
      </c>
      <c r="C15" t="s">
        <v>40</v>
      </c>
      <c r="D15" t="s">
        <v>11</v>
      </c>
      <c r="E15">
        <f t="shared" si="3"/>
        <v>1697343477</v>
      </c>
      <c r="F15">
        <v>467</v>
      </c>
      <c r="G15" s="12">
        <v>1</v>
      </c>
      <c r="H15">
        <f t="shared" si="0"/>
        <v>0</v>
      </c>
      <c r="I15">
        <f t="shared" si="1"/>
        <v>0</v>
      </c>
      <c r="K15" s="11" cm="1">
        <f t="array" ref="K15">[1]!datefromutc(E15) - 5/24</f>
        <v>45213.97079861111</v>
      </c>
      <c r="L15" t="str">
        <f t="shared" si="2"/>
        <v>Sat</v>
      </c>
      <c r="M15" t="s">
        <v>41</v>
      </c>
      <c r="N15" t="s">
        <v>40</v>
      </c>
      <c r="O15" t="s">
        <v>11</v>
      </c>
      <c r="P15">
        <v>1696694399</v>
      </c>
      <c r="Q15">
        <v>467</v>
      </c>
    </row>
    <row r="16" spans="1:23" x14ac:dyDescent="0.25">
      <c r="A16" s="1">
        <v>11</v>
      </c>
      <c r="B16" t="s">
        <v>44</v>
      </c>
      <c r="C16" t="s">
        <v>40</v>
      </c>
      <c r="D16" t="s">
        <v>14</v>
      </c>
      <c r="E16">
        <f t="shared" si="3"/>
        <v>1697347077</v>
      </c>
      <c r="F16">
        <v>287</v>
      </c>
      <c r="G16" s="12">
        <v>1</v>
      </c>
      <c r="H16">
        <f t="shared" si="0"/>
        <v>0</v>
      </c>
      <c r="I16">
        <f t="shared" si="1"/>
        <v>0</v>
      </c>
      <c r="K16" s="11" cm="1">
        <f t="array" ref="K16">[1]!datefromutc(E16) - 5/24</f>
        <v>45214.012465277774</v>
      </c>
      <c r="L16" t="str">
        <f t="shared" si="2"/>
        <v>Sun</v>
      </c>
      <c r="M16" t="s">
        <v>44</v>
      </c>
      <c r="N16" t="s">
        <v>40</v>
      </c>
      <c r="O16" t="s">
        <v>14</v>
      </c>
      <c r="P16">
        <v>1696707000</v>
      </c>
      <c r="Q16">
        <v>287</v>
      </c>
    </row>
    <row r="17" spans="1:23" x14ac:dyDescent="0.25">
      <c r="A17" s="1">
        <v>12</v>
      </c>
      <c r="B17" t="s">
        <v>50</v>
      </c>
      <c r="C17" t="s">
        <v>40</v>
      </c>
      <c r="D17" t="s">
        <v>19</v>
      </c>
      <c r="E17">
        <f t="shared" si="3"/>
        <v>1697350677</v>
      </c>
      <c r="F17">
        <v>422</v>
      </c>
      <c r="G17" s="12">
        <v>1</v>
      </c>
      <c r="H17">
        <f t="shared" si="0"/>
        <v>0</v>
      </c>
      <c r="I17">
        <f t="shared" si="1"/>
        <v>0</v>
      </c>
      <c r="K17" s="11" cm="1">
        <f t="array" ref="K17">[1]!datefromutc(E17) - 5/24</f>
        <v>45214.054131944446</v>
      </c>
      <c r="L17" t="str">
        <f t="shared" si="2"/>
        <v>Sun</v>
      </c>
      <c r="M17" t="s">
        <v>50</v>
      </c>
      <c r="N17" t="s">
        <v>40</v>
      </c>
      <c r="O17" t="s">
        <v>19</v>
      </c>
      <c r="P17">
        <v>1696721399</v>
      </c>
      <c r="Q17">
        <v>422</v>
      </c>
    </row>
    <row r="18" spans="1:23" x14ac:dyDescent="0.25">
      <c r="A18" s="1">
        <v>13</v>
      </c>
      <c r="B18" t="s">
        <v>49</v>
      </c>
      <c r="C18" t="s">
        <v>40</v>
      </c>
      <c r="D18" t="s">
        <v>18</v>
      </c>
      <c r="E18">
        <f t="shared" si="3"/>
        <v>1697354277</v>
      </c>
      <c r="F18">
        <v>236</v>
      </c>
      <c r="G18" s="12">
        <v>1</v>
      </c>
      <c r="H18">
        <f t="shared" si="0"/>
        <v>0</v>
      </c>
      <c r="I18">
        <f t="shared" si="1"/>
        <v>0</v>
      </c>
      <c r="K18" s="11" cm="1">
        <f t="array" ref="K18">[1]!datefromutc(E18) - 5/24</f>
        <v>45214.09579861111</v>
      </c>
      <c r="L18" t="str">
        <f t="shared" si="2"/>
        <v>Sun</v>
      </c>
      <c r="M18" t="s">
        <v>49</v>
      </c>
      <c r="N18" t="s">
        <v>40</v>
      </c>
      <c r="O18" t="s">
        <v>18</v>
      </c>
      <c r="P18">
        <v>1696721399</v>
      </c>
      <c r="Q18">
        <v>236</v>
      </c>
    </row>
    <row r="19" spans="1:23" x14ac:dyDescent="0.25">
      <c r="A19" s="1">
        <v>14</v>
      </c>
      <c r="B19" t="s">
        <v>56</v>
      </c>
      <c r="C19" t="s">
        <v>40</v>
      </c>
      <c r="D19" t="s">
        <v>23</v>
      </c>
      <c r="E19">
        <f t="shared" si="3"/>
        <v>1697357877</v>
      </c>
      <c r="F19">
        <v>318</v>
      </c>
      <c r="G19" s="12">
        <v>1</v>
      </c>
      <c r="H19">
        <f t="shared" si="0"/>
        <v>0</v>
      </c>
      <c r="I19">
        <f t="shared" si="1"/>
        <v>0</v>
      </c>
      <c r="K19" s="11" cm="1">
        <f t="array" ref="K19">[1]!datefromutc(E19) - 5/24</f>
        <v>45214.137465277774</v>
      </c>
      <c r="L19" t="str">
        <f t="shared" si="2"/>
        <v>Sun</v>
      </c>
      <c r="M19" t="s">
        <v>56</v>
      </c>
      <c r="N19" t="s">
        <v>40</v>
      </c>
      <c r="O19" t="s">
        <v>23</v>
      </c>
      <c r="P19">
        <v>1696730400</v>
      </c>
      <c r="Q19">
        <v>318</v>
      </c>
    </row>
    <row r="20" spans="1:23" x14ac:dyDescent="0.25">
      <c r="A20" s="1">
        <v>15</v>
      </c>
      <c r="B20" t="s">
        <v>52</v>
      </c>
      <c r="C20" t="s">
        <v>40</v>
      </c>
      <c r="D20" t="s">
        <v>20</v>
      </c>
      <c r="E20">
        <f t="shared" si="3"/>
        <v>1697361477</v>
      </c>
      <c r="F20">
        <v>436</v>
      </c>
      <c r="G20" s="12">
        <v>1</v>
      </c>
      <c r="H20">
        <f t="shared" si="0"/>
        <v>0</v>
      </c>
      <c r="I20">
        <f t="shared" si="1"/>
        <v>0</v>
      </c>
      <c r="K20" s="11" cm="1">
        <f t="array" ref="K20">[1]!datefromutc(E20) - 5/24</f>
        <v>45214.179131944446</v>
      </c>
      <c r="L20" t="str">
        <f t="shared" si="2"/>
        <v>Sun</v>
      </c>
      <c r="M20" t="s">
        <v>52</v>
      </c>
      <c r="N20" t="s">
        <v>40</v>
      </c>
      <c r="O20" t="s">
        <v>20</v>
      </c>
      <c r="P20">
        <v>1696723200</v>
      </c>
      <c r="Q20">
        <v>436</v>
      </c>
    </row>
    <row r="21" spans="1:23" x14ac:dyDescent="0.25">
      <c r="A21" s="1">
        <v>16</v>
      </c>
      <c r="B21" t="s">
        <v>42</v>
      </c>
      <c r="C21" t="s">
        <v>40</v>
      </c>
      <c r="D21" t="s">
        <v>12</v>
      </c>
      <c r="E21">
        <f t="shared" si="3"/>
        <v>1697365077</v>
      </c>
      <c r="F21">
        <v>483</v>
      </c>
      <c r="G21" s="12">
        <v>1</v>
      </c>
      <c r="H21">
        <f t="shared" si="0"/>
        <v>0</v>
      </c>
      <c r="I21">
        <f t="shared" si="1"/>
        <v>0</v>
      </c>
      <c r="K21" s="11" cm="1">
        <f t="array" ref="K21">[1]!datefromutc(E21) - 5/24</f>
        <v>45214.22079861111</v>
      </c>
      <c r="L21" t="str">
        <f t="shared" si="2"/>
        <v>Sun</v>
      </c>
      <c r="M21" t="s">
        <v>42</v>
      </c>
      <c r="N21" t="s">
        <v>40</v>
      </c>
      <c r="O21" t="s">
        <v>12</v>
      </c>
      <c r="P21">
        <v>1696694399</v>
      </c>
      <c r="Q21">
        <v>483</v>
      </c>
    </row>
    <row r="22" spans="1:23" x14ac:dyDescent="0.25">
      <c r="A22" s="1">
        <v>17</v>
      </c>
      <c r="B22" t="s">
        <v>55</v>
      </c>
      <c r="C22" t="s">
        <v>40</v>
      </c>
      <c r="D22" t="s">
        <v>21</v>
      </c>
      <c r="E22">
        <f t="shared" si="3"/>
        <v>1697368677</v>
      </c>
      <c r="F22">
        <v>843</v>
      </c>
      <c r="G22" s="12">
        <v>1</v>
      </c>
      <c r="H22">
        <f t="shared" si="0"/>
        <v>0</v>
      </c>
      <c r="I22">
        <f t="shared" si="1"/>
        <v>0</v>
      </c>
      <c r="K22" s="11" cm="1">
        <f t="array" ref="K22">[1]!datefromutc(E22) - 5/24</f>
        <v>45214.262465277774</v>
      </c>
      <c r="L22" t="str">
        <f t="shared" si="2"/>
        <v>Sun</v>
      </c>
      <c r="M22" t="s">
        <v>55</v>
      </c>
      <c r="N22" t="s">
        <v>40</v>
      </c>
      <c r="O22" t="s">
        <v>21</v>
      </c>
      <c r="P22">
        <v>1696723200</v>
      </c>
      <c r="Q22">
        <v>843</v>
      </c>
    </row>
    <row r="23" spans="1:23" x14ac:dyDescent="0.25">
      <c r="A23" s="1">
        <v>18</v>
      </c>
      <c r="B23" t="s">
        <v>43</v>
      </c>
      <c r="C23" t="s">
        <v>40</v>
      </c>
      <c r="D23" t="s">
        <v>13</v>
      </c>
      <c r="E23">
        <f t="shared" si="3"/>
        <v>1697372277</v>
      </c>
      <c r="F23">
        <v>626</v>
      </c>
      <c r="G23" s="12">
        <v>1</v>
      </c>
      <c r="H23">
        <f t="shared" si="0"/>
        <v>0</v>
      </c>
      <c r="I23">
        <f t="shared" si="1"/>
        <v>0</v>
      </c>
      <c r="K23" s="11" cm="1">
        <f t="array" ref="K23">[1]!datefromutc(E23) - 5/24</f>
        <v>45214.304131944446</v>
      </c>
      <c r="L23" t="str">
        <f t="shared" si="2"/>
        <v>Sun</v>
      </c>
      <c r="M23" t="s">
        <v>43</v>
      </c>
      <c r="N23" t="s">
        <v>40</v>
      </c>
      <c r="O23" t="s">
        <v>13</v>
      </c>
      <c r="P23">
        <v>1696705199</v>
      </c>
      <c r="Q23">
        <v>626</v>
      </c>
    </row>
    <row r="24" spans="1:23" x14ac:dyDescent="0.25">
      <c r="A24" s="1">
        <v>19</v>
      </c>
      <c r="B24" t="s">
        <v>69</v>
      </c>
      <c r="C24" t="s">
        <v>58</v>
      </c>
      <c r="D24" t="s">
        <v>37</v>
      </c>
      <c r="E24">
        <f t="shared" si="3"/>
        <v>1697375877</v>
      </c>
      <c r="F24">
        <v>556</v>
      </c>
      <c r="G24" s="12">
        <v>1</v>
      </c>
      <c r="H24">
        <f t="shared" si="0"/>
        <v>0</v>
      </c>
      <c r="I24">
        <f t="shared" si="1"/>
        <v>0</v>
      </c>
      <c r="K24" s="11" cm="1">
        <f t="array" ref="K24">[1]!datefromutc(E24) - 5/24</f>
        <v>45214.34579861111</v>
      </c>
      <c r="L24" t="str">
        <f t="shared" si="2"/>
        <v>Sun</v>
      </c>
      <c r="M24" t="s">
        <v>69</v>
      </c>
      <c r="N24" t="s">
        <v>58</v>
      </c>
      <c r="O24" t="s">
        <v>37</v>
      </c>
      <c r="P24">
        <v>1696810800</v>
      </c>
      <c r="Q24">
        <v>556</v>
      </c>
    </row>
    <row r="25" spans="1:23" x14ac:dyDescent="0.25">
      <c r="A25" s="1">
        <v>20</v>
      </c>
      <c r="B25" t="s">
        <v>66</v>
      </c>
      <c r="C25" t="s">
        <v>58</v>
      </c>
      <c r="D25" t="s">
        <v>33</v>
      </c>
      <c r="E25">
        <f t="shared" si="3"/>
        <v>1697379477</v>
      </c>
      <c r="F25">
        <v>628</v>
      </c>
      <c r="G25" s="12">
        <v>1</v>
      </c>
      <c r="H25">
        <f t="shared" si="0"/>
        <v>0</v>
      </c>
      <c r="I25">
        <f t="shared" si="1"/>
        <v>0</v>
      </c>
      <c r="K25" s="11" cm="1">
        <f t="array" ref="K25">[1]!datefromutc(E25) - 5/24</f>
        <v>45214.387465277774</v>
      </c>
      <c r="L25" t="str">
        <f t="shared" si="2"/>
        <v>Sun</v>
      </c>
      <c r="M25" t="s">
        <v>66</v>
      </c>
      <c r="N25" t="s">
        <v>58</v>
      </c>
      <c r="O25" t="s">
        <v>33</v>
      </c>
      <c r="P25">
        <v>1696795500</v>
      </c>
      <c r="Q25">
        <v>628</v>
      </c>
    </row>
    <row r="26" spans="1:23" x14ac:dyDescent="0.25">
      <c r="A26" s="1">
        <v>21</v>
      </c>
      <c r="B26" t="s">
        <v>57</v>
      </c>
      <c r="C26" t="s">
        <v>58</v>
      </c>
      <c r="D26" t="s">
        <v>27</v>
      </c>
      <c r="E26">
        <f t="shared" si="3"/>
        <v>1697383077</v>
      </c>
      <c r="F26">
        <v>427</v>
      </c>
      <c r="G26" s="12">
        <v>1</v>
      </c>
      <c r="H26">
        <f t="shared" si="0"/>
        <v>0</v>
      </c>
      <c r="I26">
        <f t="shared" si="1"/>
        <v>0</v>
      </c>
      <c r="K26" s="11" cm="1">
        <f t="array" ref="K26">[1]!datefromutc(E26) - 5/24</f>
        <v>45214.429131944446</v>
      </c>
      <c r="L26" t="str">
        <f t="shared" si="2"/>
        <v>Sun</v>
      </c>
      <c r="M26" t="s">
        <v>57</v>
      </c>
      <c r="N26" t="s">
        <v>58</v>
      </c>
      <c r="O26" t="s">
        <v>27</v>
      </c>
      <c r="P26">
        <v>1696771800</v>
      </c>
      <c r="Q26">
        <v>427</v>
      </c>
    </row>
    <row r="27" spans="1:23" x14ac:dyDescent="0.25">
      <c r="A27" s="1">
        <v>22</v>
      </c>
      <c r="B27" t="s">
        <v>68</v>
      </c>
      <c r="C27" t="s">
        <v>58</v>
      </c>
      <c r="D27" t="s">
        <v>35</v>
      </c>
      <c r="E27">
        <f t="shared" si="3"/>
        <v>1697386677</v>
      </c>
      <c r="F27">
        <v>760</v>
      </c>
      <c r="G27" s="12">
        <v>1</v>
      </c>
      <c r="H27">
        <f t="shared" si="0"/>
        <v>0</v>
      </c>
      <c r="I27">
        <f t="shared" si="1"/>
        <v>0</v>
      </c>
      <c r="K27" s="11" cm="1">
        <f t="array" ref="K27">[1]!datefromutc(E27) - 5/24</f>
        <v>45214.47079861111</v>
      </c>
      <c r="L27" t="str">
        <f t="shared" si="2"/>
        <v>Sun</v>
      </c>
      <c r="M27" t="s">
        <v>68</v>
      </c>
      <c r="N27" t="s">
        <v>58</v>
      </c>
      <c r="O27" t="s">
        <v>35</v>
      </c>
      <c r="P27">
        <v>1696796760</v>
      </c>
      <c r="Q27">
        <v>760</v>
      </c>
    </row>
    <row r="28" spans="1:23" x14ac:dyDescent="0.25">
      <c r="A28" s="1">
        <v>23</v>
      </c>
      <c r="B28" t="s">
        <v>67</v>
      </c>
      <c r="C28" t="s">
        <v>58</v>
      </c>
      <c r="D28" t="s">
        <v>36</v>
      </c>
      <c r="E28">
        <f t="shared" si="3"/>
        <v>1697390277</v>
      </c>
      <c r="F28">
        <v>558</v>
      </c>
      <c r="G28" s="12">
        <v>1</v>
      </c>
      <c r="H28">
        <f t="shared" si="0"/>
        <v>0</v>
      </c>
      <c r="I28">
        <f t="shared" si="1"/>
        <v>0</v>
      </c>
      <c r="K28" s="11" cm="1">
        <f t="array" ref="K28">[1]!datefromutc(E28) - 5/24</f>
        <v>45214.512465277774</v>
      </c>
      <c r="L28" t="str">
        <f t="shared" si="2"/>
        <v>Sun</v>
      </c>
      <c r="M28" t="s">
        <v>67</v>
      </c>
      <c r="N28" t="s">
        <v>58</v>
      </c>
      <c r="O28" t="s">
        <v>36</v>
      </c>
      <c r="P28">
        <v>1696796760</v>
      </c>
      <c r="Q28">
        <v>558</v>
      </c>
    </row>
    <row r="29" spans="1:23" x14ac:dyDescent="0.25">
      <c r="A29" s="1">
        <v>24</v>
      </c>
      <c r="B29" t="s">
        <v>59</v>
      </c>
      <c r="C29" t="s">
        <v>58</v>
      </c>
      <c r="D29" t="s">
        <v>28</v>
      </c>
      <c r="E29">
        <f t="shared" si="3"/>
        <v>1697393877</v>
      </c>
      <c r="F29">
        <v>150</v>
      </c>
      <c r="G29" s="12">
        <v>1</v>
      </c>
      <c r="H29">
        <f t="shared" si="0"/>
        <v>0</v>
      </c>
      <c r="I29">
        <f t="shared" si="1"/>
        <v>0</v>
      </c>
      <c r="K29" s="11" cm="1">
        <f t="array" ref="K29">[1]!datefromutc(E29)</f>
        <v>45214.762465277781</v>
      </c>
      <c r="L29" t="str">
        <f t="shared" si="2"/>
        <v>Sun</v>
      </c>
      <c r="M29" t="s">
        <v>59</v>
      </c>
      <c r="N29" t="s">
        <v>58</v>
      </c>
      <c r="O29" t="s">
        <v>28</v>
      </c>
      <c r="P29">
        <v>1696784400</v>
      </c>
      <c r="Q29">
        <v>150</v>
      </c>
    </row>
    <row r="30" spans="1:23" s="6" customFormat="1" x14ac:dyDescent="0.25">
      <c r="A30" s="10">
        <v>25</v>
      </c>
      <c r="B30" t="s">
        <v>65</v>
      </c>
      <c r="C30" t="s">
        <v>58</v>
      </c>
      <c r="D30" t="s">
        <v>34</v>
      </c>
      <c r="E30">
        <f t="shared" si="3"/>
        <v>1697397477</v>
      </c>
      <c r="F30">
        <v>499</v>
      </c>
      <c r="G30" s="12">
        <v>1</v>
      </c>
      <c r="H30">
        <f t="shared" si="0"/>
        <v>0</v>
      </c>
      <c r="I30">
        <f t="shared" si="1"/>
        <v>0</v>
      </c>
      <c r="J30"/>
      <c r="K30" s="11" cm="1">
        <f t="array" ref="K30">[1]!datefromutc(E30) - 5/24</f>
        <v>45214.59579861111</v>
      </c>
      <c r="L30" t="str">
        <f t="shared" si="2"/>
        <v>Sun</v>
      </c>
      <c r="M30" t="s">
        <v>65</v>
      </c>
      <c r="N30" t="s">
        <v>58</v>
      </c>
      <c r="O30" t="s">
        <v>34</v>
      </c>
      <c r="P30">
        <v>1696795500</v>
      </c>
      <c r="Q30">
        <v>499</v>
      </c>
      <c r="R30"/>
      <c r="S30"/>
      <c r="T30"/>
      <c r="U30"/>
      <c r="V30"/>
      <c r="W30"/>
    </row>
    <row r="31" spans="1:23" x14ac:dyDescent="0.25">
      <c r="A31" s="1">
        <v>26</v>
      </c>
      <c r="B31" t="s">
        <v>62</v>
      </c>
      <c r="C31" t="s">
        <v>58</v>
      </c>
      <c r="D31" t="s">
        <v>29</v>
      </c>
      <c r="E31">
        <f t="shared" si="3"/>
        <v>1697401077</v>
      </c>
      <c r="F31">
        <v>814</v>
      </c>
      <c r="G31" s="12">
        <v>1</v>
      </c>
      <c r="H31">
        <f t="shared" si="0"/>
        <v>0</v>
      </c>
      <c r="I31">
        <f t="shared" si="1"/>
        <v>0</v>
      </c>
      <c r="K31" s="11" cm="1">
        <f t="array" ref="K31">[1]!datefromutc(E31) - 5/24</f>
        <v>45214.637465277774</v>
      </c>
      <c r="L31" t="str">
        <f t="shared" si="2"/>
        <v>Sun</v>
      </c>
      <c r="M31" t="s">
        <v>62</v>
      </c>
      <c r="N31" t="s">
        <v>58</v>
      </c>
      <c r="O31" t="s">
        <v>29</v>
      </c>
      <c r="P31">
        <v>1696784400</v>
      </c>
      <c r="Q31">
        <v>814</v>
      </c>
    </row>
    <row r="32" spans="1:23" x14ac:dyDescent="0.25">
      <c r="A32" s="1">
        <v>27</v>
      </c>
      <c r="B32" t="s">
        <v>60</v>
      </c>
      <c r="C32" t="s">
        <v>58</v>
      </c>
      <c r="D32" t="s">
        <v>30</v>
      </c>
      <c r="E32">
        <f t="shared" si="3"/>
        <v>1697404677</v>
      </c>
      <c r="F32">
        <v>217</v>
      </c>
      <c r="G32" s="12">
        <v>1</v>
      </c>
      <c r="H32">
        <f t="shared" si="0"/>
        <v>0</v>
      </c>
      <c r="I32">
        <f t="shared" si="1"/>
        <v>0</v>
      </c>
      <c r="K32" s="11" cm="1">
        <f t="array" ref="K32">[1]!datefromutc(E32) - 5/24</f>
        <v>45214.679131944446</v>
      </c>
      <c r="L32" t="str">
        <f t="shared" si="2"/>
        <v>Sun</v>
      </c>
      <c r="M32" t="s">
        <v>60</v>
      </c>
      <c r="N32" t="s">
        <v>58</v>
      </c>
      <c r="O32" t="s">
        <v>30</v>
      </c>
      <c r="P32">
        <v>1696784400</v>
      </c>
      <c r="Q32">
        <v>217</v>
      </c>
    </row>
    <row r="33" spans="1:17" s="15" customFormat="1" x14ac:dyDescent="0.25">
      <c r="A33" s="14">
        <v>28</v>
      </c>
      <c r="B33" s="15" t="s">
        <v>70</v>
      </c>
      <c r="C33" s="15" t="s">
        <v>58</v>
      </c>
      <c r="D33" s="15" t="s">
        <v>83</v>
      </c>
      <c r="E33">
        <f t="shared" si="3"/>
        <v>1697408277</v>
      </c>
      <c r="F33" s="15">
        <v>886</v>
      </c>
      <c r="G33" s="12">
        <v>1</v>
      </c>
      <c r="H33" s="15">
        <f t="shared" si="0"/>
        <v>0</v>
      </c>
      <c r="I33">
        <f t="shared" si="1"/>
        <v>0</v>
      </c>
      <c r="J33" s="15">
        <f>Q33</f>
        <v>886</v>
      </c>
      <c r="K33" s="16" cm="1">
        <f t="array" ref="K33">[1]!datefromutc(E33) - 5/24</f>
        <v>45214.72079861111</v>
      </c>
      <c r="L33" s="15" t="str">
        <f t="shared" si="2"/>
        <v>Sun</v>
      </c>
      <c r="M33" s="15" t="s">
        <v>70</v>
      </c>
      <c r="N33" s="15" t="s">
        <v>58</v>
      </c>
      <c r="O33" s="15" t="s">
        <v>83</v>
      </c>
      <c r="P33" s="15">
        <v>1696897020</v>
      </c>
      <c r="Q33" s="15">
        <v>886</v>
      </c>
    </row>
    <row r="34" spans="1:17" x14ac:dyDescent="0.25">
      <c r="A34" s="1">
        <v>29</v>
      </c>
      <c r="B34" t="s">
        <v>61</v>
      </c>
      <c r="C34" t="s">
        <v>58</v>
      </c>
      <c r="D34" t="s">
        <v>31</v>
      </c>
      <c r="E34">
        <f t="shared" si="3"/>
        <v>1697411877</v>
      </c>
      <c r="F34">
        <v>500</v>
      </c>
      <c r="G34" s="12">
        <v>1</v>
      </c>
      <c r="H34">
        <f t="shared" si="0"/>
        <v>0</v>
      </c>
      <c r="I34">
        <f t="shared" si="1"/>
        <v>0</v>
      </c>
      <c r="K34" s="11" cm="1">
        <f t="array" ref="K34">[1]!datefromutc(E34) - 5/24</f>
        <v>45214.762465277774</v>
      </c>
      <c r="L34" t="str">
        <f t="shared" si="2"/>
        <v>Sun</v>
      </c>
      <c r="M34" t="s">
        <v>61</v>
      </c>
      <c r="N34" t="s">
        <v>58</v>
      </c>
      <c r="O34" t="s">
        <v>31</v>
      </c>
      <c r="P34">
        <v>1696784400</v>
      </c>
      <c r="Q34">
        <v>500</v>
      </c>
    </row>
    <row r="35" spans="1:17" s="15" customFormat="1" x14ac:dyDescent="0.25">
      <c r="A35" s="14">
        <v>30</v>
      </c>
      <c r="B35" s="15" t="s">
        <v>63</v>
      </c>
      <c r="C35" s="15" t="s">
        <v>58</v>
      </c>
      <c r="D35" s="15" t="s">
        <v>82</v>
      </c>
      <c r="E35">
        <f t="shared" si="3"/>
        <v>1697415477</v>
      </c>
      <c r="F35" s="15">
        <v>933</v>
      </c>
      <c r="G35" s="12">
        <v>1</v>
      </c>
      <c r="H35" s="15">
        <f t="shared" si="0"/>
        <v>0</v>
      </c>
      <c r="I35">
        <f t="shared" si="1"/>
        <v>0</v>
      </c>
      <c r="J35" s="15">
        <f>Q35</f>
        <v>933</v>
      </c>
      <c r="K35" s="16" cm="1">
        <f t="array" ref="K35">[1]!datefromutc(E35) - 5/24</f>
        <v>45214.804131944446</v>
      </c>
      <c r="L35" s="15" t="str">
        <f t="shared" si="2"/>
        <v>Sun</v>
      </c>
      <c r="M35" s="15" t="s">
        <v>63</v>
      </c>
      <c r="N35" s="15" t="s">
        <v>58</v>
      </c>
      <c r="O35" s="15" t="s">
        <v>82</v>
      </c>
      <c r="P35" s="15">
        <v>1696784400</v>
      </c>
      <c r="Q35" s="15">
        <v>933</v>
      </c>
    </row>
    <row r="36" spans="1:17" x14ac:dyDescent="0.25">
      <c r="A36" s="1">
        <v>31</v>
      </c>
      <c r="B36" t="s">
        <v>64</v>
      </c>
      <c r="C36" t="s">
        <v>58</v>
      </c>
      <c r="D36" t="s">
        <v>32</v>
      </c>
      <c r="E36">
        <f t="shared" si="3"/>
        <v>1697419077</v>
      </c>
      <c r="F36">
        <v>748</v>
      </c>
      <c r="G36" s="12">
        <v>1</v>
      </c>
      <c r="H36">
        <f t="shared" si="0"/>
        <v>0</v>
      </c>
      <c r="I36">
        <f t="shared" si="1"/>
        <v>0</v>
      </c>
      <c r="K36" s="11" cm="1">
        <f t="array" ref="K36">[1]!datefromutc(E36) - 5/24</f>
        <v>45214.84579861111</v>
      </c>
      <c r="L36" t="str">
        <f t="shared" si="2"/>
        <v>Sun</v>
      </c>
      <c r="M36" t="s">
        <v>64</v>
      </c>
      <c r="N36" t="s">
        <v>58</v>
      </c>
      <c r="O36" t="s">
        <v>32</v>
      </c>
      <c r="P36">
        <v>1696784400</v>
      </c>
      <c r="Q36">
        <v>748</v>
      </c>
    </row>
    <row r="40" spans="1:17" x14ac:dyDescent="0.25">
      <c r="M40" t="s">
        <v>63</v>
      </c>
      <c r="N40" t="s">
        <v>58</v>
      </c>
      <c r="O40" t="s">
        <v>82</v>
      </c>
      <c r="P40">
        <v>1696784400</v>
      </c>
      <c r="Q40">
        <v>933</v>
      </c>
    </row>
  </sheetData>
  <sortState xmlns:xlrd2="http://schemas.microsoft.com/office/spreadsheetml/2017/richdata2" ref="B5:G36">
    <sortCondition ref="D5:D36"/>
  </sortState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31"/>
      <selection activeCell="A7" sqref="A7"/>
      <selection pane="bottomLeft" activeCell="A34" sqref="A34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84</v>
      </c>
    </row>
    <row r="3" spans="1:1" x14ac:dyDescent="0.25">
      <c r="A3" t="str">
        <f>start!F5&amp;","</f>
        <v>605,</v>
      </c>
    </row>
    <row r="4" spans="1:1" x14ac:dyDescent="0.25">
      <c r="A4" t="str">
        <f>start!F6&amp;","</f>
        <v>230,</v>
      </c>
    </row>
    <row r="5" spans="1:1" x14ac:dyDescent="0.25">
      <c r="A5" t="str">
        <f>start!F7&amp;","</f>
        <v>248,</v>
      </c>
    </row>
    <row r="6" spans="1:1" x14ac:dyDescent="0.25">
      <c r="A6" t="str">
        <f>start!F8&amp;","</f>
        <v>747,</v>
      </c>
    </row>
    <row r="7" spans="1:1" x14ac:dyDescent="0.25">
      <c r="A7" t="str">
        <f>start!F9&amp;","</f>
        <v>306,</v>
      </c>
    </row>
    <row r="8" spans="1:1" x14ac:dyDescent="0.25">
      <c r="A8" t="str">
        <f>start!F10&amp;","</f>
        <v>597,</v>
      </c>
    </row>
    <row r="9" spans="1:1" x14ac:dyDescent="0.25">
      <c r="A9" t="str">
        <f>start!F11&amp;","</f>
        <v>457,</v>
      </c>
    </row>
    <row r="10" spans="1:1" x14ac:dyDescent="0.25">
      <c r="A10" t="str">
        <f>start!F12&amp;","</f>
        <v>173,</v>
      </c>
    </row>
    <row r="11" spans="1:1" x14ac:dyDescent="0.25">
      <c r="A11" t="str">
        <f>start!F13&amp;","</f>
        <v>669,</v>
      </c>
    </row>
    <row r="12" spans="1:1" x14ac:dyDescent="0.25">
      <c r="A12" t="str">
        <f>start!F14&amp;","</f>
        <v>761,</v>
      </c>
    </row>
    <row r="13" spans="1:1" x14ac:dyDescent="0.25">
      <c r="A13" t="str">
        <f>start!F15&amp;","</f>
        <v>467,</v>
      </c>
    </row>
    <row r="14" spans="1:1" x14ac:dyDescent="0.25">
      <c r="A14" t="str">
        <f>start!F16&amp;","</f>
        <v>287,</v>
      </c>
    </row>
    <row r="15" spans="1:1" x14ac:dyDescent="0.25">
      <c r="A15" t="str">
        <f>start!F17&amp;","</f>
        <v>422,</v>
      </c>
    </row>
    <row r="16" spans="1:1" x14ac:dyDescent="0.25">
      <c r="A16" t="str">
        <f>start!F18&amp;","</f>
        <v>236,</v>
      </c>
    </row>
    <row r="17" spans="1:1" x14ac:dyDescent="0.25">
      <c r="A17" t="str">
        <f>start!F19&amp;","</f>
        <v>318,</v>
      </c>
    </row>
    <row r="18" spans="1:1" x14ac:dyDescent="0.25">
      <c r="A18" t="str">
        <f>start!F20&amp;","</f>
        <v>436,</v>
      </c>
    </row>
    <row r="19" spans="1:1" x14ac:dyDescent="0.25">
      <c r="A19" t="str">
        <f>start!F21&amp;","</f>
        <v>483,</v>
      </c>
    </row>
    <row r="20" spans="1:1" x14ac:dyDescent="0.25">
      <c r="A20" t="str">
        <f>start!F22&amp;","</f>
        <v>843,</v>
      </c>
    </row>
    <row r="21" spans="1:1" x14ac:dyDescent="0.25">
      <c r="A21" t="str">
        <f>start!F23&amp;","</f>
        <v>626,</v>
      </c>
    </row>
    <row r="22" spans="1:1" x14ac:dyDescent="0.25">
      <c r="A22" t="str">
        <f>start!F24&amp;","</f>
        <v>556,</v>
      </c>
    </row>
    <row r="23" spans="1:1" x14ac:dyDescent="0.25">
      <c r="A23" t="str">
        <f>start!F25&amp;","</f>
        <v>628,</v>
      </c>
    </row>
    <row r="24" spans="1:1" x14ac:dyDescent="0.25">
      <c r="A24" t="str">
        <f>start!F26&amp;","</f>
        <v>427,</v>
      </c>
    </row>
    <row r="25" spans="1:1" x14ac:dyDescent="0.25">
      <c r="A25" t="str">
        <f>start!F27&amp;","</f>
        <v>760,</v>
      </c>
    </row>
    <row r="26" spans="1:1" x14ac:dyDescent="0.25">
      <c r="A26" t="str">
        <f>start!F28&amp;","</f>
        <v>558,</v>
      </c>
    </row>
    <row r="27" spans="1:1" x14ac:dyDescent="0.25">
      <c r="A27" t="str">
        <f>start!F29&amp;","</f>
        <v>150,</v>
      </c>
    </row>
    <row r="28" spans="1:1" x14ac:dyDescent="0.25">
      <c r="A28" t="str">
        <f>start!F30&amp;","</f>
        <v>499,</v>
      </c>
    </row>
    <row r="29" spans="1:1" x14ac:dyDescent="0.25">
      <c r="A29" t="str">
        <f>start!F31&amp;","</f>
        <v>814,</v>
      </c>
    </row>
    <row r="30" spans="1:1" x14ac:dyDescent="0.25">
      <c r="A30" t="str">
        <f>start!F32&amp;","</f>
        <v>217,</v>
      </c>
    </row>
    <row r="31" spans="1:1" x14ac:dyDescent="0.25">
      <c r="A31" t="str">
        <f>start!F33&amp;","</f>
        <v>886,</v>
      </c>
    </row>
    <row r="32" spans="1:1" x14ac:dyDescent="0.25">
      <c r="A32" t="str">
        <f>start!F34&amp;","</f>
        <v>500,</v>
      </c>
    </row>
    <row r="33" spans="1:1" x14ac:dyDescent="0.25">
      <c r="A33" t="str">
        <f>start!F35&amp;","</f>
        <v>933,</v>
      </c>
    </row>
    <row r="34" spans="1:1" x14ac:dyDescent="0.25">
      <c r="A34" t="str">
        <f>start!F36&amp;"]"</f>
        <v>748]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2700" topLeftCell="A43" activePane="bottomLeft"/>
      <selection activeCell="A5" sqref="A5"/>
      <selection pane="bottomLeft" activeCell="D54" sqref="D54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38</v>
      </c>
    </row>
    <row r="3" spans="1:1" x14ac:dyDescent="0.25">
      <c r="A3" t="str">
        <f>start!G5&amp;","</f>
        <v>1,</v>
      </c>
    </row>
    <row r="4" spans="1:1" x14ac:dyDescent="0.25">
      <c r="A4" t="str">
        <f>start!G6&amp;","</f>
        <v>1,</v>
      </c>
    </row>
    <row r="5" spans="1:1" x14ac:dyDescent="0.25">
      <c r="A5" t="str">
        <f>start!G7&amp;","</f>
        <v>1,</v>
      </c>
    </row>
    <row r="6" spans="1:1" x14ac:dyDescent="0.25">
      <c r="A6" t="str">
        <f>start!G8&amp;","</f>
        <v>1,</v>
      </c>
    </row>
    <row r="7" spans="1:1" x14ac:dyDescent="0.25">
      <c r="A7" t="str">
        <f>start!G9&amp;","</f>
        <v>1,</v>
      </c>
    </row>
    <row r="8" spans="1:1" x14ac:dyDescent="0.25">
      <c r="A8" t="str">
        <f>start!G10&amp;","</f>
        <v>1,</v>
      </c>
    </row>
    <row r="9" spans="1:1" x14ac:dyDescent="0.25">
      <c r="A9" t="str">
        <f>start!G11&amp;","</f>
        <v>1,</v>
      </c>
    </row>
    <row r="10" spans="1:1" x14ac:dyDescent="0.25">
      <c r="A10" t="str">
        <f>start!G12&amp;","</f>
        <v>1,</v>
      </c>
    </row>
    <row r="11" spans="1:1" x14ac:dyDescent="0.25">
      <c r="A11" t="str">
        <f>start!G13&amp;","</f>
        <v>1,</v>
      </c>
    </row>
    <row r="12" spans="1:1" x14ac:dyDescent="0.25">
      <c r="A12" t="str">
        <f>start!G14&amp;","</f>
        <v>1,</v>
      </c>
    </row>
    <row r="13" spans="1:1" x14ac:dyDescent="0.25">
      <c r="A13" t="str">
        <f>start!G15&amp;","</f>
        <v>1,</v>
      </c>
    </row>
    <row r="14" spans="1:1" x14ac:dyDescent="0.25">
      <c r="A14" t="str">
        <f>start!G16&amp;","</f>
        <v>1,</v>
      </c>
    </row>
    <row r="15" spans="1:1" x14ac:dyDescent="0.25">
      <c r="A15" t="str">
        <f>start!G17&amp;","</f>
        <v>1,</v>
      </c>
    </row>
    <row r="16" spans="1:1" x14ac:dyDescent="0.25">
      <c r="A16" t="str">
        <f>start!G18&amp;","</f>
        <v>1,</v>
      </c>
    </row>
    <row r="17" spans="1:1" x14ac:dyDescent="0.25">
      <c r="A17" t="str">
        <f>start!G19&amp;","</f>
        <v>1,</v>
      </c>
    </row>
    <row r="18" spans="1:1" x14ac:dyDescent="0.25">
      <c r="A18" t="str">
        <f>start!G20&amp;","</f>
        <v>1,</v>
      </c>
    </row>
    <row r="19" spans="1:1" x14ac:dyDescent="0.25">
      <c r="A19" t="str">
        <f>start!G21&amp;","</f>
        <v>1,</v>
      </c>
    </row>
    <row r="20" spans="1:1" x14ac:dyDescent="0.25">
      <c r="A20" t="str">
        <f>start!G22&amp;","</f>
        <v>1,</v>
      </c>
    </row>
    <row r="21" spans="1:1" x14ac:dyDescent="0.25">
      <c r="A21" t="str">
        <f>start!G23&amp;","</f>
        <v>1,</v>
      </c>
    </row>
    <row r="22" spans="1:1" x14ac:dyDescent="0.25">
      <c r="A22" t="str">
        <f>start!G24&amp;","</f>
        <v>1,</v>
      </c>
    </row>
    <row r="23" spans="1:1" x14ac:dyDescent="0.25">
      <c r="A23" t="str">
        <f>start!G25&amp;","</f>
        <v>1,</v>
      </c>
    </row>
    <row r="24" spans="1:1" x14ac:dyDescent="0.25">
      <c r="A24" t="str">
        <f>start!G26&amp;","</f>
        <v>1,</v>
      </c>
    </row>
    <row r="25" spans="1:1" x14ac:dyDescent="0.25">
      <c r="A25" t="str">
        <f>start!G27&amp;","</f>
        <v>1,</v>
      </c>
    </row>
    <row r="26" spans="1:1" x14ac:dyDescent="0.25">
      <c r="A26" t="str">
        <f>start!G28&amp;","</f>
        <v>1,</v>
      </c>
    </row>
    <row r="27" spans="1:1" x14ac:dyDescent="0.25">
      <c r="A27" t="str">
        <f>start!G29&amp;","</f>
        <v>1,</v>
      </c>
    </row>
    <row r="28" spans="1:1" x14ac:dyDescent="0.25">
      <c r="A28" t="str">
        <f>start!G30&amp;","</f>
        <v>1,</v>
      </c>
    </row>
    <row r="29" spans="1:1" x14ac:dyDescent="0.25">
      <c r="A29" t="str">
        <f>start!G31&amp;","</f>
        <v>1,</v>
      </c>
    </row>
    <row r="30" spans="1:1" x14ac:dyDescent="0.25">
      <c r="A30" t="str">
        <f>start!G32&amp;","</f>
        <v>1,</v>
      </c>
    </row>
    <row r="31" spans="1:1" x14ac:dyDescent="0.25">
      <c r="A31" t="str">
        <f>start!G33&amp;","</f>
        <v>1,</v>
      </c>
    </row>
    <row r="32" spans="1:1" x14ac:dyDescent="0.25">
      <c r="A32" t="str">
        <f>start!G34&amp;","</f>
        <v>1,</v>
      </c>
    </row>
    <row r="33" spans="1:1" x14ac:dyDescent="0.25">
      <c r="A33" t="str">
        <f>start!G35&amp;","</f>
        <v>1,</v>
      </c>
    </row>
    <row r="34" spans="1:1" x14ac:dyDescent="0.25">
      <c r="A34" t="str">
        <f>start!G36&amp;"],"</f>
        <v>1],</v>
      </c>
    </row>
    <row r="35" spans="1:1" x14ac:dyDescent="0.25">
      <c r="A35" t="s">
        <v>9</v>
      </c>
    </row>
    <row r="36" spans="1:1" x14ac:dyDescent="0.25">
      <c r="A36" t="str">
        <f>start!$D5&amp;","</f>
        <v>"MMA:Buckley:Morono",</v>
      </c>
    </row>
    <row r="37" spans="1:1" x14ac:dyDescent="0.25">
      <c r="A37" t="str">
        <f>start!$D6&amp;","</f>
        <v>"MMA:Dawson:Green",</v>
      </c>
    </row>
    <row r="38" spans="1:1" x14ac:dyDescent="0.25">
      <c r="A38" t="str">
        <f>start!$D7&amp;","</f>
        <v>"MMA:Dober:Glenn",</v>
      </c>
    </row>
    <row r="39" spans="1:1" x14ac:dyDescent="0.25">
      <c r="A39" t="str">
        <f>start!$D8&amp;","</f>
        <v>"NCAAF:Alabama:TexasA&amp;M",</v>
      </c>
    </row>
    <row r="40" spans="1:1" x14ac:dyDescent="0.25">
      <c r="A40" t="str">
        <f>start!$D9&amp;","</f>
        <v>"NCAAF:BoiseState:SanJoseState",</v>
      </c>
    </row>
    <row r="41" spans="1:1" x14ac:dyDescent="0.25">
      <c r="A41" t="str">
        <f>start!$D10&amp;","</f>
        <v>"NCAAF:Colorado:ArizonaState",</v>
      </c>
    </row>
    <row r="42" spans="1:1" x14ac:dyDescent="0.25">
      <c r="A42" t="str">
        <f>start!$D11&amp;","</f>
        <v>"NCAAF:FresnoState:Wyoming",</v>
      </c>
    </row>
    <row r="43" spans="1:1" x14ac:dyDescent="0.25">
      <c r="A43" t="str">
        <f>start!$D12&amp;","</f>
        <v>"NCAAF:Georgia:Kentucky",</v>
      </c>
    </row>
    <row r="44" spans="1:1" x14ac:dyDescent="0.25">
      <c r="A44" t="str">
        <f>start!$D13&amp;","</f>
        <v>"NCAAF:Illinois:Nebraska",</v>
      </c>
    </row>
    <row r="45" spans="1:1" x14ac:dyDescent="0.25">
      <c r="A45" t="str">
        <f>start!$D14&amp;","</f>
        <v>"NCAAF:Iowa:Purdue",</v>
      </c>
    </row>
    <row r="46" spans="1:1" x14ac:dyDescent="0.25">
      <c r="A46" t="str">
        <f>start!$D15&amp;","</f>
        <v>"NCAAF:LSU:Missouri",</v>
      </c>
    </row>
    <row r="47" spans="1:1" x14ac:dyDescent="0.25">
      <c r="A47" t="str">
        <f>start!$D16&amp;","</f>
        <v>"NCAAF:NorthCarolina:Syracuse",</v>
      </c>
    </row>
    <row r="48" spans="1:1" x14ac:dyDescent="0.25">
      <c r="A48" t="str">
        <f>start!$D17&amp;","</f>
        <v>"NCAAF:NotreDame:Louisville",</v>
      </c>
    </row>
    <row r="49" spans="1:1" x14ac:dyDescent="0.25">
      <c r="A49" t="str">
        <f>start!$D18&amp;","</f>
        <v>"NCAAF:OleMiss:Arkansas",</v>
      </c>
    </row>
    <row r="50" spans="1:1" x14ac:dyDescent="0.25">
      <c r="A50" t="str">
        <f>start!$D19&amp;","</f>
        <v>"NCAAF:OregonState:California",</v>
      </c>
    </row>
    <row r="51" spans="1:1" x14ac:dyDescent="0.25">
      <c r="A51" t="str">
        <f>start!$D20&amp;","</f>
        <v>"NCAAF:TCU:IowaState",</v>
      </c>
    </row>
    <row r="52" spans="1:1" x14ac:dyDescent="0.25">
      <c r="A52" t="str">
        <f>start!$D21&amp;","</f>
        <v>"NCAAF:Texas:Oklahoma",</v>
      </c>
    </row>
    <row r="53" spans="1:1" x14ac:dyDescent="0.25">
      <c r="A53" t="str">
        <f>start!$D22&amp;","</f>
        <v>"NCAAF:TexasTech:Baylor",</v>
      </c>
    </row>
    <row r="54" spans="1:1" x14ac:dyDescent="0.25">
      <c r="A54" t="str">
        <f>start!$D23&amp;","</f>
        <v>"NCAAF:UCLA:WashingtonState",</v>
      </c>
    </row>
    <row r="55" spans="1:1" x14ac:dyDescent="0.25">
      <c r="A55" t="str">
        <f>start!$D24&amp;","</f>
        <v>"NFL:49ers:Cowboys",</v>
      </c>
    </row>
    <row r="56" spans="1:1" x14ac:dyDescent="0.25">
      <c r="A56" t="str">
        <f>start!$D25&amp;","</f>
        <v>"NFL:Bengals:Cardinals",</v>
      </c>
    </row>
    <row r="57" spans="1:1" x14ac:dyDescent="0.25">
      <c r="A57" t="str">
        <f>start!$D26&amp;","</f>
        <v>"NFL:Bills:Jaguars",</v>
      </c>
    </row>
    <row r="58" spans="1:1" x14ac:dyDescent="0.25">
      <c r="A58" t="str">
        <f>start!$D27&amp;","</f>
        <v>"NFL:Broncos:Jets",</v>
      </c>
    </row>
    <row r="59" spans="1:1" x14ac:dyDescent="0.25">
      <c r="A59" t="str">
        <f>start!$D28&amp;","</f>
        <v>"NFL:Chiefs:Vikings",</v>
      </c>
    </row>
    <row r="60" spans="1:1" x14ac:dyDescent="0.25">
      <c r="A60" t="str">
        <f>start!$D29&amp;","</f>
        <v>"NFL:Dolphins:Giants",</v>
      </c>
    </row>
    <row r="61" spans="1:1" x14ac:dyDescent="0.25">
      <c r="A61" t="str">
        <f>start!$D30&amp;","</f>
        <v>"NFL:Eagles:Rams",</v>
      </c>
    </row>
    <row r="62" spans="1:1" x14ac:dyDescent="0.25">
      <c r="A62" t="str">
        <f>start!$D31&amp;","</f>
        <v>"NFL:Falcons:Texans",</v>
      </c>
    </row>
    <row r="63" spans="1:1" x14ac:dyDescent="0.25">
      <c r="A63" t="str">
        <f>start!$D32&amp;","</f>
        <v>"NFL:Lions:Panthers",</v>
      </c>
    </row>
    <row r="64" spans="1:1" x14ac:dyDescent="0.25">
      <c r="A64" t="str">
        <f>start!$D33&amp;","</f>
        <v>"NFL:Raiders:Packers",</v>
      </c>
    </row>
    <row r="65" spans="1:1" x14ac:dyDescent="0.25">
      <c r="A65" t="str">
        <f>start!$D34&amp;","</f>
        <v>"NFL:Ravens:Steelers",</v>
      </c>
    </row>
    <row r="66" spans="1:1" x14ac:dyDescent="0.25">
      <c r="A66" t="str">
        <f>start!$D35&amp;","</f>
        <v>"NFL:Patriots:Saints",</v>
      </c>
    </row>
    <row r="67" spans="1:1" x14ac:dyDescent="0.25">
      <c r="A67" t="str">
        <f>start!$D36&amp;"],"</f>
        <v>"NFL:Titans:Colts"],</v>
      </c>
    </row>
    <row r="68" spans="1:1" x14ac:dyDescent="0.25">
      <c r="A68" t="s">
        <v>8</v>
      </c>
    </row>
    <row r="69" spans="1:1" x14ac:dyDescent="0.25">
      <c r="A69" t="str">
        <f>start!E5&amp;","</f>
        <v>1697307477,</v>
      </c>
    </row>
    <row r="70" spans="1:1" x14ac:dyDescent="0.25">
      <c r="A70" t="str">
        <f>start!E6&amp;","</f>
        <v>1697311077,</v>
      </c>
    </row>
    <row r="71" spans="1:1" x14ac:dyDescent="0.25">
      <c r="A71" t="str">
        <f>start!E7&amp;","</f>
        <v>1697314677,</v>
      </c>
    </row>
    <row r="72" spans="1:1" x14ac:dyDescent="0.25">
      <c r="A72" t="str">
        <f>start!E8&amp;","</f>
        <v>1697318277,</v>
      </c>
    </row>
    <row r="73" spans="1:1" x14ac:dyDescent="0.25">
      <c r="A73" t="str">
        <f>start!E9&amp;","</f>
        <v>1697321877,</v>
      </c>
    </row>
    <row r="74" spans="1:1" x14ac:dyDescent="0.25">
      <c r="A74" t="str">
        <f>start!E10&amp;","</f>
        <v>1697325477,</v>
      </c>
    </row>
    <row r="75" spans="1:1" x14ac:dyDescent="0.25">
      <c r="A75" t="str">
        <f>start!E11&amp;","</f>
        <v>1697329077,</v>
      </c>
    </row>
    <row r="76" spans="1:1" x14ac:dyDescent="0.25">
      <c r="A76" t="str">
        <f>start!E12&amp;","</f>
        <v>1697332677,</v>
      </c>
    </row>
    <row r="77" spans="1:1" x14ac:dyDescent="0.25">
      <c r="A77" t="str">
        <f>start!E13&amp;","</f>
        <v>1697336277,</v>
      </c>
    </row>
    <row r="78" spans="1:1" x14ac:dyDescent="0.25">
      <c r="A78" t="str">
        <f>start!E14&amp;","</f>
        <v>1697339877,</v>
      </c>
    </row>
    <row r="79" spans="1:1" x14ac:dyDescent="0.25">
      <c r="A79" t="str">
        <f>start!E15&amp;","</f>
        <v>1697343477,</v>
      </c>
    </row>
    <row r="80" spans="1:1" x14ac:dyDescent="0.25">
      <c r="A80" t="str">
        <f>start!E16&amp;","</f>
        <v>1697347077,</v>
      </c>
    </row>
    <row r="81" spans="1:1" x14ac:dyDescent="0.25">
      <c r="A81" t="str">
        <f>start!E17&amp;","</f>
        <v>1697350677,</v>
      </c>
    </row>
    <row r="82" spans="1:1" x14ac:dyDescent="0.25">
      <c r="A82" t="str">
        <f>start!E18&amp;","</f>
        <v>1697354277,</v>
      </c>
    </row>
    <row r="83" spans="1:1" x14ac:dyDescent="0.25">
      <c r="A83" t="str">
        <f>start!E19&amp;","</f>
        <v>1697357877,</v>
      </c>
    </row>
    <row r="84" spans="1:1" x14ac:dyDescent="0.25">
      <c r="A84" t="str">
        <f>start!E20&amp;","</f>
        <v>1697361477,</v>
      </c>
    </row>
    <row r="85" spans="1:1" x14ac:dyDescent="0.25">
      <c r="A85" t="str">
        <f>start!E21&amp;","</f>
        <v>1697365077,</v>
      </c>
    </row>
    <row r="86" spans="1:1" x14ac:dyDescent="0.25">
      <c r="A86" t="str">
        <f>start!E22&amp;","</f>
        <v>1697368677,</v>
      </c>
    </row>
    <row r="87" spans="1:1" x14ac:dyDescent="0.25">
      <c r="A87" t="str">
        <f>start!E23&amp;","</f>
        <v>1697372277,</v>
      </c>
    </row>
    <row r="88" spans="1:1" x14ac:dyDescent="0.25">
      <c r="A88" t="str">
        <f>start!E24&amp;","</f>
        <v>1697375877,</v>
      </c>
    </row>
    <row r="89" spans="1:1" x14ac:dyDescent="0.25">
      <c r="A89" t="str">
        <f>start!E25&amp;","</f>
        <v>1697379477,</v>
      </c>
    </row>
    <row r="90" spans="1:1" x14ac:dyDescent="0.25">
      <c r="A90" t="str">
        <f>start!E26&amp;","</f>
        <v>1697383077,</v>
      </c>
    </row>
    <row r="91" spans="1:1" x14ac:dyDescent="0.25">
      <c r="A91" t="str">
        <f>start!E27&amp;","</f>
        <v>1697386677,</v>
      </c>
    </row>
    <row r="92" spans="1:1" x14ac:dyDescent="0.25">
      <c r="A92" t="str">
        <f>start!E28&amp;","</f>
        <v>1697390277,</v>
      </c>
    </row>
    <row r="93" spans="1:1" x14ac:dyDescent="0.25">
      <c r="A93" t="str">
        <f>start!E29&amp;","</f>
        <v>1697393877,</v>
      </c>
    </row>
    <row r="94" spans="1:1" x14ac:dyDescent="0.25">
      <c r="A94" t="str">
        <f>start!E30&amp;","</f>
        <v>1697397477,</v>
      </c>
    </row>
    <row r="95" spans="1:1" x14ac:dyDescent="0.25">
      <c r="A95" t="str">
        <f>start!E31&amp;","</f>
        <v>1697401077,</v>
      </c>
    </row>
    <row r="96" spans="1:1" x14ac:dyDescent="0.25">
      <c r="A96" t="str">
        <f>start!E32&amp;","</f>
        <v>1697404677,</v>
      </c>
    </row>
    <row r="97" spans="1:1" x14ac:dyDescent="0.25">
      <c r="A97" t="str">
        <f>start!E33&amp;","</f>
        <v>1697408277,</v>
      </c>
    </row>
    <row r="98" spans="1:1" x14ac:dyDescent="0.25">
      <c r="A98" t="str">
        <f>start!E34&amp;","</f>
        <v>1697411877,</v>
      </c>
    </row>
    <row r="99" spans="1:1" x14ac:dyDescent="0.25">
      <c r="A99" t="str">
        <f>start!E35&amp;","</f>
        <v>1697415477,</v>
      </c>
    </row>
    <row r="100" spans="1:1" x14ac:dyDescent="0.25">
      <c r="A100" s="9" t="str">
        <f>start!E36&amp;"]"</f>
        <v>1697419077]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2023-10-09T19:38:51Z</dcterms:modified>
</cp:coreProperties>
</file>